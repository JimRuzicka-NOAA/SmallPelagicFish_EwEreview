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Atlantic/Atlantic_ECOTRAN_K-path_versions/"/>
    </mc:Choice>
  </mc:AlternateContent>
  <xr:revisionPtr revIDLastSave="0" documentId="13_ncr:1_{9D9D2D0D-DB0F-5C47-8197-D40EB20076D2}" xr6:coauthVersionLast="45" xr6:coauthVersionMax="45" xr10:uidLastSave="{00000000-0000-0000-0000-000000000000}"/>
  <bookViews>
    <workbookView xWindow="0" yWindow="460" windowWidth="25600" windowHeight="14240" tabRatio="728" firstSheet="1" activeTab="3"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Main!$C$2:$N$53</definedName>
    <definedName name="matDetritus">Detritus!$C$2:$E$53</definedName>
    <definedName name="matDiet">Diets!$B$2:$AP$45</definedName>
    <definedName name="matDiscards">Discards!$C$2:$K$44</definedName>
    <definedName name="matFishery">Fishing!$C$2:$K$44</definedName>
    <definedName name="matFishing">Fishing!#REF!</definedName>
    <definedName name="matMort">Mortalities!$A$1:$BC$44</definedName>
    <definedName name="matOut">MainOutputs!$A$2:$I$53</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<sst xmlns="http://schemas.openxmlformats.org/spreadsheetml/2006/main" count="1318" uniqueCount="257">
  <si>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</si>
  <si>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</si>
  <si>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</si>
  <si>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</si>
  <si>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</si>
  <si>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</si>
  <si>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</si>
  <si>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</si>
  <si>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</si>
  <si>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</si>
  <si>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</si>
  <si>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</si>
  <si>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</si>
  <si>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</si>
  <si>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</si>
  <si>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</si>
  <si>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</si>
  <si>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</si>
  <si>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</si>
  <si>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</si>
  <si>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</si>
  <si>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</si>
  <si>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</si>
  <si>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</si>
  <si>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</si>
  <si>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</si>
  <si>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</si>
  <si>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</si>
  <si>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</si>
  <si>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</si>
  <si>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</si>
  <si>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</si>
  <si>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</si>
  <si>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</si>
  <si>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</si>
  <si>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</si>
  <si>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</si>
  <si>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</si>
  <si>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</si>
  <si>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</si>
  <si>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</si>
  <si>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</si>
  <si>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</si>
  <si>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</si>
  <si>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</si>
  <si>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</si>
  <si>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</si>
  <si>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</si>
  <si>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</si>
  <si>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</si>
  <si>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</si>
  <si>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</si>
  <si>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</si>
  <si>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</si>
  <si>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</si>
  <si>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</si>
  <si>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</si>
  <si>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</si>
  <si>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</si>
  <si>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</si>
  <si>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</si>
  <si>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</si>
  <si>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</si>
  <si>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</si>
  <si>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</si>
  <si>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</si>
  <si>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</si>
  <si>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</si>
  <si>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</si>
  <si>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</si>
  <si>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</si>
  <si>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</si>
  <si>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</si>
  <si>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</si>
  <si>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</si>
  <si>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</si>
  <si>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</si>
  <si>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</si>
  <si>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</si>
  <si>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</si>
  <si>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</si>
  <si>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</si>
  <si>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</si>
  <si>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</si>
  <si>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</si>
  <si>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</si>
  <si>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</si>
  <si>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</si>
  <si>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</si>
  <si>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</si>
  <si>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</si>
  <si>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</si>
  <si>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</si>
  <si>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</si>
  <si>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</si>
  <si>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</si>
  <si>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</si>
  <si>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</si>
  <si>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</si>
  <si>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</si>
  <si>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</si>
  <si>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</si>
  <si>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</si>
  <si>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</si>
  <si>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</si>
  <si>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</si>
  <si>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</si>
  <si>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</si>
  <si>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</si>
  <si>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</si>
  <si>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</si>
  <si>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</si>
  <si>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</si>
  <si>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</si>
  <si>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</si>
  <si>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</si>
  <si>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</si>
  <si>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</si>
  <si>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</si>
  <si>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</si>
  <si>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</si>
  <si>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</si>
  <si>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</si>
  <si>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</si>
  <si>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</si>
  <si>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</si>
  <si>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</si>
  <si>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</si>
  <si>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</si>
  <si>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</si>
  <si>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</si>
  <si>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</si>
  <si>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</si>
  <si>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</si>
  <si>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</si>
  <si>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</si>
  <si>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</si>
  <si>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</si>
  <si>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</si>
  <si>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</si>
  <si>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</si>
  <si>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</si>
  <si>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</si>
  <si>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</si>
  <si>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</si>
  <si>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</si>
  <si>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</si>
  <si>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</si>
  <si>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</si>
  <si>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</si>
  <si>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</si>
  <si>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</si>
  <si>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</si>
  <si>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</si>
  <si>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</si>
  <si>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</si>
  <si>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</si>
  <si>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</si>
  <si>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</si>
  <si>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</si>
  <si>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</si>
  <si>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</si>
  <si>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</si>
  <si>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</si>
  <si>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</si>
  <si>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</si>
  <si>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</si>
  <si>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</si>
  <si>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</si>
  <si>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</si>
  <si>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</si>
  <si>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</si>
  <si>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</si>
  <si>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</si>
  <si>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</si>
  <si>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</si>
  <si>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</si>
  <si>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</si>
  <si>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</si>
  <si>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</si>
  <si>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</si>
  <si>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</si>
  <si>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</si>
  <si>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</si>
  <si>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</si>
  <si>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USA, South Atlantic Continental Shelf</t>
  </si>
  <si>
    <t>United States of America</t>
  </si>
  <si>
    <t>BOX(-81.6570267250923 25.1931648902851,-75.5316910338648 35.6139403901406)</t>
  </si>
  <si>
    <t>open ocean</t>
  </si>
  <si>
    <t>WetWeight</t>
  </si>
  <si>
    <t>The current model is considered to be a very preliminary "straw-man" that can be used as a vehicle to stimulate a more rigorous refinement effort in the near future. The ecologically defined area covered by this model extends from Cape Hatteras in North Carolina to the easternmost extent of the Florida Keys, and from the intertidal and the entrance of estuarine systems to the 500 m isobath. The time period characterized by this preliminary model is four years during in the late 1990s (1995-1998). This delineated area is estimated to cover 174,331 km^2.                        This model is the second preliminary iteration; it includes SEAMAP biomass estimates (see Okey and Puglise (2001).                                                                         ; 3/18/01 1:40:11 PM; 6/28/01 11:13:01 AM; 5/1/02 5:48:58 AM; 16/12/2002 4:10:21 PM; 2003-02-03 12:05:29; 2003-02-03 12:22:12; 03/08/2003 1:24:03 PM</t>
  </si>
  <si>
    <t>Okey T.A.,Pugliese R.(2001). A preliminary Ecopath model of the Atlantic continental shelf adjacent to the Southeastern United States Fisheries Impacts on North Atlantic Ecosystems: Models and Analyses. pp 167-181. In Guenette S.,Christensen V.,Pauly D.,Guenette S.,Christensen V.,Pauly D.</t>
  </si>
  <si>
    <t>Billfishes</t>
  </si>
  <si>
    <t>Sharks  (and alligators)</t>
  </si>
  <si>
    <t>Tuna</t>
  </si>
  <si>
    <t>Toothed cetaceans</t>
  </si>
  <si>
    <t>Mackerel</t>
  </si>
  <si>
    <t>Groupers</t>
  </si>
  <si>
    <t>Jacks</t>
  </si>
  <si>
    <t>Snappers</t>
  </si>
  <si>
    <t>Pelagic piscivores</t>
  </si>
  <si>
    <t>Octopods</t>
  </si>
  <si>
    <t>Demersal piscivores</t>
  </si>
  <si>
    <t>Marine birds</t>
  </si>
  <si>
    <t>Benthic piscivores</t>
  </si>
  <si>
    <t>Drum and croaker</t>
  </si>
  <si>
    <t>Benthic invertebrate-eaters</t>
  </si>
  <si>
    <t>Squid</t>
  </si>
  <si>
    <t>Flounder</t>
  </si>
  <si>
    <t>Benthic rays/skates</t>
  </si>
  <si>
    <t>Lobsters</t>
  </si>
  <si>
    <t>Baleen whales</t>
  </si>
  <si>
    <t>Demersal planktivores</t>
  </si>
  <si>
    <t>Sea turtles</t>
  </si>
  <si>
    <t>Demersal invertebrate-eaters</t>
  </si>
  <si>
    <t>Stomatopods</t>
  </si>
  <si>
    <t>Pelagic planktivores</t>
  </si>
  <si>
    <t>Other fishes</t>
  </si>
  <si>
    <t>Forage fishes</t>
  </si>
  <si>
    <t>Jellies</t>
  </si>
  <si>
    <t>Crabs</t>
  </si>
  <si>
    <t>Shrimp</t>
  </si>
  <si>
    <t>Demersal omnivores</t>
  </si>
  <si>
    <t>Echinoderms and gastropods</t>
  </si>
  <si>
    <t>Sessile epibenthos</t>
  </si>
  <si>
    <t>Benthic macrofauna (and meiofauna)</t>
  </si>
  <si>
    <t>Bivalves</t>
  </si>
  <si>
    <t>Manatees</t>
  </si>
  <si>
    <t>Zooplankton</t>
  </si>
  <si>
    <t>Macroalgae</t>
  </si>
  <si>
    <t>Microphytobenthos</t>
  </si>
  <si>
    <t>Phytoplankton</t>
  </si>
  <si>
    <t>Sea grasses</t>
  </si>
  <si>
    <t>Detritus</t>
  </si>
  <si>
    <t>detritus_TerminalBenthic</t>
  </si>
  <si>
    <t>Bottom trawls</t>
  </si>
  <si>
    <t>Dredges</t>
  </si>
  <si>
    <t>Gillnets / entangling nets</t>
  </si>
  <si>
    <t>Grappling / wounding</t>
  </si>
  <si>
    <t>Hooks and lines</t>
  </si>
  <si>
    <t>Mobile seine</t>
  </si>
  <si>
    <t>Other gear</t>
  </si>
  <si>
    <t>Surrounding nets</t>
  </si>
  <si>
    <t>Traps and lift nets</t>
  </si>
  <si>
    <t>Import</t>
  </si>
  <si>
    <t>export</t>
  </si>
  <si>
    <t>sum</t>
  </si>
  <si>
    <t>TOTAL</t>
  </si>
  <si>
    <t>F Bottom trawls</t>
  </si>
  <si>
    <t>F Dredges</t>
  </si>
  <si>
    <t>F Gillnets / entangling nets</t>
  </si>
  <si>
    <t>F Grappling / wounding</t>
  </si>
  <si>
    <t>F Hooks and lines</t>
  </si>
  <si>
    <t>F Mobile seine</t>
  </si>
  <si>
    <t>F Other gear</t>
  </si>
  <si>
    <t>F Surrounding nets</t>
  </si>
  <si>
    <t>F Traps and lift nets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</si>
</sst>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83">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16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27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0B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1FF00"/>
        <bgColor indexed="64"/>
      </patternFill>
    </fill>
    <fill>
      <patternFill patternType="solid">
        <fgColor rgb="FF48FF00"/>
        <bgColor indexed="64"/>
      </patternFill>
    </fill>
    <fill>
      <patternFill patternType="solid">
        <fgColor rgb="FF56FF00"/>
        <bgColor indexed="64"/>
      </patternFill>
    </fill>
    <fill>
      <patternFill patternType="solid">
        <fgColor rgb="FF3FFF00"/>
        <bgColor indexed="64"/>
      </patternFill>
    </fill>
    <fill>
      <patternFill patternType="solid">
        <fgColor rgb="FF50FF00"/>
        <bgColor indexed="64"/>
      </patternFill>
    </fill>
    <fill>
      <patternFill patternType="solid">
        <fgColor rgb="FF22FF00"/>
        <bgColor indexed="64"/>
      </patternFill>
    </fill>
    <fill>
      <patternFill patternType="solid">
        <fgColor rgb="FF5DFF00"/>
        <bgColor indexed="64"/>
      </patternFill>
    </fill>
    <fill>
      <patternFill patternType="solid">
        <fgColor rgb="FFBF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FFB400"/>
        <bgColor indexed="64"/>
      </patternFill>
    </fill>
    <fill>
      <patternFill patternType="solid">
        <fgColor rgb="FF26FF00"/>
        <bgColor indexed="64"/>
      </patternFill>
    </fill>
    <fill>
      <patternFill patternType="solid">
        <fgColor rgb="FFFF0000"/>
        <bgColor indexed="64"/>
      </patternFill>
    </fill>
    <fill>
      <patternFill patternType="solid">
        <fgColor rgb="FF23FF00"/>
        <bgColor indexed="64"/>
      </patternFill>
    </fill>
    <fill>
      <patternFill patternType="solid">
        <fgColor rgb="FF6AFF00"/>
        <bgColor indexed="64"/>
      </patternFill>
    </fill>
    <fill>
      <patternFill patternType="solid">
        <fgColor rgb="FF2DFF00"/>
        <bgColor indexed="64"/>
      </patternFill>
    </fill>
    <fill>
      <patternFill patternType="solid">
        <fgColor rgb="FFFF4F00"/>
        <bgColor indexed="64"/>
      </patternFill>
    </fill>
    <fill>
      <patternFill patternType="solid">
        <fgColor rgb="FF2CFF00"/>
        <bgColor indexed="64"/>
      </patternFill>
    </fill>
    <fill>
      <patternFill patternType="solid">
        <fgColor rgb="FF19FF00"/>
        <bgColor indexed="64"/>
      </patternFill>
    </fill>
    <fill>
      <patternFill patternType="solid">
        <fgColor rgb="FFECFF00"/>
        <bgColor indexed="64"/>
      </patternFill>
    </fill>
    <fill>
      <patternFill patternType="solid">
        <fgColor rgb="FF0CFF00"/>
        <bgColor indexed="64"/>
      </patternFill>
    </fill>
    <fill>
      <patternFill patternType="solid">
        <fgColor rgb="FF11FF00"/>
        <bgColor indexed="64"/>
      </patternFill>
    </fill>
    <fill>
      <patternFill patternType="solid">
        <fgColor rgb="FF3AFF00"/>
        <bgColor indexed="64"/>
      </patternFill>
    </fill>
    <fill>
      <patternFill patternType="solid">
        <fgColor rgb="FF29FF00"/>
        <bgColor indexed="64"/>
      </patternFill>
    </fill>
    <fill>
      <patternFill patternType="solid">
        <fgColor rgb="FF7EFF00"/>
        <bgColor indexed="64"/>
      </patternFill>
    </fill>
    <fill>
      <patternFill patternType="solid">
        <fgColor rgb="FF4CFF00"/>
        <bgColor indexed="64"/>
      </patternFill>
    </fill>
    <fill>
      <patternFill patternType="solid">
        <fgColor rgb="FF90FF00"/>
        <bgColor indexed="64"/>
      </patternFill>
    </fill>
    <fill>
      <patternFill patternType="solid">
        <fgColor rgb="FF3BFF00"/>
        <bgColor indexed="64"/>
      </patternFill>
    </fill>
    <fill>
      <patternFill patternType="solid">
        <fgColor rgb="FF6FFF00"/>
        <bgColor indexed="64"/>
      </patternFill>
    </fill>
    <fill>
      <patternFill patternType="solid">
        <fgColor rgb="FF61FF00"/>
        <bgColor indexed="64"/>
      </patternFill>
    </fill>
    <fill>
      <patternFill patternType="solid">
        <fgColor rgb="FF52FF00"/>
        <bgColor indexed="64"/>
      </patternFill>
    </fill>
    <fill>
      <patternFill patternType="solid">
        <fgColor rgb="FF1DFF00"/>
        <bgColor indexed="64"/>
      </patternFill>
    </fill>
    <fill>
      <patternFill patternType="solid">
        <fgColor rgb="FF49FF00"/>
        <bgColor indexed="64"/>
      </patternFill>
    </fill>
    <fill>
      <patternFill patternType="solid">
        <fgColor rgb="FF14FF00"/>
        <bgColor indexed="64"/>
      </patternFill>
    </fill>
    <fill>
      <patternFill patternType="solid">
        <fgColor rgb="FF66FF00"/>
        <bgColor indexed="64"/>
      </patternFill>
    </fill>
    <fill>
      <patternFill patternType="solid">
        <fgColor rgb="FF77FF00"/>
        <bgColor indexed="64"/>
      </patternFill>
    </fill>
    <fill>
      <patternFill patternType="solid">
        <fgColor rgb="FF1BFF00"/>
        <bgColor indexed="64"/>
      </patternFill>
    </fill>
    <fill>
      <patternFill patternType="solid">
        <fgColor rgb="FF2AFF00"/>
        <bgColor indexed="64"/>
      </patternFill>
    </fill>
    <fill>
      <patternFill patternType="solid">
        <fgColor rgb="FF31FF00"/>
        <bgColor indexed="64"/>
      </patternFill>
    </fill>
    <fill>
      <patternFill patternType="solid">
        <fgColor rgb="FF7FFF00"/>
        <bgColor indexed="64"/>
      </patternFill>
    </fill>
    <fill>
      <patternFill patternType="solid">
        <fgColor rgb="FF32FF00"/>
        <bgColor indexed="64"/>
      </patternFill>
    </fill>
    <fill>
      <patternFill patternType="solid">
        <fgColor rgb="FF6BFF00"/>
        <bgColor indexed="64"/>
      </patternFill>
    </fill>
    <fill>
      <patternFill patternType="solid">
        <fgColor rgb="FFF8FF00"/>
        <bgColor indexed="64"/>
      </patternFill>
    </fill>
    <fill>
      <patternFill patternType="solid">
        <fgColor rgb="FFCBFF00"/>
        <bgColor indexed="64"/>
      </patternFill>
    </fill>
    <fill>
      <patternFill patternType="solid">
        <fgColor rgb="FF9CFF00"/>
        <bgColor indexed="64"/>
      </patternFill>
    </fill>
    <fill>
      <patternFill patternType="solid">
        <fgColor rgb="FF2BFF00"/>
        <bgColor indexed="64"/>
      </patternFill>
    </fill>
    <fill>
      <patternFill patternType="solid">
        <fgColor rgb="FF4FFF00"/>
        <bgColor indexed="64"/>
      </patternFill>
    </fill>
    <fill>
      <patternFill patternType="solid">
        <fgColor rgb="FF45FF00"/>
        <bgColor indexed="64"/>
      </patternFill>
    </fill>
    <fill>
      <patternFill patternType="solid">
        <fgColor rgb="FFB8FF00"/>
        <bgColor indexed="64"/>
      </patternFill>
    </fill>
    <fill>
      <patternFill patternType="solid">
        <fgColor rgb="FFACFF00"/>
        <bgColor indexed="64"/>
      </patternFill>
    </fill>
    <fill>
      <patternFill patternType="solid">
        <fgColor rgb="FF57FF00"/>
        <bgColor indexed="64"/>
      </patternFill>
    </fill>
    <fill>
      <patternFill patternType="solid">
        <fgColor rgb="FF43FF00"/>
        <bgColor indexed="64"/>
      </patternFill>
    </fill>
    <fill>
      <patternFill patternType="solid">
        <fgColor rgb="FF60FF00"/>
        <bgColor indexed="64"/>
      </patternFill>
    </fill>
    <fill>
      <patternFill patternType="solid">
        <fgColor rgb="FF44FF00"/>
        <bgColor indexed="64"/>
      </patternFill>
    </fill>
    <fill>
      <patternFill patternType="solid">
        <fgColor rgb="FFFFFA00"/>
        <bgColor indexed="64"/>
      </patternFill>
    </fill>
    <fill>
      <patternFill patternType="solid">
        <fgColor rgb="FF17FF00"/>
        <bgColor indexed="64"/>
      </patternFill>
    </fill>
    <fill>
      <patternFill patternType="solid">
        <fgColor rgb="FFB7FF00"/>
        <bgColor indexed="64"/>
      </patternFill>
    </fill>
    <fill>
      <patternFill patternType="solid">
        <fgColor rgb="FFB3FF00"/>
        <bgColor indexed="64"/>
      </patternFill>
    </fill>
    <fill>
      <patternFill patternType="solid">
        <fgColor rgb="FF64FF00"/>
        <bgColor indexed="64"/>
      </patternFill>
    </fill>
    <fill>
      <patternFill patternType="solid">
        <fgColor rgb="FFBDFF00"/>
        <bgColor indexed="64"/>
      </patternFill>
    </fill>
    <fill>
      <patternFill patternType="solid">
        <fgColor rgb="FF39FF00"/>
        <bgColor indexed="64"/>
      </patternFill>
    </fill>
    <fill>
      <patternFill patternType="solid">
        <fgColor rgb="FFBEFF00"/>
        <bgColor indexed="64"/>
      </patternFill>
    </fill>
    <fill>
      <patternFill patternType="solid">
        <fgColor rgb="FFFDFF00"/>
        <bgColor indexed="64"/>
      </patternFill>
    </fill>
    <fill>
      <patternFill patternType="solid">
        <fgColor rgb="FF5AFF00"/>
        <bgColor indexed="64"/>
      </patternFill>
    </fill>
    <fill>
      <patternFill patternType="solid">
        <fgColor rgb="FF34FF00"/>
        <bgColor indexed="64"/>
      </patternFill>
    </fill>
    <fill>
      <patternFill patternType="solid">
        <fgColor rgb="FF4AFF00"/>
        <bgColor indexed="64"/>
      </patternFill>
    </fill>
    <fill>
      <patternFill patternType="solid">
        <fgColor rgb="FFFF9A00"/>
        <bgColor indexed="64"/>
      </patternFill>
    </fill>
    <fill>
      <patternFill patternType="solid">
        <fgColor rgb="FF41FF00"/>
        <bgColor indexed="64"/>
      </patternFill>
    </fill>
    <fill>
      <patternFill patternType="solid">
        <fgColor rgb="FF47FF00"/>
        <bgColor indexed="64"/>
      </patternFill>
    </fill>
    <fill>
      <patternFill patternType="solid">
        <fgColor rgb="FFD2FF00"/>
        <bgColor indexed="64"/>
      </patternFill>
    </fill>
    <fill>
      <patternFill patternType="solid">
        <fgColor rgb="FF2EFF00"/>
        <bgColor indexed="64"/>
      </patternFill>
    </fill>
    <fill>
      <patternFill patternType="solid">
        <fgColor rgb="FF54FF00"/>
        <bgColor indexed="64"/>
      </patternFill>
    </fill>
    <fill>
      <patternFill patternType="solid">
        <fgColor rgb="FFFF5900"/>
        <bgColor indexed="64"/>
      </patternFill>
    </fill>
    <fill>
      <patternFill patternType="solid">
        <fgColor rgb="FF5EFF00"/>
        <bgColor indexed="64"/>
      </patternFill>
    </fill>
    <fill>
      <patternFill patternType="solid">
        <fgColor rgb="FFFF8000"/>
        <bgColor indexed="64"/>
      </patternFill>
    </fill>
    <fill>
      <patternFill patternType="solid">
        <fgColor rgb="FFFF5500"/>
        <bgColor indexed="64"/>
      </patternFill>
    </fill>
    <fill>
      <patternFill patternType="solid">
        <fgColor rgb="FFA0FF00"/>
        <bgColor indexed="64"/>
      </patternFill>
    </fill>
    <fill>
      <patternFill patternType="solid">
        <fgColor rgb="FF4DFF00"/>
        <bgColor indexed="64"/>
      </patternFill>
    </fill>
    <fill>
      <patternFill patternType="solid">
        <fgColor rgb="FFFFB300"/>
        <bgColor indexed="64"/>
      </patternFill>
    </fill>
    <fill>
      <patternFill patternType="solid">
        <fgColor rgb="FFDCFF00"/>
        <bgColor indexed="64"/>
      </patternFill>
    </fill>
    <fill>
      <patternFill patternType="solid">
        <fgColor rgb="FF73FF00"/>
        <bgColor indexed="64"/>
      </patternFill>
    </fill>
    <fill>
      <patternFill patternType="solid">
        <fgColor rgb="FFFFC200"/>
        <bgColor indexed="64"/>
      </patternFill>
    </fill>
    <fill>
      <patternFill patternType="solid">
        <fgColor rgb="FFB4FF00"/>
        <bgColor indexed="64"/>
      </patternFill>
    </fill>
    <fill>
      <patternFill patternType="solid">
        <fgColor rgb="FFCAFF00"/>
        <bgColor indexed="64"/>
      </patternFill>
    </fill>
    <fill>
      <patternFill patternType="solid">
        <fgColor rgb="FF5FFF00"/>
        <bgColor indexed="64"/>
      </patternFill>
    </fill>
    <fill>
      <patternFill patternType="solid">
        <fgColor rgb="FFFF9B00"/>
        <bgColor indexed="64"/>
      </patternFill>
    </fill>
    <fill>
      <patternFill patternType="solid">
        <fgColor rgb="FFF7FF00"/>
        <bgColor indexed="64"/>
      </patternFill>
    </fill>
    <fill>
      <patternFill patternType="solid">
        <fgColor rgb="FF4BFF00"/>
        <bgColor indexed="64"/>
      </patternFill>
    </fill>
    <fill>
      <patternFill patternType="solid">
        <fgColor rgb="FFFFD200"/>
        <bgColor indexed="64"/>
      </patternFill>
    </fill>
  </fills>
  <borders count="52">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03">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5" borderId="2" xfId="0" applyFont="1" applyFill="1" applyBorder="1" applyAlignment="1">
      <alignment horizontal="center"/>
    </xf>
    <xf numFmtId="0" fontId="1" fillId="25" borderId="4" xfId="0" applyFont="1" applyFill="1" applyBorder="1" applyAlignment="1">
      <alignment horizontal="center"/>
    </xf>
    <xf numFmtId="0" fontId="1" fillId="25"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5" borderId="5" xfId="0" applyFill="1" applyBorder="1"/>
    <xf numFmtId="0" fontId="0" fillId="25" borderId="6" xfId="0" applyFill="1" applyBorder="1"/>
    <xf numFmtId="0" fontId="0" fillId="25" borderId="7" xfId="0" applyFill="1" applyBorder="1"/>
    <xf numFmtId="0" fontId="0" fillId="25" borderId="8" xfId="0" applyFill="1" applyBorder="1"/>
    <xf numFmtId="0" fontId="0" fillId="25" borderId="9" xfId="0" applyFill="1" applyBorder="1"/>
    <xf numFmtId="0" fontId="0" fillId="25" borderId="11" xfId="0" applyFill="1" applyBorder="1"/>
    <xf numFmtId="0" fontId="8" fillId="0" borderId="0" xfId="0" applyFont="1"/>
    <xf numFmtId="0" fontId="9" fillId="0" borderId="0" xfId="0" applyFont="1"/>
    <xf numFmtId="0" fontId="1" fillId="2" borderId="0" xfId="0" applyFont="1" applyFill="1" applyBorder="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1" fillId="0" borderId="0" xfId="0" applyFont="1" applyAlignment="1">
      <alignment horizontal="center"/>
    </xf>
    <xf numFmtId="0" fontId="0" fillId="38" borderId="0" xfId="0" applyFill="1"/>
    <xf numFmtId="0" fontId="0" fillId="0" borderId="0" xfId="0" applyFont="1" applyFill="1"/>
    <xf numFmtId="0" fontId="0" fillId="0" borderId="0" xfId="0" applyFont="1" applyAlignment="1">
      <alignment horizontal="center"/>
    </xf>
    <xf numFmtId="0" fontId="0" fillId="40" borderId="0" xfId="0" applyFill="1"/>
    <xf numFmtId="0" fontId="0" fillId="0" borderId="0" xfId="0" applyFont="1" applyFill="1" applyAlignment="1">
      <alignment horizontal="center"/>
    </xf>
    <xf numFmtId="0" fontId="0" fillId="41" borderId="0" xfId="0" applyFill="1"/>
    <xf numFmtId="0" fontId="0" fillId="42" borderId="0" xfId="0" applyFill="1"/>
    <xf numFmtId="0" fontId="0" fillId="43"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9"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9" borderId="3" xfId="0" applyNumberFormat="1" applyFont="1" applyFill="1" applyBorder="1"/>
    <xf numFmtId="0" fontId="0" fillId="39" borderId="2" xfId="0" applyFont="1" applyFill="1" applyBorder="1"/>
    <xf numFmtId="0" fontId="0" fillId="39" borderId="3" xfId="0" applyFont="1" applyFill="1" applyBorder="1"/>
    <xf numFmtId="0" fontId="0" fillId="39"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4" borderId="0" xfId="0" applyFill="1"/>
    <xf numFmtId="0" fontId="0" fillId="45" borderId="0" xfId="0" applyFill="1"/>
    <xf numFmtId="0" fontId="0" fillId="46" borderId="0" xfId="0" applyFill="1"/>
    <xf numFmtId="0" fontId="0" fillId="47" borderId="0" xfId="0" applyFill="1"/>
    <xf numFmtId="0" fontId="0" fillId="0" borderId="0" xfId="0" applyBorder="1"/>
    <xf numFmtId="0" fontId="0" fillId="48" borderId="0" xfId="0" applyFill="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30" borderId="0" xfId="0" applyFont="1" applyFill="1" applyAlignment="1">
      <alignment horizontal="center"/>
    </xf>
    <xf numFmtId="0" fontId="12" fillId="28" borderId="0" xfId="0" applyFont="1" applyFill="1" applyAlignment="1">
      <alignment horizontal="center"/>
    </xf>
    <xf numFmtId="0" fontId="12" fillId="29"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0" borderId="0" xfId="0" applyFont="1" applyFill="1" applyAlignment="1">
      <alignment horizontal="right"/>
    </xf>
    <xf numFmtId="0" fontId="0" fillId="25" borderId="2" xfId="0" applyFill="1" applyBorder="1" applyAlignment="1">
      <alignment horizontal="center"/>
    </xf>
    <xf numFmtId="0" fontId="0" fillId="25" borderId="4" xfId="0" applyFill="1" applyBorder="1" applyAlignment="1">
      <alignment horizontal="center"/>
    </xf>
    <xf numFmtId="0" fontId="0" fillId="25" borderId="3" xfId="0" applyFill="1" applyBorder="1"/>
    <xf numFmtId="0" fontId="9" fillId="0" borderId="0" xfId="0" applyFont="1" applyAlignment="1">
      <alignment horizontal="left"/>
    </xf>
    <xf numFmtId="0" fontId="0" fillId="0" borderId="16" xfId="0" applyFont="1" applyBorder="1"/>
    <xf numFmtId="0" fontId="0" fillId="0" borderId="18" xfId="0" applyFont="1" applyBorder="1"/>
    <xf numFmtId="0" fontId="10" fillId="0" borderId="19" xfId="0" applyFont="1" applyFill="1" applyBorder="1" applyAlignment="1">
      <alignment horizontal="right" wrapText="1"/>
    </xf>
    <xf numFmtId="0" fontId="0" fillId="0" borderId="17" xfId="0" applyFont="1" applyFill="1" applyBorder="1" applyAlignment="1">
      <alignment horizontal="right"/>
    </xf>
    <xf numFmtId="0" fontId="0" fillId="0" borderId="20" xfId="0" applyFont="1" applyBorder="1"/>
    <xf numFmtId="0" fontId="0" fillId="0" borderId="21" xfId="0" applyFont="1" applyBorder="1"/>
    <xf numFmtId="0" fontId="0" fillId="0" borderId="1" xfId="0" applyFont="1" applyBorder="1"/>
    <xf numFmtId="0" fontId="0" fillId="0" borderId="22" xfId="0" applyFont="1" applyBorder="1"/>
    <xf numFmtId="0" fontId="1" fillId="0" borderId="24" xfId="0" applyFont="1" applyBorder="1" applyAlignment="1">
      <alignment horizontal="center"/>
    </xf>
    <xf numFmtId="0" fontId="1" fillId="0" borderId="23" xfId="0" applyFont="1" applyBorder="1" applyAlignment="1">
      <alignment horizontal="center"/>
    </xf>
    <xf numFmtId="0" fontId="0" fillId="0" borderId="0" xfId="0" applyBorder="1" applyAlignment="1"/>
    <xf numFmtId="0" fontId="0" fillId="49" borderId="0" xfId="0" applyFill="1"/>
    <xf numFmtId="0" fontId="1" fillId="2" borderId="0" xfId="0" applyNumberFormat="1" applyFont="1" applyFill="1"/>
    <xf numFmtId="0" fontId="0" fillId="0" borderId="0" xfId="0" applyNumberFormat="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49" fontId="0" fillId="0" borderId="25" xfId="0" applyNumberFormat="1" applyBorder="1"/>
    <xf numFmtId="49" fontId="0" fillId="0" borderId="26" xfId="0" applyNumberFormat="1" applyBorder="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25"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740.83203125" customWidth="1"/>
  </cols>
  <sheetData>
    <row r="2" spans="2:4" x14ac:dyDescent="0.15">
      <c r="B2" t="s">
        <v>145</v>
      </c>
    </row>
    <row r="3" spans="2:4" x14ac:dyDescent="0.15">
      <c r="B3" t="s">
        <v>146</v>
      </c>
    </row>
    <row r="4" spans="2:4" x14ac:dyDescent="0.15">
      <c r="B4" s="62" t="s">
        <v>164</v>
      </c>
    </row>
    <row r="6" spans="2:4" ht="14" thickBot="1" x14ac:dyDescent="0.2">
      <c r="B6" s="46" t="s">
        <v>141</v>
      </c>
    </row>
    <row r="7" spans="2:4" x14ac:dyDescent="0.15">
      <c r="B7" s="62" t="s">
        <v>143</v>
      </c>
    </row>
    <row r="8" spans="2:4" x14ac:dyDescent="0.15">
      <c r="B8" s="62" t="s">
        <v>142</v>
      </c>
    </row>
    <row r="9" spans="2:4" x14ac:dyDescent="0.15">
      <c r="B9" s="62" t="s">
        <v>144</v>
      </c>
    </row>
    <row r="10" spans="2:4" x14ac:dyDescent="0.15">
      <c r="B10" s="62" t="s">
        <v>147</v>
      </c>
    </row>
    <row r="11" spans="2:4" x14ac:dyDescent="0.15">
      <c r="B11" s="62" t="s">
        <v>151</v>
      </c>
    </row>
    <row r="12" spans="2:4" x14ac:dyDescent="0.15">
      <c r="B12" s="62" t="s">
        <v>153</v>
      </c>
    </row>
    <row r="13" spans="2:4" x14ac:dyDescent="0.15">
      <c r="B13" s="62" t="s">
        <v>165</v>
      </c>
    </row>
    <row r="15" spans="2:4" ht="14" thickBot="1" x14ac:dyDescent="0.2"/>
    <row r="16" spans="2:4" ht="14" thickBot="1" x14ac:dyDescent="0.2">
      <c r="B16" s="47" t="s">
        <v>137</v>
      </c>
      <c r="C16" s="48"/>
      <c r="D16" s="30">
        <v>41373</v>
      </c>
    </row>
    <row r="17" spans="2:4" x14ac:dyDescent="0.15">
      <c r="B17" s="49" t="s">
        <v>58</v>
      </c>
      <c r="C17" s="33">
        <v>0</v>
      </c>
    </row>
    <row r="18" spans="2:4" x14ac:dyDescent="0.15">
      <c r="B18" s="49" t="s">
        <v>59</v>
      </c>
      <c r="C18" s="33">
        <v>1</v>
      </c>
    </row>
    <row r="19" spans="2:4" x14ac:dyDescent="0.15">
      <c r="B19" s="49" t="s">
        <v>60</v>
      </c>
      <c r="C19" s="33">
        <v>2</v>
      </c>
    </row>
    <row r="20" spans="2:4" ht="14" thickBot="1" x14ac:dyDescent="0.2">
      <c r="B20" s="50" t="s">
        <v>44</v>
      </c>
      <c r="C20" s="34">
        <v>3</v>
      </c>
    </row>
    <row r="21" spans="2:4" x14ac:dyDescent="0.15">
      <c r="B21" s="51" t="s">
        <v>140</v>
      </c>
    </row>
    <row r="22" spans="2:4" ht="14" thickBot="1" x14ac:dyDescent="0.2"/>
    <row r="23" spans="2:4" ht="14" thickBot="1" x14ac:dyDescent="0.2">
      <c r="B23" s="47" t="s">
        <v>65</v>
      </c>
      <c r="C23" s="48"/>
      <c r="D23" s="30" t="s">
        <v>148</v>
      </c>
    </row>
    <row r="24" spans="2:4" x14ac:dyDescent="0.15">
      <c r="B24" s="53" t="s">
        <v>38</v>
      </c>
      <c r="C24" s="31">
        <v>1</v>
      </c>
    </row>
    <row r="25" spans="2:4" x14ac:dyDescent="0.15">
      <c r="B25" s="49" t="s">
        <v>40</v>
      </c>
      <c r="C25" s="33">
        <v>1.1000000000000001</v>
      </c>
    </row>
    <row r="26" spans="2:4" x14ac:dyDescent="0.15">
      <c r="B26" s="49" t="s">
        <v>41</v>
      </c>
      <c r="C26" s="33">
        <v>1.2</v>
      </c>
    </row>
    <row r="27" spans="2:4" x14ac:dyDescent="0.15">
      <c r="B27" s="49"/>
      <c r="C27" s="33"/>
    </row>
    <row r="28" spans="2:4" x14ac:dyDescent="0.15">
      <c r="B28" s="49" t="s">
        <v>42</v>
      </c>
      <c r="C28" s="33">
        <v>2.1</v>
      </c>
    </row>
    <row r="29" spans="2:4" x14ac:dyDescent="0.15">
      <c r="B29" s="49" t="s">
        <v>43</v>
      </c>
      <c r="C29" s="33">
        <v>2.2000000000000002</v>
      </c>
    </row>
    <row r="30" spans="2:4" x14ac:dyDescent="0.15">
      <c r="B30" s="49" t="s">
        <v>67</v>
      </c>
      <c r="C30" s="33">
        <v>2.2999999999999998</v>
      </c>
    </row>
    <row r="31" spans="2:4" x14ac:dyDescent="0.15">
      <c r="B31" s="49"/>
      <c r="C31" s="33"/>
    </row>
    <row r="32" spans="2:4" x14ac:dyDescent="0.15">
      <c r="B32" s="49" t="s">
        <v>62</v>
      </c>
      <c r="C32" s="33">
        <v>3.11</v>
      </c>
    </row>
    <row r="33" spans="2:3" x14ac:dyDescent="0.15">
      <c r="B33" s="49" t="s">
        <v>61</v>
      </c>
      <c r="C33" s="33">
        <v>3.12</v>
      </c>
    </row>
    <row r="34" spans="2:3" x14ac:dyDescent="0.15">
      <c r="B34" s="49" t="s">
        <v>68</v>
      </c>
      <c r="C34" s="33">
        <v>3.13</v>
      </c>
    </row>
    <row r="35" spans="2:3" x14ac:dyDescent="0.15">
      <c r="B35" s="49"/>
      <c r="C35" s="33"/>
    </row>
    <row r="36" spans="2:3" x14ac:dyDescent="0.15">
      <c r="B36" s="49" t="s">
        <v>66</v>
      </c>
      <c r="C36" s="33">
        <v>3.21</v>
      </c>
    </row>
    <row r="37" spans="2:3" x14ac:dyDescent="0.15">
      <c r="B37" s="49" t="s">
        <v>63</v>
      </c>
      <c r="C37" s="33">
        <v>3.22</v>
      </c>
    </row>
    <row r="38" spans="2:3" x14ac:dyDescent="0.15">
      <c r="B38" s="49" t="s">
        <v>69</v>
      </c>
      <c r="C38" s="33">
        <v>3.23</v>
      </c>
    </row>
    <row r="39" spans="2:3" x14ac:dyDescent="0.15">
      <c r="B39" s="49"/>
      <c r="C39" s="33"/>
    </row>
    <row r="40" spans="2:3" x14ac:dyDescent="0.15">
      <c r="B40" s="49" t="s">
        <v>64</v>
      </c>
      <c r="C40" s="33">
        <v>8</v>
      </c>
    </row>
    <row r="41" spans="2:3" x14ac:dyDescent="0.15">
      <c r="B41" s="49"/>
      <c r="C41" s="33"/>
    </row>
    <row r="42" spans="2:3" x14ac:dyDescent="0.15">
      <c r="B42" s="49" t="s">
        <v>71</v>
      </c>
      <c r="C42" s="33">
        <v>4.0999999999999996</v>
      </c>
    </row>
    <row r="43" spans="2:3" x14ac:dyDescent="0.15">
      <c r="B43" s="49" t="s">
        <v>70</v>
      </c>
      <c r="C43" s="33">
        <v>4.2</v>
      </c>
    </row>
    <row r="44" spans="2:3" x14ac:dyDescent="0.15">
      <c r="B44" s="49" t="s">
        <v>72</v>
      </c>
      <c r="C44" s="33">
        <v>4.3</v>
      </c>
    </row>
    <row r="45" spans="2:3" x14ac:dyDescent="0.15">
      <c r="B45" s="32"/>
      <c r="C45" s="33"/>
    </row>
    <row r="46" spans="2:3" x14ac:dyDescent="0.15">
      <c r="B46" s="49" t="s">
        <v>138</v>
      </c>
      <c r="C46" s="33">
        <v>6.1</v>
      </c>
    </row>
    <row r="47" spans="2:3" x14ac:dyDescent="0.15">
      <c r="B47" s="49" t="s">
        <v>45</v>
      </c>
      <c r="C47" s="33">
        <v>6.2</v>
      </c>
    </row>
    <row r="48" spans="2:3" x14ac:dyDescent="0.15">
      <c r="B48" s="49"/>
      <c r="C48" s="33"/>
    </row>
    <row r="49" spans="2:4" x14ac:dyDescent="0.15">
      <c r="B49" s="49" t="s">
        <v>44</v>
      </c>
      <c r="C49" s="33">
        <v>5</v>
      </c>
    </row>
    <row r="50" spans="2:4" x14ac:dyDescent="0.15">
      <c r="B50" s="49"/>
      <c r="C50" s="33"/>
    </row>
    <row r="51" spans="2:4" ht="14" thickBot="1" x14ac:dyDescent="0.2">
      <c r="B51" s="50" t="s">
        <v>73</v>
      </c>
      <c r="C51" s="34">
        <v>7</v>
      </c>
    </row>
    <row r="53" spans="2:4" x14ac:dyDescent="0.15">
      <c r="B53" s="174" t="s">
        <v>171</v>
      </c>
      <c r="C53" s="111">
        <v>467</v>
      </c>
      <c r="D53" s="111"/>
    </row>
    <row r="54" spans="2:4" x14ac:dyDescent="0.15">
      <c r="B54" s="174" t="s">
        <v>172</v>
      </c>
      <c r="C54" s="174" t="s">
        <v>185</v>
      </c>
      <c r="D54" s="111"/>
    </row>
    <row r="55" spans="2:4" x14ac:dyDescent="0.15">
      <c r="B55" s="174" t="s">
        <v>173</v>
      </c>
      <c r="C55" s="174" t="s">
        <v>186</v>
      </c>
      <c r="D55" s="111"/>
    </row>
    <row r="56" spans="2:4" x14ac:dyDescent="0.15">
      <c r="B56" s="174" t="s">
        <v>174</v>
      </c>
      <c r="C56" s="111">
        <v>174300</v>
      </c>
      <c r="D56" s="111"/>
    </row>
    <row r="57" spans="2:4" x14ac:dyDescent="0.15">
      <c r="B57" s="174" t="s">
        <v>175</v>
      </c>
      <c r="C57" s="174" t="s">
        <v>187</v>
      </c>
      <c r="D57" s="111"/>
    </row>
    <row r="58" spans="2:4" x14ac:dyDescent="0.15">
      <c r="B58" s="174" t="s">
        <v>176</v>
      </c>
      <c r="C58" s="174" t="s">
        <v>188</v>
      </c>
      <c r="D58" s="111"/>
    </row>
    <row r="59" spans="2:4" x14ac:dyDescent="0.15">
      <c r="B59" s="174" t="s">
        <v>177</v>
      </c>
      <c r="C59" s="174" t="s">
        <v>189</v>
      </c>
      <c r="D59" s="111"/>
    </row>
    <row r="60" spans="2:4" x14ac:dyDescent="0.15">
      <c r="B60" s="174" t="s">
        <v>178</v>
      </c>
      <c r="C60" s="174" t="s">
        <v>190</v>
      </c>
      <c r="D60" s="111"/>
    </row>
    <row r="61" spans="2:4" x14ac:dyDescent="0.15">
      <c r="B61" s="174" t="s">
        <v>179</v>
      </c>
      <c r="C61" s="111">
        <v>42</v>
      </c>
      <c r="D61" s="111"/>
    </row>
    <row r="62" spans="2:4" x14ac:dyDescent="0.15">
      <c r="B62" s="174" t="s">
        <v>180</v>
      </c>
      <c r="C62" s="111">
        <v>9</v>
      </c>
      <c r="D62" s="111"/>
    </row>
    <row r="63" spans="2:4" x14ac:dyDescent="0.15">
      <c r="B63" s="174" t="s">
        <v>181</v>
      </c>
      <c r="C63" s="111">
        <v>1995</v>
      </c>
      <c r="D63" s="111"/>
    </row>
    <row r="64" spans="2:4" x14ac:dyDescent="0.15">
      <c r="B64" s="174" t="s">
        <v>182</v>
      </c>
      <c r="C64" s="111">
        <v>3</v>
      </c>
      <c r="D64" s="111"/>
    </row>
    <row r="65" spans="2:4" x14ac:dyDescent="0.15">
      <c r="B65" s="174" t="s">
        <v>183</v>
      </c>
      <c r="C65" s="174" t="s">
        <v>191</v>
      </c>
      <c r="D65" s="111"/>
    </row>
    <row r="66" spans="2:4" x14ac:dyDescent="0.15">
      <c r="B66" s="174" t="s">
        <v>184</v>
      </c>
      <c r="D66" s="111"/>
    </row>
    <row r="67" spans="2:4" x14ac:dyDescent="0.15">
      <c r="B67" s="111"/>
      <c r="C67" s="111"/>
      <c r="D67" s="111"/>
    </row>
    <row r="68" spans="2:4" x14ac:dyDescent="0.15">
      <c r="B68" s="111"/>
      <c r="C68" s="111"/>
      <c r="D68" s="111"/>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3" sqref="Q3"/>
    </sheetView>
  </sheetViews>
  <sheetFormatPr baseColWidth="10" defaultColWidth="8.83203125" defaultRowHeight="15" customHeight="1" x14ac:dyDescent="0.15"/>
  <cols>
    <col min="1" max="1" width="22.5" style="84" customWidth="1"/>
    <col min="2" max="3" width="3.33203125" style="84" customWidth="1"/>
    <col min="4" max="4" width="14.33203125" style="84" customWidth="1"/>
    <col min="5" max="5" width="31.5" style="84" bestFit="1" customWidth="1"/>
    <col min="6" max="6" width="2.33203125" style="84" bestFit="1" customWidth="1"/>
    <col min="7" max="7" width="11.83203125" style="84" bestFit="1" customWidth="1"/>
    <col min="8" max="8" width="8.83203125" style="84" customWidth="1"/>
    <col min="9" max="9" width="5.83203125" style="84" customWidth="1"/>
    <col min="10" max="10" width="11.83203125" style="84" customWidth="1"/>
    <col min="11" max="11" width="13.83203125" style="84" customWidth="1"/>
    <col min="12" max="12" width="12.5" style="84" customWidth="1"/>
    <col min="13" max="13" width="4.83203125" style="84" customWidth="1"/>
    <col min="14" max="14" width="2.33203125" style="84" customWidth="1"/>
    <col min="16" max="25" width="8.83203125" style="84"/>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4"/>
  </cols>
  <sheetData>
    <row r="1" spans="1:46" s="100" customFormat="1" ht="15" customHeight="1" x14ac:dyDescent="0.15">
      <c r="A1" s="80" t="s">
        <v>18</v>
      </c>
      <c r="C1" s="81" t="s">
        <v>8</v>
      </c>
      <c r="D1" s="80" t="s">
        <v>23</v>
      </c>
      <c r="E1" s="80" t="s">
        <v>0</v>
      </c>
      <c r="F1" s="80" t="s">
        <v>7</v>
      </c>
      <c r="G1" s="82" t="s">
        <v>13</v>
      </c>
      <c r="H1" s="80" t="s">
        <v>1</v>
      </c>
      <c r="I1" s="80" t="s">
        <v>2</v>
      </c>
      <c r="J1" s="80" t="s">
        <v>14</v>
      </c>
      <c r="K1" s="80" t="s">
        <v>3</v>
      </c>
      <c r="L1" s="80" t="s">
        <v>4</v>
      </c>
      <c r="M1" s="80" t="s">
        <v>5</v>
      </c>
      <c r="N1" s="80" t="s">
        <v>6</v>
      </c>
      <c r="O1"/>
      <c r="Z1"/>
      <c r="AA1"/>
      <c r="AB1"/>
      <c r="AC1"/>
      <c r="AD1"/>
      <c r="AE1"/>
      <c r="AF1"/>
      <c r="AG1"/>
      <c r="AH1"/>
      <c r="AI1"/>
      <c r="AJ1"/>
      <c r="AK1"/>
      <c r="AL1"/>
      <c r="AM1"/>
      <c r="AN1"/>
      <c r="AO1"/>
      <c r="AP1"/>
      <c r="AQ1"/>
      <c r="AR1"/>
      <c r="AS1"/>
      <c r="AT1"/>
    </row>
    <row r="2" spans="1:46" ht="15" customHeight="1" x14ac:dyDescent="0.15">
      <c r="C2" s="100">
        <v>1</v>
      </c>
      <c r="D2"/>
      <c r="E2" s="175" t="s">
        <v>192</v>
      </c>
      <c r="F2" s="84">
        <v>0</v>
      </c>
      <c r="G2" s="84">
        <v>5.0000000000000001E-3</v>
      </c>
      <c r="H2" s="84">
        <v>0.44</v>
      </c>
      <c r="I2" s="6">
        <v>5.29</v>
      </c>
      <c r="J2" s="6">
        <v>0.96171779999999996</v>
      </c>
      <c r="K2" s="6">
        <v>8.3175799999999994E-2</v>
      </c>
      <c r="L2" s="6">
        <v>-0.52000004099999997</v>
      </c>
      <c r="M2" s="84">
        <v>0.2</v>
      </c>
      <c r="N2" s="84">
        <v>0</v>
      </c>
    </row>
    <row r="3" spans="1:46" ht="15" customHeight="1" x14ac:dyDescent="0.15">
      <c r="A3" s="1" t="s">
        <v>9</v>
      </c>
      <c r="B3" s="4">
        <v>41</v>
      </c>
      <c r="C3" s="84">
        <v>2</v>
      </c>
      <c r="D3"/>
      <c r="E3" s="175" t="s">
        <v>193</v>
      </c>
      <c r="F3" s="84">
        <v>0</v>
      </c>
      <c r="G3" s="84">
        <v>0.1043</v>
      </c>
      <c r="H3" s="84">
        <v>0.43</v>
      </c>
      <c r="I3" s="84">
        <v>4.18</v>
      </c>
      <c r="J3" s="84">
        <v>0.62834423800000005</v>
      </c>
      <c r="K3" s="84">
        <v>0.102870822</v>
      </c>
      <c r="L3" s="84">
        <v>-0.35474592399999999</v>
      </c>
      <c r="M3" s="84">
        <v>0.2</v>
      </c>
      <c r="N3" s="84">
        <v>0</v>
      </c>
    </row>
    <row r="4" spans="1:46" ht="15" customHeight="1" x14ac:dyDescent="0.15">
      <c r="A4" s="1" t="s">
        <v>10</v>
      </c>
      <c r="B4" s="4">
        <v>2</v>
      </c>
      <c r="C4" s="84">
        <v>3</v>
      </c>
      <c r="D4"/>
      <c r="E4" s="175" t="s">
        <v>194</v>
      </c>
      <c r="F4" s="84">
        <v>0</v>
      </c>
      <c r="G4" s="84">
        <v>2.3699999999999999E-2</v>
      </c>
      <c r="H4" s="84">
        <v>0.85</v>
      </c>
      <c r="I4" s="84">
        <v>12</v>
      </c>
      <c r="J4" s="84">
        <v>0.80071219999999999</v>
      </c>
      <c r="K4" s="84">
        <v>7.083333E-2</v>
      </c>
      <c r="L4" s="84">
        <v>0</v>
      </c>
      <c r="M4" s="84">
        <v>0.2</v>
      </c>
      <c r="N4" s="84">
        <v>0</v>
      </c>
      <c r="V4" s="1" t="s">
        <v>29</v>
      </c>
    </row>
    <row r="5" spans="1:46" ht="15" customHeight="1" thickBot="1" x14ac:dyDescent="0.2">
      <c r="A5" s="1" t="s">
        <v>11</v>
      </c>
      <c r="B5" s="4">
        <v>9</v>
      </c>
      <c r="C5" s="84">
        <v>4</v>
      </c>
      <c r="D5"/>
      <c r="E5" s="175" t="s">
        <v>195</v>
      </c>
      <c r="F5" s="84">
        <v>0</v>
      </c>
      <c r="G5" s="84">
        <v>5.8400000000000001E-2</v>
      </c>
      <c r="H5" s="84">
        <v>0.1</v>
      </c>
      <c r="I5" s="84">
        <v>27</v>
      </c>
      <c r="J5" s="84">
        <v>0</v>
      </c>
      <c r="K5" s="84">
        <v>3.70370387E-3</v>
      </c>
      <c r="L5" s="84">
        <v>0</v>
      </c>
      <c r="M5" s="84">
        <v>0.2</v>
      </c>
      <c r="N5" s="84">
        <v>0</v>
      </c>
      <c r="P5" s="73"/>
      <c r="Q5" s="73"/>
      <c r="R5" s="73"/>
    </row>
    <row r="6" spans="1:46" ht="15" customHeight="1" thickBot="1" x14ac:dyDescent="0.2">
      <c r="B6" s="1"/>
      <c r="C6" s="84">
        <v>5</v>
      </c>
      <c r="D6"/>
      <c r="E6" s="175" t="s">
        <v>196</v>
      </c>
      <c r="F6" s="84">
        <v>0</v>
      </c>
      <c r="G6" s="84">
        <v>0.20699999999999999</v>
      </c>
      <c r="H6" s="84">
        <v>0.38</v>
      </c>
      <c r="I6" s="84">
        <v>8</v>
      </c>
      <c r="J6" s="84">
        <v>0.940919638</v>
      </c>
      <c r="K6" s="84">
        <v>4.7500000000000001E-2</v>
      </c>
      <c r="L6" s="84">
        <v>0</v>
      </c>
      <c r="M6" s="84">
        <v>0.2</v>
      </c>
      <c r="N6" s="84">
        <v>0</v>
      </c>
      <c r="P6" s="73"/>
      <c r="Q6" s="73"/>
      <c r="R6" s="73"/>
      <c r="W6" s="36" t="s">
        <v>31</v>
      </c>
      <c r="X6" s="52">
        <f>MAX(MainOutputs!G:G)</f>
        <v>0.99000006914138794</v>
      </c>
    </row>
    <row r="7" spans="1:46" ht="15" customHeight="1" x14ac:dyDescent="0.15">
      <c r="A7" s="2" t="s">
        <v>27</v>
      </c>
      <c r="B7" s="84">
        <f ca="1">COUNTIF(OFFSET(cornerDiets,1,1,NumLiving+NumDead+1,NumLiving+NumDead),"&gt;0")+NumLiving+NumDead+1</f>
        <v>517</v>
      </c>
      <c r="C7" s="84">
        <v>6</v>
      </c>
      <c r="D7"/>
      <c r="E7" s="175" t="s">
        <v>197</v>
      </c>
      <c r="F7" s="84">
        <v>0</v>
      </c>
      <c r="G7" s="84">
        <v>0.12464581399999999</v>
      </c>
      <c r="H7" s="84">
        <v>0.7</v>
      </c>
      <c r="I7" s="84">
        <v>5</v>
      </c>
      <c r="J7" s="84">
        <v>0.95</v>
      </c>
      <c r="K7" s="84">
        <v>0.14000000000000001</v>
      </c>
      <c r="L7" s="84">
        <v>0</v>
      </c>
      <c r="M7" s="84">
        <v>0.2</v>
      </c>
      <c r="N7" s="84">
        <v>0</v>
      </c>
      <c r="P7" s="73"/>
      <c r="Q7" s="73"/>
      <c r="R7" s="73"/>
    </row>
    <row r="8" spans="1:46" ht="15" customHeight="1" x14ac:dyDescent="0.15">
      <c r="A8" s="2" t="s">
        <v>28</v>
      </c>
      <c r="B8" s="84">
        <f ca="1">COUNTIF(OFFSET(cornerFishing,1,2,NumLiving+NumDead,NumGears),"&gt;0")+NumDead*COUNTIF(OFFSET(cornerDiscards,1,2,NumLiving+NumDead,NumGears),"&gt;0")+NumLiving+NumDead+1</f>
        <v>370</v>
      </c>
      <c r="C8" s="84">
        <v>7</v>
      </c>
      <c r="D8"/>
      <c r="E8" s="175" t="s">
        <v>198</v>
      </c>
      <c r="F8" s="84">
        <v>0</v>
      </c>
      <c r="G8" s="84">
        <v>6.8000000000000005E-2</v>
      </c>
      <c r="H8" s="84">
        <v>0.56000000000000005</v>
      </c>
      <c r="I8" s="84">
        <v>9.1999999999999993</v>
      </c>
      <c r="J8" s="84">
        <v>0.85410299999999995</v>
      </c>
      <c r="K8" s="84">
        <v>6.0869567100000001E-2</v>
      </c>
      <c r="L8" s="84">
        <v>0</v>
      </c>
      <c r="M8" s="84">
        <v>0.2</v>
      </c>
      <c r="N8" s="84">
        <v>0</v>
      </c>
      <c r="P8" s="73"/>
      <c r="Q8" s="73"/>
      <c r="R8" s="73"/>
    </row>
    <row r="9" spans="1:46" ht="15" customHeight="1" x14ac:dyDescent="0.15">
      <c r="B9" s="1"/>
      <c r="C9" s="84">
        <v>8</v>
      </c>
      <c r="D9"/>
      <c r="E9" s="175" t="s">
        <v>199</v>
      </c>
      <c r="F9" s="84">
        <v>0</v>
      </c>
      <c r="G9" s="84">
        <v>0.12504053100000001</v>
      </c>
      <c r="H9" s="84">
        <v>0.56999999999999995</v>
      </c>
      <c r="I9" s="84">
        <v>5.4</v>
      </c>
      <c r="J9" s="84">
        <v>0.95</v>
      </c>
      <c r="K9" s="84">
        <v>0.105555549</v>
      </c>
      <c r="L9" s="84">
        <v>0</v>
      </c>
      <c r="M9" s="84">
        <v>0.2</v>
      </c>
      <c r="N9" s="84">
        <v>0</v>
      </c>
      <c r="P9" s="73"/>
      <c r="Q9" s="73"/>
      <c r="R9" s="73"/>
    </row>
    <row r="10" spans="1:46" ht="15" customHeight="1" x14ac:dyDescent="0.15">
      <c r="B10" s="1"/>
      <c r="C10" s="84">
        <v>9</v>
      </c>
      <c r="D10"/>
      <c r="E10" s="175" t="s">
        <v>200</v>
      </c>
      <c r="F10" s="84">
        <v>0</v>
      </c>
      <c r="G10" s="84">
        <v>0.23200000000000001</v>
      </c>
      <c r="H10" s="84">
        <v>0.86</v>
      </c>
      <c r="I10" s="84">
        <v>13.5</v>
      </c>
      <c r="J10" s="84">
        <v>0.83724826600000002</v>
      </c>
      <c r="K10" s="84">
        <v>6.3703709999999997E-2</v>
      </c>
      <c r="L10" s="84">
        <v>0</v>
      </c>
      <c r="M10" s="84">
        <v>0.2</v>
      </c>
      <c r="N10" s="84">
        <v>0</v>
      </c>
    </row>
    <row r="11" spans="1:46" ht="15" customHeight="1" x14ac:dyDescent="0.15">
      <c r="C11" s="84">
        <v>10</v>
      </c>
      <c r="D11"/>
      <c r="E11" s="175" t="s">
        <v>201</v>
      </c>
      <c r="F11" s="84">
        <v>0</v>
      </c>
      <c r="G11" s="84">
        <v>7.242846E-2</v>
      </c>
      <c r="H11" s="84">
        <v>3.1</v>
      </c>
      <c r="I11" s="84">
        <v>7.3</v>
      </c>
      <c r="J11" s="84">
        <v>0.98</v>
      </c>
      <c r="K11" s="84">
        <v>0.42465752400000001</v>
      </c>
      <c r="L11" s="84">
        <v>0</v>
      </c>
      <c r="M11" s="84">
        <v>0.05</v>
      </c>
      <c r="N11" s="84">
        <v>0</v>
      </c>
    </row>
    <row r="12" spans="1:46" ht="15" customHeight="1" x14ac:dyDescent="0.15">
      <c r="C12" s="84">
        <v>11</v>
      </c>
      <c r="D12"/>
      <c r="E12" s="175" t="s">
        <v>202</v>
      </c>
      <c r="F12" s="84">
        <v>0</v>
      </c>
      <c r="G12" s="84">
        <v>0.20289383799999999</v>
      </c>
      <c r="H12" s="84">
        <v>0.84</v>
      </c>
      <c r="I12" s="84">
        <v>8.1</v>
      </c>
      <c r="J12" s="84">
        <v>0.95</v>
      </c>
      <c r="K12" s="84">
        <v>0.103703693</v>
      </c>
      <c r="L12" s="84">
        <v>0</v>
      </c>
      <c r="M12" s="84">
        <v>0.2</v>
      </c>
      <c r="N12" s="84">
        <v>0</v>
      </c>
    </row>
    <row r="13" spans="1:46" ht="15" customHeight="1" x14ac:dyDescent="0.15">
      <c r="C13" s="84">
        <v>12</v>
      </c>
      <c r="D13"/>
      <c r="E13" s="175" t="s">
        <v>203</v>
      </c>
      <c r="F13" s="84">
        <v>0</v>
      </c>
      <c r="G13" s="84">
        <v>1E-3</v>
      </c>
      <c r="H13" s="84">
        <v>0.1</v>
      </c>
      <c r="I13" s="84">
        <v>80</v>
      </c>
      <c r="J13" s="84">
        <v>0.8</v>
      </c>
      <c r="K13" s="84">
        <v>1.25E-3</v>
      </c>
      <c r="L13" s="84">
        <v>0</v>
      </c>
      <c r="M13" s="84">
        <v>0.2</v>
      </c>
      <c r="N13" s="84">
        <v>0</v>
      </c>
    </row>
    <row r="14" spans="1:46" ht="15" customHeight="1" x14ac:dyDescent="0.15">
      <c r="C14" s="84">
        <v>13</v>
      </c>
      <c r="D14"/>
      <c r="E14" s="175" t="s">
        <v>204</v>
      </c>
      <c r="F14" s="84">
        <v>0</v>
      </c>
      <c r="G14" s="84">
        <v>0.14039675900000001</v>
      </c>
      <c r="H14" s="84">
        <v>0.39</v>
      </c>
      <c r="I14" s="84">
        <v>8.73</v>
      </c>
      <c r="J14" s="84">
        <v>0.95</v>
      </c>
      <c r="K14" s="84">
        <v>4.4673539999999998E-2</v>
      </c>
      <c r="L14" s="84">
        <v>0</v>
      </c>
      <c r="M14" s="84">
        <v>0.2</v>
      </c>
      <c r="N14" s="84">
        <v>0</v>
      </c>
    </row>
    <row r="15" spans="1:46" ht="15" customHeight="1" x14ac:dyDescent="0.15">
      <c r="C15" s="84">
        <v>14</v>
      </c>
      <c r="D15"/>
      <c r="E15" s="175" t="s">
        <v>205</v>
      </c>
      <c r="F15" s="84">
        <v>0</v>
      </c>
      <c r="G15" s="84">
        <v>0.7218</v>
      </c>
      <c r="H15" s="84">
        <v>0.47</v>
      </c>
      <c r="I15" s="84">
        <v>7.34</v>
      </c>
      <c r="J15" s="84">
        <v>0.91465289999999999</v>
      </c>
      <c r="K15" s="84">
        <v>6.4032696200000003E-2</v>
      </c>
      <c r="L15" s="84">
        <v>0</v>
      </c>
      <c r="M15" s="84">
        <v>0.2</v>
      </c>
      <c r="N15" s="84">
        <v>0</v>
      </c>
    </row>
    <row r="16" spans="1:46" ht="15" customHeight="1" x14ac:dyDescent="0.15">
      <c r="C16" s="84">
        <v>15</v>
      </c>
      <c r="D16"/>
      <c r="E16" s="175" t="s">
        <v>206</v>
      </c>
      <c r="F16" s="84">
        <v>0</v>
      </c>
      <c r="G16" s="84">
        <v>0.6020027</v>
      </c>
      <c r="H16" s="84">
        <v>1.73</v>
      </c>
      <c r="I16" s="84">
        <v>13.57</v>
      </c>
      <c r="J16" s="84">
        <v>0.95</v>
      </c>
      <c r="K16" s="84">
        <v>0.12748710799999999</v>
      </c>
      <c r="L16" s="84">
        <v>0</v>
      </c>
      <c r="M16" s="84">
        <v>0.2</v>
      </c>
      <c r="N16" s="84">
        <v>0</v>
      </c>
    </row>
    <row r="17" spans="1:22" ht="15" customHeight="1" x14ac:dyDescent="0.15">
      <c r="C17" s="84">
        <v>16</v>
      </c>
      <c r="D17"/>
      <c r="E17" s="175" t="s">
        <v>207</v>
      </c>
      <c r="F17" s="84">
        <v>0</v>
      </c>
      <c r="G17" s="84">
        <v>1.9</v>
      </c>
      <c r="H17" s="84">
        <v>2.4300000000000002</v>
      </c>
      <c r="I17" s="84">
        <v>33</v>
      </c>
      <c r="J17" s="84">
        <v>0.96572524299999996</v>
      </c>
      <c r="K17" s="84">
        <v>7.3636370000000007E-2</v>
      </c>
      <c r="L17" s="84">
        <v>0</v>
      </c>
      <c r="M17" s="84">
        <v>0.2</v>
      </c>
      <c r="N17" s="84">
        <v>0</v>
      </c>
      <c r="V17" s="1" t="s">
        <v>30</v>
      </c>
    </row>
    <row r="18" spans="1:22" ht="15" customHeight="1" x14ac:dyDescent="0.15">
      <c r="C18" s="84">
        <v>17</v>
      </c>
      <c r="D18"/>
      <c r="E18" s="175" t="s">
        <v>208</v>
      </c>
      <c r="F18" s="84">
        <v>0</v>
      </c>
      <c r="G18" s="84">
        <v>0.345910043</v>
      </c>
      <c r="H18" s="84">
        <v>0.3</v>
      </c>
      <c r="I18" s="84">
        <v>9.4600000000000009</v>
      </c>
      <c r="J18" s="84">
        <v>0.95</v>
      </c>
      <c r="K18" s="84">
        <v>3.1712476199999999E-2</v>
      </c>
      <c r="L18" s="84">
        <v>0</v>
      </c>
      <c r="M18" s="84">
        <v>0.2</v>
      </c>
      <c r="N18" s="84">
        <v>0</v>
      </c>
      <c r="V18" s="1"/>
    </row>
    <row r="19" spans="1:22" ht="15" customHeight="1" x14ac:dyDescent="0.15">
      <c r="C19" s="84">
        <v>18</v>
      </c>
      <c r="D19"/>
      <c r="E19" s="175" t="s">
        <v>209</v>
      </c>
      <c r="F19" s="84">
        <v>0</v>
      </c>
      <c r="G19" s="84">
        <v>0.4647</v>
      </c>
      <c r="H19" s="84">
        <v>0.4</v>
      </c>
      <c r="I19" s="84">
        <v>8.9600000000000009</v>
      </c>
      <c r="J19" s="84">
        <v>0.76853470000000002</v>
      </c>
      <c r="K19" s="84">
        <v>4.4642859999999999E-2</v>
      </c>
      <c r="L19" s="84">
        <v>0</v>
      </c>
      <c r="M19" s="84">
        <v>0.2</v>
      </c>
      <c r="N19" s="84">
        <v>0</v>
      </c>
    </row>
    <row r="20" spans="1:22" ht="15" customHeight="1" thickBot="1" x14ac:dyDescent="0.2">
      <c r="C20" s="84">
        <v>19</v>
      </c>
      <c r="D20"/>
      <c r="E20" s="175" t="s">
        <v>210</v>
      </c>
      <c r="F20" s="84">
        <v>0</v>
      </c>
      <c r="G20" s="84">
        <v>0.36394979999999999</v>
      </c>
      <c r="H20" s="84">
        <v>0.9</v>
      </c>
      <c r="I20" s="84">
        <v>8.1999999999999993</v>
      </c>
      <c r="J20" s="84">
        <v>0.95</v>
      </c>
      <c r="K20" s="84">
        <v>0.1097561</v>
      </c>
      <c r="L20" s="84">
        <v>0</v>
      </c>
      <c r="M20" s="84">
        <v>0.25</v>
      </c>
      <c r="N20" s="84">
        <v>0</v>
      </c>
    </row>
    <row r="21" spans="1:22" ht="15" customHeight="1" thickBot="1" x14ac:dyDescent="0.2">
      <c r="A21" s="47" t="s">
        <v>137</v>
      </c>
      <c r="B21" s="101"/>
      <c r="C21" s="84">
        <v>20</v>
      </c>
      <c r="D21"/>
      <c r="E21" s="175" t="s">
        <v>211</v>
      </c>
      <c r="F21" s="84">
        <v>0</v>
      </c>
      <c r="G21" s="84">
        <v>0.1444</v>
      </c>
      <c r="H21" s="84">
        <v>0.05</v>
      </c>
      <c r="I21" s="84">
        <v>10.9</v>
      </c>
      <c r="J21" s="84">
        <v>0</v>
      </c>
      <c r="K21" s="84">
        <v>4.5871560000000002E-3</v>
      </c>
      <c r="L21" s="84">
        <v>0</v>
      </c>
      <c r="M21" s="84">
        <v>0.2</v>
      </c>
      <c r="N21" s="84">
        <v>0</v>
      </c>
    </row>
    <row r="22" spans="1:22" ht="15" customHeight="1" x14ac:dyDescent="0.15">
      <c r="A22" s="102" t="s">
        <v>58</v>
      </c>
      <c r="B22" s="103">
        <v>0</v>
      </c>
      <c r="C22" s="84">
        <v>21</v>
      </c>
      <c r="D22"/>
      <c r="E22" s="175" t="s">
        <v>212</v>
      </c>
      <c r="F22" s="84">
        <v>0</v>
      </c>
      <c r="G22" s="84">
        <v>0.113960981</v>
      </c>
      <c r="H22" s="84">
        <v>2.6</v>
      </c>
      <c r="I22" s="84">
        <v>10</v>
      </c>
      <c r="J22" s="84">
        <v>0.98</v>
      </c>
      <c r="K22" s="84">
        <v>0.26</v>
      </c>
      <c r="L22" s="84">
        <v>0</v>
      </c>
      <c r="M22" s="84">
        <v>0.4</v>
      </c>
      <c r="N22" s="84">
        <v>0</v>
      </c>
    </row>
    <row r="23" spans="1:22" ht="15" customHeight="1" x14ac:dyDescent="0.15">
      <c r="A23" s="102" t="s">
        <v>59</v>
      </c>
      <c r="B23" s="103">
        <v>1</v>
      </c>
      <c r="C23" s="84">
        <v>22</v>
      </c>
      <c r="D23"/>
      <c r="E23" s="175" t="s">
        <v>213</v>
      </c>
      <c r="F23" s="84">
        <v>0</v>
      </c>
      <c r="G23" s="84">
        <v>7.0000000000000001E-3</v>
      </c>
      <c r="H23" s="84">
        <v>0.192</v>
      </c>
      <c r="I23" s="84">
        <v>3.5</v>
      </c>
      <c r="J23" s="84">
        <v>0.47115257399999999</v>
      </c>
      <c r="K23" s="84">
        <v>5.4857142300000002E-2</v>
      </c>
      <c r="L23" s="84">
        <v>0</v>
      </c>
      <c r="M23" s="84">
        <v>0.2</v>
      </c>
      <c r="N23" s="84">
        <v>0</v>
      </c>
    </row>
    <row r="24" spans="1:22" ht="15" customHeight="1" x14ac:dyDescent="0.15">
      <c r="A24" s="102" t="s">
        <v>60</v>
      </c>
      <c r="B24" s="103">
        <v>2</v>
      </c>
      <c r="C24" s="84">
        <v>23</v>
      </c>
      <c r="D24"/>
      <c r="E24" s="175" t="s">
        <v>214</v>
      </c>
      <c r="F24" s="84">
        <v>0</v>
      </c>
      <c r="G24" s="84">
        <v>2.4163579999999998</v>
      </c>
      <c r="H24" s="84">
        <v>0.77</v>
      </c>
      <c r="I24" s="84">
        <v>8.7100000000000009</v>
      </c>
      <c r="J24" s="84">
        <v>0.95</v>
      </c>
      <c r="K24" s="84">
        <v>8.8404133900000001E-2</v>
      </c>
      <c r="L24" s="84">
        <v>0</v>
      </c>
      <c r="M24" s="84">
        <v>0.2</v>
      </c>
      <c r="N24" s="84">
        <v>0</v>
      </c>
    </row>
    <row r="25" spans="1:22" ht="15" customHeight="1" thickBot="1" x14ac:dyDescent="0.2">
      <c r="A25" s="104" t="s">
        <v>44</v>
      </c>
      <c r="B25" s="105">
        <v>3</v>
      </c>
      <c r="C25" s="84">
        <v>24</v>
      </c>
      <c r="D25"/>
      <c r="E25" s="175" t="s">
        <v>215</v>
      </c>
      <c r="F25" s="84">
        <v>0</v>
      </c>
      <c r="G25" s="84">
        <v>2.8448190000000002</v>
      </c>
      <c r="H25" s="84">
        <v>1.335</v>
      </c>
      <c r="I25" s="84">
        <v>7.4320000000000004</v>
      </c>
      <c r="J25" s="84">
        <v>0.98</v>
      </c>
      <c r="K25" s="84">
        <v>0.17962864000000001</v>
      </c>
      <c r="L25" s="84">
        <v>0</v>
      </c>
      <c r="M25" s="84">
        <v>0.2</v>
      </c>
      <c r="N25" s="84">
        <v>0</v>
      </c>
    </row>
    <row r="26" spans="1:22" ht="15" customHeight="1" x14ac:dyDescent="0.15">
      <c r="A26" s="106" t="s">
        <v>140</v>
      </c>
      <c r="C26" s="84">
        <v>25</v>
      </c>
      <c r="D26"/>
      <c r="E26" s="175" t="s">
        <v>216</v>
      </c>
      <c r="F26" s="84">
        <v>0</v>
      </c>
      <c r="G26" s="84">
        <v>9.4161380000000001</v>
      </c>
      <c r="H26" s="84">
        <v>0.89</v>
      </c>
      <c r="I26" s="84">
        <v>8.5399999999999991</v>
      </c>
      <c r="J26" s="84">
        <v>0.98</v>
      </c>
      <c r="K26" s="84">
        <v>0.104215458</v>
      </c>
      <c r="L26" s="84">
        <v>0</v>
      </c>
      <c r="M26" s="84">
        <v>0.4</v>
      </c>
      <c r="N26" s="84">
        <v>0</v>
      </c>
    </row>
    <row r="27" spans="1:22" ht="15" customHeight="1" x14ac:dyDescent="0.15">
      <c r="C27" s="84">
        <v>26</v>
      </c>
      <c r="D27"/>
      <c r="E27" s="175" t="s">
        <v>217</v>
      </c>
      <c r="F27" s="84">
        <v>0</v>
      </c>
      <c r="G27" s="84">
        <v>22.239664099999999</v>
      </c>
      <c r="H27" s="84">
        <v>0.7</v>
      </c>
      <c r="I27" s="84">
        <v>7.04</v>
      </c>
      <c r="J27" s="84">
        <v>0.98</v>
      </c>
      <c r="K27" s="84">
        <v>9.9431820000000004E-2</v>
      </c>
      <c r="L27" s="84">
        <v>0</v>
      </c>
      <c r="M27" s="84">
        <v>0.2</v>
      </c>
      <c r="N27" s="84">
        <v>0</v>
      </c>
    </row>
    <row r="28" spans="1:22" ht="15" customHeight="1" x14ac:dyDescent="0.15">
      <c r="C28" s="84">
        <v>27</v>
      </c>
      <c r="D28"/>
      <c r="E28" s="175" t="s">
        <v>218</v>
      </c>
      <c r="F28" s="84">
        <v>0</v>
      </c>
      <c r="G28" s="84">
        <v>25.064664799999999</v>
      </c>
      <c r="H28" s="84">
        <v>0.93</v>
      </c>
      <c r="I28" s="84">
        <v>13.88</v>
      </c>
      <c r="J28" s="84">
        <v>0.99</v>
      </c>
      <c r="K28" s="84">
        <v>6.7002884999999998E-2</v>
      </c>
      <c r="L28" s="84">
        <v>0</v>
      </c>
      <c r="M28" s="84">
        <v>0.4</v>
      </c>
      <c r="N28" s="84">
        <v>0</v>
      </c>
    </row>
    <row r="29" spans="1:22" customFormat="1" ht="15" customHeight="1" x14ac:dyDescent="0.15">
      <c r="C29" s="84">
        <v>28</v>
      </c>
      <c r="E29" s="175" t="s">
        <v>219</v>
      </c>
      <c r="F29" s="84">
        <v>0</v>
      </c>
      <c r="G29" s="84">
        <v>0.27018436800000001</v>
      </c>
      <c r="H29" s="84">
        <v>40</v>
      </c>
      <c r="I29" s="84">
        <v>80</v>
      </c>
      <c r="J29" s="84">
        <v>0.95</v>
      </c>
      <c r="K29" s="84">
        <v>0.5</v>
      </c>
      <c r="L29" s="84">
        <v>0</v>
      </c>
      <c r="M29" s="84">
        <v>0.4</v>
      </c>
      <c r="N29" s="84">
        <v>0</v>
      </c>
    </row>
    <row r="30" spans="1:22" customFormat="1" ht="15" customHeight="1" x14ac:dyDescent="0.15">
      <c r="C30" s="84">
        <v>29</v>
      </c>
      <c r="E30" s="175" t="s">
        <v>220</v>
      </c>
      <c r="F30" s="84">
        <v>0</v>
      </c>
      <c r="G30" s="84">
        <v>9.2605590000000007</v>
      </c>
      <c r="H30" s="84">
        <v>1.3815999999999999</v>
      </c>
      <c r="I30" s="84">
        <v>8.5</v>
      </c>
      <c r="J30" s="84">
        <v>0.98</v>
      </c>
      <c r="K30" s="84">
        <v>0.16254118100000001</v>
      </c>
      <c r="L30" s="84">
        <v>0</v>
      </c>
      <c r="M30" s="84">
        <v>0.25</v>
      </c>
      <c r="N30" s="84">
        <v>0</v>
      </c>
    </row>
    <row r="31" spans="1:22" customFormat="1" ht="15" customHeight="1" x14ac:dyDescent="0.15">
      <c r="C31" s="84">
        <v>30</v>
      </c>
      <c r="E31" s="175" t="s">
        <v>221</v>
      </c>
      <c r="F31" s="84">
        <v>0</v>
      </c>
      <c r="G31" s="84">
        <v>7.6392345400000004</v>
      </c>
      <c r="H31" s="84">
        <v>3.16</v>
      </c>
      <c r="I31" s="84">
        <v>19.2</v>
      </c>
      <c r="J31" s="84">
        <v>0.98</v>
      </c>
      <c r="K31" s="84">
        <v>0.164583325</v>
      </c>
      <c r="L31" s="84">
        <v>0</v>
      </c>
      <c r="M31" s="84">
        <v>0.3</v>
      </c>
      <c r="N31" s="84">
        <v>0</v>
      </c>
    </row>
    <row r="32" spans="1:22" customFormat="1" ht="15" customHeight="1" x14ac:dyDescent="0.15">
      <c r="C32" s="84">
        <v>31</v>
      </c>
      <c r="E32" s="175" t="s">
        <v>222</v>
      </c>
      <c r="F32" s="84">
        <v>0</v>
      </c>
      <c r="G32" s="84">
        <v>0.88977059999999997</v>
      </c>
      <c r="H32" s="84">
        <v>1.47</v>
      </c>
      <c r="I32" s="84">
        <v>21.87</v>
      </c>
      <c r="J32" s="84">
        <v>0.95</v>
      </c>
      <c r="K32" s="84">
        <v>6.7215360000000002E-2</v>
      </c>
      <c r="L32" s="84">
        <v>0</v>
      </c>
      <c r="M32" s="84">
        <v>0.3</v>
      </c>
      <c r="N32" s="84">
        <v>0</v>
      </c>
    </row>
    <row r="33" spans="3:14" customFormat="1" ht="15" customHeight="1" x14ac:dyDescent="0.15">
      <c r="C33" s="84">
        <v>32</v>
      </c>
      <c r="E33" s="175" t="s">
        <v>223</v>
      </c>
      <c r="F33" s="84">
        <v>0</v>
      </c>
      <c r="G33" s="84">
        <v>25</v>
      </c>
      <c r="H33" s="84">
        <v>1.2</v>
      </c>
      <c r="I33" s="84">
        <v>3.7</v>
      </c>
      <c r="J33" s="84">
        <v>0.70896565899999997</v>
      </c>
      <c r="K33" s="84">
        <v>0.32432433999999999</v>
      </c>
      <c r="L33" s="84">
        <v>0</v>
      </c>
      <c r="M33" s="84">
        <v>0.4</v>
      </c>
      <c r="N33" s="84">
        <v>0</v>
      </c>
    </row>
    <row r="34" spans="3:14" customFormat="1" ht="15" customHeight="1" x14ac:dyDescent="0.15">
      <c r="C34" s="84">
        <v>33</v>
      </c>
      <c r="E34" s="175" t="s">
        <v>224</v>
      </c>
      <c r="F34" s="84">
        <v>0</v>
      </c>
      <c r="G34" s="84">
        <v>78.604529999999997</v>
      </c>
      <c r="H34" s="84">
        <v>0.8</v>
      </c>
      <c r="I34" s="84">
        <v>9</v>
      </c>
      <c r="J34" s="84">
        <v>0.85</v>
      </c>
      <c r="K34" s="84">
        <v>8.8888889999999998E-2</v>
      </c>
      <c r="L34" s="84">
        <v>0</v>
      </c>
      <c r="M34" s="84">
        <v>0.4</v>
      </c>
      <c r="N34" s="84">
        <v>0</v>
      </c>
    </row>
    <row r="35" spans="3:14" customFormat="1" ht="15" customHeight="1" x14ac:dyDescent="0.15">
      <c r="C35" s="84">
        <v>34</v>
      </c>
      <c r="E35" s="175" t="s">
        <v>225</v>
      </c>
      <c r="F35" s="84">
        <v>0</v>
      </c>
      <c r="G35" s="84">
        <v>67.314099999999996</v>
      </c>
      <c r="H35" s="84">
        <v>5.08</v>
      </c>
      <c r="I35" s="84">
        <v>21.52</v>
      </c>
      <c r="J35" s="84">
        <v>0.99</v>
      </c>
      <c r="K35" s="84">
        <v>0.23605947199999999</v>
      </c>
      <c r="L35" s="84">
        <v>0</v>
      </c>
      <c r="M35" s="84">
        <v>0.4</v>
      </c>
      <c r="N35" s="84">
        <v>0</v>
      </c>
    </row>
    <row r="36" spans="3:14" customFormat="1" ht="15" customHeight="1" x14ac:dyDescent="0.15">
      <c r="C36" s="84">
        <v>35</v>
      </c>
      <c r="E36" s="175" t="s">
        <v>226</v>
      </c>
      <c r="F36" s="84">
        <v>0</v>
      </c>
      <c r="G36" s="84">
        <v>55</v>
      </c>
      <c r="H36" s="84">
        <v>1.2190000000000001</v>
      </c>
      <c r="I36" s="84">
        <v>23</v>
      </c>
      <c r="J36" s="84">
        <v>0.81298289999999995</v>
      </c>
      <c r="K36" s="84">
        <v>5.2999999999999999E-2</v>
      </c>
      <c r="L36" s="84">
        <v>0</v>
      </c>
      <c r="M36" s="84">
        <v>0.5</v>
      </c>
      <c r="N36" s="84">
        <v>0</v>
      </c>
    </row>
    <row r="37" spans="3:14" customFormat="1" ht="15" customHeight="1" x14ac:dyDescent="0.15">
      <c r="C37" s="84">
        <v>36</v>
      </c>
      <c r="E37" s="175" t="s">
        <v>227</v>
      </c>
      <c r="F37" s="84">
        <v>0</v>
      </c>
      <c r="G37" s="84">
        <v>5.9999999999999995E-4</v>
      </c>
      <c r="H37" s="84">
        <v>0.1</v>
      </c>
      <c r="I37" s="84">
        <v>36.5</v>
      </c>
      <c r="J37" s="84">
        <v>0</v>
      </c>
      <c r="K37" s="84">
        <v>2.7397260000000001E-3</v>
      </c>
      <c r="L37" s="84">
        <v>0</v>
      </c>
      <c r="M37" s="84">
        <v>0.2</v>
      </c>
      <c r="N37" s="84">
        <v>0</v>
      </c>
    </row>
    <row r="38" spans="3:14" customFormat="1" ht="15" customHeight="1" x14ac:dyDescent="0.15">
      <c r="C38" s="84">
        <v>37</v>
      </c>
      <c r="E38" s="175" t="s">
        <v>228</v>
      </c>
      <c r="F38" s="84">
        <v>0</v>
      </c>
      <c r="G38" s="84">
        <v>36.5</v>
      </c>
      <c r="H38" s="84">
        <v>13</v>
      </c>
      <c r="I38" s="84">
        <v>43.3</v>
      </c>
      <c r="J38" s="84">
        <v>0.90962370000000004</v>
      </c>
      <c r="K38" s="84">
        <v>0.30023095</v>
      </c>
      <c r="L38" s="84">
        <v>0</v>
      </c>
      <c r="M38" s="84">
        <v>0.4</v>
      </c>
      <c r="N38" s="84">
        <v>0</v>
      </c>
    </row>
    <row r="39" spans="3:14" customFormat="1" ht="15" customHeight="1" x14ac:dyDescent="0.15">
      <c r="C39" s="84">
        <v>38</v>
      </c>
      <c r="E39" s="175" t="s">
        <v>229</v>
      </c>
      <c r="F39" s="84">
        <v>1</v>
      </c>
      <c r="G39" s="84">
        <v>52.096319999999999</v>
      </c>
      <c r="H39" s="84">
        <v>4</v>
      </c>
      <c r="I39" s="84">
        <v>0</v>
      </c>
      <c r="J39" s="84">
        <v>0.8</v>
      </c>
      <c r="K39" s="84">
        <v>0</v>
      </c>
      <c r="L39" s="84">
        <v>0</v>
      </c>
      <c r="M39" s="84">
        <v>0</v>
      </c>
      <c r="N39" s="84">
        <v>0</v>
      </c>
    </row>
    <row r="40" spans="3:14" customFormat="1" ht="15" customHeight="1" x14ac:dyDescent="0.15">
      <c r="C40" s="84">
        <v>39</v>
      </c>
      <c r="E40" s="175" t="s">
        <v>230</v>
      </c>
      <c r="F40" s="84">
        <v>1</v>
      </c>
      <c r="G40" s="84">
        <v>37</v>
      </c>
      <c r="H40" s="84">
        <v>55.573500000000003</v>
      </c>
      <c r="I40" s="84">
        <v>0</v>
      </c>
      <c r="J40" s="84">
        <v>0.3283219</v>
      </c>
      <c r="K40" s="84">
        <v>0</v>
      </c>
      <c r="L40" s="84">
        <v>0</v>
      </c>
      <c r="M40" s="84">
        <v>0</v>
      </c>
      <c r="N40" s="84">
        <v>0</v>
      </c>
    </row>
    <row r="41" spans="3:14" customFormat="1" ht="15" customHeight="1" x14ac:dyDescent="0.15">
      <c r="C41" s="84">
        <v>40</v>
      </c>
      <c r="E41" s="175" t="s">
        <v>231</v>
      </c>
      <c r="F41" s="84">
        <v>1</v>
      </c>
      <c r="G41" s="84">
        <v>5.6448369999999999</v>
      </c>
      <c r="H41" s="84">
        <v>332.66669999999999</v>
      </c>
      <c r="I41" s="84">
        <v>0</v>
      </c>
      <c r="J41" s="84">
        <v>0.99</v>
      </c>
      <c r="K41" s="84">
        <v>0</v>
      </c>
      <c r="L41" s="84">
        <v>0</v>
      </c>
      <c r="M41" s="84">
        <v>0</v>
      </c>
      <c r="N41" s="84">
        <v>0</v>
      </c>
    </row>
    <row r="42" spans="3:14" customFormat="1" ht="15" customHeight="1" x14ac:dyDescent="0.15">
      <c r="C42" s="84">
        <v>41</v>
      </c>
      <c r="E42" s="175" t="s">
        <v>232</v>
      </c>
      <c r="F42" s="84">
        <v>1</v>
      </c>
      <c r="G42" s="84">
        <v>26.506898899999999</v>
      </c>
      <c r="H42" s="84">
        <v>7.3</v>
      </c>
      <c r="I42" s="84">
        <v>0</v>
      </c>
      <c r="J42" s="84">
        <v>0.5</v>
      </c>
      <c r="K42" s="84">
        <v>0</v>
      </c>
      <c r="L42" s="84">
        <v>0</v>
      </c>
      <c r="M42" s="84">
        <v>0</v>
      </c>
      <c r="N42" s="84">
        <v>0</v>
      </c>
    </row>
    <row r="43" spans="3:14" customFormat="1" ht="15" customHeight="1" x14ac:dyDescent="0.15">
      <c r="C43" s="84">
        <v>42</v>
      </c>
      <c r="E43" s="175" t="s">
        <v>233</v>
      </c>
      <c r="F43" s="84">
        <v>2</v>
      </c>
      <c r="G43" s="84">
        <v>518</v>
      </c>
      <c r="H43" s="84">
        <v>0</v>
      </c>
      <c r="I43" s="84">
        <v>0</v>
      </c>
      <c r="J43" s="84">
        <v>0</v>
      </c>
      <c r="K43" s="84">
        <v>0</v>
      </c>
      <c r="L43" s="84">
        <v>0</v>
      </c>
      <c r="M43" s="84">
        <v>0</v>
      </c>
      <c r="N43" s="84">
        <v>0</v>
      </c>
    </row>
    <row r="44" spans="3:14" customFormat="1" ht="15" customHeight="1" x14ac:dyDescent="0.15">
      <c r="C44" s="84">
        <v>43</v>
      </c>
      <c r="E44" s="175" t="s">
        <v>234</v>
      </c>
      <c r="F44" s="84">
        <v>2</v>
      </c>
      <c r="G44" s="84">
        <v>5</v>
      </c>
      <c r="H44" s="84">
        <v>0</v>
      </c>
      <c r="I44" s="84">
        <v>0</v>
      </c>
      <c r="J44" s="84">
        <v>0</v>
      </c>
      <c r="K44" s="84">
        <v>0</v>
      </c>
      <c r="L44" s="84">
        <v>0</v>
      </c>
      <c r="M44" s="84">
        <v>0</v>
      </c>
      <c r="N44" s="84">
        <v>0</v>
      </c>
    </row>
    <row r="45" spans="3:14" customFormat="1" ht="15" customHeight="1" x14ac:dyDescent="0.15">
      <c r="C45" s="84">
        <v>44</v>
      </c>
      <c r="E45" s="175" t="s">
        <v>235</v>
      </c>
      <c r="F45" s="84">
        <v>3</v>
      </c>
      <c r="G45" s="84">
        <v>0</v>
      </c>
      <c r="H45" s="84">
        <v>0</v>
      </c>
      <c r="I45" s="84">
        <v>0</v>
      </c>
      <c r="J45" s="84">
        <v>0</v>
      </c>
      <c r="K45" s="84">
        <v>0</v>
      </c>
      <c r="L45" s="84">
        <v>0</v>
      </c>
      <c r="M45" s="84">
        <v>0</v>
      </c>
      <c r="N45" s="84">
        <v>0</v>
      </c>
    </row>
    <row r="46" spans="3:14" customFormat="1" ht="15" customHeight="1" x14ac:dyDescent="0.15">
      <c r="C46" s="84">
        <v>45</v>
      </c>
      <c r="E46" s="175" t="s">
        <v>236</v>
      </c>
      <c r="F46" s="84">
        <v>3</v>
      </c>
      <c r="G46" s="84">
        <v>0</v>
      </c>
      <c r="H46" s="84">
        <v>0</v>
      </c>
      <c r="I46" s="84">
        <v>0</v>
      </c>
      <c r="J46" s="84">
        <v>0</v>
      </c>
      <c r="K46" s="84">
        <v>0</v>
      </c>
      <c r="L46" s="84">
        <v>0</v>
      </c>
      <c r="M46" s="84">
        <v>0</v>
      </c>
      <c r="N46" s="84">
        <v>0</v>
      </c>
    </row>
    <row r="47" spans="3:14" customFormat="1" ht="15" customHeight="1" x14ac:dyDescent="0.15">
      <c r="C47" s="84">
        <v>46</v>
      </c>
      <c r="E47" s="175" t="s">
        <v>237</v>
      </c>
      <c r="F47" s="84">
        <v>3</v>
      </c>
      <c r="G47" s="84">
        <v>0</v>
      </c>
      <c r="H47" s="84">
        <v>0</v>
      </c>
      <c r="I47" s="84">
        <v>0</v>
      </c>
      <c r="J47" s="84">
        <v>0</v>
      </c>
      <c r="K47" s="84">
        <v>0</v>
      </c>
      <c r="L47" s="84">
        <v>0</v>
      </c>
      <c r="M47" s="84">
        <v>0</v>
      </c>
      <c r="N47" s="84">
        <v>0</v>
      </c>
    </row>
    <row r="48" spans="3:14" customFormat="1" ht="15" customHeight="1" x14ac:dyDescent="0.15">
      <c r="C48" s="84">
        <v>47</v>
      </c>
      <c r="E48" s="175" t="s">
        <v>238</v>
      </c>
      <c r="F48" s="84">
        <v>3</v>
      </c>
      <c r="G48" s="84">
        <v>0</v>
      </c>
      <c r="H48" s="84">
        <v>0</v>
      </c>
      <c r="I48" s="84">
        <v>0</v>
      </c>
      <c r="J48" s="84">
        <v>0</v>
      </c>
      <c r="K48" s="84">
        <v>0</v>
      </c>
      <c r="L48" s="84">
        <v>0</v>
      </c>
      <c r="M48" s="84">
        <v>0</v>
      </c>
      <c r="N48" s="84">
        <v>0</v>
      </c>
    </row>
    <row r="49" spans="3:14" customFormat="1" ht="15" customHeight="1" x14ac:dyDescent="0.15">
      <c r="C49" s="84">
        <v>48</v>
      </c>
      <c r="E49" s="175" t="s">
        <v>239</v>
      </c>
      <c r="F49" s="84">
        <v>3</v>
      </c>
      <c r="G49" s="84">
        <v>0</v>
      </c>
      <c r="H49" s="84">
        <v>0</v>
      </c>
      <c r="I49" s="84">
        <v>0</v>
      </c>
      <c r="J49" s="84">
        <v>0</v>
      </c>
      <c r="K49" s="84">
        <v>0</v>
      </c>
      <c r="L49" s="84">
        <v>0</v>
      </c>
      <c r="M49" s="84">
        <v>0</v>
      </c>
      <c r="N49" s="84">
        <v>0</v>
      </c>
    </row>
    <row r="50" spans="3:14" customFormat="1" ht="15" customHeight="1" x14ac:dyDescent="0.15">
      <c r="C50" s="84">
        <v>49</v>
      </c>
      <c r="E50" s="175" t="s">
        <v>240</v>
      </c>
      <c r="F50" s="84">
        <v>3</v>
      </c>
      <c r="G50" s="84">
        <v>0</v>
      </c>
      <c r="H50" s="84">
        <v>0</v>
      </c>
      <c r="I50" s="84">
        <v>0</v>
      </c>
      <c r="J50" s="84">
        <v>0</v>
      </c>
      <c r="K50" s="84">
        <v>0</v>
      </c>
      <c r="L50" s="84">
        <v>0</v>
      </c>
      <c r="M50" s="84">
        <v>0</v>
      </c>
      <c r="N50" s="84">
        <v>0</v>
      </c>
    </row>
    <row r="51" spans="3:14" customFormat="1" ht="15" customHeight="1" x14ac:dyDescent="0.15">
      <c r="C51" s="84">
        <v>50</v>
      </c>
      <c r="E51" s="175" t="s">
        <v>241</v>
      </c>
      <c r="F51" s="84">
        <v>3</v>
      </c>
      <c r="G51" s="84">
        <v>0</v>
      </c>
      <c r="H51" s="84">
        <v>0</v>
      </c>
      <c r="I51" s="84">
        <v>0</v>
      </c>
      <c r="J51" s="84">
        <v>0</v>
      </c>
      <c r="K51" s="84">
        <v>0</v>
      </c>
      <c r="L51" s="84">
        <v>0</v>
      </c>
      <c r="M51" s="84">
        <v>0</v>
      </c>
      <c r="N51" s="84">
        <v>0</v>
      </c>
    </row>
    <row r="52" spans="3:14" customFormat="1" ht="15" customHeight="1" x14ac:dyDescent="0.15">
      <c r="C52" s="84">
        <v>51</v>
      </c>
      <c r="E52" s="175" t="s">
        <v>242</v>
      </c>
      <c r="F52" s="84">
        <v>3</v>
      </c>
      <c r="G52" s="84">
        <v>0</v>
      </c>
      <c r="H52" s="84">
        <v>0</v>
      </c>
      <c r="I52" s="84">
        <v>0</v>
      </c>
      <c r="J52" s="84">
        <v>0</v>
      </c>
      <c r="K52" s="84">
        <v>0</v>
      </c>
      <c r="L52" s="84">
        <v>0</v>
      </c>
      <c r="M52" s="84">
        <v>0</v>
      </c>
      <c r="N52" s="84">
        <v>0</v>
      </c>
    </row>
    <row r="53" spans="3:14" customFormat="1" ht="15" customHeight="1" x14ac:dyDescent="0.15">
      <c r="C53" s="84">
        <v>52</v>
      </c>
      <c r="E53" s="175" t="s">
        <v>243</v>
      </c>
      <c r="F53" s="84">
        <v>3</v>
      </c>
      <c r="G53" s="84">
        <v>0</v>
      </c>
      <c r="H53" s="84">
        <v>0</v>
      </c>
      <c r="I53" s="84">
        <v>0</v>
      </c>
      <c r="J53" s="84">
        <v>0</v>
      </c>
      <c r="K53" s="84">
        <v>0</v>
      </c>
      <c r="L53" s="84">
        <v>0</v>
      </c>
      <c r="M53" s="84">
        <v>0</v>
      </c>
      <c r="N53" s="84">
        <v>0</v>
      </c>
    </row>
    <row r="54" spans="3:14" customFormat="1" ht="15" customHeight="1" x14ac:dyDescent="0.15"/>
    <row r="55" spans="3:14" customFormat="1" ht="15" customHeight="1" x14ac:dyDescent="0.15"/>
    <row r="56" spans="3:14" customFormat="1" ht="15" customHeight="1" x14ac:dyDescent="0.15"/>
    <row r="57" spans="3:14" customFormat="1" ht="15" customHeight="1" x14ac:dyDescent="0.15"/>
    <row r="58" spans="3:14" customFormat="1" ht="15" customHeight="1" x14ac:dyDescent="0.15"/>
    <row r="59" spans="3:14" customFormat="1" ht="15" customHeight="1" x14ac:dyDescent="0.15"/>
    <row r="60" spans="3:14" customFormat="1" ht="15" customHeight="1" x14ac:dyDescent="0.15"/>
    <row r="61" spans="3:14" customFormat="1" ht="15" customHeight="1" x14ac:dyDescent="0.15"/>
    <row r="62" spans="3:14" customFormat="1" ht="15" customHeight="1" x14ac:dyDescent="0.15"/>
    <row r="63" spans="3:14" customFormat="1" ht="15" customHeight="1" x14ac:dyDescent="0.15"/>
    <row r="64" spans="3:14" customFormat="1" ht="15" customHeight="1" x14ac:dyDescent="0.15"/>
    <row r="65" customFormat="1" ht="15" customHeight="1" x14ac:dyDescent="0.15"/>
    <row r="66" customFormat="1" ht="15" customHeight="1" x14ac:dyDescent="0.15"/>
    <row r="67" customFormat="1" ht="15" customHeight="1" x14ac:dyDescent="0.15"/>
    <row r="68" customFormat="1" ht="15" customHeight="1" x14ac:dyDescent="0.15"/>
    <row r="69" customFormat="1" ht="15" customHeight="1" x14ac:dyDescent="0.15"/>
    <row r="70" customFormat="1" ht="15" customHeight="1" x14ac:dyDescent="0.15"/>
    <row r="71" customFormat="1" ht="15" customHeight="1" x14ac:dyDescent="0.15"/>
    <row r="72" customFormat="1" ht="15" customHeight="1" x14ac:dyDescent="0.15"/>
    <row r="73" customFormat="1" ht="15" customHeight="1" x14ac:dyDescent="0.15"/>
    <row r="74" customFormat="1" ht="15" customHeight="1" x14ac:dyDescent="0.15"/>
    <row r="75" customFormat="1" ht="15" customHeight="1" x14ac:dyDescent="0.15"/>
    <row r="76" customFormat="1" ht="15" customHeight="1" x14ac:dyDescent="0.15"/>
    <row r="77" customFormat="1" ht="15" customHeight="1" x14ac:dyDescent="0.15"/>
    <row r="78" customFormat="1" ht="15" customHeight="1" x14ac:dyDescent="0.15"/>
    <row r="79" customFormat="1" ht="15" customHeight="1" x14ac:dyDescent="0.15"/>
    <row r="80"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R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31.5" style="141" bestFit="1" customWidth="1"/>
    <col min="2" max="2" width="15.83203125" style="141" bestFit="1" customWidth="1"/>
    <col min="3" max="3" width="14.83203125" style="141" bestFit="1" customWidth="1"/>
    <col min="4" max="4" width="15.83203125" style="141" bestFit="1" customWidth="1"/>
    <col min="5" max="5" width="14.83203125" style="141" bestFit="1" customWidth="1"/>
    <col min="6" max="6" width="15.83203125" style="141" bestFit="1" customWidth="1"/>
    <col min="7" max="7" width="5.83203125" style="141" bestFit="1" customWidth="1"/>
    <col min="8" max="8" width="15.83203125" style="141" bestFit="1" customWidth="1"/>
    <col min="9" max="9" width="14.83203125" style="141" bestFit="1" customWidth="1"/>
    <col min="10" max="10" width="5.83203125" style="141" bestFit="1" customWidth="1"/>
    <col min="11" max="11" width="13.83203125" style="141" bestFit="1" customWidth="1"/>
    <col min="12" max="12" width="14.83203125" style="141" bestFit="1" customWidth="1"/>
    <col min="13" max="13" width="5.83203125" style="141" bestFit="1" customWidth="1"/>
    <col min="14" max="14" width="15.83203125" style="141" bestFit="1" customWidth="1"/>
    <col min="15" max="15" width="14.83203125" style="141" bestFit="1" customWidth="1"/>
    <col min="16" max="16" width="15.5" style="141" bestFit="1" customWidth="1"/>
    <col min="17" max="17" width="5.83203125" style="141" bestFit="1" customWidth="1"/>
    <col min="18" max="18" width="15.83203125" style="141" bestFit="1" customWidth="1"/>
    <col min="19" max="20" width="5.83203125" style="141" bestFit="1" customWidth="1"/>
    <col min="21" max="21" width="4.83203125" style="141" bestFit="1" customWidth="1"/>
    <col min="22" max="23" width="5.83203125" style="141" bestFit="1" customWidth="1"/>
    <col min="24" max="24" width="15.83203125" style="141" bestFit="1" customWidth="1"/>
    <col min="25" max="25" width="14.83203125" style="141" bestFit="1" customWidth="1"/>
    <col min="26" max="28" width="5.83203125" style="141" bestFit="1" customWidth="1"/>
    <col min="29" max="29" width="3.83203125" style="141" bestFit="1" customWidth="1"/>
    <col min="30" max="30" width="14.83203125" style="141" customWidth="1"/>
    <col min="31" max="31" width="15.83203125" style="141" customWidth="1"/>
    <col min="32" max="34" width="5.83203125" style="141" customWidth="1"/>
    <col min="35" max="37" width="4.83203125" style="141" customWidth="1"/>
    <col min="38" max="38" width="3.83203125" style="141" customWidth="1"/>
    <col min="39" max="44" width="2.33203125" style="141" customWidth="1"/>
    <col min="45" max="16384" width="8.83203125" style="141"/>
  </cols>
  <sheetData>
    <row r="1" spans="1:44" x14ac:dyDescent="0.15">
      <c r="A1" s="140" t="s">
        <v>19</v>
      </c>
      <c r="B1" s="177" t="s">
        <v>192</v>
      </c>
      <c r="C1" s="177" t="s">
        <v>193</v>
      </c>
      <c r="D1" s="177" t="s">
        <v>194</v>
      </c>
      <c r="E1" s="177" t="s">
        <v>195</v>
      </c>
      <c r="F1" s="177" t="s">
        <v>196</v>
      </c>
      <c r="G1" s="177" t="s">
        <v>197</v>
      </c>
      <c r="H1" s="177" t="s">
        <v>198</v>
      </c>
      <c r="I1" s="177" t="s">
        <v>199</v>
      </c>
      <c r="J1" s="177" t="s">
        <v>200</v>
      </c>
      <c r="K1" s="177" t="s">
        <v>201</v>
      </c>
      <c r="L1" s="177" t="s">
        <v>202</v>
      </c>
      <c r="M1" s="177" t="s">
        <v>203</v>
      </c>
      <c r="N1" s="177" t="s">
        <v>204</v>
      </c>
      <c r="O1" s="177" t="s">
        <v>205</v>
      </c>
      <c r="P1" s="177" t="s">
        <v>206</v>
      </c>
      <c r="Q1" s="177" t="s">
        <v>207</v>
      </c>
      <c r="R1" s="177" t="s">
        <v>208</v>
      </c>
      <c r="S1" s="177" t="s">
        <v>209</v>
      </c>
      <c r="T1" s="177" t="s">
        <v>210</v>
      </c>
      <c r="U1" s="177" t="s">
        <v>211</v>
      </c>
      <c r="V1" s="177" t="s">
        <v>212</v>
      </c>
      <c r="W1" s="177" t="s">
        <v>213</v>
      </c>
      <c r="X1" s="177" t="s">
        <v>214</v>
      </c>
      <c r="Y1" s="177" t="s">
        <v>215</v>
      </c>
      <c r="Z1" s="177" t="s">
        <v>216</v>
      </c>
      <c r="AA1" s="177" t="s">
        <v>217</v>
      </c>
      <c r="AB1" s="177" t="s">
        <v>218</v>
      </c>
      <c r="AC1" s="177" t="s">
        <v>219</v>
      </c>
      <c r="AD1" s="177" t="s">
        <v>220</v>
      </c>
      <c r="AE1" s="177" t="s">
        <v>221</v>
      </c>
      <c r="AF1" s="177" t="s">
        <v>222</v>
      </c>
      <c r="AG1" s="177" t="s">
        <v>223</v>
      </c>
      <c r="AH1" s="177" t="s">
        <v>224</v>
      </c>
      <c r="AI1" s="177" t="s">
        <v>225</v>
      </c>
      <c r="AJ1" s="177" t="s">
        <v>226</v>
      </c>
      <c r="AK1" s="177" t="s">
        <v>227</v>
      </c>
      <c r="AL1" s="177" t="s">
        <v>228</v>
      </c>
      <c r="AM1" s="177" t="s">
        <v>229</v>
      </c>
      <c r="AN1" s="177" t="s">
        <v>230</v>
      </c>
      <c r="AO1" s="177" t="s">
        <v>231</v>
      </c>
      <c r="AP1" s="177" t="s">
        <v>232</v>
      </c>
      <c r="AQ1" s="177" t="s">
        <v>233</v>
      </c>
      <c r="AR1" s="177" t="s">
        <v>234</v>
      </c>
    </row>
    <row r="2" spans="1:44" customFormat="1" x14ac:dyDescent="0.15">
      <c r="A2" s="176" t="s">
        <v>192</v>
      </c>
      <c r="B2" s="141">
        <v>3.9992005922435446E-3</v>
      </c>
      <c r="C2" s="141">
        <v>0</v>
      </c>
      <c r="D2" s="141">
        <v>0</v>
      </c>
      <c r="E2" s="141">
        <v>0</v>
      </c>
      <c r="F2" s="141">
        <v>0</v>
      </c>
      <c r="G2" s="141">
        <v>0</v>
      </c>
      <c r="H2" s="141">
        <v>0</v>
      </c>
      <c r="I2" s="141">
        <v>0</v>
      </c>
      <c r="J2" s="141">
        <v>0</v>
      </c>
      <c r="K2" s="141">
        <v>0</v>
      </c>
      <c r="L2" s="141">
        <v>0</v>
      </c>
      <c r="M2" s="141">
        <v>0</v>
      </c>
      <c r="N2" s="141">
        <v>0</v>
      </c>
      <c r="O2" s="141">
        <v>0</v>
      </c>
      <c r="P2" s="141">
        <v>0</v>
      </c>
      <c r="Q2" s="141">
        <v>0</v>
      </c>
      <c r="R2" s="141">
        <v>0</v>
      </c>
      <c r="S2" s="141">
        <v>0</v>
      </c>
      <c r="T2" s="141">
        <v>0</v>
      </c>
      <c r="U2" s="141">
        <v>0</v>
      </c>
      <c r="V2" s="141">
        <v>0</v>
      </c>
      <c r="W2" s="141">
        <v>0</v>
      </c>
      <c r="X2" s="141">
        <v>0</v>
      </c>
      <c r="Y2" s="141">
        <v>0</v>
      </c>
      <c r="Z2" s="141">
        <v>0</v>
      </c>
      <c r="AA2" s="141">
        <v>0</v>
      </c>
      <c r="AB2" s="141">
        <v>0</v>
      </c>
      <c r="AC2" s="141">
        <v>0</v>
      </c>
      <c r="AD2" s="141">
        <v>0</v>
      </c>
      <c r="AE2" s="141">
        <v>0</v>
      </c>
      <c r="AF2" s="141">
        <v>0</v>
      </c>
      <c r="AG2" s="141">
        <v>0</v>
      </c>
      <c r="AH2" s="141">
        <v>0</v>
      </c>
      <c r="AI2" s="141">
        <v>0</v>
      </c>
      <c r="AJ2" s="141">
        <v>0</v>
      </c>
      <c r="AK2" s="141">
        <v>0</v>
      </c>
      <c r="AL2" s="141">
        <v>0</v>
      </c>
      <c r="AM2" s="141">
        <v>0</v>
      </c>
      <c r="AN2" s="141">
        <v>0</v>
      </c>
      <c r="AO2" s="141">
        <v>0</v>
      </c>
      <c r="AP2" s="141">
        <v>0</v>
      </c>
      <c r="AQ2" s="141">
        <v>0</v>
      </c>
      <c r="AR2" s="141">
        <v>0</v>
      </c>
    </row>
    <row r="3" spans="1:44" customFormat="1" x14ac:dyDescent="0.15">
      <c r="A3" s="176" t="s">
        <v>193</v>
      </c>
      <c r="B3" s="141">
        <v>3.2993401823509294E-2</v>
      </c>
      <c r="C3" s="141">
        <v>4.9999999487000013E-2</v>
      </c>
      <c r="D3" s="141">
        <v>2.999028007221239E-2</v>
      </c>
      <c r="E3" s="141">
        <v>0</v>
      </c>
      <c r="F3" s="141">
        <v>0</v>
      </c>
      <c r="G3" s="141">
        <v>0</v>
      </c>
      <c r="H3" s="141">
        <v>0</v>
      </c>
      <c r="I3" s="141">
        <v>0</v>
      </c>
      <c r="J3" s="141">
        <v>0</v>
      </c>
      <c r="K3" s="141">
        <v>0</v>
      </c>
      <c r="L3" s="141">
        <v>0</v>
      </c>
      <c r="M3" s="141">
        <v>0</v>
      </c>
      <c r="N3" s="141">
        <v>0</v>
      </c>
      <c r="O3" s="141">
        <v>0</v>
      </c>
      <c r="P3" s="141">
        <v>0</v>
      </c>
      <c r="Q3" s="141">
        <v>0</v>
      </c>
      <c r="R3" s="141">
        <v>0</v>
      </c>
      <c r="S3" s="141">
        <v>0</v>
      </c>
      <c r="T3" s="141">
        <v>0</v>
      </c>
      <c r="U3" s="141">
        <v>0</v>
      </c>
      <c r="V3" s="141">
        <v>0</v>
      </c>
      <c r="W3" s="141">
        <v>0</v>
      </c>
      <c r="X3" s="141">
        <v>0</v>
      </c>
      <c r="Y3" s="141">
        <v>0</v>
      </c>
      <c r="Z3" s="141">
        <v>0</v>
      </c>
      <c r="AA3" s="141">
        <v>0</v>
      </c>
      <c r="AB3" s="141">
        <v>0</v>
      </c>
      <c r="AC3" s="141">
        <v>0</v>
      </c>
      <c r="AD3" s="141">
        <v>0</v>
      </c>
      <c r="AE3" s="141">
        <v>0</v>
      </c>
      <c r="AF3" s="141">
        <v>0</v>
      </c>
      <c r="AG3" s="141">
        <v>0</v>
      </c>
      <c r="AH3" s="141">
        <v>0</v>
      </c>
      <c r="AI3" s="141">
        <v>0</v>
      </c>
      <c r="AJ3" s="141">
        <v>0</v>
      </c>
      <c r="AK3" s="141">
        <v>0</v>
      </c>
      <c r="AL3" s="141">
        <v>0</v>
      </c>
      <c r="AM3" s="141">
        <v>0</v>
      </c>
      <c r="AN3" s="141">
        <v>0</v>
      </c>
      <c r="AO3" s="141">
        <v>0</v>
      </c>
      <c r="AP3" s="141">
        <v>0</v>
      </c>
      <c r="AQ3" s="141">
        <v>0</v>
      </c>
      <c r="AR3" s="141">
        <v>0</v>
      </c>
    </row>
    <row r="4" spans="1:44" customFormat="1" x14ac:dyDescent="0.15">
      <c r="A4" s="176" t="s">
        <v>194</v>
      </c>
      <c r="B4" s="141">
        <v>3.7992402351313723E-2</v>
      </c>
      <c r="C4" s="141">
        <v>0</v>
      </c>
      <c r="D4" s="141">
        <v>1.9997524781230857E-2</v>
      </c>
      <c r="E4" s="141">
        <v>0</v>
      </c>
      <c r="F4" s="141">
        <v>3.0000921062852026E-3</v>
      </c>
      <c r="G4" s="141">
        <v>0</v>
      </c>
      <c r="H4" s="141">
        <v>0</v>
      </c>
      <c r="I4" s="141">
        <v>0</v>
      </c>
      <c r="J4" s="141">
        <v>0</v>
      </c>
      <c r="K4" s="141">
        <v>0</v>
      </c>
      <c r="L4" s="141">
        <v>0</v>
      </c>
      <c r="M4" s="141">
        <v>0</v>
      </c>
      <c r="N4" s="141">
        <v>0</v>
      </c>
      <c r="O4" s="141">
        <v>0</v>
      </c>
      <c r="P4" s="141">
        <v>0</v>
      </c>
      <c r="Q4" s="141">
        <v>0</v>
      </c>
      <c r="R4" s="141">
        <v>0</v>
      </c>
      <c r="S4" s="141">
        <v>0</v>
      </c>
      <c r="T4" s="141">
        <v>0</v>
      </c>
      <c r="U4" s="141">
        <v>0</v>
      </c>
      <c r="V4" s="141">
        <v>0</v>
      </c>
      <c r="W4" s="141">
        <v>0</v>
      </c>
      <c r="X4" s="141">
        <v>0</v>
      </c>
      <c r="Y4" s="141">
        <v>0</v>
      </c>
      <c r="Z4" s="141">
        <v>0</v>
      </c>
      <c r="AA4" s="141">
        <v>0</v>
      </c>
      <c r="AB4" s="141">
        <v>0</v>
      </c>
      <c r="AC4" s="141">
        <v>0</v>
      </c>
      <c r="AD4" s="141">
        <v>0</v>
      </c>
      <c r="AE4" s="141">
        <v>0</v>
      </c>
      <c r="AF4" s="141">
        <v>0</v>
      </c>
      <c r="AG4" s="141">
        <v>0</v>
      </c>
      <c r="AH4" s="141">
        <v>0</v>
      </c>
      <c r="AI4" s="141">
        <v>0</v>
      </c>
      <c r="AJ4" s="141">
        <v>0</v>
      </c>
      <c r="AK4" s="141">
        <v>0</v>
      </c>
      <c r="AL4" s="141">
        <v>0</v>
      </c>
      <c r="AM4" s="141">
        <v>0</v>
      </c>
      <c r="AN4" s="141">
        <v>0</v>
      </c>
      <c r="AO4" s="141">
        <v>0</v>
      </c>
      <c r="AP4" s="141">
        <v>0</v>
      </c>
      <c r="AQ4" s="141">
        <v>0</v>
      </c>
      <c r="AR4" s="141">
        <v>0</v>
      </c>
    </row>
    <row r="5" spans="1:44" customFormat="1" x14ac:dyDescent="0.15">
      <c r="A5" s="176" t="s">
        <v>195</v>
      </c>
      <c r="B5" s="141">
        <v>0</v>
      </c>
      <c r="C5" s="141">
        <v>0</v>
      </c>
      <c r="D5" s="141">
        <v>0</v>
      </c>
      <c r="E5" s="141">
        <v>0</v>
      </c>
      <c r="F5" s="141">
        <v>0</v>
      </c>
      <c r="G5" s="141">
        <v>0</v>
      </c>
      <c r="H5" s="141">
        <v>0</v>
      </c>
      <c r="I5" s="141">
        <v>0</v>
      </c>
      <c r="J5" s="141">
        <v>0</v>
      </c>
      <c r="K5" s="141">
        <v>0</v>
      </c>
      <c r="L5" s="141">
        <v>0</v>
      </c>
      <c r="M5" s="141">
        <v>0</v>
      </c>
      <c r="N5" s="141">
        <v>0</v>
      </c>
      <c r="O5" s="141">
        <v>0</v>
      </c>
      <c r="P5" s="141">
        <v>0</v>
      </c>
      <c r="Q5" s="141">
        <v>0</v>
      </c>
      <c r="R5" s="141">
        <v>0</v>
      </c>
      <c r="S5" s="141">
        <v>0</v>
      </c>
      <c r="T5" s="141">
        <v>0</v>
      </c>
      <c r="U5" s="141">
        <v>0</v>
      </c>
      <c r="V5" s="141">
        <v>0</v>
      </c>
      <c r="W5" s="141">
        <v>0</v>
      </c>
      <c r="X5" s="141">
        <v>0</v>
      </c>
      <c r="Y5" s="141">
        <v>0</v>
      </c>
      <c r="Z5" s="141">
        <v>0</v>
      </c>
      <c r="AA5" s="141">
        <v>0</v>
      </c>
      <c r="AB5" s="141">
        <v>0</v>
      </c>
      <c r="AC5" s="141">
        <v>0</v>
      </c>
      <c r="AD5" s="141">
        <v>0</v>
      </c>
      <c r="AE5" s="141">
        <v>0</v>
      </c>
      <c r="AF5" s="141">
        <v>0</v>
      </c>
      <c r="AG5" s="141">
        <v>0</v>
      </c>
      <c r="AH5" s="141">
        <v>0</v>
      </c>
      <c r="AI5" s="141">
        <v>0</v>
      </c>
      <c r="AJ5" s="141">
        <v>0</v>
      </c>
      <c r="AK5" s="141">
        <v>0</v>
      </c>
      <c r="AL5" s="141">
        <v>0</v>
      </c>
      <c r="AM5" s="141">
        <v>0</v>
      </c>
      <c r="AN5" s="141">
        <v>0</v>
      </c>
      <c r="AO5" s="141">
        <v>0</v>
      </c>
      <c r="AP5" s="141">
        <v>0</v>
      </c>
      <c r="AQ5" s="141">
        <v>0</v>
      </c>
      <c r="AR5" s="141">
        <v>0</v>
      </c>
    </row>
    <row r="6" spans="1:44" customFormat="1" x14ac:dyDescent="0.15">
      <c r="A6" s="176" t="s">
        <v>196</v>
      </c>
      <c r="B6" s="141">
        <v>0.14497101090632866</v>
      </c>
      <c r="C6" s="141">
        <v>6.0000004584399953E-3</v>
      </c>
      <c r="D6" s="141">
        <v>9.9994429805739471E-2</v>
      </c>
      <c r="E6" s="141">
        <v>9.9999997056000236E-3</v>
      </c>
      <c r="F6" s="141">
        <v>0</v>
      </c>
      <c r="G6" s="141">
        <v>1E-3</v>
      </c>
      <c r="H6" s="141">
        <v>1.0004001989885943E-4</v>
      </c>
      <c r="I6" s="141">
        <v>0</v>
      </c>
      <c r="J6" s="141">
        <v>0</v>
      </c>
      <c r="K6" s="141">
        <v>0</v>
      </c>
      <c r="L6" s="141">
        <v>2.0263429352988705E-3</v>
      </c>
      <c r="M6" s="141">
        <v>0</v>
      </c>
      <c r="N6" s="141">
        <v>0</v>
      </c>
      <c r="O6" s="141">
        <v>0</v>
      </c>
      <c r="P6" s="141">
        <v>0</v>
      </c>
      <c r="Q6" s="141">
        <v>0</v>
      </c>
      <c r="R6" s="141">
        <v>0</v>
      </c>
      <c r="S6" s="141">
        <v>0</v>
      </c>
      <c r="T6" s="141">
        <v>0</v>
      </c>
      <c r="U6" s="141">
        <v>0</v>
      </c>
      <c r="V6" s="141">
        <v>0</v>
      </c>
      <c r="W6" s="141">
        <v>0</v>
      </c>
      <c r="X6" s="141">
        <v>0</v>
      </c>
      <c r="Y6" s="141">
        <v>0</v>
      </c>
      <c r="Z6" s="141">
        <v>0</v>
      </c>
      <c r="AA6" s="141">
        <v>0</v>
      </c>
      <c r="AB6" s="141">
        <v>0</v>
      </c>
      <c r="AC6" s="141">
        <v>0</v>
      </c>
      <c r="AD6" s="141">
        <v>0</v>
      </c>
      <c r="AE6" s="141">
        <v>0</v>
      </c>
      <c r="AF6" s="141">
        <v>0</v>
      </c>
      <c r="AG6" s="141">
        <v>0</v>
      </c>
      <c r="AH6" s="141">
        <v>0</v>
      </c>
      <c r="AI6" s="141">
        <v>0</v>
      </c>
      <c r="AJ6" s="141">
        <v>0</v>
      </c>
      <c r="AK6" s="141">
        <v>0</v>
      </c>
      <c r="AL6" s="141">
        <v>0</v>
      </c>
      <c r="AM6" s="141">
        <v>0</v>
      </c>
      <c r="AN6" s="141">
        <v>0</v>
      </c>
      <c r="AO6" s="141">
        <v>0</v>
      </c>
      <c r="AP6" s="141">
        <v>0</v>
      </c>
      <c r="AQ6" s="141">
        <v>0</v>
      </c>
      <c r="AR6" s="141">
        <v>0</v>
      </c>
    </row>
    <row r="7" spans="1:44" customFormat="1" x14ac:dyDescent="0.15">
      <c r="A7" s="176" t="s">
        <v>197</v>
      </c>
      <c r="B7" s="141">
        <v>0</v>
      </c>
      <c r="C7" s="141">
        <v>4.9999999487000013E-2</v>
      </c>
      <c r="D7" s="141">
        <v>6.9977320235162241E-3</v>
      </c>
      <c r="E7" s="141">
        <v>0</v>
      </c>
      <c r="F7" s="141">
        <v>0</v>
      </c>
      <c r="G7" s="141">
        <v>0.02</v>
      </c>
      <c r="H7" s="141">
        <v>0</v>
      </c>
      <c r="I7" s="141">
        <v>0</v>
      </c>
      <c r="J7" s="141">
        <v>0</v>
      </c>
      <c r="K7" s="141">
        <v>0</v>
      </c>
      <c r="L7" s="141">
        <v>4.0526858705977409E-3</v>
      </c>
      <c r="M7" s="141">
        <v>0</v>
      </c>
      <c r="N7" s="141">
        <v>2.3987848258548994E-2</v>
      </c>
      <c r="O7" s="141">
        <v>0</v>
      </c>
      <c r="P7" s="141">
        <v>0</v>
      </c>
      <c r="Q7" s="141">
        <v>0</v>
      </c>
      <c r="R7" s="141">
        <v>0</v>
      </c>
      <c r="S7" s="141">
        <v>0</v>
      </c>
      <c r="T7" s="141">
        <v>0</v>
      </c>
      <c r="U7" s="141">
        <v>0</v>
      </c>
      <c r="V7" s="141">
        <v>0</v>
      </c>
      <c r="W7" s="141">
        <v>0</v>
      </c>
      <c r="X7" s="141">
        <v>9.9999995078800489E-5</v>
      </c>
      <c r="Y7" s="141">
        <v>0</v>
      </c>
      <c r="Z7" s="141">
        <v>0</v>
      </c>
      <c r="AA7" s="141">
        <v>0</v>
      </c>
      <c r="AB7" s="141">
        <v>0</v>
      </c>
      <c r="AC7" s="141">
        <v>0</v>
      </c>
      <c r="AD7" s="141">
        <v>0</v>
      </c>
      <c r="AE7" s="141">
        <v>0</v>
      </c>
      <c r="AF7" s="141">
        <v>0</v>
      </c>
      <c r="AG7" s="141">
        <v>0</v>
      </c>
      <c r="AH7" s="141">
        <v>0</v>
      </c>
      <c r="AI7" s="141">
        <v>0</v>
      </c>
      <c r="AJ7" s="141">
        <v>0</v>
      </c>
      <c r="AK7" s="141">
        <v>0</v>
      </c>
      <c r="AL7" s="141">
        <v>0</v>
      </c>
      <c r="AM7" s="141">
        <v>0</v>
      </c>
      <c r="AN7" s="141">
        <v>0</v>
      </c>
      <c r="AO7" s="141">
        <v>0</v>
      </c>
      <c r="AP7" s="141">
        <v>0</v>
      </c>
      <c r="AQ7" s="141">
        <v>0</v>
      </c>
      <c r="AR7" s="141">
        <v>0</v>
      </c>
    </row>
    <row r="8" spans="1:44" customFormat="1" x14ac:dyDescent="0.15">
      <c r="A8" s="176" t="s">
        <v>198</v>
      </c>
      <c r="B8" s="141">
        <v>7.1985598960383979E-2</v>
      </c>
      <c r="C8" s="141">
        <v>1.0000000597399994E-2</v>
      </c>
      <c r="D8" s="141">
        <v>1.9997524781230857E-2</v>
      </c>
      <c r="E8" s="141">
        <v>0</v>
      </c>
      <c r="F8" s="141">
        <v>5.0123271333066665E-3</v>
      </c>
      <c r="G8" s="141">
        <v>7.0000000000000001E-3</v>
      </c>
      <c r="H8" s="141">
        <v>0</v>
      </c>
      <c r="I8" s="141">
        <v>0</v>
      </c>
      <c r="J8" s="141">
        <v>0</v>
      </c>
      <c r="K8" s="141">
        <v>0</v>
      </c>
      <c r="L8" s="141">
        <v>2.0263429352988705E-3</v>
      </c>
      <c r="M8" s="141">
        <v>0</v>
      </c>
      <c r="N8" s="141">
        <v>0</v>
      </c>
      <c r="O8" s="141">
        <v>0</v>
      </c>
      <c r="P8" s="141">
        <v>0</v>
      </c>
      <c r="Q8" s="141">
        <v>0</v>
      </c>
      <c r="R8" s="141">
        <v>0</v>
      </c>
      <c r="S8" s="141">
        <v>0</v>
      </c>
      <c r="T8" s="141">
        <v>0</v>
      </c>
      <c r="U8" s="141">
        <v>0</v>
      </c>
      <c r="V8" s="141">
        <v>0</v>
      </c>
      <c r="W8" s="141">
        <v>0</v>
      </c>
      <c r="X8" s="141">
        <v>0</v>
      </c>
      <c r="Y8" s="141">
        <v>0</v>
      </c>
      <c r="Z8" s="141">
        <v>0</v>
      </c>
      <c r="AA8" s="141">
        <v>0</v>
      </c>
      <c r="AB8" s="141">
        <v>0</v>
      </c>
      <c r="AC8" s="141">
        <v>0</v>
      </c>
      <c r="AD8" s="141">
        <v>0</v>
      </c>
      <c r="AE8" s="141">
        <v>0</v>
      </c>
      <c r="AF8" s="141">
        <v>0</v>
      </c>
      <c r="AG8" s="141">
        <v>0</v>
      </c>
      <c r="AH8" s="141">
        <v>0</v>
      </c>
      <c r="AI8" s="141">
        <v>0</v>
      </c>
      <c r="AJ8" s="141">
        <v>0</v>
      </c>
      <c r="AK8" s="141">
        <v>0</v>
      </c>
      <c r="AL8" s="141">
        <v>0</v>
      </c>
      <c r="AM8" s="141">
        <v>0</v>
      </c>
      <c r="AN8" s="141">
        <v>0</v>
      </c>
      <c r="AO8" s="141">
        <v>0</v>
      </c>
      <c r="AP8" s="141">
        <v>0</v>
      </c>
      <c r="AQ8" s="141">
        <v>0</v>
      </c>
      <c r="AR8" s="141">
        <v>0</v>
      </c>
    </row>
    <row r="9" spans="1:44" customFormat="1" x14ac:dyDescent="0.15">
      <c r="A9" s="176" t="s">
        <v>199</v>
      </c>
      <c r="B9" s="141">
        <v>0</v>
      </c>
      <c r="C9" s="141">
        <v>1.9000001105059987E-2</v>
      </c>
      <c r="D9" s="141">
        <v>2.999027547221267E-3</v>
      </c>
      <c r="E9" s="141">
        <v>0</v>
      </c>
      <c r="F9" s="141">
        <v>1.0029669586406517E-2</v>
      </c>
      <c r="G9" s="141">
        <v>3.5000000000000003E-2</v>
      </c>
      <c r="H9" s="141">
        <v>0</v>
      </c>
      <c r="I9" s="141">
        <v>0</v>
      </c>
      <c r="J9" s="141">
        <v>0</v>
      </c>
      <c r="K9" s="141">
        <v>0</v>
      </c>
      <c r="L9" s="141">
        <v>1.0131713576494389E-2</v>
      </c>
      <c r="M9" s="141">
        <v>0</v>
      </c>
      <c r="N9" s="141">
        <v>0</v>
      </c>
      <c r="O9" s="141">
        <v>0</v>
      </c>
      <c r="P9" s="141">
        <v>0</v>
      </c>
      <c r="Q9" s="141">
        <v>0</v>
      </c>
      <c r="R9" s="141">
        <v>0</v>
      </c>
      <c r="S9" s="141">
        <v>0</v>
      </c>
      <c r="T9" s="141">
        <v>0</v>
      </c>
      <c r="U9" s="141">
        <v>0</v>
      </c>
      <c r="V9" s="141">
        <v>0</v>
      </c>
      <c r="W9" s="141">
        <v>0</v>
      </c>
      <c r="X9" s="141">
        <v>0</v>
      </c>
      <c r="Y9" s="141">
        <v>0</v>
      </c>
      <c r="Z9" s="141">
        <v>0</v>
      </c>
      <c r="AA9" s="141">
        <v>0</v>
      </c>
      <c r="AB9" s="141">
        <v>0</v>
      </c>
      <c r="AC9" s="141">
        <v>0</v>
      </c>
      <c r="AD9" s="141">
        <v>0</v>
      </c>
      <c r="AE9" s="141">
        <v>0</v>
      </c>
      <c r="AF9" s="141">
        <v>0</v>
      </c>
      <c r="AG9" s="141">
        <v>0</v>
      </c>
      <c r="AH9" s="141">
        <v>0</v>
      </c>
      <c r="AI9" s="141">
        <v>0</v>
      </c>
      <c r="AJ9" s="141">
        <v>0</v>
      </c>
      <c r="AK9" s="141">
        <v>0</v>
      </c>
      <c r="AL9" s="141">
        <v>0</v>
      </c>
      <c r="AM9" s="141">
        <v>0</v>
      </c>
      <c r="AN9" s="141">
        <v>0</v>
      </c>
      <c r="AO9" s="141">
        <v>0</v>
      </c>
      <c r="AP9" s="141">
        <v>0</v>
      </c>
      <c r="AQ9" s="141">
        <v>0</v>
      </c>
      <c r="AR9" s="141">
        <v>0</v>
      </c>
    </row>
    <row r="10" spans="1:44" customFormat="1" x14ac:dyDescent="0.15">
      <c r="A10" s="176" t="s">
        <v>200</v>
      </c>
      <c r="B10" s="141">
        <v>7.5984804702627445E-2</v>
      </c>
      <c r="C10" s="141">
        <v>1.9999999794800005E-2</v>
      </c>
      <c r="D10" s="141">
        <v>6.6978325917938952E-2</v>
      </c>
      <c r="E10" s="141">
        <v>1.7000002909519703E-2</v>
      </c>
      <c r="F10" s="141">
        <v>7.0207677104846032E-3</v>
      </c>
      <c r="G10" s="141">
        <v>5.0000000000000001E-3</v>
      </c>
      <c r="H10" s="141">
        <v>5.4021608325384163E-2</v>
      </c>
      <c r="I10" s="141">
        <v>0</v>
      </c>
      <c r="J10" s="141">
        <v>0.01</v>
      </c>
      <c r="K10" s="141">
        <v>0</v>
      </c>
      <c r="L10" s="141">
        <v>9.1185427088449327E-3</v>
      </c>
      <c r="M10" s="141">
        <v>0</v>
      </c>
      <c r="N10" s="141">
        <v>0</v>
      </c>
      <c r="O10" s="141">
        <v>0</v>
      </c>
      <c r="P10" s="141">
        <v>0</v>
      </c>
      <c r="Q10" s="141">
        <v>0</v>
      </c>
      <c r="R10" s="141">
        <v>0</v>
      </c>
      <c r="S10" s="141">
        <v>0</v>
      </c>
      <c r="T10" s="141">
        <v>0</v>
      </c>
      <c r="U10" s="141">
        <v>0</v>
      </c>
      <c r="V10" s="141">
        <v>0</v>
      </c>
      <c r="W10" s="141">
        <v>0</v>
      </c>
      <c r="X10" s="141">
        <v>0</v>
      </c>
      <c r="Y10" s="141">
        <v>0</v>
      </c>
      <c r="Z10" s="141">
        <v>0</v>
      </c>
      <c r="AA10" s="141">
        <v>0</v>
      </c>
      <c r="AB10" s="141">
        <v>0</v>
      </c>
      <c r="AC10" s="141">
        <v>0</v>
      </c>
      <c r="AD10" s="141">
        <v>0</v>
      </c>
      <c r="AE10" s="141">
        <v>0</v>
      </c>
      <c r="AF10" s="141">
        <v>0</v>
      </c>
      <c r="AG10" s="141">
        <v>0</v>
      </c>
      <c r="AH10" s="141">
        <v>0</v>
      </c>
      <c r="AI10" s="141">
        <v>0</v>
      </c>
      <c r="AJ10" s="141">
        <v>0</v>
      </c>
      <c r="AK10" s="141">
        <v>0</v>
      </c>
      <c r="AL10" s="141">
        <v>0</v>
      </c>
      <c r="AM10" s="141">
        <v>0</v>
      </c>
      <c r="AN10" s="141">
        <v>0</v>
      </c>
      <c r="AO10" s="141">
        <v>0</v>
      </c>
      <c r="AP10" s="141">
        <v>0</v>
      </c>
      <c r="AQ10" s="141">
        <v>0</v>
      </c>
      <c r="AR10" s="141">
        <v>0</v>
      </c>
    </row>
    <row r="11" spans="1:44" customFormat="1" x14ac:dyDescent="0.15">
      <c r="A11" s="176" t="s">
        <v>201</v>
      </c>
      <c r="B11" s="141">
        <v>0</v>
      </c>
      <c r="C11" s="141">
        <v>4.9999999487000013E-2</v>
      </c>
      <c r="D11" s="141">
        <v>0</v>
      </c>
      <c r="E11" s="141">
        <v>1.0000001805599815E-3</v>
      </c>
      <c r="F11" s="141">
        <v>0</v>
      </c>
      <c r="G11" s="141">
        <v>3.5999999999999997E-2</v>
      </c>
      <c r="H11" s="141">
        <v>0</v>
      </c>
      <c r="I11" s="141">
        <v>3.8021337886013605E-2</v>
      </c>
      <c r="J11" s="141">
        <v>0</v>
      </c>
      <c r="K11" s="141">
        <v>0</v>
      </c>
      <c r="L11" s="141">
        <v>1.114488544414381E-2</v>
      </c>
      <c r="M11" s="141">
        <v>0.06</v>
      </c>
      <c r="N11" s="141">
        <v>0</v>
      </c>
      <c r="O11" s="141">
        <v>0</v>
      </c>
      <c r="P11" s="141">
        <v>0</v>
      </c>
      <c r="Q11" s="141">
        <v>0</v>
      </c>
      <c r="R11" s="141">
        <v>0</v>
      </c>
      <c r="S11" s="141">
        <v>0.02</v>
      </c>
      <c r="T11" s="141">
        <v>0</v>
      </c>
      <c r="U11" s="141">
        <v>0</v>
      </c>
      <c r="V11" s="141">
        <v>0</v>
      </c>
      <c r="W11" s="141">
        <v>0</v>
      </c>
      <c r="X11" s="141">
        <v>2.0000001315759871E-3</v>
      </c>
      <c r="Y11" s="141">
        <v>0</v>
      </c>
      <c r="Z11" s="141">
        <v>0</v>
      </c>
      <c r="AA11" s="141">
        <v>0</v>
      </c>
      <c r="AB11" s="141">
        <v>0</v>
      </c>
      <c r="AC11" s="141">
        <v>0</v>
      </c>
      <c r="AD11" s="141">
        <v>0</v>
      </c>
      <c r="AE11" s="141">
        <v>0</v>
      </c>
      <c r="AF11" s="141">
        <v>0</v>
      </c>
      <c r="AG11" s="141">
        <v>0</v>
      </c>
      <c r="AH11" s="141">
        <v>0</v>
      </c>
      <c r="AI11" s="141">
        <v>0</v>
      </c>
      <c r="AJ11" s="141">
        <v>0</v>
      </c>
      <c r="AK11" s="141">
        <v>0</v>
      </c>
      <c r="AL11" s="141">
        <v>0</v>
      </c>
      <c r="AM11" s="141">
        <v>0</v>
      </c>
      <c r="AN11" s="141">
        <v>0</v>
      </c>
      <c r="AO11" s="141">
        <v>0</v>
      </c>
      <c r="AP11" s="141">
        <v>0</v>
      </c>
      <c r="AQ11" s="141">
        <v>0</v>
      </c>
      <c r="AR11" s="141">
        <v>0</v>
      </c>
    </row>
    <row r="12" spans="1:44" customFormat="1" x14ac:dyDescent="0.15">
      <c r="A12" s="176" t="s">
        <v>202</v>
      </c>
      <c r="B12" s="141">
        <v>0</v>
      </c>
      <c r="C12" s="141">
        <v>1.9999999794800005E-2</v>
      </c>
      <c r="D12" s="141">
        <v>1.199611016888507E-2</v>
      </c>
      <c r="E12" s="141">
        <v>2.000000361119963E-3</v>
      </c>
      <c r="F12" s="141">
        <v>0</v>
      </c>
      <c r="G12" s="141">
        <v>7.0000000000000001E-3</v>
      </c>
      <c r="H12" s="141">
        <v>1.0004001989885943E-4</v>
      </c>
      <c r="I12" s="141">
        <v>4.6025832440963713E-2</v>
      </c>
      <c r="J12" s="141">
        <v>0</v>
      </c>
      <c r="K12" s="141">
        <v>0</v>
      </c>
      <c r="L12" s="141">
        <v>9.1185427088449327E-3</v>
      </c>
      <c r="M12" s="141">
        <v>0</v>
      </c>
      <c r="N12" s="141">
        <v>4.9974683613643739E-2</v>
      </c>
      <c r="O12" s="141">
        <v>4.999973963946803E-3</v>
      </c>
      <c r="P12" s="141">
        <v>0</v>
      </c>
      <c r="Q12" s="141">
        <v>0</v>
      </c>
      <c r="R12" s="141">
        <v>0</v>
      </c>
      <c r="S12" s="141">
        <v>0</v>
      </c>
      <c r="T12" s="141">
        <v>0</v>
      </c>
      <c r="U12" s="141">
        <v>0</v>
      </c>
      <c r="V12" s="141">
        <v>0</v>
      </c>
      <c r="W12" s="141">
        <v>0</v>
      </c>
      <c r="X12" s="141">
        <v>3.0000001323639871E-4</v>
      </c>
      <c r="Y12" s="141">
        <v>0</v>
      </c>
      <c r="Z12" s="141">
        <v>0</v>
      </c>
      <c r="AA12" s="141">
        <v>0</v>
      </c>
      <c r="AB12" s="141">
        <v>0</v>
      </c>
      <c r="AC12" s="141">
        <v>0</v>
      </c>
      <c r="AD12" s="141">
        <v>0</v>
      </c>
      <c r="AE12" s="141">
        <v>0</v>
      </c>
      <c r="AF12" s="141">
        <v>0</v>
      </c>
      <c r="AG12" s="141">
        <v>0</v>
      </c>
      <c r="AH12" s="141">
        <v>0</v>
      </c>
      <c r="AI12" s="141">
        <v>0</v>
      </c>
      <c r="AJ12" s="141">
        <v>0</v>
      </c>
      <c r="AK12" s="141">
        <v>0</v>
      </c>
      <c r="AL12" s="141">
        <v>0</v>
      </c>
      <c r="AM12" s="141">
        <v>0</v>
      </c>
      <c r="AN12" s="141">
        <v>0</v>
      </c>
      <c r="AO12" s="141">
        <v>0</v>
      </c>
      <c r="AP12" s="141">
        <v>0</v>
      </c>
      <c r="AQ12" s="141">
        <v>0</v>
      </c>
      <c r="AR12" s="141">
        <v>0</v>
      </c>
    </row>
    <row r="13" spans="1:44" customFormat="1" x14ac:dyDescent="0.15">
      <c r="A13" s="176" t="s">
        <v>203</v>
      </c>
      <c r="B13" s="141">
        <v>0</v>
      </c>
      <c r="C13" s="141">
        <v>0</v>
      </c>
      <c r="D13" s="141">
        <v>0</v>
      </c>
      <c r="E13" s="141">
        <v>0</v>
      </c>
      <c r="F13" s="141">
        <v>0</v>
      </c>
      <c r="G13" s="141">
        <v>0</v>
      </c>
      <c r="H13" s="141">
        <v>0</v>
      </c>
      <c r="I13" s="141">
        <v>0</v>
      </c>
      <c r="J13" s="141">
        <v>0</v>
      </c>
      <c r="K13" s="141">
        <v>0</v>
      </c>
      <c r="L13" s="141">
        <v>0</v>
      </c>
      <c r="M13" s="141">
        <v>1E-3</v>
      </c>
      <c r="N13" s="141">
        <v>0</v>
      </c>
      <c r="O13" s="141">
        <v>0</v>
      </c>
      <c r="P13" s="141">
        <v>0</v>
      </c>
      <c r="Q13" s="141">
        <v>0</v>
      </c>
      <c r="R13" s="141">
        <v>0</v>
      </c>
      <c r="S13" s="141">
        <v>0</v>
      </c>
      <c r="T13" s="141">
        <v>0</v>
      </c>
      <c r="U13" s="141">
        <v>0</v>
      </c>
      <c r="V13" s="141">
        <v>0</v>
      </c>
      <c r="W13" s="141">
        <v>0</v>
      </c>
      <c r="X13" s="141">
        <v>0</v>
      </c>
      <c r="Y13" s="141">
        <v>0</v>
      </c>
      <c r="Z13" s="141">
        <v>0</v>
      </c>
      <c r="AA13" s="141">
        <v>0</v>
      </c>
      <c r="AB13" s="141">
        <v>0</v>
      </c>
      <c r="AC13" s="141">
        <v>0</v>
      </c>
      <c r="AD13" s="141">
        <v>0</v>
      </c>
      <c r="AE13" s="141">
        <v>0</v>
      </c>
      <c r="AF13" s="141">
        <v>0</v>
      </c>
      <c r="AG13" s="141">
        <v>0</v>
      </c>
      <c r="AH13" s="141">
        <v>0</v>
      </c>
      <c r="AI13" s="141">
        <v>0</v>
      </c>
      <c r="AJ13" s="141">
        <v>0</v>
      </c>
      <c r="AK13" s="141">
        <v>0</v>
      </c>
      <c r="AL13" s="141">
        <v>0</v>
      </c>
      <c r="AM13" s="141">
        <v>0</v>
      </c>
      <c r="AN13" s="141">
        <v>0</v>
      </c>
      <c r="AO13" s="141">
        <v>0</v>
      </c>
      <c r="AP13" s="141">
        <v>0</v>
      </c>
      <c r="AQ13" s="141">
        <v>0</v>
      </c>
      <c r="AR13" s="141">
        <v>0</v>
      </c>
    </row>
    <row r="14" spans="1:44" customFormat="1" x14ac:dyDescent="0.15">
      <c r="A14" s="176" t="s">
        <v>204</v>
      </c>
      <c r="B14" s="141">
        <v>0</v>
      </c>
      <c r="C14" s="141">
        <v>1.0000000597399994E-2</v>
      </c>
      <c r="D14" s="141">
        <v>1.7994173603327095E-2</v>
      </c>
      <c r="E14" s="141">
        <v>0</v>
      </c>
      <c r="F14" s="141">
        <v>2.0000529175238182E-3</v>
      </c>
      <c r="G14" s="141">
        <v>3.5000000000000003E-2</v>
      </c>
      <c r="H14" s="141">
        <v>0</v>
      </c>
      <c r="I14" s="141">
        <v>2.0000018887998943E-3</v>
      </c>
      <c r="J14" s="141">
        <v>0</v>
      </c>
      <c r="K14" s="141">
        <v>0</v>
      </c>
      <c r="L14" s="141">
        <v>0</v>
      </c>
      <c r="M14" s="141">
        <v>0</v>
      </c>
      <c r="N14" s="141">
        <v>9.9984859827226139E-4</v>
      </c>
      <c r="O14" s="141">
        <v>1.6685112048764907E-3</v>
      </c>
      <c r="P14" s="141">
        <v>9.996000500799624E-5</v>
      </c>
      <c r="Q14" s="141">
        <v>0</v>
      </c>
      <c r="R14" s="141">
        <v>9.9999999568000015E-4</v>
      </c>
      <c r="S14" s="141">
        <v>0</v>
      </c>
      <c r="T14" s="141">
        <v>0</v>
      </c>
      <c r="U14" s="141">
        <v>0</v>
      </c>
      <c r="V14" s="141">
        <v>0</v>
      </c>
      <c r="W14" s="141">
        <v>0</v>
      </c>
      <c r="X14" s="141">
        <v>0</v>
      </c>
      <c r="Y14" s="141">
        <v>0</v>
      </c>
      <c r="Z14" s="141">
        <v>0</v>
      </c>
      <c r="AA14" s="141">
        <v>0</v>
      </c>
      <c r="AB14" s="141">
        <v>0</v>
      </c>
      <c r="AC14" s="141">
        <v>0</v>
      </c>
      <c r="AD14" s="141">
        <v>0</v>
      </c>
      <c r="AE14" s="141">
        <v>0</v>
      </c>
      <c r="AF14" s="141">
        <v>0</v>
      </c>
      <c r="AG14" s="141">
        <v>0</v>
      </c>
      <c r="AH14" s="141">
        <v>0</v>
      </c>
      <c r="AI14" s="141">
        <v>0</v>
      </c>
      <c r="AJ14" s="141">
        <v>0</v>
      </c>
      <c r="AK14" s="141">
        <v>0</v>
      </c>
      <c r="AL14" s="141">
        <v>0</v>
      </c>
      <c r="AM14" s="141">
        <v>0</v>
      </c>
      <c r="AN14" s="141">
        <v>0</v>
      </c>
      <c r="AO14" s="141">
        <v>0</v>
      </c>
      <c r="AP14" s="141">
        <v>0</v>
      </c>
      <c r="AQ14" s="141">
        <v>0</v>
      </c>
      <c r="AR14" s="141">
        <v>0</v>
      </c>
    </row>
    <row r="15" spans="1:44" customFormat="1" x14ac:dyDescent="0.15">
      <c r="A15" s="176" t="s">
        <v>205</v>
      </c>
      <c r="B15" s="141">
        <v>9.9980018556088558E-4</v>
      </c>
      <c r="C15" s="141">
        <v>0</v>
      </c>
      <c r="D15" s="141">
        <v>9.9967643907371978E-4</v>
      </c>
      <c r="E15" s="141">
        <v>7.9999992044800752E-2</v>
      </c>
      <c r="F15" s="141">
        <v>8.0237346691252563E-3</v>
      </c>
      <c r="G15" s="141">
        <v>0</v>
      </c>
      <c r="H15" s="141">
        <v>0</v>
      </c>
      <c r="I15" s="141">
        <v>0</v>
      </c>
      <c r="J15" s="141">
        <v>0</v>
      </c>
      <c r="K15" s="141">
        <v>0</v>
      </c>
      <c r="L15" s="141">
        <v>4.0526854405977551E-2</v>
      </c>
      <c r="M15" s="141">
        <v>0.224</v>
      </c>
      <c r="N15" s="141">
        <v>7.9959499861829968E-3</v>
      </c>
      <c r="O15" s="141">
        <v>0</v>
      </c>
      <c r="P15" s="141">
        <v>0</v>
      </c>
      <c r="Q15" s="141">
        <v>0</v>
      </c>
      <c r="R15" s="141">
        <v>0</v>
      </c>
      <c r="S15" s="141">
        <v>0</v>
      </c>
      <c r="T15" s="141">
        <v>0</v>
      </c>
      <c r="U15" s="141">
        <v>0</v>
      </c>
      <c r="V15" s="141">
        <v>0</v>
      </c>
      <c r="W15" s="141">
        <v>0</v>
      </c>
      <c r="X15" s="141">
        <v>1.000000060787994E-3</v>
      </c>
      <c r="Y15" s="141">
        <v>0</v>
      </c>
      <c r="Z15" s="141">
        <v>0</v>
      </c>
      <c r="AA15" s="141">
        <v>0</v>
      </c>
      <c r="AB15" s="141">
        <v>0</v>
      </c>
      <c r="AC15" s="141">
        <v>0</v>
      </c>
      <c r="AD15" s="141">
        <v>0</v>
      </c>
      <c r="AE15" s="141">
        <v>0</v>
      </c>
      <c r="AF15" s="141">
        <v>0</v>
      </c>
      <c r="AG15" s="141">
        <v>0</v>
      </c>
      <c r="AH15" s="141">
        <v>0</v>
      </c>
      <c r="AI15" s="141">
        <v>0</v>
      </c>
      <c r="AJ15" s="141">
        <v>0</v>
      </c>
      <c r="AK15" s="141">
        <v>0</v>
      </c>
      <c r="AL15" s="141">
        <v>0</v>
      </c>
      <c r="AM15" s="141">
        <v>0</v>
      </c>
      <c r="AN15" s="141">
        <v>0</v>
      </c>
      <c r="AO15" s="141">
        <v>0</v>
      </c>
      <c r="AP15" s="141">
        <v>0</v>
      </c>
      <c r="AQ15" s="141">
        <v>0</v>
      </c>
      <c r="AR15" s="141">
        <v>0</v>
      </c>
    </row>
    <row r="16" spans="1:44" customFormat="1" x14ac:dyDescent="0.15">
      <c r="A16" s="176" t="s">
        <v>206</v>
      </c>
      <c r="B16" s="141">
        <v>0</v>
      </c>
      <c r="C16" s="141">
        <v>2.9999999692200002E-2</v>
      </c>
      <c r="D16" s="141">
        <v>3.6988025145727819E-2</v>
      </c>
      <c r="E16" s="141">
        <v>1.0000001805599815E-3</v>
      </c>
      <c r="F16" s="141">
        <v>8.8261086360377605E-2</v>
      </c>
      <c r="G16" s="141">
        <v>2.9000000000000001E-2</v>
      </c>
      <c r="H16" s="141">
        <v>0</v>
      </c>
      <c r="I16" s="141">
        <v>0.11906682737988437</v>
      </c>
      <c r="J16" s="141">
        <v>0</v>
      </c>
      <c r="K16" s="141">
        <v>0.10000000068000005</v>
      </c>
      <c r="L16" s="141">
        <v>3.8500512670678638E-2</v>
      </c>
      <c r="M16" s="141">
        <v>0.11</v>
      </c>
      <c r="N16" s="141">
        <v>0.14999721874080477</v>
      </c>
      <c r="O16" s="141">
        <v>2.1980387098971731E-2</v>
      </c>
      <c r="P16" s="141">
        <v>9.996000500799624E-5</v>
      </c>
      <c r="Q16" s="141">
        <v>0</v>
      </c>
      <c r="R16" s="141">
        <v>1.7000002726559989E-2</v>
      </c>
      <c r="S16" s="141">
        <v>0.02</v>
      </c>
      <c r="T16" s="141">
        <v>2.9999999999999992E-2</v>
      </c>
      <c r="U16" s="141">
        <v>0</v>
      </c>
      <c r="V16" s="141">
        <v>0</v>
      </c>
      <c r="W16" s="141">
        <v>0</v>
      </c>
      <c r="X16" s="141">
        <v>2.9999999623640037E-3</v>
      </c>
      <c r="Y16" s="141">
        <v>0</v>
      </c>
      <c r="Z16" s="141">
        <v>0</v>
      </c>
      <c r="AA16" s="141">
        <v>0</v>
      </c>
      <c r="AB16" s="141">
        <v>0</v>
      </c>
      <c r="AC16" s="141">
        <v>0</v>
      </c>
      <c r="AD16" s="141">
        <v>0</v>
      </c>
      <c r="AE16" s="141">
        <v>0</v>
      </c>
      <c r="AF16" s="141">
        <v>0</v>
      </c>
      <c r="AG16" s="141">
        <v>0</v>
      </c>
      <c r="AH16" s="141">
        <v>0</v>
      </c>
      <c r="AI16" s="141">
        <v>0</v>
      </c>
      <c r="AJ16" s="141">
        <v>0</v>
      </c>
      <c r="AK16" s="141">
        <v>0</v>
      </c>
      <c r="AL16" s="141">
        <v>0</v>
      </c>
      <c r="AM16" s="141">
        <v>0</v>
      </c>
      <c r="AN16" s="141">
        <v>0</v>
      </c>
      <c r="AO16" s="141">
        <v>0</v>
      </c>
      <c r="AP16" s="141">
        <v>0</v>
      </c>
      <c r="AQ16" s="141">
        <v>0</v>
      </c>
      <c r="AR16" s="141">
        <v>0</v>
      </c>
    </row>
    <row r="17" spans="1:44" customFormat="1" x14ac:dyDescent="0.15">
      <c r="A17" s="176" t="s">
        <v>207</v>
      </c>
      <c r="B17" s="141">
        <v>0.10597879846945418</v>
      </c>
      <c r="C17" s="141">
        <v>0.10999999887140002</v>
      </c>
      <c r="D17" s="141">
        <v>0.11999332168688701</v>
      </c>
      <c r="E17" s="141">
        <v>0.40599997762736206</v>
      </c>
      <c r="F17" s="141">
        <v>5.0148327932033408E-2</v>
      </c>
      <c r="G17" s="141">
        <v>2.1999999999999999E-2</v>
      </c>
      <c r="H17" s="141">
        <v>1.9007604010783281E-2</v>
      </c>
      <c r="I17" s="141">
        <v>4.0022467774750783E-3</v>
      </c>
      <c r="J17" s="141">
        <v>0.309</v>
      </c>
      <c r="K17" s="141">
        <v>0</v>
      </c>
      <c r="L17" s="141">
        <v>3.039513152948346E-3</v>
      </c>
      <c r="M17" s="141">
        <v>0</v>
      </c>
      <c r="N17" s="141">
        <v>9.9949379827287462E-4</v>
      </c>
      <c r="O17" s="141">
        <v>1.9982170953610772E-3</v>
      </c>
      <c r="P17" s="141">
        <v>0</v>
      </c>
      <c r="Q17" s="141">
        <v>1E-3</v>
      </c>
      <c r="R17" s="141">
        <v>1.0000001556799995E-3</v>
      </c>
      <c r="S17" s="141">
        <v>0.01</v>
      </c>
      <c r="T17" s="141">
        <v>0</v>
      </c>
      <c r="U17" s="141">
        <v>0.1</v>
      </c>
      <c r="V17" s="141">
        <v>0</v>
      </c>
      <c r="W17" s="141">
        <v>0</v>
      </c>
      <c r="X17" s="141">
        <v>4.0000002631519743E-3</v>
      </c>
      <c r="Y17" s="141">
        <v>8.9999997021000103E-2</v>
      </c>
      <c r="Z17" s="141">
        <v>1E-3</v>
      </c>
      <c r="AA17" s="141">
        <v>1E-3</v>
      </c>
      <c r="AB17" s="141">
        <v>0</v>
      </c>
      <c r="AC17" s="141">
        <v>0</v>
      </c>
      <c r="AD17" s="141">
        <v>0</v>
      </c>
      <c r="AE17" s="141">
        <v>9.9974999946613363E-4</v>
      </c>
      <c r="AF17" s="141">
        <v>0</v>
      </c>
      <c r="AG17" s="141">
        <v>0</v>
      </c>
      <c r="AH17" s="141">
        <v>0</v>
      </c>
      <c r="AI17" s="141">
        <v>0</v>
      </c>
      <c r="AJ17" s="141">
        <v>0</v>
      </c>
      <c r="AK17" s="141">
        <v>0</v>
      </c>
      <c r="AL17" s="141">
        <v>0</v>
      </c>
      <c r="AM17" s="141">
        <v>0</v>
      </c>
      <c r="AN17" s="141">
        <v>0</v>
      </c>
      <c r="AO17" s="141">
        <v>0</v>
      </c>
      <c r="AP17" s="141">
        <v>0</v>
      </c>
      <c r="AQ17" s="141">
        <v>0</v>
      </c>
      <c r="AR17" s="141">
        <v>0</v>
      </c>
    </row>
    <row r="18" spans="1:44" customFormat="1" x14ac:dyDescent="0.15">
      <c r="A18" s="176" t="s">
        <v>208</v>
      </c>
      <c r="B18" s="141">
        <v>0</v>
      </c>
      <c r="C18" s="141">
        <v>4.9999999487000013E-2</v>
      </c>
      <c r="D18" s="141">
        <v>9.9967643907371978E-4</v>
      </c>
      <c r="E18" s="141">
        <v>0</v>
      </c>
      <c r="F18" s="141">
        <v>0</v>
      </c>
      <c r="G18" s="141">
        <v>0</v>
      </c>
      <c r="H18" s="141">
        <v>0</v>
      </c>
      <c r="I18" s="141">
        <v>0</v>
      </c>
      <c r="J18" s="141">
        <v>0</v>
      </c>
      <c r="K18" s="141">
        <v>0.10000000068000005</v>
      </c>
      <c r="L18" s="141">
        <v>0</v>
      </c>
      <c r="M18" s="141">
        <v>0.06</v>
      </c>
      <c r="N18" s="141">
        <v>0</v>
      </c>
      <c r="O18" s="141">
        <v>0</v>
      </c>
      <c r="P18" s="141">
        <v>0</v>
      </c>
      <c r="Q18" s="141">
        <v>0</v>
      </c>
      <c r="R18" s="141">
        <v>0</v>
      </c>
      <c r="S18" s="141">
        <v>0</v>
      </c>
      <c r="T18" s="141">
        <v>0</v>
      </c>
      <c r="U18" s="141">
        <v>0</v>
      </c>
      <c r="V18" s="141">
        <v>0</v>
      </c>
      <c r="W18" s="141">
        <v>0</v>
      </c>
      <c r="X18" s="141">
        <v>3.9999997931520207E-4</v>
      </c>
      <c r="Y18" s="141">
        <v>0</v>
      </c>
      <c r="Z18" s="141">
        <v>0</v>
      </c>
      <c r="AA18" s="141">
        <v>0</v>
      </c>
      <c r="AB18" s="141">
        <v>0</v>
      </c>
      <c r="AC18" s="141">
        <v>0</v>
      </c>
      <c r="AD18" s="141">
        <v>0</v>
      </c>
      <c r="AE18" s="141">
        <v>0</v>
      </c>
      <c r="AF18" s="141">
        <v>0</v>
      </c>
      <c r="AG18" s="141">
        <v>0</v>
      </c>
      <c r="AH18" s="141">
        <v>0</v>
      </c>
      <c r="AI18" s="141">
        <v>0</v>
      </c>
      <c r="AJ18" s="141">
        <v>0</v>
      </c>
      <c r="AK18" s="141">
        <v>0</v>
      </c>
      <c r="AL18" s="141">
        <v>0</v>
      </c>
      <c r="AM18" s="141">
        <v>0</v>
      </c>
      <c r="AN18" s="141">
        <v>0</v>
      </c>
      <c r="AO18" s="141">
        <v>0</v>
      </c>
      <c r="AP18" s="141">
        <v>0</v>
      </c>
      <c r="AQ18" s="141">
        <v>0</v>
      </c>
      <c r="AR18" s="141">
        <v>0</v>
      </c>
    </row>
    <row r="19" spans="1:44" customFormat="1" x14ac:dyDescent="0.15">
      <c r="A19" s="176" t="s">
        <v>209</v>
      </c>
      <c r="B19" s="141">
        <v>0</v>
      </c>
      <c r="C19" s="141">
        <v>0.14999999846100001</v>
      </c>
      <c r="D19" s="141">
        <v>9.9967623907373203E-3</v>
      </c>
      <c r="E19" s="141">
        <v>1.9999998011200188E-2</v>
      </c>
      <c r="F19" s="141">
        <v>0</v>
      </c>
      <c r="G19" s="141">
        <v>1.7000000000000001E-2</v>
      </c>
      <c r="H19" s="141">
        <v>0</v>
      </c>
      <c r="I19" s="141">
        <v>0</v>
      </c>
      <c r="J19" s="141">
        <v>0</v>
      </c>
      <c r="K19" s="141">
        <v>4.9999998639999842E-2</v>
      </c>
      <c r="L19" s="141">
        <v>0</v>
      </c>
      <c r="M19" s="141">
        <v>0</v>
      </c>
      <c r="N19" s="141">
        <v>0</v>
      </c>
      <c r="O19" s="141">
        <v>0</v>
      </c>
      <c r="P19" s="141">
        <v>0</v>
      </c>
      <c r="Q19" s="141">
        <v>0</v>
      </c>
      <c r="R19" s="141">
        <v>0</v>
      </c>
      <c r="S19" s="141">
        <v>0</v>
      </c>
      <c r="T19" s="141">
        <v>1.9999999999999996E-3</v>
      </c>
      <c r="U19" s="141">
        <v>0</v>
      </c>
      <c r="V19" s="141">
        <v>0</v>
      </c>
      <c r="W19" s="141">
        <v>0</v>
      </c>
      <c r="X19" s="141">
        <v>0</v>
      </c>
      <c r="Y19" s="141">
        <v>0</v>
      </c>
      <c r="Z19" s="141">
        <v>0</v>
      </c>
      <c r="AA19" s="141">
        <v>0</v>
      </c>
      <c r="AB19" s="141">
        <v>0</v>
      </c>
      <c r="AC19" s="141">
        <v>0</v>
      </c>
      <c r="AD19" s="141">
        <v>0</v>
      </c>
      <c r="AE19" s="141">
        <v>0</v>
      </c>
      <c r="AF19" s="141">
        <v>0</v>
      </c>
      <c r="AG19" s="141">
        <v>0</v>
      </c>
      <c r="AH19" s="141">
        <v>0</v>
      </c>
      <c r="AI19" s="141">
        <v>0</v>
      </c>
      <c r="AJ19" s="141">
        <v>0</v>
      </c>
      <c r="AK19" s="141">
        <v>0</v>
      </c>
      <c r="AL19" s="141">
        <v>0</v>
      </c>
      <c r="AM19" s="141">
        <v>0</v>
      </c>
      <c r="AN19" s="141">
        <v>0</v>
      </c>
      <c r="AO19" s="141">
        <v>0</v>
      </c>
      <c r="AP19" s="141">
        <v>0</v>
      </c>
      <c r="AQ19" s="141">
        <v>0</v>
      </c>
      <c r="AR19" s="141">
        <v>0</v>
      </c>
    </row>
    <row r="20" spans="1:44" customFormat="1" x14ac:dyDescent="0.15">
      <c r="A20" s="176" t="s">
        <v>210</v>
      </c>
      <c r="B20" s="141">
        <v>9.9980018556088558E-4</v>
      </c>
      <c r="C20" s="141">
        <v>4.9999999487000013E-2</v>
      </c>
      <c r="D20" s="141">
        <v>9.9967643907371978E-4</v>
      </c>
      <c r="E20" s="141">
        <v>1.0000001805599815E-3</v>
      </c>
      <c r="F20" s="141">
        <v>0</v>
      </c>
      <c r="G20" s="141">
        <v>7.0000000000000007E-2</v>
      </c>
      <c r="H20" s="141">
        <v>0</v>
      </c>
      <c r="I20" s="141">
        <v>1.9010668943006803E-2</v>
      </c>
      <c r="J20" s="141">
        <v>0</v>
      </c>
      <c r="K20" s="141">
        <v>0.10000000068000005</v>
      </c>
      <c r="L20" s="141">
        <v>4.0526858705977409E-3</v>
      </c>
      <c r="M20" s="141">
        <v>0</v>
      </c>
      <c r="N20" s="141">
        <v>0</v>
      </c>
      <c r="O20" s="141">
        <v>0</v>
      </c>
      <c r="P20" s="141">
        <v>9.996000500799624E-5</v>
      </c>
      <c r="Q20" s="141">
        <v>0</v>
      </c>
      <c r="R20" s="141">
        <v>0</v>
      </c>
      <c r="S20" s="141">
        <v>3.9E-2</v>
      </c>
      <c r="T20" s="141">
        <v>0</v>
      </c>
      <c r="U20" s="141">
        <v>0</v>
      </c>
      <c r="V20" s="141">
        <v>0</v>
      </c>
      <c r="W20" s="141">
        <v>0</v>
      </c>
      <c r="X20" s="141">
        <v>3.0000001323639871E-4</v>
      </c>
      <c r="Y20" s="141">
        <v>0</v>
      </c>
      <c r="Z20" s="141">
        <v>0</v>
      </c>
      <c r="AA20" s="141">
        <v>0</v>
      </c>
      <c r="AB20" s="141">
        <v>0</v>
      </c>
      <c r="AC20" s="141">
        <v>0</v>
      </c>
      <c r="AD20" s="141">
        <v>0</v>
      </c>
      <c r="AE20" s="141">
        <v>0</v>
      </c>
      <c r="AF20" s="141">
        <v>0</v>
      </c>
      <c r="AG20" s="141">
        <v>0</v>
      </c>
      <c r="AH20" s="141">
        <v>0</v>
      </c>
      <c r="AI20" s="141">
        <v>0</v>
      </c>
      <c r="AJ20" s="141">
        <v>0</v>
      </c>
      <c r="AK20" s="141">
        <v>0</v>
      </c>
      <c r="AL20" s="141">
        <v>0</v>
      </c>
      <c r="AM20" s="141">
        <v>0</v>
      </c>
      <c r="AN20" s="141">
        <v>0</v>
      </c>
      <c r="AO20" s="141">
        <v>0</v>
      </c>
      <c r="AP20" s="141">
        <v>0</v>
      </c>
      <c r="AQ20" s="141">
        <v>0</v>
      </c>
      <c r="AR20" s="141">
        <v>0</v>
      </c>
    </row>
    <row r="21" spans="1:44" customFormat="1" x14ac:dyDescent="0.15">
      <c r="A21" s="176" t="s">
        <v>211</v>
      </c>
      <c r="B21" s="141">
        <v>0</v>
      </c>
      <c r="C21" s="141">
        <v>0</v>
      </c>
      <c r="D21" s="141">
        <v>0</v>
      </c>
      <c r="E21" s="141">
        <v>0</v>
      </c>
      <c r="F21" s="141">
        <v>0</v>
      </c>
      <c r="G21" s="141">
        <v>0</v>
      </c>
      <c r="H21" s="141">
        <v>0</v>
      </c>
      <c r="I21" s="141">
        <v>0</v>
      </c>
      <c r="J21" s="141">
        <v>0</v>
      </c>
      <c r="K21" s="141">
        <v>0</v>
      </c>
      <c r="L21" s="141">
        <v>0</v>
      </c>
      <c r="M21" s="141">
        <v>0</v>
      </c>
      <c r="N21" s="141">
        <v>0</v>
      </c>
      <c r="O21" s="141">
        <v>0</v>
      </c>
      <c r="P21" s="141">
        <v>0</v>
      </c>
      <c r="Q21" s="141">
        <v>0</v>
      </c>
      <c r="R21" s="141">
        <v>0</v>
      </c>
      <c r="S21" s="141">
        <v>0</v>
      </c>
      <c r="T21" s="141">
        <v>0</v>
      </c>
      <c r="U21" s="141">
        <v>0</v>
      </c>
      <c r="V21" s="141">
        <v>0</v>
      </c>
      <c r="W21" s="141">
        <v>0</v>
      </c>
      <c r="X21" s="141">
        <v>0</v>
      </c>
      <c r="Y21" s="141">
        <v>0</v>
      </c>
      <c r="Z21" s="141">
        <v>0</v>
      </c>
      <c r="AA21" s="141">
        <v>0</v>
      </c>
      <c r="AB21" s="141">
        <v>0</v>
      </c>
      <c r="AC21" s="141">
        <v>0</v>
      </c>
      <c r="AD21" s="141">
        <v>0</v>
      </c>
      <c r="AE21" s="141">
        <v>0</v>
      </c>
      <c r="AF21" s="141">
        <v>0</v>
      </c>
      <c r="AG21" s="141">
        <v>0</v>
      </c>
      <c r="AH21" s="141">
        <v>0</v>
      </c>
      <c r="AI21" s="141">
        <v>0</v>
      </c>
      <c r="AJ21" s="141">
        <v>0</v>
      </c>
      <c r="AK21" s="141">
        <v>0</v>
      </c>
      <c r="AL21" s="141">
        <v>0</v>
      </c>
      <c r="AM21" s="141">
        <v>0</v>
      </c>
      <c r="AN21" s="141">
        <v>0</v>
      </c>
      <c r="AO21" s="141">
        <v>0</v>
      </c>
      <c r="AP21" s="141">
        <v>0</v>
      </c>
      <c r="AQ21" s="141">
        <v>0</v>
      </c>
      <c r="AR21" s="141">
        <v>0</v>
      </c>
    </row>
    <row r="22" spans="1:44" customFormat="1" x14ac:dyDescent="0.15">
      <c r="A22" s="176" t="s">
        <v>212</v>
      </c>
      <c r="B22" s="141">
        <v>0</v>
      </c>
      <c r="C22" s="141">
        <v>0</v>
      </c>
      <c r="D22" s="141">
        <v>0</v>
      </c>
      <c r="E22" s="141">
        <v>0.13100001397335853</v>
      </c>
      <c r="F22" s="141">
        <v>1.5044500479609936E-2</v>
      </c>
      <c r="G22" s="141">
        <v>6.2E-2</v>
      </c>
      <c r="H22" s="141">
        <v>0</v>
      </c>
      <c r="I22" s="141">
        <v>3.0001836131897906E-2</v>
      </c>
      <c r="J22" s="141">
        <v>0</v>
      </c>
      <c r="K22" s="141">
        <v>0</v>
      </c>
      <c r="L22" s="141">
        <v>0</v>
      </c>
      <c r="M22" s="141">
        <v>0</v>
      </c>
      <c r="N22" s="141">
        <v>0</v>
      </c>
      <c r="O22" s="141">
        <v>0</v>
      </c>
      <c r="P22" s="141">
        <v>0</v>
      </c>
      <c r="Q22" s="141">
        <v>0</v>
      </c>
      <c r="R22" s="141">
        <v>0</v>
      </c>
      <c r="S22" s="141">
        <v>0</v>
      </c>
      <c r="T22" s="141">
        <v>0</v>
      </c>
      <c r="U22" s="141">
        <v>0</v>
      </c>
      <c r="V22" s="141">
        <v>0</v>
      </c>
      <c r="W22" s="141">
        <v>0</v>
      </c>
      <c r="X22" s="141">
        <v>0</v>
      </c>
      <c r="Y22" s="141">
        <v>0</v>
      </c>
      <c r="Z22" s="141">
        <v>0</v>
      </c>
      <c r="AA22" s="141">
        <v>0</v>
      </c>
      <c r="AB22" s="141">
        <v>0</v>
      </c>
      <c r="AC22" s="141">
        <v>0</v>
      </c>
      <c r="AD22" s="141">
        <v>0</v>
      </c>
      <c r="AE22" s="141">
        <v>0</v>
      </c>
      <c r="AF22" s="141">
        <v>0</v>
      </c>
      <c r="AG22" s="141">
        <v>0</v>
      </c>
      <c r="AH22" s="141">
        <v>0</v>
      </c>
      <c r="AI22" s="141">
        <v>0</v>
      </c>
      <c r="AJ22" s="141">
        <v>0</v>
      </c>
      <c r="AK22" s="141">
        <v>0</v>
      </c>
      <c r="AL22" s="141">
        <v>0</v>
      </c>
      <c r="AM22" s="141">
        <v>0</v>
      </c>
      <c r="AN22" s="141">
        <v>0</v>
      </c>
      <c r="AO22" s="141">
        <v>0</v>
      </c>
      <c r="AP22" s="141">
        <v>0</v>
      </c>
      <c r="AQ22" s="141">
        <v>0</v>
      </c>
      <c r="AR22" s="141">
        <v>0</v>
      </c>
    </row>
    <row r="23" spans="1:44" customFormat="1" x14ac:dyDescent="0.15">
      <c r="A23" s="176" t="s">
        <v>213</v>
      </c>
      <c r="B23" s="141">
        <v>0</v>
      </c>
      <c r="C23" s="141">
        <v>0</v>
      </c>
      <c r="D23" s="141">
        <v>0</v>
      </c>
      <c r="E23" s="141">
        <v>0</v>
      </c>
      <c r="F23" s="141">
        <v>0</v>
      </c>
      <c r="G23" s="141">
        <v>1E-3</v>
      </c>
      <c r="H23" s="141">
        <v>0</v>
      </c>
      <c r="I23" s="141">
        <v>0</v>
      </c>
      <c r="J23" s="141">
        <v>0</v>
      </c>
      <c r="K23" s="141">
        <v>0</v>
      </c>
      <c r="L23" s="141">
        <v>0</v>
      </c>
      <c r="M23" s="141">
        <v>0</v>
      </c>
      <c r="N23" s="141">
        <v>0</v>
      </c>
      <c r="O23" s="141">
        <v>0</v>
      </c>
      <c r="P23" s="141">
        <v>0</v>
      </c>
      <c r="Q23" s="141">
        <v>0</v>
      </c>
      <c r="R23" s="141">
        <v>0</v>
      </c>
      <c r="S23" s="141">
        <v>0</v>
      </c>
      <c r="T23" s="141">
        <v>0</v>
      </c>
      <c r="U23" s="141">
        <v>0</v>
      </c>
      <c r="V23" s="141">
        <v>0</v>
      </c>
      <c r="W23" s="141">
        <v>0</v>
      </c>
      <c r="X23" s="141">
        <v>0</v>
      </c>
      <c r="Y23" s="141">
        <v>0</v>
      </c>
      <c r="Z23" s="141">
        <v>0</v>
      </c>
      <c r="AA23" s="141">
        <v>0</v>
      </c>
      <c r="AB23" s="141">
        <v>0</v>
      </c>
      <c r="AC23" s="141">
        <v>0</v>
      </c>
      <c r="AD23" s="141">
        <v>0</v>
      </c>
      <c r="AE23" s="141">
        <v>0</v>
      </c>
      <c r="AF23" s="141">
        <v>0</v>
      </c>
      <c r="AG23" s="141">
        <v>0</v>
      </c>
      <c r="AH23" s="141">
        <v>0</v>
      </c>
      <c r="AI23" s="141">
        <v>0</v>
      </c>
      <c r="AJ23" s="141">
        <v>0</v>
      </c>
      <c r="AK23" s="141">
        <v>0</v>
      </c>
      <c r="AL23" s="141">
        <v>0</v>
      </c>
      <c r="AM23" s="141">
        <v>0</v>
      </c>
      <c r="AN23" s="141">
        <v>0</v>
      </c>
      <c r="AO23" s="141">
        <v>0</v>
      </c>
      <c r="AP23" s="141">
        <v>0</v>
      </c>
      <c r="AQ23" s="141">
        <v>0</v>
      </c>
      <c r="AR23" s="141">
        <v>0</v>
      </c>
    </row>
    <row r="24" spans="1:44" customFormat="1" x14ac:dyDescent="0.15">
      <c r="A24" s="176" t="s">
        <v>214</v>
      </c>
      <c r="B24" s="141">
        <v>0</v>
      </c>
      <c r="C24" s="141">
        <v>7.9999999179200018E-2</v>
      </c>
      <c r="D24" s="141">
        <v>2.5991572315917633E-2</v>
      </c>
      <c r="E24" s="141">
        <v>2.3000001512879838E-2</v>
      </c>
      <c r="F24" s="141">
        <v>0.11433819928503569</v>
      </c>
      <c r="G24" s="141">
        <v>0.06</v>
      </c>
      <c r="H24" s="141">
        <v>0.28811525406871524</v>
      </c>
      <c r="I24" s="141">
        <v>7.0039306105814561E-2</v>
      </c>
      <c r="J24" s="141">
        <v>0</v>
      </c>
      <c r="K24" s="141">
        <v>0.10000000068000005</v>
      </c>
      <c r="L24" s="141">
        <v>0.10942248650614003</v>
      </c>
      <c r="M24" s="141">
        <v>0</v>
      </c>
      <c r="N24" s="141">
        <v>0.1399570997581541</v>
      </c>
      <c r="O24" s="141">
        <v>2.7975035535054614E-2</v>
      </c>
      <c r="P24" s="141">
        <v>2.8988403752319026E-2</v>
      </c>
      <c r="Q24" s="141">
        <v>0</v>
      </c>
      <c r="R24" s="141">
        <v>8.0000009654399955E-3</v>
      </c>
      <c r="S24" s="141">
        <v>0</v>
      </c>
      <c r="T24" s="141">
        <v>2.9999999999999992E-2</v>
      </c>
      <c r="U24" s="141">
        <v>0</v>
      </c>
      <c r="V24" s="141">
        <v>0</v>
      </c>
      <c r="W24" s="141">
        <v>0</v>
      </c>
      <c r="X24" s="141">
        <v>5.9999999247280075E-3</v>
      </c>
      <c r="Y24" s="141">
        <v>5.0000001844999944E-3</v>
      </c>
      <c r="Z24" s="141">
        <v>0</v>
      </c>
      <c r="AA24" s="141">
        <v>0</v>
      </c>
      <c r="AB24" s="141">
        <v>0</v>
      </c>
      <c r="AC24" s="141">
        <v>0</v>
      </c>
      <c r="AD24" s="141">
        <v>1.003834645884278E-3</v>
      </c>
      <c r="AE24" s="141">
        <v>0</v>
      </c>
      <c r="AF24" s="141">
        <v>0</v>
      </c>
      <c r="AG24" s="141">
        <v>0</v>
      </c>
      <c r="AH24" s="141">
        <v>0</v>
      </c>
      <c r="AI24" s="141">
        <v>0</v>
      </c>
      <c r="AJ24" s="141">
        <v>0</v>
      </c>
      <c r="AK24" s="141">
        <v>0</v>
      </c>
      <c r="AL24" s="141">
        <v>0</v>
      </c>
      <c r="AM24" s="141">
        <v>0</v>
      </c>
      <c r="AN24" s="141">
        <v>0</v>
      </c>
      <c r="AO24" s="141">
        <v>0</v>
      </c>
      <c r="AP24" s="141">
        <v>0</v>
      </c>
      <c r="AQ24" s="141">
        <v>0</v>
      </c>
      <c r="AR24" s="141">
        <v>0</v>
      </c>
    </row>
    <row r="25" spans="1:44" customFormat="1" x14ac:dyDescent="0.15">
      <c r="A25" s="176" t="s">
        <v>215</v>
      </c>
      <c r="B25" s="141">
        <v>0</v>
      </c>
      <c r="C25" s="141">
        <v>0</v>
      </c>
      <c r="D25" s="141">
        <v>0</v>
      </c>
      <c r="E25" s="141">
        <v>0</v>
      </c>
      <c r="F25" s="141">
        <v>0</v>
      </c>
      <c r="G25" s="141">
        <v>3.5999999999999997E-2</v>
      </c>
      <c r="H25" s="141">
        <v>7.0028014129201593E-3</v>
      </c>
      <c r="I25" s="141">
        <v>1.9510948915191235E-2</v>
      </c>
      <c r="J25" s="141">
        <v>0</v>
      </c>
      <c r="K25" s="141">
        <v>3.9999999671999964E-2</v>
      </c>
      <c r="L25" s="141">
        <v>1.114488544414381E-2</v>
      </c>
      <c r="M25" s="141">
        <v>0</v>
      </c>
      <c r="N25" s="141">
        <v>0</v>
      </c>
      <c r="O25" s="141">
        <v>1.2189122496702351E-2</v>
      </c>
      <c r="P25" s="141">
        <v>3.9984004703198635E-2</v>
      </c>
      <c r="Q25" s="141">
        <v>0.05</v>
      </c>
      <c r="R25" s="141">
        <v>0</v>
      </c>
      <c r="S25" s="141">
        <v>8.0000000000000002E-3</v>
      </c>
      <c r="T25" s="141">
        <v>0</v>
      </c>
      <c r="U25" s="141">
        <v>0</v>
      </c>
      <c r="V25" s="141">
        <v>0</v>
      </c>
      <c r="W25" s="141">
        <v>0</v>
      </c>
      <c r="X25" s="141">
        <v>0</v>
      </c>
      <c r="Y25" s="141">
        <v>0</v>
      </c>
      <c r="Z25" s="141">
        <v>0</v>
      </c>
      <c r="AA25" s="141">
        <v>0</v>
      </c>
      <c r="AB25" s="141">
        <v>0</v>
      </c>
      <c r="AC25" s="141">
        <v>0</v>
      </c>
      <c r="AD25" s="141">
        <v>0</v>
      </c>
      <c r="AE25" s="141">
        <v>2.9983505383988809E-4</v>
      </c>
      <c r="AF25" s="141">
        <v>2E-3</v>
      </c>
      <c r="AG25" s="141">
        <v>0</v>
      </c>
      <c r="AH25" s="141">
        <v>0</v>
      </c>
      <c r="AI25" s="141">
        <v>0</v>
      </c>
      <c r="AJ25" s="141">
        <v>0</v>
      </c>
      <c r="AK25" s="141">
        <v>0</v>
      </c>
      <c r="AL25" s="141">
        <v>0</v>
      </c>
      <c r="AM25" s="141">
        <v>0</v>
      </c>
      <c r="AN25" s="141">
        <v>0</v>
      </c>
      <c r="AO25" s="141">
        <v>0</v>
      </c>
      <c r="AP25" s="141">
        <v>0</v>
      </c>
      <c r="AQ25" s="141">
        <v>0</v>
      </c>
      <c r="AR25" s="141">
        <v>0</v>
      </c>
    </row>
    <row r="26" spans="1:44" customFormat="1" x14ac:dyDescent="0.15">
      <c r="A26" s="176" t="s">
        <v>216</v>
      </c>
      <c r="B26" s="141">
        <v>0.19296140721325136</v>
      </c>
      <c r="C26" s="141">
        <v>0</v>
      </c>
      <c r="D26" s="141">
        <v>0.21198821308016635</v>
      </c>
      <c r="E26" s="141">
        <v>1.6000002908959705E-2</v>
      </c>
      <c r="F26" s="141">
        <v>0.16749546709298946</v>
      </c>
      <c r="G26" s="141">
        <v>5.0000000000000001E-3</v>
      </c>
      <c r="H26" s="141">
        <v>3.2012809007634938E-2</v>
      </c>
      <c r="I26" s="141">
        <v>1.2006740332425235E-2</v>
      </c>
      <c r="J26" s="141">
        <v>0.23100000000000001</v>
      </c>
      <c r="K26" s="141">
        <v>0</v>
      </c>
      <c r="L26" s="141">
        <v>8.1053717411954818E-3</v>
      </c>
      <c r="M26" s="141">
        <v>0</v>
      </c>
      <c r="N26" s="141">
        <v>0</v>
      </c>
      <c r="O26" s="141">
        <v>0</v>
      </c>
      <c r="P26" s="141">
        <v>0</v>
      </c>
      <c r="Q26" s="141">
        <v>0.1</v>
      </c>
      <c r="R26" s="141">
        <v>0</v>
      </c>
      <c r="S26" s="141">
        <v>0</v>
      </c>
      <c r="T26" s="141">
        <v>0</v>
      </c>
      <c r="U26" s="141">
        <v>0</v>
      </c>
      <c r="V26" s="141">
        <v>0</v>
      </c>
      <c r="W26" s="141">
        <v>0</v>
      </c>
      <c r="X26" s="141">
        <v>0</v>
      </c>
      <c r="Y26" s="141">
        <v>0</v>
      </c>
      <c r="Z26" s="141">
        <v>0.01</v>
      </c>
      <c r="AA26" s="141">
        <v>0</v>
      </c>
      <c r="AB26" s="141">
        <v>0</v>
      </c>
      <c r="AC26" s="141">
        <v>0</v>
      </c>
      <c r="AD26" s="141">
        <v>0</v>
      </c>
      <c r="AE26" s="141">
        <v>0</v>
      </c>
      <c r="AF26" s="141">
        <v>0</v>
      </c>
      <c r="AG26" s="141">
        <v>0</v>
      </c>
      <c r="AH26" s="141">
        <v>0</v>
      </c>
      <c r="AI26" s="141">
        <v>0</v>
      </c>
      <c r="AJ26" s="141">
        <v>0</v>
      </c>
      <c r="AK26" s="141">
        <v>0</v>
      </c>
      <c r="AL26" s="141">
        <v>0</v>
      </c>
      <c r="AM26" s="141">
        <v>0</v>
      </c>
      <c r="AN26" s="141">
        <v>0</v>
      </c>
      <c r="AO26" s="141">
        <v>0</v>
      </c>
      <c r="AP26" s="141">
        <v>0</v>
      </c>
      <c r="AQ26" s="141">
        <v>0</v>
      </c>
      <c r="AR26" s="141">
        <v>0</v>
      </c>
    </row>
    <row r="27" spans="1:44" customFormat="1" x14ac:dyDescent="0.15">
      <c r="A27" s="176" t="s">
        <v>217</v>
      </c>
      <c r="B27" s="141">
        <v>3.4993003594631041E-2</v>
      </c>
      <c r="C27" s="141">
        <v>9.9999998974000026E-2</v>
      </c>
      <c r="D27" s="141">
        <v>3.4988673167580323E-2</v>
      </c>
      <c r="E27" s="141">
        <v>7.7000006843119292E-2</v>
      </c>
      <c r="F27" s="141">
        <v>0</v>
      </c>
      <c r="G27" s="141">
        <v>4.0000000000000001E-3</v>
      </c>
      <c r="H27" s="141">
        <v>0</v>
      </c>
      <c r="I27" s="141">
        <v>2.8015725642325649E-2</v>
      </c>
      <c r="J27" s="141">
        <v>0.11</v>
      </c>
      <c r="K27" s="141">
        <v>0</v>
      </c>
      <c r="L27" s="141">
        <v>0.10233027873259422</v>
      </c>
      <c r="M27" s="141">
        <v>0</v>
      </c>
      <c r="N27" s="141">
        <v>5.9981609896351762E-2</v>
      </c>
      <c r="O27" s="141">
        <v>9.0918871163928189E-2</v>
      </c>
      <c r="P27" s="141">
        <v>3.5985605702878849E-2</v>
      </c>
      <c r="Q27" s="141">
        <v>0</v>
      </c>
      <c r="R27" s="141">
        <v>2.3999996396320018E-2</v>
      </c>
      <c r="S27" s="141">
        <v>1.4999999999999999E-2</v>
      </c>
      <c r="T27" s="141">
        <v>3.9999999999999994E-2</v>
      </c>
      <c r="U27" s="141">
        <v>0</v>
      </c>
      <c r="V27" s="141">
        <v>0.02</v>
      </c>
      <c r="W27" s="141">
        <v>0</v>
      </c>
      <c r="X27" s="141">
        <v>2.1999999517336048E-2</v>
      </c>
      <c r="Y27" s="141">
        <v>0</v>
      </c>
      <c r="Z27" s="141">
        <v>3.1E-2</v>
      </c>
      <c r="AA27" s="141">
        <v>1E-3</v>
      </c>
      <c r="AB27" s="141">
        <v>2.9000000000000001E-2</v>
      </c>
      <c r="AC27" s="141">
        <v>0</v>
      </c>
      <c r="AD27" s="141">
        <v>0</v>
      </c>
      <c r="AE27" s="141">
        <v>0</v>
      </c>
      <c r="AF27" s="141">
        <v>8.9999999999999993E-3</v>
      </c>
      <c r="AG27" s="141">
        <v>0</v>
      </c>
      <c r="AH27" s="141">
        <v>0</v>
      </c>
      <c r="AI27" s="141">
        <v>0</v>
      </c>
      <c r="AJ27" s="141">
        <v>0</v>
      </c>
      <c r="AK27" s="141">
        <v>0</v>
      </c>
      <c r="AL27" s="141">
        <v>0</v>
      </c>
      <c r="AM27" s="141">
        <v>0</v>
      </c>
      <c r="AN27" s="141">
        <v>0</v>
      </c>
      <c r="AO27" s="141">
        <v>0</v>
      </c>
      <c r="AP27" s="141">
        <v>0</v>
      </c>
      <c r="AQ27" s="141">
        <v>0</v>
      </c>
      <c r="AR27" s="141">
        <v>0</v>
      </c>
    </row>
    <row r="28" spans="1:44" customFormat="1" x14ac:dyDescent="0.15">
      <c r="A28" s="176" t="s">
        <v>218</v>
      </c>
      <c r="B28" s="141">
        <v>0.12197559823842841</v>
      </c>
      <c r="C28" s="141">
        <v>5.8000005204919949E-2</v>
      </c>
      <c r="D28" s="141">
        <v>0.10896468235903847</v>
      </c>
      <c r="E28" s="141">
        <v>6.8000013238078652E-2</v>
      </c>
      <c r="F28" s="141">
        <v>0.50850431003080787</v>
      </c>
      <c r="G28" s="141">
        <v>8.5999999999999993E-2</v>
      </c>
      <c r="H28" s="141">
        <v>0.39015604790555269</v>
      </c>
      <c r="I28" s="141">
        <v>0.17609885820890345</v>
      </c>
      <c r="J28" s="141">
        <v>0.1</v>
      </c>
      <c r="K28" s="141">
        <v>4.9999998639999842E-2</v>
      </c>
      <c r="L28" s="141">
        <v>0.19250249385339541</v>
      </c>
      <c r="M28" s="141">
        <v>0.22500000000000001</v>
      </c>
      <c r="N28" s="141">
        <v>6.596658368600973E-2</v>
      </c>
      <c r="O28" s="141">
        <v>0.13787694492991007</v>
      </c>
      <c r="P28" s="141">
        <v>9.996000500799624E-5</v>
      </c>
      <c r="Q28" s="141">
        <v>0.23</v>
      </c>
      <c r="R28" s="141">
        <v>1.9000001217919997E-2</v>
      </c>
      <c r="S28" s="141">
        <v>0.01</v>
      </c>
      <c r="T28" s="141">
        <v>1.9999999999999997E-2</v>
      </c>
      <c r="U28" s="141">
        <v>0.09</v>
      </c>
      <c r="V28" s="141">
        <v>0</v>
      </c>
      <c r="W28" s="141">
        <v>1.4E-2</v>
      </c>
      <c r="X28" s="141">
        <v>9.9000000178011985E-2</v>
      </c>
      <c r="Y28" s="141">
        <v>0</v>
      </c>
      <c r="Z28" s="141">
        <v>3.9E-2</v>
      </c>
      <c r="AA28" s="141">
        <v>0</v>
      </c>
      <c r="AB28" s="141">
        <v>0</v>
      </c>
      <c r="AC28" s="141">
        <v>0</v>
      </c>
      <c r="AD28" s="141">
        <v>0</v>
      </c>
      <c r="AE28" s="141">
        <v>0</v>
      </c>
      <c r="AF28" s="141">
        <v>0</v>
      </c>
      <c r="AG28" s="141">
        <v>0</v>
      </c>
      <c r="AH28" s="141">
        <v>0</v>
      </c>
      <c r="AI28" s="141">
        <v>0</v>
      </c>
      <c r="AJ28" s="141">
        <v>0</v>
      </c>
      <c r="AK28" s="141">
        <v>0</v>
      </c>
      <c r="AL28" s="141">
        <v>0</v>
      </c>
      <c r="AM28" s="141">
        <v>0</v>
      </c>
      <c r="AN28" s="141">
        <v>0</v>
      </c>
      <c r="AO28" s="141">
        <v>0</v>
      </c>
      <c r="AP28" s="141">
        <v>0</v>
      </c>
      <c r="AQ28" s="141">
        <v>0</v>
      </c>
      <c r="AR28" s="141">
        <v>0</v>
      </c>
    </row>
    <row r="29" spans="1:44" customFormat="1" x14ac:dyDescent="0.15">
      <c r="A29" s="176" t="s">
        <v>219</v>
      </c>
      <c r="B29" s="141">
        <v>0</v>
      </c>
      <c r="C29" s="141">
        <v>0</v>
      </c>
      <c r="D29" s="141">
        <v>0</v>
      </c>
      <c r="E29" s="141">
        <v>0</v>
      </c>
      <c r="F29" s="141">
        <v>0</v>
      </c>
      <c r="G29" s="141">
        <v>0</v>
      </c>
      <c r="H29" s="141">
        <v>0</v>
      </c>
      <c r="I29" s="141">
        <v>0</v>
      </c>
      <c r="J29" s="141">
        <v>0</v>
      </c>
      <c r="K29" s="141">
        <v>0</v>
      </c>
      <c r="L29" s="141">
        <v>0</v>
      </c>
      <c r="M29" s="141">
        <v>0</v>
      </c>
      <c r="N29" s="141">
        <v>0</v>
      </c>
      <c r="O29" s="141">
        <v>0</v>
      </c>
      <c r="P29" s="141">
        <v>0</v>
      </c>
      <c r="Q29" s="141">
        <v>0.02</v>
      </c>
      <c r="R29" s="141">
        <v>0</v>
      </c>
      <c r="S29" s="141">
        <v>0</v>
      </c>
      <c r="T29" s="141">
        <v>0</v>
      </c>
      <c r="U29" s="141">
        <v>0</v>
      </c>
      <c r="V29" s="141">
        <v>0</v>
      </c>
      <c r="W29" s="141">
        <v>0.1</v>
      </c>
      <c r="X29" s="141">
        <v>1.9999998915760109E-4</v>
      </c>
      <c r="Y29" s="141">
        <v>0</v>
      </c>
      <c r="Z29" s="141">
        <v>0.112</v>
      </c>
      <c r="AA29" s="141">
        <v>0</v>
      </c>
      <c r="AB29" s="141">
        <v>0</v>
      </c>
      <c r="AC29" s="141">
        <v>0</v>
      </c>
      <c r="AD29" s="141">
        <v>0</v>
      </c>
      <c r="AE29" s="141">
        <v>0</v>
      </c>
      <c r="AF29" s="141">
        <v>0</v>
      </c>
      <c r="AG29" s="141">
        <v>0</v>
      </c>
      <c r="AH29" s="141">
        <v>0</v>
      </c>
      <c r="AI29" s="141">
        <v>0</v>
      </c>
      <c r="AJ29" s="141">
        <v>0</v>
      </c>
      <c r="AK29" s="141">
        <v>0</v>
      </c>
      <c r="AL29" s="141">
        <v>0</v>
      </c>
      <c r="AM29" s="141">
        <v>0</v>
      </c>
      <c r="AN29" s="141">
        <v>0</v>
      </c>
      <c r="AO29" s="141">
        <v>0</v>
      </c>
      <c r="AP29" s="141">
        <v>0</v>
      </c>
      <c r="AQ29" s="141">
        <v>0</v>
      </c>
      <c r="AR29" s="141">
        <v>0</v>
      </c>
    </row>
    <row r="30" spans="1:44" customFormat="1" x14ac:dyDescent="0.15">
      <c r="A30" s="176" t="s">
        <v>220</v>
      </c>
      <c r="B30" s="141">
        <v>3.0993799552387544E-2</v>
      </c>
      <c r="C30" s="141">
        <v>4.9999999487000013E-2</v>
      </c>
      <c r="D30" s="141">
        <v>3.0989956111286136E-2</v>
      </c>
      <c r="E30" s="141">
        <v>1.0000001805599815E-3</v>
      </c>
      <c r="F30" s="141">
        <v>1.0029666286406652E-4</v>
      </c>
      <c r="G30" s="141">
        <v>0.24</v>
      </c>
      <c r="H30" s="141">
        <v>5.0020008449429753E-3</v>
      </c>
      <c r="I30" s="141">
        <v>0.20811681742870491</v>
      </c>
      <c r="J30" s="141">
        <v>0</v>
      </c>
      <c r="K30" s="141">
        <v>0.10000000068000005</v>
      </c>
      <c r="L30" s="141">
        <v>0.11854102121498522</v>
      </c>
      <c r="M30" s="141">
        <v>0.06</v>
      </c>
      <c r="N30" s="141">
        <v>0.12998029977539402</v>
      </c>
      <c r="O30" s="141">
        <v>6.7939378342276258E-2</v>
      </c>
      <c r="P30" s="141">
        <v>0.25889645297071229</v>
      </c>
      <c r="Q30" s="141">
        <v>0</v>
      </c>
      <c r="R30" s="141">
        <v>0.16800001227423997</v>
      </c>
      <c r="S30" s="141">
        <v>0.22900000000000001</v>
      </c>
      <c r="T30" s="141">
        <v>0.16999999999999998</v>
      </c>
      <c r="U30" s="141">
        <v>0</v>
      </c>
      <c r="V30" s="141">
        <v>2.3E-2</v>
      </c>
      <c r="W30" s="141">
        <v>0.23</v>
      </c>
      <c r="X30" s="141">
        <v>9.9999999078800098E-2</v>
      </c>
      <c r="Y30" s="141">
        <v>9.0000007020999792E-2</v>
      </c>
      <c r="Z30" s="141">
        <v>0</v>
      </c>
      <c r="AA30" s="141">
        <v>1E-3</v>
      </c>
      <c r="AB30" s="141">
        <v>2E-3</v>
      </c>
      <c r="AC30" s="141">
        <v>0</v>
      </c>
      <c r="AD30" s="141">
        <v>2.0076692017685565E-2</v>
      </c>
      <c r="AE30" s="141">
        <v>0</v>
      </c>
      <c r="AF30" s="141">
        <v>3.1E-2</v>
      </c>
      <c r="AG30" s="141">
        <v>0</v>
      </c>
      <c r="AH30" s="141">
        <v>0</v>
      </c>
      <c r="AI30" s="141">
        <v>0</v>
      </c>
      <c r="AJ30" s="141">
        <v>0</v>
      </c>
      <c r="AK30" s="141">
        <v>0</v>
      </c>
      <c r="AL30" s="141">
        <v>0</v>
      </c>
      <c r="AM30" s="141">
        <v>0</v>
      </c>
      <c r="AN30" s="141">
        <v>0</v>
      </c>
      <c r="AO30" s="141">
        <v>0</v>
      </c>
      <c r="AP30" s="141">
        <v>0</v>
      </c>
      <c r="AQ30" s="141">
        <v>0</v>
      </c>
      <c r="AR30" s="141">
        <v>0</v>
      </c>
    </row>
    <row r="31" spans="1:44" customFormat="1" x14ac:dyDescent="0.15">
      <c r="A31" s="176" t="s">
        <v>221</v>
      </c>
      <c r="B31" s="141">
        <v>2.2995400867900421E-2</v>
      </c>
      <c r="C31" s="141">
        <v>4.7999999507520007E-2</v>
      </c>
      <c r="D31" s="141">
        <v>2.2992555498695711E-2</v>
      </c>
      <c r="E31" s="141">
        <v>0</v>
      </c>
      <c r="F31" s="141">
        <v>7.0207677104846032E-3</v>
      </c>
      <c r="G31" s="141">
        <v>6.2E-2</v>
      </c>
      <c r="H31" s="141">
        <v>3.9015608790555142E-2</v>
      </c>
      <c r="I31" s="141">
        <v>5.2029204407176226E-2</v>
      </c>
      <c r="J31" s="141">
        <v>0.01</v>
      </c>
      <c r="K31" s="141">
        <v>0.10000000068000005</v>
      </c>
      <c r="L31" s="141">
        <v>0.14792301827681806</v>
      </c>
      <c r="M31" s="141">
        <v>0.06</v>
      </c>
      <c r="N31" s="141">
        <v>3.3982789941277729E-2</v>
      </c>
      <c r="O31" s="141">
        <v>0.15286359577012093</v>
      </c>
      <c r="P31" s="141">
        <v>0.13694520686095485</v>
      </c>
      <c r="Q31" s="141">
        <v>0</v>
      </c>
      <c r="R31" s="141">
        <v>0.16200001430015995</v>
      </c>
      <c r="S31" s="141">
        <v>7.0999999999999994E-2</v>
      </c>
      <c r="T31" s="141">
        <v>0</v>
      </c>
      <c r="U31" s="141">
        <v>0</v>
      </c>
      <c r="V31" s="141">
        <v>8.5999999999999993E-2</v>
      </c>
      <c r="W31" s="141">
        <v>0</v>
      </c>
      <c r="X31" s="141">
        <v>9.9000000178011985E-2</v>
      </c>
      <c r="Y31" s="141">
        <v>0.20999999304900024</v>
      </c>
      <c r="Z31" s="141">
        <v>1E-3</v>
      </c>
      <c r="AA31" s="141">
        <v>0</v>
      </c>
      <c r="AB31" s="141">
        <v>0.03</v>
      </c>
      <c r="AC31" s="141">
        <v>0</v>
      </c>
      <c r="AD31" s="141">
        <v>2.9111204580644066E-2</v>
      </c>
      <c r="AE31" s="141">
        <v>3.9978009978651743E-3</v>
      </c>
      <c r="AF31" s="141">
        <v>1.4999999999999999E-2</v>
      </c>
      <c r="AG31" s="141">
        <v>0</v>
      </c>
      <c r="AH31" s="141">
        <v>0</v>
      </c>
      <c r="AI31" s="141">
        <v>0</v>
      </c>
      <c r="AJ31" s="141">
        <v>0</v>
      </c>
      <c r="AK31" s="141">
        <v>0</v>
      </c>
      <c r="AL31" s="141">
        <v>0</v>
      </c>
      <c r="AM31" s="141">
        <v>0</v>
      </c>
      <c r="AN31" s="141">
        <v>0</v>
      </c>
      <c r="AO31" s="141">
        <v>0</v>
      </c>
      <c r="AP31" s="141">
        <v>0</v>
      </c>
      <c r="AQ31" s="141">
        <v>0</v>
      </c>
      <c r="AR31" s="141">
        <v>0</v>
      </c>
    </row>
    <row r="32" spans="1:44" customFormat="1" x14ac:dyDescent="0.15">
      <c r="A32" s="176" t="s">
        <v>222</v>
      </c>
      <c r="B32" s="141">
        <v>7.5984804702627445E-2</v>
      </c>
      <c r="C32" s="141">
        <v>7.0000006081799944E-3</v>
      </c>
      <c r="D32" s="141">
        <v>6.7978005857012455E-2</v>
      </c>
      <c r="E32" s="141">
        <v>0.11899998816664112</v>
      </c>
      <c r="F32" s="141">
        <v>0</v>
      </c>
      <c r="G32" s="141">
        <v>0.12</v>
      </c>
      <c r="H32" s="141">
        <v>0.12505001912357447</v>
      </c>
      <c r="I32" s="141">
        <v>7.604267577202721E-2</v>
      </c>
      <c r="J32" s="141">
        <v>0</v>
      </c>
      <c r="K32" s="141">
        <v>0.10000000068000005</v>
      </c>
      <c r="L32" s="141">
        <v>4.5592712644224695E-2</v>
      </c>
      <c r="M32" s="141">
        <v>0</v>
      </c>
      <c r="N32" s="141">
        <v>2.6986326953367622E-2</v>
      </c>
      <c r="O32" s="141">
        <v>1.4986626740207896E-2</v>
      </c>
      <c r="P32" s="141">
        <v>0</v>
      </c>
      <c r="Q32" s="141">
        <v>0</v>
      </c>
      <c r="R32" s="141">
        <v>3.3000003357439987E-2</v>
      </c>
      <c r="S32" s="141">
        <v>0.01</v>
      </c>
      <c r="T32" s="141">
        <v>1.9999999999999997E-2</v>
      </c>
      <c r="U32" s="141">
        <v>0</v>
      </c>
      <c r="V32" s="141">
        <v>0</v>
      </c>
      <c r="W32" s="141">
        <v>0</v>
      </c>
      <c r="X32" s="141">
        <v>9.0000001070919908E-3</v>
      </c>
      <c r="Y32" s="141">
        <v>5.0000001844999944E-3</v>
      </c>
      <c r="Z32" s="141">
        <v>0</v>
      </c>
      <c r="AA32" s="141">
        <v>0</v>
      </c>
      <c r="AB32" s="141">
        <v>0</v>
      </c>
      <c r="AC32" s="141">
        <v>0</v>
      </c>
      <c r="AD32" s="141">
        <v>1.003834645884278E-3</v>
      </c>
      <c r="AE32" s="141">
        <v>0</v>
      </c>
      <c r="AF32" s="141">
        <v>0</v>
      </c>
      <c r="AG32" s="141">
        <v>0</v>
      </c>
      <c r="AH32" s="141">
        <v>0</v>
      </c>
      <c r="AI32" s="141">
        <v>0</v>
      </c>
      <c r="AJ32" s="141">
        <v>0</v>
      </c>
      <c r="AK32" s="141">
        <v>0</v>
      </c>
      <c r="AL32" s="141">
        <v>0</v>
      </c>
      <c r="AM32" s="141">
        <v>0</v>
      </c>
      <c r="AN32" s="141">
        <v>0</v>
      </c>
      <c r="AO32" s="141">
        <v>0</v>
      </c>
      <c r="AP32" s="141">
        <v>0</v>
      </c>
      <c r="AQ32" s="141">
        <v>0</v>
      </c>
      <c r="AR32" s="141">
        <v>0</v>
      </c>
    </row>
    <row r="33" spans="1:44" customFormat="1" x14ac:dyDescent="0.15">
      <c r="A33" s="176" t="s">
        <v>223</v>
      </c>
      <c r="B33" s="141">
        <v>0</v>
      </c>
      <c r="C33" s="141">
        <v>9.9999998974000023E-3</v>
      </c>
      <c r="D33" s="141">
        <v>0</v>
      </c>
      <c r="E33" s="141">
        <v>1.0000001805599815E-3</v>
      </c>
      <c r="F33" s="141">
        <v>0</v>
      </c>
      <c r="G33" s="141">
        <v>1.0999999999999999E-2</v>
      </c>
      <c r="H33" s="141">
        <v>0</v>
      </c>
      <c r="I33" s="141">
        <v>1.8010108998637937E-2</v>
      </c>
      <c r="J33" s="141">
        <v>0</v>
      </c>
      <c r="K33" s="141">
        <v>2.9999998803999867E-2</v>
      </c>
      <c r="L33" s="141">
        <v>7.0921981335461161E-3</v>
      </c>
      <c r="M33" s="141">
        <v>0</v>
      </c>
      <c r="N33" s="141">
        <v>6.9964549879101253E-3</v>
      </c>
      <c r="O33" s="141">
        <v>0</v>
      </c>
      <c r="P33" s="141">
        <v>9.6961214857756869E-2</v>
      </c>
      <c r="Q33" s="141">
        <v>0</v>
      </c>
      <c r="R33" s="141">
        <v>1.0000001556799995E-3</v>
      </c>
      <c r="S33" s="141">
        <v>0.158</v>
      </c>
      <c r="T33" s="141">
        <v>0.23399999999999996</v>
      </c>
      <c r="U33" s="141">
        <v>0</v>
      </c>
      <c r="V33" s="141">
        <v>4.0000000000000001E-3</v>
      </c>
      <c r="W33" s="141">
        <v>0</v>
      </c>
      <c r="X33" s="141">
        <v>4.9999999539400049E-2</v>
      </c>
      <c r="Y33" s="141">
        <v>1.0000000368999989E-2</v>
      </c>
      <c r="Z33" s="141">
        <v>1.2E-2</v>
      </c>
      <c r="AA33" s="141">
        <v>0.06</v>
      </c>
      <c r="AB33" s="141">
        <v>0</v>
      </c>
      <c r="AC33" s="141">
        <v>0</v>
      </c>
      <c r="AD33" s="141">
        <v>5.0191729794213907E-2</v>
      </c>
      <c r="AE33" s="141">
        <v>5.9966943167977654E-3</v>
      </c>
      <c r="AF33" s="141">
        <v>2.4E-2</v>
      </c>
      <c r="AG33" s="141">
        <v>2.3E-2</v>
      </c>
      <c r="AH33" s="141">
        <v>0</v>
      </c>
      <c r="AI33" s="141">
        <v>0</v>
      </c>
      <c r="AJ33" s="141">
        <v>0</v>
      </c>
      <c r="AK33" s="141">
        <v>0</v>
      </c>
      <c r="AL33" s="141">
        <v>0</v>
      </c>
      <c r="AM33" s="141">
        <v>0</v>
      </c>
      <c r="AN33" s="141">
        <v>0</v>
      </c>
      <c r="AO33" s="141">
        <v>0</v>
      </c>
      <c r="AP33" s="141">
        <v>0</v>
      </c>
      <c r="AQ33" s="141">
        <v>0</v>
      </c>
      <c r="AR33" s="141">
        <v>0</v>
      </c>
    </row>
    <row r="34" spans="1:44" customFormat="1" x14ac:dyDescent="0.15">
      <c r="A34" s="176" t="s">
        <v>224</v>
      </c>
      <c r="B34" s="141">
        <v>9.9980018556088558E-4</v>
      </c>
      <c r="C34" s="141">
        <v>0</v>
      </c>
      <c r="D34" s="141">
        <v>9.9967643907371978E-4</v>
      </c>
      <c r="E34" s="141">
        <v>0</v>
      </c>
      <c r="F34" s="141">
        <v>0</v>
      </c>
      <c r="G34" s="141">
        <v>1.9E-2</v>
      </c>
      <c r="H34" s="141">
        <v>0</v>
      </c>
      <c r="I34" s="141">
        <v>0</v>
      </c>
      <c r="J34" s="141">
        <v>0</v>
      </c>
      <c r="K34" s="141">
        <v>2.9999998803999867E-2</v>
      </c>
      <c r="L34" s="141">
        <v>0</v>
      </c>
      <c r="M34" s="141">
        <v>0</v>
      </c>
      <c r="N34" s="141">
        <v>0</v>
      </c>
      <c r="O34" s="141">
        <v>6.4942047974234071E-2</v>
      </c>
      <c r="P34" s="141">
        <v>3.0987603252478919E-2</v>
      </c>
      <c r="Q34" s="141">
        <v>0</v>
      </c>
      <c r="R34" s="141">
        <v>4.9999993084000029E-2</v>
      </c>
      <c r="S34" s="141">
        <v>4.2000000000000003E-2</v>
      </c>
      <c r="T34" s="141">
        <v>6.9999999999999993E-2</v>
      </c>
      <c r="U34" s="141">
        <v>0</v>
      </c>
      <c r="V34" s="141">
        <v>1.6E-2</v>
      </c>
      <c r="W34" s="141">
        <v>0.22500000000000001</v>
      </c>
      <c r="X34" s="141">
        <v>6.4999998651220137E-2</v>
      </c>
      <c r="Y34" s="141">
        <v>0</v>
      </c>
      <c r="Z34" s="141">
        <v>0</v>
      </c>
      <c r="AA34" s="141">
        <v>0</v>
      </c>
      <c r="AB34" s="141">
        <v>8.9999999999999993E-3</v>
      </c>
      <c r="AC34" s="141">
        <v>0</v>
      </c>
      <c r="AD34" s="141">
        <v>0.18069024325917002</v>
      </c>
      <c r="AE34" s="141">
        <v>8.1954919956236078E-2</v>
      </c>
      <c r="AF34" s="141">
        <v>0.25700000000000001</v>
      </c>
      <c r="AG34" s="141">
        <v>0.10199999999999999</v>
      </c>
      <c r="AH34" s="141">
        <v>0.01</v>
      </c>
      <c r="AI34" s="141">
        <v>0</v>
      </c>
      <c r="AJ34" s="141">
        <v>0</v>
      </c>
      <c r="AK34" s="141">
        <v>0</v>
      </c>
      <c r="AL34" s="141">
        <v>0</v>
      </c>
      <c r="AM34" s="141">
        <v>0</v>
      </c>
      <c r="AN34" s="141">
        <v>0</v>
      </c>
      <c r="AO34" s="141">
        <v>0</v>
      </c>
      <c r="AP34" s="141">
        <v>0</v>
      </c>
      <c r="AQ34" s="141">
        <v>0</v>
      </c>
      <c r="AR34" s="141">
        <v>0</v>
      </c>
    </row>
    <row r="35" spans="1:44" customFormat="1" x14ac:dyDescent="0.15">
      <c r="A35" s="176" t="s">
        <v>225</v>
      </c>
      <c r="B35" s="141">
        <v>7.9984008844870939E-3</v>
      </c>
      <c r="C35" s="141">
        <v>1.0000002697399973E-3</v>
      </c>
      <c r="D35" s="141">
        <v>7.9974115125897582E-3</v>
      </c>
      <c r="E35" s="141">
        <v>0</v>
      </c>
      <c r="F35" s="141">
        <v>7.0002150613321327E-3</v>
      </c>
      <c r="G35" s="141">
        <v>0.01</v>
      </c>
      <c r="H35" s="141">
        <v>3.0012004969657856E-2</v>
      </c>
      <c r="I35" s="141">
        <v>3.9000827831553966E-2</v>
      </c>
      <c r="J35" s="141">
        <v>0</v>
      </c>
      <c r="K35" s="141">
        <v>0</v>
      </c>
      <c r="L35" s="141">
        <v>8.0040541744305527E-2</v>
      </c>
      <c r="M35" s="141">
        <v>0</v>
      </c>
      <c r="N35" s="141">
        <v>0.3009943994798816</v>
      </c>
      <c r="O35" s="141">
        <v>0.29973253680415818</v>
      </c>
      <c r="P35" s="141">
        <v>0.26989205052159171</v>
      </c>
      <c r="Q35" s="141">
        <v>0.14899999999999999</v>
      </c>
      <c r="R35" s="141">
        <v>0.48799997389184013</v>
      </c>
      <c r="S35" s="141">
        <v>0.13800000000000001</v>
      </c>
      <c r="T35" s="141">
        <v>8.9999999999999983E-2</v>
      </c>
      <c r="U35" s="141">
        <v>0.01</v>
      </c>
      <c r="V35" s="141">
        <v>0.17699999999999999</v>
      </c>
      <c r="W35" s="141">
        <v>0</v>
      </c>
      <c r="X35" s="141">
        <v>0.25900000730409128</v>
      </c>
      <c r="Y35" s="141">
        <v>0.15000001603499949</v>
      </c>
      <c r="Z35" s="141">
        <v>9.9000000000000005E-2</v>
      </c>
      <c r="AA35" s="141">
        <v>0.40699999999999997</v>
      </c>
      <c r="AB35" s="141">
        <v>9.6000000000000002E-2</v>
      </c>
      <c r="AC35" s="141">
        <v>0</v>
      </c>
      <c r="AD35" s="141">
        <v>6.1233909748940982E-2</v>
      </c>
      <c r="AE35" s="141">
        <v>0.54286419971011057</v>
      </c>
      <c r="AF35" s="141">
        <v>0.124</v>
      </c>
      <c r="AG35" s="141">
        <v>0.1</v>
      </c>
      <c r="AH35" s="141">
        <v>0.1</v>
      </c>
      <c r="AI35" s="141">
        <v>0.02</v>
      </c>
      <c r="AJ35" s="141">
        <v>0.01</v>
      </c>
      <c r="AK35" s="141">
        <v>0</v>
      </c>
      <c r="AL35" s="141">
        <v>0</v>
      </c>
      <c r="AM35" s="141">
        <v>0</v>
      </c>
      <c r="AN35" s="141">
        <v>0</v>
      </c>
      <c r="AO35" s="141">
        <v>0</v>
      </c>
      <c r="AP35" s="141">
        <v>0</v>
      </c>
      <c r="AQ35" s="141">
        <v>0</v>
      </c>
      <c r="AR35" s="141">
        <v>0</v>
      </c>
    </row>
    <row r="36" spans="1:44" customFormat="1" x14ac:dyDescent="0.15">
      <c r="A36" s="176" t="s">
        <v>226</v>
      </c>
      <c r="B36" s="141">
        <v>9.9980018556088558E-4</v>
      </c>
      <c r="C36" s="141">
        <v>1.0000002697399973E-3</v>
      </c>
      <c r="D36" s="141">
        <v>0</v>
      </c>
      <c r="E36" s="141">
        <v>1.0000001805599815E-3</v>
      </c>
      <c r="F36" s="141">
        <v>0</v>
      </c>
      <c r="G36" s="141">
        <v>0</v>
      </c>
      <c r="H36" s="141">
        <v>0</v>
      </c>
      <c r="I36" s="141">
        <v>5.0000042619997628E-3</v>
      </c>
      <c r="J36" s="141">
        <v>0</v>
      </c>
      <c r="K36" s="141">
        <v>0.10000000068000005</v>
      </c>
      <c r="L36" s="141">
        <v>0</v>
      </c>
      <c r="M36" s="141">
        <v>0.06</v>
      </c>
      <c r="N36" s="141">
        <v>0</v>
      </c>
      <c r="O36" s="141">
        <v>9.9952812273205825E-3</v>
      </c>
      <c r="P36" s="141">
        <v>0</v>
      </c>
      <c r="Q36" s="141">
        <v>0</v>
      </c>
      <c r="R36" s="141">
        <v>0</v>
      </c>
      <c r="S36" s="141">
        <v>8.3000000000000004E-2</v>
      </c>
      <c r="T36" s="141">
        <v>0.17999999999999997</v>
      </c>
      <c r="U36" s="141">
        <v>0</v>
      </c>
      <c r="V36" s="141">
        <v>0</v>
      </c>
      <c r="W36" s="141">
        <v>0.215</v>
      </c>
      <c r="X36" s="141">
        <v>6.9999996355160361E-4</v>
      </c>
      <c r="Y36" s="141">
        <v>0.10999999635900014</v>
      </c>
      <c r="Z36" s="141">
        <v>0</v>
      </c>
      <c r="AA36" s="141">
        <v>0.17</v>
      </c>
      <c r="AB36" s="141">
        <v>0</v>
      </c>
      <c r="AC36" s="141">
        <v>0</v>
      </c>
      <c r="AD36" s="141">
        <v>0.30115039876528338</v>
      </c>
      <c r="AE36" s="141">
        <v>0</v>
      </c>
      <c r="AF36" s="141">
        <v>0</v>
      </c>
      <c r="AG36" s="141">
        <v>8.9999999999999993E-3</v>
      </c>
      <c r="AH36" s="141">
        <v>0</v>
      </c>
      <c r="AI36" s="141">
        <v>0</v>
      </c>
      <c r="AJ36" s="141">
        <v>0</v>
      </c>
      <c r="AK36" s="141">
        <v>0</v>
      </c>
      <c r="AL36" s="141">
        <v>0</v>
      </c>
      <c r="AM36" s="141">
        <v>0</v>
      </c>
      <c r="AN36" s="141">
        <v>0</v>
      </c>
      <c r="AO36" s="141">
        <v>0</v>
      </c>
      <c r="AP36" s="141">
        <v>0</v>
      </c>
      <c r="AQ36" s="141">
        <v>0</v>
      </c>
      <c r="AR36" s="141">
        <v>0</v>
      </c>
    </row>
    <row r="37" spans="1:44" customFormat="1" x14ac:dyDescent="0.15">
      <c r="A37" s="176" t="s">
        <v>227</v>
      </c>
      <c r="B37" s="141">
        <v>0</v>
      </c>
      <c r="C37" s="141">
        <v>0</v>
      </c>
      <c r="D37" s="141">
        <v>0</v>
      </c>
      <c r="E37" s="141">
        <v>0</v>
      </c>
      <c r="F37" s="141">
        <v>0</v>
      </c>
      <c r="G37" s="141">
        <v>0</v>
      </c>
      <c r="H37" s="141">
        <v>0</v>
      </c>
      <c r="I37" s="141">
        <v>0</v>
      </c>
      <c r="J37" s="141">
        <v>0</v>
      </c>
      <c r="K37" s="141">
        <v>0</v>
      </c>
      <c r="L37" s="141">
        <v>0</v>
      </c>
      <c r="M37" s="141">
        <v>0</v>
      </c>
      <c r="N37" s="141">
        <v>0</v>
      </c>
      <c r="O37" s="141">
        <v>0</v>
      </c>
      <c r="P37" s="141">
        <v>0</v>
      </c>
      <c r="Q37" s="141">
        <v>0</v>
      </c>
      <c r="R37" s="141">
        <v>0</v>
      </c>
      <c r="S37" s="141">
        <v>0</v>
      </c>
      <c r="T37" s="141">
        <v>0</v>
      </c>
      <c r="U37" s="141">
        <v>0</v>
      </c>
      <c r="V37" s="141">
        <v>0</v>
      </c>
      <c r="W37" s="141">
        <v>0</v>
      </c>
      <c r="X37" s="141">
        <v>0</v>
      </c>
      <c r="Y37" s="141">
        <v>0</v>
      </c>
      <c r="Z37" s="141">
        <v>0</v>
      </c>
      <c r="AA37" s="141">
        <v>0</v>
      </c>
      <c r="AB37" s="141">
        <v>0</v>
      </c>
      <c r="AC37" s="141">
        <v>0</v>
      </c>
      <c r="AD37" s="141">
        <v>0</v>
      </c>
      <c r="AE37" s="141">
        <v>0</v>
      </c>
      <c r="AF37" s="141">
        <v>0</v>
      </c>
      <c r="AG37" s="141">
        <v>0</v>
      </c>
      <c r="AH37" s="141">
        <v>0</v>
      </c>
      <c r="AI37" s="141">
        <v>0</v>
      </c>
      <c r="AJ37" s="141">
        <v>0</v>
      </c>
      <c r="AK37" s="141">
        <v>0</v>
      </c>
      <c r="AL37" s="141">
        <v>0</v>
      </c>
      <c r="AM37" s="141">
        <v>0</v>
      </c>
      <c r="AN37" s="141">
        <v>0</v>
      </c>
      <c r="AO37" s="141">
        <v>0</v>
      </c>
      <c r="AP37" s="141">
        <v>0</v>
      </c>
      <c r="AQ37" s="141">
        <v>0</v>
      </c>
      <c r="AR37" s="141">
        <v>0</v>
      </c>
    </row>
    <row r="38" spans="1:44" customFormat="1" x14ac:dyDescent="0.15">
      <c r="A38" s="176" t="s">
        <v>228</v>
      </c>
      <c r="B38" s="141">
        <v>3.3993206409070116E-2</v>
      </c>
      <c r="C38" s="141">
        <v>0</v>
      </c>
      <c r="D38" s="141">
        <v>3.9987051262949172E-2</v>
      </c>
      <c r="E38" s="141">
        <v>1.1000000706159925E-2</v>
      </c>
      <c r="F38" s="141">
        <v>7.000185261333362E-3</v>
      </c>
      <c r="G38" s="141">
        <v>0</v>
      </c>
      <c r="H38" s="141">
        <v>1.0004001389885961E-2</v>
      </c>
      <c r="I38" s="141">
        <v>3.0000023731998678E-2</v>
      </c>
      <c r="J38" s="141">
        <v>0.23</v>
      </c>
      <c r="K38" s="141">
        <v>0</v>
      </c>
      <c r="L38" s="141">
        <v>3.9513683538328091E-2</v>
      </c>
      <c r="M38" s="141">
        <v>0</v>
      </c>
      <c r="N38" s="141">
        <v>9.9949379827287462E-4</v>
      </c>
      <c r="O38" s="141">
        <v>5.4950963047428747E-2</v>
      </c>
      <c r="P38" s="141">
        <v>8.3966414206717355E-2</v>
      </c>
      <c r="Q38" s="141">
        <v>0.45</v>
      </c>
      <c r="R38" s="141">
        <v>2.1000001509279994E-2</v>
      </c>
      <c r="S38" s="141">
        <v>0</v>
      </c>
      <c r="T38" s="141">
        <v>0</v>
      </c>
      <c r="U38" s="141">
        <v>0.8</v>
      </c>
      <c r="V38" s="141">
        <v>0.67400000000000004</v>
      </c>
      <c r="W38" s="141">
        <v>0</v>
      </c>
      <c r="X38" s="141">
        <v>3.9000000630731939E-2</v>
      </c>
      <c r="Y38" s="141">
        <v>0</v>
      </c>
      <c r="Z38" s="141">
        <v>0.53500000000000003</v>
      </c>
      <c r="AA38" s="141">
        <v>0.28000000000000003</v>
      </c>
      <c r="AB38" s="141">
        <v>0.66</v>
      </c>
      <c r="AC38" s="141">
        <v>0.8</v>
      </c>
      <c r="AD38" s="141">
        <v>0</v>
      </c>
      <c r="AE38" s="141">
        <v>0</v>
      </c>
      <c r="AF38" s="141">
        <v>2.8000000000000001E-2</v>
      </c>
      <c r="AG38" s="141">
        <v>0</v>
      </c>
      <c r="AH38" s="141">
        <v>0.05</v>
      </c>
      <c r="AI38" s="141">
        <v>0.02</v>
      </c>
      <c r="AJ38" s="141">
        <v>0</v>
      </c>
      <c r="AK38" s="141">
        <v>0</v>
      </c>
      <c r="AL38" s="141">
        <v>0</v>
      </c>
      <c r="AM38" s="141">
        <v>0</v>
      </c>
      <c r="AN38" s="141">
        <v>0</v>
      </c>
      <c r="AO38" s="141">
        <v>0</v>
      </c>
      <c r="AP38" s="141">
        <v>0</v>
      </c>
      <c r="AQ38" s="141">
        <v>0</v>
      </c>
      <c r="AR38" s="141">
        <v>0</v>
      </c>
    </row>
    <row r="39" spans="1:44" x14ac:dyDescent="0.15">
      <c r="A39" s="176" t="s">
        <v>229</v>
      </c>
      <c r="B39" s="141">
        <v>1.9995998911217784E-4</v>
      </c>
      <c r="C39" s="141">
        <v>1.9999999794800005E-2</v>
      </c>
      <c r="D39" s="141">
        <v>1.999351538147521E-4</v>
      </c>
      <c r="E39" s="141">
        <v>0</v>
      </c>
      <c r="F39" s="141">
        <v>0</v>
      </c>
      <c r="G39" s="141">
        <v>0</v>
      </c>
      <c r="H39" s="141">
        <v>1.0004001989885943E-4</v>
      </c>
      <c r="I39" s="141">
        <v>0</v>
      </c>
      <c r="J39" s="141">
        <v>0</v>
      </c>
      <c r="K39" s="141">
        <v>0</v>
      </c>
      <c r="L39" s="141">
        <v>2.0263429352988705E-3</v>
      </c>
      <c r="M39" s="141">
        <v>0</v>
      </c>
      <c r="N39" s="141">
        <v>0</v>
      </c>
      <c r="O39" s="141">
        <v>1.9982170953610772E-3</v>
      </c>
      <c r="P39" s="141">
        <v>1.6993203151359475E-2</v>
      </c>
      <c r="Q39" s="141">
        <v>0</v>
      </c>
      <c r="R39" s="141">
        <v>0</v>
      </c>
      <c r="S39" s="141">
        <v>1.7000000000000001E-2</v>
      </c>
      <c r="T39" s="141">
        <v>3.8999999999999993E-2</v>
      </c>
      <c r="U39" s="141">
        <v>0</v>
      </c>
      <c r="V39" s="141">
        <v>0</v>
      </c>
      <c r="W39" s="141">
        <v>0.108</v>
      </c>
      <c r="X39" s="141">
        <v>9.9999999078800098E-2</v>
      </c>
      <c r="Y39" s="141">
        <v>1.0000000368999989E-2</v>
      </c>
      <c r="Z39" s="141">
        <v>0</v>
      </c>
      <c r="AA39" s="141">
        <v>0</v>
      </c>
      <c r="AB39" s="141">
        <v>1E-3</v>
      </c>
      <c r="AC39" s="141">
        <v>0</v>
      </c>
      <c r="AD39" s="141">
        <v>0</v>
      </c>
      <c r="AE39" s="141">
        <v>2.9983471583988827E-3</v>
      </c>
      <c r="AF39" s="141">
        <v>0.36499999999999999</v>
      </c>
      <c r="AG39" s="141">
        <v>0.122</v>
      </c>
      <c r="AH39" s="141">
        <v>0</v>
      </c>
      <c r="AI39" s="141">
        <v>0.1</v>
      </c>
      <c r="AJ39" s="141">
        <v>0</v>
      </c>
      <c r="AK39" s="141">
        <v>0.25</v>
      </c>
      <c r="AL39" s="141">
        <v>0</v>
      </c>
      <c r="AM39" s="141">
        <v>0</v>
      </c>
      <c r="AN39" s="141">
        <v>0</v>
      </c>
      <c r="AO39" s="141">
        <v>0</v>
      </c>
      <c r="AP39" s="141">
        <v>0</v>
      </c>
      <c r="AQ39" s="141">
        <v>0</v>
      </c>
      <c r="AR39" s="141">
        <v>0</v>
      </c>
    </row>
    <row r="40" spans="1:44" x14ac:dyDescent="0.15">
      <c r="A40" s="176" t="s">
        <v>230</v>
      </c>
      <c r="B40" s="141">
        <v>0</v>
      </c>
      <c r="C40" s="141">
        <v>0</v>
      </c>
      <c r="D40" s="141">
        <v>0</v>
      </c>
      <c r="E40" s="141">
        <v>0</v>
      </c>
      <c r="F40" s="141">
        <v>0</v>
      </c>
      <c r="G40" s="141">
        <v>0</v>
      </c>
      <c r="H40" s="141">
        <v>0</v>
      </c>
      <c r="I40" s="141">
        <v>3.0000026531998522E-3</v>
      </c>
      <c r="J40" s="141">
        <v>0</v>
      </c>
      <c r="K40" s="141">
        <v>0</v>
      </c>
      <c r="L40" s="141">
        <v>0</v>
      </c>
      <c r="M40" s="141">
        <v>0</v>
      </c>
      <c r="N40" s="141">
        <v>0</v>
      </c>
      <c r="O40" s="141">
        <v>5.9999681967360949E-3</v>
      </c>
      <c r="P40" s="141">
        <v>0</v>
      </c>
      <c r="Q40" s="141">
        <v>0</v>
      </c>
      <c r="R40" s="141">
        <v>2.9999999870400002E-3</v>
      </c>
      <c r="S40" s="141">
        <v>0.08</v>
      </c>
      <c r="T40" s="141">
        <v>2.4999999999999994E-2</v>
      </c>
      <c r="U40" s="141">
        <v>0</v>
      </c>
      <c r="V40" s="141">
        <v>0</v>
      </c>
      <c r="W40" s="141">
        <v>0.108</v>
      </c>
      <c r="X40" s="141">
        <v>2.6999997321276267E-2</v>
      </c>
      <c r="Y40" s="141">
        <v>0.11999999602800014</v>
      </c>
      <c r="Z40" s="141">
        <v>0</v>
      </c>
      <c r="AA40" s="141">
        <v>3.0000000000000001E-3</v>
      </c>
      <c r="AB40" s="141">
        <v>0</v>
      </c>
      <c r="AC40" s="141">
        <v>0</v>
      </c>
      <c r="AD40" s="141">
        <v>0.20496295315965191</v>
      </c>
      <c r="AE40" s="141">
        <v>0.28992748284517872</v>
      </c>
      <c r="AF40" s="141">
        <v>0</v>
      </c>
      <c r="AG40" s="141">
        <v>9.9000000000000005E-2</v>
      </c>
      <c r="AH40" s="141">
        <v>5.5E-2</v>
      </c>
      <c r="AI40" s="141">
        <v>0.18</v>
      </c>
      <c r="AJ40" s="141">
        <v>0.24</v>
      </c>
      <c r="AK40" s="141">
        <v>0</v>
      </c>
      <c r="AL40" s="141">
        <v>0</v>
      </c>
      <c r="AM40" s="141">
        <v>0</v>
      </c>
      <c r="AN40" s="141">
        <v>0</v>
      </c>
      <c r="AO40" s="141">
        <v>0</v>
      </c>
      <c r="AP40" s="141">
        <v>0</v>
      </c>
      <c r="AQ40" s="141">
        <v>0</v>
      </c>
      <c r="AR40" s="141">
        <v>0</v>
      </c>
    </row>
    <row r="41" spans="1:44" x14ac:dyDescent="0.15">
      <c r="A41" s="176" t="s">
        <v>231</v>
      </c>
      <c r="B41" s="141">
        <v>0</v>
      </c>
      <c r="C41" s="141">
        <v>0</v>
      </c>
      <c r="D41" s="141">
        <v>0</v>
      </c>
      <c r="E41" s="141">
        <v>0</v>
      </c>
      <c r="F41" s="141">
        <v>0</v>
      </c>
      <c r="G41" s="141">
        <v>0</v>
      </c>
      <c r="H41" s="141">
        <v>0</v>
      </c>
      <c r="I41" s="141">
        <v>0</v>
      </c>
      <c r="J41" s="141">
        <v>0</v>
      </c>
      <c r="K41" s="141">
        <v>0</v>
      </c>
      <c r="L41" s="141">
        <v>0</v>
      </c>
      <c r="M41" s="141">
        <v>0</v>
      </c>
      <c r="N41" s="141">
        <v>0</v>
      </c>
      <c r="O41" s="141">
        <v>0</v>
      </c>
      <c r="P41" s="141">
        <v>0</v>
      </c>
      <c r="Q41" s="141">
        <v>0</v>
      </c>
      <c r="R41" s="141">
        <v>0</v>
      </c>
      <c r="S41" s="141">
        <v>0</v>
      </c>
      <c r="T41" s="141">
        <v>0</v>
      </c>
      <c r="U41" s="141">
        <v>0</v>
      </c>
      <c r="V41" s="141">
        <v>0</v>
      </c>
      <c r="W41" s="141">
        <v>0</v>
      </c>
      <c r="X41" s="141">
        <v>8.0000002063039793E-3</v>
      </c>
      <c r="Y41" s="141">
        <v>0</v>
      </c>
      <c r="Z41" s="141">
        <v>0.04</v>
      </c>
      <c r="AA41" s="141">
        <v>1.0999999999999999E-2</v>
      </c>
      <c r="AB41" s="141">
        <v>0.06</v>
      </c>
      <c r="AC41" s="141">
        <v>0.1</v>
      </c>
      <c r="AD41" s="141">
        <v>0</v>
      </c>
      <c r="AE41" s="141">
        <v>0</v>
      </c>
      <c r="AF41" s="141">
        <v>0</v>
      </c>
      <c r="AG41" s="141">
        <v>2.8000000000000001E-2</v>
      </c>
      <c r="AH41" s="141">
        <v>0.20499999999999999</v>
      </c>
      <c r="AI41" s="141">
        <v>0.18</v>
      </c>
      <c r="AJ41" s="141">
        <v>0.25</v>
      </c>
      <c r="AK41" s="141">
        <v>0</v>
      </c>
      <c r="AL41" s="141">
        <v>0.7</v>
      </c>
      <c r="AM41" s="141">
        <v>0</v>
      </c>
      <c r="AN41" s="141">
        <v>0</v>
      </c>
      <c r="AO41" s="141">
        <v>0</v>
      </c>
      <c r="AP41" s="141">
        <v>0</v>
      </c>
      <c r="AQ41" s="141">
        <v>0</v>
      </c>
      <c r="AR41" s="141">
        <v>0</v>
      </c>
    </row>
    <row r="42" spans="1:44" x14ac:dyDescent="0.15">
      <c r="A42" s="176" t="s">
        <v>232</v>
      </c>
      <c r="B42" s="141">
        <v>0</v>
      </c>
      <c r="C42" s="141">
        <v>0</v>
      </c>
      <c r="D42" s="141">
        <v>0</v>
      </c>
      <c r="E42" s="141">
        <v>0</v>
      </c>
      <c r="F42" s="141">
        <v>0</v>
      </c>
      <c r="G42" s="141">
        <v>0</v>
      </c>
      <c r="H42" s="141">
        <v>3.0012009069657728E-4</v>
      </c>
      <c r="I42" s="141">
        <v>0</v>
      </c>
      <c r="J42" s="141">
        <v>0</v>
      </c>
      <c r="K42" s="141">
        <v>0</v>
      </c>
      <c r="L42" s="141">
        <v>1.013171477649435E-3</v>
      </c>
      <c r="M42" s="141">
        <v>0</v>
      </c>
      <c r="N42" s="141">
        <v>0</v>
      </c>
      <c r="O42" s="141">
        <v>6.9937588587636497E-3</v>
      </c>
      <c r="P42" s="141">
        <v>0</v>
      </c>
      <c r="Q42" s="141">
        <v>0</v>
      </c>
      <c r="R42" s="141">
        <v>0</v>
      </c>
      <c r="S42" s="141">
        <v>0</v>
      </c>
      <c r="T42" s="141">
        <v>0</v>
      </c>
      <c r="U42" s="141">
        <v>0</v>
      </c>
      <c r="V42" s="141">
        <v>0</v>
      </c>
      <c r="W42" s="141">
        <v>0</v>
      </c>
      <c r="X42" s="141">
        <v>2.0000001315759871E-3</v>
      </c>
      <c r="Y42" s="141">
        <v>0</v>
      </c>
      <c r="Z42" s="141">
        <v>0.12</v>
      </c>
      <c r="AA42" s="141">
        <v>2.5999999999999999E-2</v>
      </c>
      <c r="AB42" s="141">
        <v>1.4E-2</v>
      </c>
      <c r="AC42" s="141">
        <v>0</v>
      </c>
      <c r="AD42" s="141">
        <v>0</v>
      </c>
      <c r="AE42" s="141">
        <v>0</v>
      </c>
      <c r="AF42" s="141">
        <v>6.6000000000000003E-2</v>
      </c>
      <c r="AG42" s="141">
        <v>4.7E-2</v>
      </c>
      <c r="AH42" s="141">
        <v>0</v>
      </c>
      <c r="AI42" s="141">
        <v>0.05</v>
      </c>
      <c r="AJ42" s="141">
        <v>0</v>
      </c>
      <c r="AK42" s="141">
        <v>0.75</v>
      </c>
      <c r="AL42" s="141">
        <v>0</v>
      </c>
      <c r="AM42" s="141">
        <v>0</v>
      </c>
      <c r="AN42" s="141">
        <v>0</v>
      </c>
      <c r="AO42" s="141">
        <v>0</v>
      </c>
      <c r="AP42" s="141">
        <v>0</v>
      </c>
      <c r="AQ42" s="141">
        <v>0</v>
      </c>
      <c r="AR42" s="141">
        <v>0</v>
      </c>
    </row>
    <row r="43" spans="1:44" x14ac:dyDescent="0.15">
      <c r="A43" s="176" t="s">
        <v>233</v>
      </c>
      <c r="B43" s="141">
        <v>0</v>
      </c>
      <c r="C43" s="141">
        <v>0</v>
      </c>
      <c r="D43" s="141">
        <v>0</v>
      </c>
      <c r="E43" s="141">
        <v>1.4000000907839903E-2</v>
      </c>
      <c r="F43" s="141">
        <v>0</v>
      </c>
      <c r="G43" s="141">
        <v>0</v>
      </c>
      <c r="H43" s="141">
        <v>0</v>
      </c>
      <c r="I43" s="141">
        <v>5.0000042619997628E-3</v>
      </c>
      <c r="J43" s="141">
        <v>0</v>
      </c>
      <c r="K43" s="141">
        <v>0</v>
      </c>
      <c r="L43" s="141">
        <v>1.013171477649435E-3</v>
      </c>
      <c r="M43" s="141">
        <v>0.14000000000000001</v>
      </c>
      <c r="N43" s="141">
        <v>1.9989872765457494E-4</v>
      </c>
      <c r="O43" s="141">
        <v>1.9990562454641165E-2</v>
      </c>
      <c r="P43" s="141">
        <v>0</v>
      </c>
      <c r="Q43" s="141">
        <v>0</v>
      </c>
      <c r="R43" s="141">
        <v>3.9999999827200006E-3</v>
      </c>
      <c r="S43" s="141">
        <v>0.05</v>
      </c>
      <c r="T43" s="141">
        <v>4.9999999999999989E-2</v>
      </c>
      <c r="U43" s="141">
        <v>0</v>
      </c>
      <c r="V43" s="141">
        <v>0</v>
      </c>
      <c r="W43" s="141">
        <v>0</v>
      </c>
      <c r="X43" s="141">
        <v>0.10299999778116423</v>
      </c>
      <c r="Y43" s="141">
        <v>0.19999999338000027</v>
      </c>
      <c r="Z43" s="141">
        <v>0</v>
      </c>
      <c r="AA43" s="141">
        <v>0.04</v>
      </c>
      <c r="AB43" s="141">
        <v>9.9000000000000005E-2</v>
      </c>
      <c r="AC43" s="141">
        <v>0.1</v>
      </c>
      <c r="AD43" s="141">
        <v>0.15057519938264169</v>
      </c>
      <c r="AE43" s="141">
        <v>7.0960969962106837E-2</v>
      </c>
      <c r="AF43" s="141">
        <v>7.9000000000000001E-2</v>
      </c>
      <c r="AG43" s="141">
        <v>0.47</v>
      </c>
      <c r="AH43" s="141">
        <v>0.57999999999999996</v>
      </c>
      <c r="AI43" s="141">
        <v>0.45</v>
      </c>
      <c r="AJ43" s="141">
        <v>0.5</v>
      </c>
      <c r="AK43" s="141">
        <v>0</v>
      </c>
      <c r="AL43" s="141">
        <v>0.3</v>
      </c>
      <c r="AM43" s="141">
        <v>0</v>
      </c>
      <c r="AN43" s="141">
        <v>0</v>
      </c>
      <c r="AO43" s="141">
        <v>0</v>
      </c>
      <c r="AP43" s="141">
        <v>0</v>
      </c>
      <c r="AQ43" s="141">
        <v>0</v>
      </c>
      <c r="AR43" s="141">
        <v>0</v>
      </c>
    </row>
    <row r="44" spans="1:44" x14ac:dyDescent="0.15">
      <c r="A44" s="176" t="s">
        <v>234</v>
      </c>
      <c r="B44" s="141">
        <v>0</v>
      </c>
      <c r="C44" s="141">
        <v>0</v>
      </c>
      <c r="D44" s="141">
        <v>0</v>
      </c>
      <c r="E44" s="141">
        <v>0</v>
      </c>
      <c r="F44" s="141">
        <v>0</v>
      </c>
      <c r="G44" s="141">
        <v>0</v>
      </c>
      <c r="H44" s="141">
        <v>0</v>
      </c>
      <c r="I44" s="141">
        <v>0</v>
      </c>
      <c r="J44" s="141">
        <v>0</v>
      </c>
      <c r="K44" s="141">
        <v>0</v>
      </c>
      <c r="L44" s="141">
        <v>0</v>
      </c>
      <c r="M44" s="141">
        <v>0</v>
      </c>
      <c r="N44" s="141">
        <v>0</v>
      </c>
      <c r="O44" s="141">
        <v>0</v>
      </c>
      <c r="P44" s="141">
        <v>0</v>
      </c>
      <c r="Q44" s="141">
        <v>0</v>
      </c>
      <c r="R44" s="141">
        <v>0</v>
      </c>
      <c r="S44" s="141">
        <v>0</v>
      </c>
      <c r="T44" s="141">
        <v>0</v>
      </c>
      <c r="U44" s="141">
        <v>0</v>
      </c>
      <c r="V44" s="141">
        <v>0</v>
      </c>
      <c r="W44" s="141">
        <v>0</v>
      </c>
      <c r="X44" s="141">
        <v>0</v>
      </c>
      <c r="Y44" s="141">
        <v>0</v>
      </c>
      <c r="Z44" s="141">
        <v>0</v>
      </c>
      <c r="AA44" s="141">
        <v>0</v>
      </c>
      <c r="AB44" s="141">
        <v>0</v>
      </c>
      <c r="AC44" s="141">
        <v>0</v>
      </c>
      <c r="AD44" s="141">
        <v>0</v>
      </c>
      <c r="AE44" s="141">
        <v>0</v>
      </c>
      <c r="AF44" s="141">
        <v>0</v>
      </c>
      <c r="AG44" s="141">
        <v>0</v>
      </c>
      <c r="AH44" s="141">
        <v>0</v>
      </c>
      <c r="AI44" s="141">
        <v>0</v>
      </c>
      <c r="AJ44" s="141">
        <v>0</v>
      </c>
      <c r="AK44" s="141">
        <v>0</v>
      </c>
      <c r="AL44" s="141">
        <v>0</v>
      </c>
      <c r="AM44" s="141">
        <v>0</v>
      </c>
      <c r="AN44" s="141">
        <v>0</v>
      </c>
      <c r="AO44" s="141">
        <v>0</v>
      </c>
      <c r="AP44" s="141">
        <v>0</v>
      </c>
      <c r="AQ44" s="141">
        <v>0</v>
      </c>
      <c r="AR44" s="141">
        <v>0</v>
      </c>
    </row>
    <row r="45" spans="1:44" x14ac:dyDescent="0.15">
      <c r="A45" s="176" t="s">
        <v>244</v>
      </c>
      <c r="B45" s="141">
        <v>0</v>
      </c>
      <c r="C45" s="141">
        <v>0</v>
      </c>
      <c r="D45" s="141">
        <v>0</v>
      </c>
      <c r="E45" s="141">
        <v>0</v>
      </c>
      <c r="F45" s="141">
        <v>0</v>
      </c>
      <c r="G45" s="141">
        <v>0</v>
      </c>
      <c r="H45" s="141">
        <v>0</v>
      </c>
      <c r="I45" s="141">
        <v>0</v>
      </c>
      <c r="J45" s="141">
        <v>0</v>
      </c>
      <c r="K45" s="141">
        <v>0</v>
      </c>
      <c r="L45" s="141">
        <v>0</v>
      </c>
      <c r="M45" s="141">
        <v>0</v>
      </c>
      <c r="N45" s="141">
        <v>0</v>
      </c>
      <c r="O45" s="141">
        <v>0</v>
      </c>
      <c r="P45" s="141">
        <v>0</v>
      </c>
      <c r="Q45" s="141">
        <v>0</v>
      </c>
      <c r="R45" s="141">
        <v>0</v>
      </c>
      <c r="S45" s="141">
        <v>0</v>
      </c>
      <c r="T45" s="141">
        <v>0</v>
      </c>
      <c r="U45" s="141">
        <v>0</v>
      </c>
      <c r="V45" s="141">
        <v>0</v>
      </c>
      <c r="W45" s="141">
        <v>0</v>
      </c>
      <c r="X45" s="141">
        <v>0</v>
      </c>
      <c r="Y45" s="141">
        <v>0</v>
      </c>
      <c r="Z45" s="141">
        <v>0</v>
      </c>
      <c r="AA45" s="141">
        <v>0</v>
      </c>
      <c r="AB45" s="141">
        <v>0</v>
      </c>
      <c r="AC45" s="141">
        <v>0</v>
      </c>
      <c r="AD45" s="141">
        <v>0</v>
      </c>
      <c r="AE45" s="141">
        <v>0</v>
      </c>
      <c r="AF45" s="141">
        <v>0</v>
      </c>
      <c r="AG45" s="141">
        <v>0</v>
      </c>
      <c r="AH45" s="141">
        <v>0</v>
      </c>
      <c r="AI45" s="141">
        <v>0</v>
      </c>
      <c r="AJ45" s="141">
        <v>0</v>
      </c>
      <c r="AK45" s="141">
        <v>0</v>
      </c>
      <c r="AL45" s="141">
        <v>0</v>
      </c>
      <c r="AM45" s="141">
        <v>0</v>
      </c>
      <c r="AN45" s="141">
        <v>0</v>
      </c>
      <c r="AO45" s="141">
        <v>0</v>
      </c>
      <c r="AP45" s="141">
        <v>0</v>
      </c>
      <c r="AQ45" s="141">
        <v>0</v>
      </c>
      <c r="AR45" s="141">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tabSelected="1" workbookViewId="0">
      <pane xSplit="2" ySplit="1" topLeftCell="C31" activePane="bottomRight" state="frozen"/>
      <selection pane="topRight" activeCell="C1" sqref="C1"/>
      <selection pane="bottomLeft" activeCell="A2" sqref="A2"/>
      <selection pane="bottomRight" activeCell="H55" sqref="H55"/>
    </sheetView>
  </sheetViews>
  <sheetFormatPr baseColWidth="10" defaultColWidth="8.83203125" defaultRowHeight="13" x14ac:dyDescent="0.15"/>
  <cols>
    <col min="1" max="1" width="3.33203125" customWidth="1"/>
    <col min="2" max="2" width="31.5" customWidth="1"/>
    <col min="3" max="4" width="16.33203125" style="114" customWidth="1"/>
    <col min="5" max="6" width="16.33203125" style="113" customWidth="1"/>
    <col min="7" max="8" width="8.83203125" style="114"/>
  </cols>
  <sheetData>
    <row r="1" spans="1:8" ht="70" x14ac:dyDescent="0.15">
      <c r="A1" s="5" t="s">
        <v>20</v>
      </c>
      <c r="B1" s="1" t="s">
        <v>0</v>
      </c>
      <c r="C1" s="179" t="s">
        <v>233</v>
      </c>
      <c r="D1" s="179" t="s">
        <v>234</v>
      </c>
      <c r="E1" s="179" t="s">
        <v>245</v>
      </c>
      <c r="F1" s="179" t="s">
        <v>246</v>
      </c>
      <c r="G1"/>
      <c r="H1"/>
    </row>
    <row r="2" spans="1:8" x14ac:dyDescent="0.15">
      <c r="A2">
        <v>1</v>
      </c>
      <c r="B2" s="178" t="s">
        <v>192</v>
      </c>
      <c r="C2" s="114">
        <v>1</v>
      </c>
      <c r="D2" s="114">
        <v>0</v>
      </c>
      <c r="E2" s="113">
        <v>0</v>
      </c>
      <c r="F2" s="113">
        <v>1</v>
      </c>
      <c r="G2"/>
      <c r="H2"/>
    </row>
    <row r="3" spans="1:8" x14ac:dyDescent="0.15">
      <c r="A3">
        <v>2</v>
      </c>
      <c r="B3" s="178" t="s">
        <v>193</v>
      </c>
      <c r="C3" s="114">
        <v>1</v>
      </c>
      <c r="D3" s="114">
        <v>0</v>
      </c>
      <c r="E3" s="113">
        <v>0</v>
      </c>
      <c r="F3" s="113">
        <v>1</v>
      </c>
      <c r="G3"/>
      <c r="H3"/>
    </row>
    <row r="4" spans="1:8" x14ac:dyDescent="0.15">
      <c r="A4">
        <v>3</v>
      </c>
      <c r="B4" s="178" t="s">
        <v>194</v>
      </c>
      <c r="C4" s="114">
        <v>1</v>
      </c>
      <c r="D4" s="114">
        <v>0</v>
      </c>
      <c r="E4" s="113">
        <v>0</v>
      </c>
      <c r="F4" s="113">
        <v>1</v>
      </c>
      <c r="G4"/>
      <c r="H4"/>
    </row>
    <row r="5" spans="1:8" x14ac:dyDescent="0.15">
      <c r="A5">
        <v>4</v>
      </c>
      <c r="B5" s="178" t="s">
        <v>195</v>
      </c>
      <c r="C5" s="114">
        <v>1</v>
      </c>
      <c r="D5" s="114">
        <v>0</v>
      </c>
      <c r="E5" s="113">
        <v>0</v>
      </c>
      <c r="F5" s="113">
        <v>1</v>
      </c>
      <c r="G5"/>
      <c r="H5"/>
    </row>
    <row r="6" spans="1:8" x14ac:dyDescent="0.15">
      <c r="A6">
        <v>5</v>
      </c>
      <c r="B6" s="178" t="s">
        <v>196</v>
      </c>
      <c r="C6" s="114">
        <v>1</v>
      </c>
      <c r="D6" s="114">
        <v>0</v>
      </c>
      <c r="E6" s="113">
        <v>0</v>
      </c>
      <c r="F6" s="113">
        <v>1</v>
      </c>
      <c r="G6"/>
      <c r="H6"/>
    </row>
    <row r="7" spans="1:8" x14ac:dyDescent="0.15">
      <c r="A7">
        <v>6</v>
      </c>
      <c r="B7" s="178" t="s">
        <v>197</v>
      </c>
      <c r="C7" s="114">
        <v>1</v>
      </c>
      <c r="D7" s="114">
        <v>0</v>
      </c>
      <c r="E7" s="113">
        <v>0</v>
      </c>
      <c r="F7" s="113">
        <v>1</v>
      </c>
      <c r="G7"/>
      <c r="H7"/>
    </row>
    <row r="8" spans="1:8" x14ac:dyDescent="0.15">
      <c r="A8">
        <v>7</v>
      </c>
      <c r="B8" s="178" t="s">
        <v>198</v>
      </c>
      <c r="C8" s="114">
        <v>1</v>
      </c>
      <c r="D8" s="114">
        <v>0</v>
      </c>
      <c r="E8" s="113">
        <v>0</v>
      </c>
      <c r="F8" s="113">
        <v>1</v>
      </c>
      <c r="G8"/>
      <c r="H8"/>
    </row>
    <row r="9" spans="1:8" x14ac:dyDescent="0.15">
      <c r="A9">
        <v>8</v>
      </c>
      <c r="B9" s="178" t="s">
        <v>199</v>
      </c>
      <c r="C9" s="114">
        <v>1</v>
      </c>
      <c r="D9" s="114">
        <v>0</v>
      </c>
      <c r="E9" s="113">
        <v>0</v>
      </c>
      <c r="F9" s="113">
        <v>1</v>
      </c>
      <c r="G9"/>
      <c r="H9"/>
    </row>
    <row r="10" spans="1:8" x14ac:dyDescent="0.15">
      <c r="A10">
        <v>9</v>
      </c>
      <c r="B10" s="178" t="s">
        <v>200</v>
      </c>
      <c r="C10" s="114">
        <v>1</v>
      </c>
      <c r="D10" s="114">
        <v>0</v>
      </c>
      <c r="E10" s="113">
        <v>0</v>
      </c>
      <c r="F10" s="113">
        <v>1</v>
      </c>
      <c r="G10"/>
      <c r="H10"/>
    </row>
    <row r="11" spans="1:8" x14ac:dyDescent="0.15">
      <c r="A11">
        <v>10</v>
      </c>
      <c r="B11" s="178" t="s">
        <v>201</v>
      </c>
      <c r="C11" s="114">
        <v>1</v>
      </c>
      <c r="D11" s="114">
        <v>0</v>
      </c>
      <c r="E11" s="113">
        <v>0</v>
      </c>
      <c r="F11" s="113">
        <v>1</v>
      </c>
      <c r="G11"/>
      <c r="H11"/>
    </row>
    <row r="12" spans="1:8" x14ac:dyDescent="0.15">
      <c r="A12">
        <v>11</v>
      </c>
      <c r="B12" s="178" t="s">
        <v>202</v>
      </c>
      <c r="C12" s="114">
        <v>1</v>
      </c>
      <c r="D12" s="114">
        <v>0</v>
      </c>
      <c r="E12" s="113">
        <v>0</v>
      </c>
      <c r="F12" s="113">
        <v>1</v>
      </c>
      <c r="G12"/>
      <c r="H12"/>
    </row>
    <row r="13" spans="1:8" x14ac:dyDescent="0.15">
      <c r="A13">
        <v>12</v>
      </c>
      <c r="B13" s="178" t="s">
        <v>203</v>
      </c>
      <c r="C13" s="114">
        <v>1</v>
      </c>
      <c r="D13" s="114">
        <v>0</v>
      </c>
      <c r="E13" s="113">
        <v>0</v>
      </c>
      <c r="F13" s="113">
        <v>1</v>
      </c>
      <c r="G13"/>
      <c r="H13"/>
    </row>
    <row r="14" spans="1:8" x14ac:dyDescent="0.15">
      <c r="A14">
        <v>13</v>
      </c>
      <c r="B14" s="178" t="s">
        <v>204</v>
      </c>
      <c r="C14" s="114">
        <v>1</v>
      </c>
      <c r="D14" s="114">
        <v>0</v>
      </c>
      <c r="E14" s="113">
        <v>0</v>
      </c>
      <c r="F14" s="113">
        <v>1</v>
      </c>
      <c r="G14"/>
      <c r="H14"/>
    </row>
    <row r="15" spans="1:8" x14ac:dyDescent="0.15">
      <c r="A15">
        <v>14</v>
      </c>
      <c r="B15" s="178" t="s">
        <v>205</v>
      </c>
      <c r="C15" s="114">
        <v>1</v>
      </c>
      <c r="D15" s="114">
        <v>0</v>
      </c>
      <c r="E15" s="113">
        <v>0</v>
      </c>
      <c r="F15" s="113">
        <v>1</v>
      </c>
      <c r="G15"/>
      <c r="H15"/>
    </row>
    <row r="16" spans="1:8" x14ac:dyDescent="0.15">
      <c r="A16">
        <v>15</v>
      </c>
      <c r="B16" s="178" t="s">
        <v>206</v>
      </c>
      <c r="C16" s="114">
        <v>1</v>
      </c>
      <c r="D16" s="114">
        <v>0</v>
      </c>
      <c r="E16" s="113">
        <v>0</v>
      </c>
      <c r="F16" s="113">
        <v>1</v>
      </c>
      <c r="G16"/>
      <c r="H16"/>
    </row>
    <row r="17" spans="1:8" ht="15" customHeight="1" x14ac:dyDescent="0.15">
      <c r="A17">
        <v>16</v>
      </c>
      <c r="B17" s="178" t="s">
        <v>207</v>
      </c>
      <c r="C17" s="114">
        <v>1</v>
      </c>
      <c r="D17" s="114">
        <v>0</v>
      </c>
      <c r="E17" s="113">
        <v>0</v>
      </c>
      <c r="F17" s="113">
        <v>1</v>
      </c>
      <c r="G17"/>
      <c r="H17"/>
    </row>
    <row r="18" spans="1:8" ht="15" customHeight="1" x14ac:dyDescent="0.15">
      <c r="A18">
        <v>17</v>
      </c>
      <c r="B18" s="178" t="s">
        <v>208</v>
      </c>
      <c r="C18" s="114">
        <v>1</v>
      </c>
      <c r="D18" s="114">
        <v>0</v>
      </c>
      <c r="E18" s="113">
        <v>0</v>
      </c>
      <c r="F18" s="113">
        <v>1</v>
      </c>
      <c r="G18"/>
      <c r="H18"/>
    </row>
    <row r="19" spans="1:8" ht="15" customHeight="1" x14ac:dyDescent="0.15">
      <c r="A19">
        <v>18</v>
      </c>
      <c r="B19" s="178" t="s">
        <v>209</v>
      </c>
      <c r="C19" s="114">
        <v>1</v>
      </c>
      <c r="D19" s="114">
        <v>0</v>
      </c>
      <c r="E19" s="113">
        <v>0</v>
      </c>
      <c r="F19" s="113">
        <v>1</v>
      </c>
      <c r="G19"/>
      <c r="H19"/>
    </row>
    <row r="20" spans="1:8" ht="15" customHeight="1" x14ac:dyDescent="0.15">
      <c r="A20">
        <v>19</v>
      </c>
      <c r="B20" s="178" t="s">
        <v>210</v>
      </c>
      <c r="C20" s="114">
        <v>1</v>
      </c>
      <c r="D20" s="114">
        <v>0</v>
      </c>
      <c r="E20" s="113">
        <v>0</v>
      </c>
      <c r="F20" s="113">
        <v>1</v>
      </c>
      <c r="G20"/>
      <c r="H20"/>
    </row>
    <row r="21" spans="1:8" ht="15" customHeight="1" x14ac:dyDescent="0.15">
      <c r="A21">
        <v>20</v>
      </c>
      <c r="B21" s="178" t="s">
        <v>211</v>
      </c>
      <c r="C21" s="114">
        <v>1</v>
      </c>
      <c r="D21" s="114">
        <v>0</v>
      </c>
      <c r="E21" s="113">
        <v>0</v>
      </c>
      <c r="F21" s="113">
        <v>1</v>
      </c>
      <c r="G21"/>
      <c r="H21"/>
    </row>
    <row r="22" spans="1:8" ht="15" customHeight="1" x14ac:dyDescent="0.15">
      <c r="A22">
        <v>21</v>
      </c>
      <c r="B22" s="178" t="s">
        <v>212</v>
      </c>
      <c r="C22" s="114">
        <v>1</v>
      </c>
      <c r="D22" s="114">
        <v>0</v>
      </c>
      <c r="E22" s="113">
        <v>0</v>
      </c>
      <c r="F22" s="113">
        <v>1</v>
      </c>
      <c r="G22"/>
      <c r="H22"/>
    </row>
    <row r="23" spans="1:8" ht="15" customHeight="1" x14ac:dyDescent="0.15">
      <c r="A23">
        <v>22</v>
      </c>
      <c r="B23" s="178" t="s">
        <v>213</v>
      </c>
      <c r="C23" s="114">
        <v>1</v>
      </c>
      <c r="D23" s="114">
        <v>0</v>
      </c>
      <c r="E23" s="113">
        <v>0</v>
      </c>
      <c r="F23" s="113">
        <v>1</v>
      </c>
      <c r="G23"/>
      <c r="H23"/>
    </row>
    <row r="24" spans="1:8" ht="15" customHeight="1" x14ac:dyDescent="0.15">
      <c r="A24">
        <v>23</v>
      </c>
      <c r="B24" s="178" t="s">
        <v>214</v>
      </c>
      <c r="C24" s="114">
        <v>1</v>
      </c>
      <c r="D24" s="114">
        <v>0</v>
      </c>
      <c r="E24" s="113">
        <v>0</v>
      </c>
      <c r="F24" s="113">
        <v>1</v>
      </c>
      <c r="G24"/>
      <c r="H24"/>
    </row>
    <row r="25" spans="1:8" ht="15" customHeight="1" x14ac:dyDescent="0.15">
      <c r="A25">
        <v>24</v>
      </c>
      <c r="B25" s="178" t="s">
        <v>215</v>
      </c>
      <c r="C25" s="114">
        <v>1</v>
      </c>
      <c r="D25" s="114">
        <v>0</v>
      </c>
      <c r="E25" s="113">
        <v>0</v>
      </c>
      <c r="F25" s="113">
        <v>1</v>
      </c>
      <c r="G25"/>
      <c r="H25"/>
    </row>
    <row r="26" spans="1:8" ht="15" customHeight="1" x14ac:dyDescent="0.15">
      <c r="A26">
        <v>25</v>
      </c>
      <c r="B26" s="178" t="s">
        <v>216</v>
      </c>
      <c r="C26" s="114">
        <v>1</v>
      </c>
      <c r="D26" s="114">
        <v>0</v>
      </c>
      <c r="E26" s="113">
        <v>0</v>
      </c>
      <c r="F26" s="113">
        <v>1</v>
      </c>
      <c r="G26"/>
      <c r="H26"/>
    </row>
    <row r="27" spans="1:8" ht="15" customHeight="1" x14ac:dyDescent="0.15">
      <c r="A27">
        <v>26</v>
      </c>
      <c r="B27" s="178" t="s">
        <v>217</v>
      </c>
      <c r="C27" s="114">
        <v>1</v>
      </c>
      <c r="D27" s="114">
        <v>0</v>
      </c>
      <c r="E27" s="113">
        <v>0</v>
      </c>
      <c r="F27" s="113">
        <v>1</v>
      </c>
      <c r="G27"/>
      <c r="H27"/>
    </row>
    <row r="28" spans="1:8" ht="15" customHeight="1" x14ac:dyDescent="0.15">
      <c r="A28">
        <v>27</v>
      </c>
      <c r="B28" s="178" t="s">
        <v>218</v>
      </c>
      <c r="C28" s="114">
        <v>1</v>
      </c>
      <c r="D28" s="114">
        <v>0</v>
      </c>
      <c r="E28" s="113">
        <v>0</v>
      </c>
      <c r="F28" s="113">
        <v>1</v>
      </c>
      <c r="G28"/>
      <c r="H28"/>
    </row>
    <row r="29" spans="1:8" ht="15" customHeight="1" x14ac:dyDescent="0.15">
      <c r="A29">
        <v>28</v>
      </c>
      <c r="B29" s="178" t="s">
        <v>219</v>
      </c>
      <c r="C29" s="114">
        <v>1</v>
      </c>
      <c r="D29" s="114">
        <v>0</v>
      </c>
      <c r="E29" s="113">
        <v>0</v>
      </c>
      <c r="F29" s="113">
        <v>1</v>
      </c>
      <c r="G29"/>
      <c r="H29"/>
    </row>
    <row r="30" spans="1:8" ht="15" customHeight="1" x14ac:dyDescent="0.15">
      <c r="A30">
        <v>29</v>
      </c>
      <c r="B30" s="178" t="s">
        <v>220</v>
      </c>
      <c r="C30" s="114">
        <v>1</v>
      </c>
      <c r="D30" s="114">
        <v>0</v>
      </c>
      <c r="E30" s="113">
        <v>0</v>
      </c>
      <c r="F30" s="113">
        <v>1</v>
      </c>
      <c r="G30"/>
      <c r="H30"/>
    </row>
    <row r="31" spans="1:8" ht="15" customHeight="1" x14ac:dyDescent="0.15">
      <c r="A31">
        <v>30</v>
      </c>
      <c r="B31" s="178" t="s">
        <v>221</v>
      </c>
      <c r="C31" s="114">
        <v>1</v>
      </c>
      <c r="D31" s="114">
        <v>0</v>
      </c>
      <c r="E31" s="113">
        <v>0</v>
      </c>
      <c r="F31" s="113">
        <v>1</v>
      </c>
      <c r="G31"/>
      <c r="H31"/>
    </row>
    <row r="32" spans="1:8" ht="15" customHeight="1" x14ac:dyDescent="0.15">
      <c r="A32">
        <v>31</v>
      </c>
      <c r="B32" s="178" t="s">
        <v>222</v>
      </c>
      <c r="C32" s="114">
        <v>1</v>
      </c>
      <c r="D32" s="114">
        <v>0</v>
      </c>
      <c r="E32" s="113">
        <v>0</v>
      </c>
      <c r="F32" s="113">
        <v>1</v>
      </c>
    </row>
    <row r="33" spans="1:8" ht="15" customHeight="1" x14ac:dyDescent="0.15">
      <c r="A33">
        <v>32</v>
      </c>
      <c r="B33" s="178" t="s">
        <v>223</v>
      </c>
      <c r="C33" s="114">
        <v>1</v>
      </c>
      <c r="D33" s="114">
        <v>0</v>
      </c>
      <c r="E33" s="113">
        <v>0</v>
      </c>
      <c r="F33" s="113">
        <v>1</v>
      </c>
    </row>
    <row r="34" spans="1:8" ht="15" customHeight="1" x14ac:dyDescent="0.15">
      <c r="A34">
        <v>33</v>
      </c>
      <c r="B34" s="178" t="s">
        <v>224</v>
      </c>
      <c r="C34" s="114">
        <v>1</v>
      </c>
      <c r="D34" s="114">
        <v>0</v>
      </c>
      <c r="E34" s="113">
        <v>0</v>
      </c>
      <c r="F34" s="113">
        <v>1</v>
      </c>
    </row>
    <row r="35" spans="1:8" ht="15" customHeight="1" x14ac:dyDescent="0.15">
      <c r="A35">
        <v>34</v>
      </c>
      <c r="B35" s="178" t="s">
        <v>225</v>
      </c>
      <c r="C35" s="114">
        <v>1</v>
      </c>
      <c r="D35" s="114">
        <v>0</v>
      </c>
      <c r="E35" s="113">
        <v>0</v>
      </c>
      <c r="F35" s="113">
        <v>1</v>
      </c>
    </row>
    <row r="36" spans="1:8" ht="15" customHeight="1" x14ac:dyDescent="0.15">
      <c r="A36">
        <v>35</v>
      </c>
      <c r="B36" s="178" t="s">
        <v>226</v>
      </c>
      <c r="C36" s="114">
        <v>1</v>
      </c>
      <c r="D36" s="114">
        <v>0</v>
      </c>
      <c r="E36" s="114">
        <v>0</v>
      </c>
      <c r="F36" s="114">
        <v>1</v>
      </c>
      <c r="G36"/>
      <c r="H36"/>
    </row>
    <row r="37" spans="1:8" ht="15" customHeight="1" x14ac:dyDescent="0.15">
      <c r="A37">
        <v>36</v>
      </c>
      <c r="B37" s="178" t="s">
        <v>227</v>
      </c>
      <c r="C37" s="114">
        <v>1</v>
      </c>
      <c r="D37" s="114">
        <v>0</v>
      </c>
      <c r="E37" s="114">
        <v>0</v>
      </c>
      <c r="F37" s="114">
        <v>1</v>
      </c>
      <c r="G37"/>
      <c r="H37"/>
    </row>
    <row r="38" spans="1:8" ht="15" customHeight="1" x14ac:dyDescent="0.15">
      <c r="A38">
        <v>37</v>
      </c>
      <c r="B38" s="178" t="s">
        <v>228</v>
      </c>
      <c r="C38" s="114">
        <v>1</v>
      </c>
      <c r="D38" s="114">
        <v>0</v>
      </c>
      <c r="E38" s="114">
        <v>0</v>
      </c>
      <c r="F38" s="114">
        <v>1</v>
      </c>
      <c r="G38"/>
      <c r="H38"/>
    </row>
    <row r="39" spans="1:8" ht="15" customHeight="1" x14ac:dyDescent="0.15">
      <c r="A39">
        <v>38</v>
      </c>
      <c r="B39" s="178" t="s">
        <v>229</v>
      </c>
      <c r="C39" s="114">
        <v>1</v>
      </c>
      <c r="D39" s="114">
        <v>0</v>
      </c>
      <c r="E39" s="114">
        <v>0</v>
      </c>
      <c r="F39" s="114">
        <v>1</v>
      </c>
      <c r="G39"/>
      <c r="H39"/>
    </row>
    <row r="40" spans="1:8" ht="15" customHeight="1" x14ac:dyDescent="0.15">
      <c r="A40">
        <v>39</v>
      </c>
      <c r="B40" s="178" t="s">
        <v>230</v>
      </c>
      <c r="C40" s="114">
        <v>1</v>
      </c>
      <c r="D40" s="114">
        <v>0</v>
      </c>
      <c r="E40" s="114">
        <v>0</v>
      </c>
      <c r="F40" s="114">
        <v>1</v>
      </c>
      <c r="G40"/>
      <c r="H40"/>
    </row>
    <row r="41" spans="1:8" ht="15" customHeight="1" x14ac:dyDescent="0.15">
      <c r="A41">
        <v>40</v>
      </c>
      <c r="B41" s="178" t="s">
        <v>231</v>
      </c>
      <c r="C41" s="114">
        <v>1</v>
      </c>
      <c r="D41" s="114">
        <v>0</v>
      </c>
      <c r="E41" s="114">
        <v>0</v>
      </c>
      <c r="F41" s="114">
        <v>1</v>
      </c>
      <c r="G41"/>
      <c r="H41"/>
    </row>
    <row r="42" spans="1:8" ht="15" customHeight="1" x14ac:dyDescent="0.15">
      <c r="A42">
        <v>41</v>
      </c>
      <c r="B42" s="178" t="s">
        <v>232</v>
      </c>
      <c r="C42" s="114">
        <v>1</v>
      </c>
      <c r="D42" s="114">
        <v>0</v>
      </c>
      <c r="E42" s="114">
        <v>0</v>
      </c>
      <c r="F42" s="114">
        <v>1</v>
      </c>
      <c r="G42"/>
      <c r="H42"/>
    </row>
    <row r="43" spans="1:8" ht="15" customHeight="1" x14ac:dyDescent="0.15">
      <c r="A43">
        <v>42</v>
      </c>
      <c r="B43" s="178" t="s">
        <v>233</v>
      </c>
      <c r="C43" s="114">
        <v>0</v>
      </c>
      <c r="D43" s="114">
        <v>1</v>
      </c>
      <c r="E43" s="114">
        <v>0</v>
      </c>
      <c r="F43" s="114">
        <v>1</v>
      </c>
      <c r="G43"/>
      <c r="H43"/>
    </row>
    <row r="44" spans="1:8" ht="15" customHeight="1" x14ac:dyDescent="0.15">
      <c r="A44">
        <v>43</v>
      </c>
      <c r="B44" s="178" t="s">
        <v>234</v>
      </c>
      <c r="C44" s="114">
        <v>0</v>
      </c>
      <c r="D44" s="114">
        <v>0</v>
      </c>
      <c r="E44" s="113">
        <v>1</v>
      </c>
      <c r="F44" s="113">
        <v>1</v>
      </c>
      <c r="G44"/>
      <c r="H44"/>
    </row>
    <row r="45" spans="1:8" ht="15" customHeight="1" x14ac:dyDescent="0.15">
      <c r="A45">
        <v>44</v>
      </c>
      <c r="B45" s="178" t="s">
        <v>235</v>
      </c>
      <c r="C45" s="114">
        <v>0</v>
      </c>
      <c r="D45" s="114">
        <v>1</v>
      </c>
      <c r="E45" s="113">
        <v>0</v>
      </c>
      <c r="F45" s="113">
        <v>1</v>
      </c>
      <c r="G45"/>
      <c r="H45"/>
    </row>
    <row r="46" spans="1:8" ht="15" customHeight="1" x14ac:dyDescent="0.15">
      <c r="A46">
        <v>45</v>
      </c>
      <c r="B46" s="178" t="s">
        <v>236</v>
      </c>
      <c r="C46" s="114">
        <v>0</v>
      </c>
      <c r="D46" s="114">
        <v>1</v>
      </c>
      <c r="E46" s="114">
        <v>0</v>
      </c>
      <c r="F46" s="114">
        <v>1</v>
      </c>
      <c r="G46"/>
      <c r="H46"/>
    </row>
    <row r="47" spans="1:8" ht="15" customHeight="1" x14ac:dyDescent="0.15">
      <c r="A47">
        <v>46</v>
      </c>
      <c r="B47" s="178" t="s">
        <v>237</v>
      </c>
      <c r="C47" s="114">
        <v>0</v>
      </c>
      <c r="D47" s="114">
        <v>1</v>
      </c>
      <c r="E47" s="113">
        <v>0</v>
      </c>
      <c r="F47" s="113">
        <v>1</v>
      </c>
      <c r="G47"/>
      <c r="H47"/>
    </row>
    <row r="48" spans="1:8" ht="15" customHeight="1" x14ac:dyDescent="0.15">
      <c r="A48">
        <v>47</v>
      </c>
      <c r="B48" s="178" t="s">
        <v>238</v>
      </c>
      <c r="C48" s="114">
        <v>0</v>
      </c>
      <c r="D48" s="114">
        <v>1</v>
      </c>
      <c r="E48" s="113">
        <v>0</v>
      </c>
      <c r="F48" s="113">
        <v>1</v>
      </c>
      <c r="G48"/>
      <c r="H48"/>
    </row>
    <row r="49" spans="1:8" ht="15" customHeight="1" x14ac:dyDescent="0.15">
      <c r="A49">
        <v>48</v>
      </c>
      <c r="B49" s="178" t="s">
        <v>239</v>
      </c>
      <c r="C49" s="114">
        <v>0</v>
      </c>
      <c r="D49" s="114">
        <v>1</v>
      </c>
      <c r="E49" s="113">
        <v>0</v>
      </c>
      <c r="F49" s="113">
        <v>1</v>
      </c>
      <c r="G49"/>
      <c r="H49"/>
    </row>
    <row r="50" spans="1:8" ht="15" customHeight="1" x14ac:dyDescent="0.15">
      <c r="A50">
        <v>49</v>
      </c>
      <c r="B50" s="178" t="s">
        <v>240</v>
      </c>
      <c r="C50" s="114">
        <v>0</v>
      </c>
      <c r="D50" s="114">
        <v>1</v>
      </c>
      <c r="E50" s="113">
        <v>0</v>
      </c>
      <c r="F50" s="113">
        <v>1</v>
      </c>
      <c r="G50"/>
      <c r="H50"/>
    </row>
    <row r="51" spans="1:8" ht="15" customHeight="1" x14ac:dyDescent="0.15">
      <c r="A51">
        <v>50</v>
      </c>
      <c r="B51" s="178" t="s">
        <v>241</v>
      </c>
      <c r="C51" s="114">
        <v>0</v>
      </c>
      <c r="D51" s="114">
        <v>1</v>
      </c>
      <c r="E51" s="113">
        <v>0</v>
      </c>
      <c r="F51" s="113">
        <v>1</v>
      </c>
      <c r="G51"/>
      <c r="H51"/>
    </row>
    <row r="52" spans="1:8" ht="15" customHeight="1" x14ac:dyDescent="0.15">
      <c r="A52">
        <v>51</v>
      </c>
      <c r="B52" s="178" t="s">
        <v>242</v>
      </c>
      <c r="C52" s="114">
        <v>0</v>
      </c>
      <c r="D52" s="114">
        <v>1</v>
      </c>
      <c r="E52" s="113">
        <v>0</v>
      </c>
      <c r="F52" s="113">
        <v>1</v>
      </c>
      <c r="G52"/>
      <c r="H52"/>
    </row>
    <row r="53" spans="1:8" ht="15" customHeight="1" x14ac:dyDescent="0.15">
      <c r="A53">
        <v>52</v>
      </c>
      <c r="B53" s="178" t="s">
        <v>243</v>
      </c>
      <c r="C53" s="114">
        <v>0</v>
      </c>
      <c r="D53" s="114">
        <v>1</v>
      </c>
      <c r="E53" s="113">
        <v>0</v>
      </c>
      <c r="F53" s="113">
        <v>1</v>
      </c>
      <c r="G53"/>
      <c r="H53"/>
    </row>
    <row r="54" spans="1:8" ht="15" customHeight="1" x14ac:dyDescent="0.15">
      <c r="C54"/>
      <c r="D54"/>
      <c r="E54"/>
      <c r="F54"/>
      <c r="G54"/>
      <c r="H54"/>
    </row>
    <row r="55" spans="1:8" ht="15" customHeight="1" x14ac:dyDescent="0.15">
      <c r="C55"/>
      <c r="D55"/>
      <c r="E55"/>
      <c r="F55"/>
      <c r="G55"/>
      <c r="H55"/>
    </row>
    <row r="56" spans="1:8" ht="15" customHeight="1" x14ac:dyDescent="0.15">
      <c r="C56"/>
      <c r="D56"/>
      <c r="E56"/>
      <c r="F56"/>
      <c r="G56"/>
      <c r="H56"/>
    </row>
    <row r="57" spans="1:8" ht="15" customHeight="1" x14ac:dyDescent="0.15">
      <c r="C57"/>
      <c r="D57"/>
      <c r="E57"/>
      <c r="F57"/>
      <c r="G57"/>
      <c r="H57"/>
    </row>
    <row r="58" spans="1:8" ht="15" customHeight="1" x14ac:dyDescent="0.15">
      <c r="C58"/>
      <c r="D58"/>
      <c r="E58"/>
      <c r="F58"/>
      <c r="G58"/>
      <c r="H58"/>
    </row>
    <row r="59" spans="1:8" ht="15" customHeight="1" x14ac:dyDescent="0.15">
      <c r="C59"/>
      <c r="D59"/>
      <c r="E59"/>
      <c r="F59"/>
      <c r="G59"/>
      <c r="H59"/>
    </row>
    <row r="60" spans="1:8" ht="15" customHeight="1" x14ac:dyDescent="0.15">
      <c r="C60"/>
      <c r="D60"/>
      <c r="E60"/>
      <c r="F60"/>
      <c r="G60"/>
      <c r="H60"/>
    </row>
    <row r="61" spans="1:8" ht="15" customHeight="1" x14ac:dyDescent="0.15">
      <c r="C61"/>
      <c r="D61"/>
      <c r="E61"/>
      <c r="F61"/>
      <c r="G61"/>
      <c r="H61"/>
    </row>
    <row r="62" spans="1:8" ht="15" customHeight="1" x14ac:dyDescent="0.15">
      <c r="C62"/>
      <c r="D62"/>
      <c r="E62"/>
      <c r="F62"/>
      <c r="G62"/>
      <c r="H62"/>
    </row>
    <row r="63" spans="1:8" ht="15" customHeight="1" x14ac:dyDescent="0.15">
      <c r="C63"/>
      <c r="D63"/>
      <c r="E63"/>
      <c r="F63"/>
      <c r="G63"/>
      <c r="H63"/>
    </row>
    <row r="64" spans="1:8" ht="15" customHeight="1" x14ac:dyDescent="0.15">
      <c r="C64"/>
      <c r="D64"/>
      <c r="E64"/>
      <c r="F64"/>
      <c r="G64"/>
      <c r="H64"/>
    </row>
    <row r="65" spans="3:8" ht="15" customHeight="1" x14ac:dyDescent="0.15">
      <c r="C65"/>
      <c r="D65"/>
      <c r="E65"/>
      <c r="F65"/>
      <c r="G65"/>
      <c r="H65"/>
    </row>
    <row r="66" spans="3:8" ht="15" customHeight="1" x14ac:dyDescent="0.15">
      <c r="C66"/>
      <c r="D66"/>
      <c r="E66"/>
      <c r="F66"/>
      <c r="G66"/>
      <c r="H66"/>
    </row>
    <row r="67" spans="3:8" ht="15" customHeight="1" x14ac:dyDescent="0.15">
      <c r="C67"/>
      <c r="D67"/>
      <c r="E67"/>
      <c r="F67"/>
      <c r="G67"/>
      <c r="H67"/>
    </row>
    <row r="68" spans="3:8" ht="15" customHeight="1" x14ac:dyDescent="0.15">
      <c r="C68"/>
      <c r="D68"/>
      <c r="E68"/>
      <c r="F68"/>
      <c r="G68"/>
      <c r="H68"/>
    </row>
    <row r="69" spans="3:8" ht="15" customHeight="1" x14ac:dyDescent="0.15">
      <c r="C69"/>
      <c r="D69"/>
      <c r="E69"/>
      <c r="F69"/>
      <c r="G69"/>
      <c r="H69"/>
    </row>
    <row r="70" spans="3:8" ht="15" customHeight="1" x14ac:dyDescent="0.15">
      <c r="C70"/>
      <c r="D70"/>
      <c r="E70"/>
      <c r="F70"/>
      <c r="G70"/>
      <c r="H70"/>
    </row>
    <row r="71" spans="3:8" ht="15" customHeight="1" x14ac:dyDescent="0.15">
      <c r="C71"/>
      <c r="D71"/>
      <c r="E71"/>
      <c r="F71"/>
      <c r="G71"/>
      <c r="H71"/>
    </row>
    <row r="72" spans="3:8" ht="15" customHeight="1" x14ac:dyDescent="0.15">
      <c r="C72"/>
      <c r="D72"/>
      <c r="E72"/>
      <c r="F72"/>
      <c r="G72"/>
      <c r="H72"/>
    </row>
    <row r="73" spans="3:8" ht="15" customHeight="1" x14ac:dyDescent="0.15">
      <c r="C73"/>
      <c r="D73"/>
      <c r="E73"/>
      <c r="F73"/>
      <c r="G73"/>
      <c r="H73"/>
    </row>
    <row r="74" spans="3:8" ht="15" customHeight="1" x14ac:dyDescent="0.15">
      <c r="C74"/>
      <c r="D74"/>
      <c r="E74"/>
      <c r="F74"/>
      <c r="G74"/>
      <c r="H74"/>
    </row>
    <row r="75" spans="3:8" ht="15" customHeight="1" x14ac:dyDescent="0.15">
      <c r="C75"/>
      <c r="D75"/>
      <c r="E75"/>
      <c r="F75"/>
      <c r="G75"/>
      <c r="H75"/>
    </row>
    <row r="76" spans="3:8" ht="15" customHeight="1" x14ac:dyDescent="0.15">
      <c r="C76"/>
      <c r="D76"/>
      <c r="E76"/>
      <c r="F76"/>
      <c r="G76"/>
      <c r="H76"/>
    </row>
    <row r="77" spans="3:8" ht="15" customHeight="1" x14ac:dyDescent="0.15">
      <c r="C77"/>
      <c r="D77"/>
      <c r="E77"/>
      <c r="F77"/>
      <c r="G77"/>
      <c r="H77"/>
    </row>
    <row r="78" spans="3:8" ht="15" customHeight="1" x14ac:dyDescent="0.15">
      <c r="C78"/>
      <c r="D78"/>
      <c r="E78"/>
      <c r="F78"/>
      <c r="G78"/>
      <c r="H78"/>
    </row>
    <row r="79" spans="3:8" ht="15" customHeight="1" x14ac:dyDescent="0.15">
      <c r="C79"/>
      <c r="D79"/>
      <c r="E79"/>
      <c r="F79"/>
      <c r="G79"/>
      <c r="H79"/>
    </row>
    <row r="80" spans="3: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L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1.5" bestFit="1" customWidth="1"/>
    <col min="3" max="5" width="7.83203125" bestFit="1" customWidth="1"/>
    <col min="6" max="6" width="5.83203125" customWidth="1"/>
    <col min="7" max="12" width="7.83203125" customWidth="1"/>
  </cols>
  <sheetData>
    <row r="1" spans="1:12" s="115" customFormat="1" ht="112" x14ac:dyDescent="0.15">
      <c r="A1" s="5" t="s">
        <v>21</v>
      </c>
      <c r="B1" s="3" t="s">
        <v>0</v>
      </c>
      <c r="C1" s="181" t="s">
        <v>235</v>
      </c>
      <c r="D1" s="181" t="s">
        <v>236</v>
      </c>
      <c r="E1" s="181" t="s">
        <v>237</v>
      </c>
      <c r="F1" s="181" t="s">
        <v>238</v>
      </c>
      <c r="G1" s="181" t="s">
        <v>239</v>
      </c>
      <c r="H1" s="181" t="s">
        <v>240</v>
      </c>
      <c r="I1" s="181" t="s">
        <v>241</v>
      </c>
      <c r="J1" s="181" t="s">
        <v>242</v>
      </c>
      <c r="K1" s="181" t="s">
        <v>243</v>
      </c>
      <c r="L1" s="181" t="s">
        <v>247</v>
      </c>
    </row>
    <row r="2" spans="1:12" ht="15" customHeight="1" x14ac:dyDescent="0.15">
      <c r="A2">
        <v>1</v>
      </c>
      <c r="B2" s="180" t="s">
        <v>192</v>
      </c>
      <c r="C2">
        <v>0</v>
      </c>
      <c r="D2">
        <v>0</v>
      </c>
      <c r="E2">
        <v>0</v>
      </c>
      <c r="F2">
        <v>0</v>
      </c>
      <c r="G2">
        <v>2.2899999999999999E-3</v>
      </c>
      <c r="H2">
        <v>0</v>
      </c>
      <c r="I2">
        <v>1.5499999999999999E-3</v>
      </c>
      <c r="J2">
        <v>0</v>
      </c>
      <c r="K2">
        <v>0</v>
      </c>
      <c r="L2">
        <v>3.8399999999999997E-3</v>
      </c>
    </row>
    <row r="3" spans="1:12" ht="15" customHeight="1" x14ac:dyDescent="0.15">
      <c r="A3">
        <v>2</v>
      </c>
      <c r="B3" s="180" t="s">
        <v>193</v>
      </c>
      <c r="C3">
        <v>2.5999999999999998E-4</v>
      </c>
      <c r="D3">
        <v>0</v>
      </c>
      <c r="E3">
        <v>2.4160000000000001E-2</v>
      </c>
      <c r="F3">
        <v>0</v>
      </c>
      <c r="G3">
        <v>2.5500000000000002E-3</v>
      </c>
      <c r="H3">
        <v>2.0000000000000002E-5</v>
      </c>
      <c r="I3">
        <v>1.33E-3</v>
      </c>
      <c r="J3">
        <v>0</v>
      </c>
      <c r="K3">
        <v>0</v>
      </c>
      <c r="L3">
        <v>2.8320000000000001E-2</v>
      </c>
    </row>
    <row r="4" spans="1:12" ht="15" customHeight="1" x14ac:dyDescent="0.15">
      <c r="A4">
        <v>3</v>
      </c>
      <c r="B4" s="180" t="s">
        <v>194</v>
      </c>
      <c r="C4">
        <v>0</v>
      </c>
      <c r="D4">
        <v>0</v>
      </c>
      <c r="E4">
        <v>1.0000000000000001E-5</v>
      </c>
      <c r="F4">
        <v>0</v>
      </c>
      <c r="G4">
        <v>3.5000000000000001E-3</v>
      </c>
      <c r="H4">
        <v>0</v>
      </c>
      <c r="I4">
        <v>2.2000000000000001E-4</v>
      </c>
      <c r="J4">
        <v>0</v>
      </c>
      <c r="K4">
        <v>0</v>
      </c>
      <c r="L4">
        <v>3.7300000000000002E-3</v>
      </c>
    </row>
    <row r="5" spans="1:12" ht="15" customHeight="1" x14ac:dyDescent="0.15">
      <c r="A5">
        <v>4</v>
      </c>
      <c r="B5" s="180" t="s">
        <v>195</v>
      </c>
      <c r="C5">
        <v>0</v>
      </c>
      <c r="D5">
        <v>0</v>
      </c>
      <c r="E5">
        <v>0</v>
      </c>
      <c r="F5">
        <v>0</v>
      </c>
      <c r="G5">
        <v>0</v>
      </c>
      <c r="H5">
        <v>0</v>
      </c>
      <c r="I5">
        <v>0</v>
      </c>
      <c r="J5">
        <v>0</v>
      </c>
      <c r="K5">
        <v>0</v>
      </c>
      <c r="L5">
        <v>0</v>
      </c>
    </row>
    <row r="6" spans="1:12" ht="15" customHeight="1" x14ac:dyDescent="0.15">
      <c r="A6">
        <v>5</v>
      </c>
      <c r="B6" s="180" t="s">
        <v>196</v>
      </c>
      <c r="C6">
        <v>1.0000000000000001E-5</v>
      </c>
      <c r="D6">
        <v>0</v>
      </c>
      <c r="E6">
        <v>4.2500000000000003E-3</v>
      </c>
      <c r="F6">
        <v>0</v>
      </c>
      <c r="G6">
        <v>5.8399999999999997E-3</v>
      </c>
      <c r="H6">
        <v>3.0000000000000001E-5</v>
      </c>
      <c r="I6">
        <v>5.6899999999999997E-3</v>
      </c>
      <c r="J6">
        <v>0</v>
      </c>
      <c r="K6">
        <v>2.9E-4</v>
      </c>
      <c r="L6">
        <v>1.6109999999999999E-2</v>
      </c>
    </row>
    <row r="7" spans="1:12" ht="15" customHeight="1" x14ac:dyDescent="0.15">
      <c r="A7">
        <v>6</v>
      </c>
      <c r="B7" s="180" t="s">
        <v>197</v>
      </c>
      <c r="C7">
        <v>3.6999999999999999E-4</v>
      </c>
      <c r="D7">
        <v>0</v>
      </c>
      <c r="E7">
        <v>1.0000000000000001E-5</v>
      </c>
      <c r="F7">
        <v>1.0000000000000001E-5</v>
      </c>
      <c r="G7">
        <v>4.3499999999999997E-3</v>
      </c>
      <c r="H7">
        <v>0</v>
      </c>
      <c r="I7">
        <v>1.0300000000000001E-3</v>
      </c>
      <c r="J7">
        <v>0</v>
      </c>
      <c r="K7">
        <v>1.2899999999999999E-3</v>
      </c>
      <c r="L7">
        <v>7.0599999999999986E-3</v>
      </c>
    </row>
    <row r="8" spans="1:12" ht="15" customHeight="1" x14ac:dyDescent="0.15">
      <c r="A8">
        <v>7</v>
      </c>
      <c r="B8" s="180" t="s">
        <v>198</v>
      </c>
      <c r="C8">
        <v>0</v>
      </c>
      <c r="D8">
        <v>0</v>
      </c>
      <c r="E8">
        <v>2.1000000000000001E-4</v>
      </c>
      <c r="F8">
        <v>0</v>
      </c>
      <c r="G8">
        <v>1.75E-3</v>
      </c>
      <c r="H8">
        <v>0</v>
      </c>
      <c r="I8">
        <v>1.72E-3</v>
      </c>
      <c r="J8">
        <v>0</v>
      </c>
      <c r="K8">
        <v>1.3999999999999999E-4</v>
      </c>
      <c r="L8">
        <v>3.82E-3</v>
      </c>
    </row>
    <row r="9" spans="1:12" ht="15" customHeight="1" x14ac:dyDescent="0.15">
      <c r="A9">
        <v>8</v>
      </c>
      <c r="B9" s="180" t="s">
        <v>199</v>
      </c>
      <c r="C9">
        <v>0</v>
      </c>
      <c r="D9">
        <v>0</v>
      </c>
      <c r="E9">
        <v>0</v>
      </c>
      <c r="F9">
        <v>0</v>
      </c>
      <c r="G9">
        <v>2.0799999999999998E-3</v>
      </c>
      <c r="H9">
        <v>0</v>
      </c>
      <c r="I9">
        <v>8.3000000000000001E-4</v>
      </c>
      <c r="J9">
        <v>0</v>
      </c>
      <c r="K9">
        <v>0</v>
      </c>
      <c r="L9">
        <v>2.9099999999999998E-3</v>
      </c>
    </row>
    <row r="10" spans="1:12" ht="15" customHeight="1" x14ac:dyDescent="0.15">
      <c r="A10">
        <v>9</v>
      </c>
      <c r="B10" s="180" t="s">
        <v>200</v>
      </c>
      <c r="C10">
        <v>6.6E-4</v>
      </c>
      <c r="D10">
        <v>0</v>
      </c>
      <c r="E10">
        <v>8.5000000000000006E-3</v>
      </c>
      <c r="F10">
        <v>0</v>
      </c>
      <c r="G10">
        <v>1.9400000000000001E-3</v>
      </c>
      <c r="H10">
        <v>4.8999999999999998E-4</v>
      </c>
      <c r="I10">
        <v>1.3600000000000001E-3</v>
      </c>
      <c r="J10">
        <v>0</v>
      </c>
      <c r="K10">
        <v>6.9999999999999994E-5</v>
      </c>
      <c r="L10">
        <v>1.3020000000000004E-2</v>
      </c>
    </row>
    <row r="11" spans="1:12" ht="15" customHeight="1" x14ac:dyDescent="0.15">
      <c r="A11">
        <v>10</v>
      </c>
      <c r="B11" s="180" t="s">
        <v>201</v>
      </c>
      <c r="C11">
        <v>0</v>
      </c>
      <c r="D11">
        <v>0</v>
      </c>
      <c r="E11">
        <v>0</v>
      </c>
      <c r="F11">
        <v>0</v>
      </c>
      <c r="G11">
        <v>1.0000000000000001E-5</v>
      </c>
      <c r="H11">
        <v>0</v>
      </c>
      <c r="I11">
        <v>0</v>
      </c>
      <c r="J11">
        <v>0</v>
      </c>
      <c r="K11">
        <v>5.0000000000000002E-5</v>
      </c>
      <c r="L11">
        <v>6.0000000000000002E-5</v>
      </c>
    </row>
    <row r="12" spans="1:12" ht="15" customHeight="1" x14ac:dyDescent="0.15">
      <c r="A12">
        <v>11</v>
      </c>
      <c r="B12" s="180" t="s">
        <v>202</v>
      </c>
      <c r="C12">
        <v>0</v>
      </c>
      <c r="D12">
        <v>0</v>
      </c>
      <c r="E12">
        <v>6.3000000000000003E-4</v>
      </c>
      <c r="F12">
        <v>0</v>
      </c>
      <c r="G12">
        <v>2.5000000000000001E-4</v>
      </c>
      <c r="H12">
        <v>2.7999999999999998E-4</v>
      </c>
      <c r="I12">
        <v>5.1999999999999995E-4</v>
      </c>
      <c r="J12">
        <v>0</v>
      </c>
      <c r="K12">
        <v>5.0000000000000002E-5</v>
      </c>
      <c r="L12">
        <v>1.73E-3</v>
      </c>
    </row>
    <row r="13" spans="1:12" ht="15" customHeight="1" x14ac:dyDescent="0.15">
      <c r="A13">
        <v>12</v>
      </c>
      <c r="B13" s="180" t="s">
        <v>203</v>
      </c>
      <c r="C13">
        <v>0</v>
      </c>
      <c r="D13">
        <v>0</v>
      </c>
      <c r="E13">
        <v>0</v>
      </c>
      <c r="F13">
        <v>0</v>
      </c>
      <c r="G13">
        <v>0</v>
      </c>
      <c r="H13">
        <v>0</v>
      </c>
      <c r="I13">
        <v>0</v>
      </c>
      <c r="J13">
        <v>0</v>
      </c>
      <c r="K13">
        <v>0</v>
      </c>
      <c r="L13">
        <v>0</v>
      </c>
    </row>
    <row r="14" spans="1:12" ht="15" customHeight="1" x14ac:dyDescent="0.15">
      <c r="A14">
        <v>13</v>
      </c>
      <c r="B14" s="180" t="s">
        <v>204</v>
      </c>
      <c r="C14">
        <v>4.0000000000000002E-4</v>
      </c>
      <c r="D14">
        <v>3.0000000000000001E-5</v>
      </c>
      <c r="E14">
        <v>1.15E-3</v>
      </c>
      <c r="F14">
        <v>0</v>
      </c>
      <c r="G14">
        <v>0</v>
      </c>
      <c r="H14">
        <v>0</v>
      </c>
      <c r="I14">
        <v>0</v>
      </c>
      <c r="J14">
        <v>0</v>
      </c>
      <c r="K14">
        <v>1.0000000000000001E-5</v>
      </c>
      <c r="L14">
        <v>1.5900000000000001E-3</v>
      </c>
    </row>
    <row r="15" spans="1:12" ht="15" customHeight="1" x14ac:dyDescent="0.15">
      <c r="A15">
        <v>14</v>
      </c>
      <c r="B15" s="180" t="s">
        <v>205</v>
      </c>
      <c r="C15">
        <v>1.7469999999999999E-2</v>
      </c>
      <c r="D15">
        <v>0</v>
      </c>
      <c r="E15">
        <v>2.111E-2</v>
      </c>
      <c r="F15">
        <v>0</v>
      </c>
      <c r="G15">
        <v>1.2999999999999999E-4</v>
      </c>
      <c r="H15">
        <v>5.5999999999999999E-3</v>
      </c>
      <c r="I15">
        <v>1.1199999999999999E-3</v>
      </c>
      <c r="J15">
        <v>0</v>
      </c>
      <c r="K15">
        <v>5.5999999999999995E-4</v>
      </c>
      <c r="L15">
        <v>4.5990000000000003E-2</v>
      </c>
    </row>
    <row r="16" spans="1:12" ht="15" customHeight="1" x14ac:dyDescent="0.15">
      <c r="A16">
        <v>15</v>
      </c>
      <c r="B16" s="180" t="s">
        <v>206</v>
      </c>
      <c r="C16">
        <v>1.0000000000000001E-5</v>
      </c>
      <c r="D16">
        <v>0</v>
      </c>
      <c r="E16">
        <v>2.0000000000000002E-5</v>
      </c>
      <c r="F16">
        <v>0</v>
      </c>
      <c r="G16">
        <v>9.6000000000000002E-4</v>
      </c>
      <c r="H16">
        <v>0</v>
      </c>
      <c r="I16">
        <v>5.2999999999999998E-4</v>
      </c>
      <c r="J16">
        <v>0</v>
      </c>
      <c r="K16">
        <v>1.1E-4</v>
      </c>
      <c r="L16">
        <v>1.6300000000000002E-3</v>
      </c>
    </row>
    <row r="17" spans="1:12" ht="15" customHeight="1" x14ac:dyDescent="0.15">
      <c r="A17">
        <v>16</v>
      </c>
      <c r="B17" s="180" t="s">
        <v>207</v>
      </c>
      <c r="C17">
        <v>1.73E-3</v>
      </c>
      <c r="D17">
        <v>0</v>
      </c>
      <c r="E17">
        <v>0</v>
      </c>
      <c r="F17">
        <v>0</v>
      </c>
      <c r="G17">
        <v>0</v>
      </c>
      <c r="H17">
        <v>0</v>
      </c>
      <c r="I17">
        <v>1.0000000000000001E-5</v>
      </c>
      <c r="J17">
        <v>0</v>
      </c>
      <c r="K17">
        <v>0</v>
      </c>
      <c r="L17">
        <v>1.74E-3</v>
      </c>
    </row>
    <row r="18" spans="1:12" ht="15" customHeight="1" x14ac:dyDescent="0.15">
      <c r="A18">
        <v>17</v>
      </c>
      <c r="B18" s="180" t="s">
        <v>208</v>
      </c>
      <c r="C18">
        <v>8.6400000000000001E-3</v>
      </c>
      <c r="D18">
        <v>0</v>
      </c>
      <c r="E18">
        <v>3.0000000000000001E-5</v>
      </c>
      <c r="F18">
        <v>0</v>
      </c>
      <c r="G18">
        <v>0</v>
      </c>
      <c r="H18">
        <v>0</v>
      </c>
      <c r="I18">
        <v>0</v>
      </c>
      <c r="J18">
        <v>0</v>
      </c>
      <c r="K18">
        <v>0</v>
      </c>
      <c r="L18">
        <v>8.6700000000000006E-3</v>
      </c>
    </row>
    <row r="19" spans="1:12" ht="15" customHeight="1" x14ac:dyDescent="0.15">
      <c r="A19">
        <v>18</v>
      </c>
      <c r="B19" s="180" t="s">
        <v>209</v>
      </c>
      <c r="C19">
        <v>2.0000000000000002E-5</v>
      </c>
      <c r="D19">
        <v>0</v>
      </c>
      <c r="E19">
        <v>4.0000000000000003E-5</v>
      </c>
      <c r="F19">
        <v>0</v>
      </c>
      <c r="G19">
        <v>0</v>
      </c>
      <c r="H19">
        <v>0</v>
      </c>
      <c r="I19">
        <v>1.0000000000000001E-5</v>
      </c>
      <c r="J19">
        <v>0</v>
      </c>
      <c r="K19">
        <v>0</v>
      </c>
      <c r="L19">
        <v>7.0000000000000007E-5</v>
      </c>
    </row>
    <row r="20" spans="1:12" ht="15" customHeight="1" x14ac:dyDescent="0.15">
      <c r="A20">
        <v>19</v>
      </c>
      <c r="B20" s="180" t="s">
        <v>210</v>
      </c>
      <c r="C20">
        <v>0</v>
      </c>
      <c r="D20">
        <v>0</v>
      </c>
      <c r="E20">
        <v>0</v>
      </c>
      <c r="F20">
        <v>0</v>
      </c>
      <c r="G20">
        <v>0</v>
      </c>
      <c r="H20">
        <v>0</v>
      </c>
      <c r="I20">
        <v>1.08E-3</v>
      </c>
      <c r="J20">
        <v>0</v>
      </c>
      <c r="K20">
        <v>5.6999999999999998E-4</v>
      </c>
      <c r="L20">
        <v>1.65E-3</v>
      </c>
    </row>
    <row r="21" spans="1:12" ht="15" customHeight="1" x14ac:dyDescent="0.15">
      <c r="A21">
        <v>20</v>
      </c>
      <c r="B21" s="180" t="s">
        <v>211</v>
      </c>
      <c r="C21">
        <v>0</v>
      </c>
      <c r="D21">
        <v>0</v>
      </c>
      <c r="E21">
        <v>0</v>
      </c>
      <c r="F21">
        <v>0</v>
      </c>
      <c r="G21">
        <v>0</v>
      </c>
      <c r="H21">
        <v>0</v>
      </c>
      <c r="I21">
        <v>0</v>
      </c>
      <c r="J21">
        <v>0</v>
      </c>
      <c r="K21">
        <v>0</v>
      </c>
      <c r="L21">
        <v>0</v>
      </c>
    </row>
    <row r="22" spans="1:12" ht="15" customHeight="1" x14ac:dyDescent="0.15">
      <c r="A22">
        <v>21</v>
      </c>
      <c r="B22" s="180" t="s">
        <v>212</v>
      </c>
      <c r="C22">
        <v>0</v>
      </c>
      <c r="D22">
        <v>0</v>
      </c>
      <c r="E22">
        <v>0</v>
      </c>
      <c r="F22">
        <v>0</v>
      </c>
      <c r="G22">
        <v>0</v>
      </c>
      <c r="H22">
        <v>0</v>
      </c>
      <c r="I22">
        <v>0</v>
      </c>
      <c r="J22">
        <v>0</v>
      </c>
      <c r="K22">
        <v>0</v>
      </c>
      <c r="L22">
        <v>0</v>
      </c>
    </row>
    <row r="23" spans="1:12" ht="15" customHeight="1" x14ac:dyDescent="0.15">
      <c r="A23">
        <v>22</v>
      </c>
      <c r="B23" s="180" t="s">
        <v>213</v>
      </c>
      <c r="C23">
        <v>0</v>
      </c>
      <c r="D23">
        <v>0</v>
      </c>
      <c r="E23">
        <v>0</v>
      </c>
      <c r="F23">
        <v>0</v>
      </c>
      <c r="G23">
        <v>0</v>
      </c>
      <c r="H23">
        <v>0</v>
      </c>
      <c r="I23">
        <v>0</v>
      </c>
      <c r="J23">
        <v>0</v>
      </c>
      <c r="K23">
        <v>1.0000000000000001E-5</v>
      </c>
      <c r="L23">
        <v>1.0000000000000001E-5</v>
      </c>
    </row>
    <row r="24" spans="1:12" ht="15" customHeight="1" x14ac:dyDescent="0.15">
      <c r="A24">
        <v>23</v>
      </c>
      <c r="B24" s="180" t="s">
        <v>214</v>
      </c>
      <c r="C24">
        <v>1.1E-4</v>
      </c>
      <c r="D24">
        <v>0</v>
      </c>
      <c r="E24">
        <v>5.5399999999999998E-3</v>
      </c>
      <c r="F24">
        <v>1.0000000000000001E-5</v>
      </c>
      <c r="G24">
        <v>2.66E-3</v>
      </c>
      <c r="H24">
        <v>6.8000000000000005E-4</v>
      </c>
      <c r="I24">
        <v>3.29E-3</v>
      </c>
      <c r="J24">
        <v>0</v>
      </c>
      <c r="K24">
        <v>3.3500000000000001E-3</v>
      </c>
      <c r="L24">
        <v>1.5639999999999998E-2</v>
      </c>
    </row>
    <row r="25" spans="1:12" ht="15" customHeight="1" x14ac:dyDescent="0.15">
      <c r="A25">
        <v>24</v>
      </c>
      <c r="B25" s="180" t="s">
        <v>215</v>
      </c>
      <c r="C25">
        <v>0</v>
      </c>
      <c r="D25">
        <v>0</v>
      </c>
      <c r="E25">
        <v>0</v>
      </c>
      <c r="F25">
        <v>0</v>
      </c>
      <c r="G25">
        <v>0</v>
      </c>
      <c r="H25">
        <v>0</v>
      </c>
      <c r="I25">
        <v>0</v>
      </c>
      <c r="J25">
        <v>0</v>
      </c>
      <c r="K25">
        <v>0</v>
      </c>
      <c r="L25">
        <v>0</v>
      </c>
    </row>
    <row r="26" spans="1:12" ht="15" customHeight="1" x14ac:dyDescent="0.15">
      <c r="A26">
        <v>25</v>
      </c>
      <c r="B26" s="180" t="s">
        <v>216</v>
      </c>
      <c r="C26">
        <v>4.0000000000000002E-4</v>
      </c>
      <c r="D26">
        <v>0</v>
      </c>
      <c r="E26">
        <v>2.5000000000000001E-4</v>
      </c>
      <c r="F26">
        <v>0</v>
      </c>
      <c r="G26">
        <v>2.0000000000000002E-5</v>
      </c>
      <c r="H26">
        <v>2.0000000000000001E-4</v>
      </c>
      <c r="I26">
        <v>3.8999999999999999E-4</v>
      </c>
      <c r="J26">
        <v>4.2000000000000002E-4</v>
      </c>
      <c r="K26">
        <v>4.6000000000000001E-4</v>
      </c>
      <c r="L26">
        <v>2.14E-3</v>
      </c>
    </row>
    <row r="27" spans="1:12" ht="15" customHeight="1" x14ac:dyDescent="0.15">
      <c r="A27">
        <v>26</v>
      </c>
      <c r="B27" s="180" t="s">
        <v>217</v>
      </c>
      <c r="C27">
        <v>1.4499999999999999E-3</v>
      </c>
      <c r="D27">
        <v>1.0000000000000001E-5</v>
      </c>
      <c r="E27">
        <v>1.23E-3</v>
      </c>
      <c r="F27">
        <v>1.0000000000000001E-5</v>
      </c>
      <c r="G27">
        <v>3.7200000000000002E-3</v>
      </c>
      <c r="H27">
        <v>3.8999999999999999E-4</v>
      </c>
      <c r="I27">
        <v>7.2000000000000005E-4</v>
      </c>
      <c r="J27">
        <v>2.2669999999999999E-2</v>
      </c>
      <c r="K27">
        <v>1.06E-3</v>
      </c>
      <c r="L27">
        <v>3.1259999999999996E-2</v>
      </c>
    </row>
    <row r="28" spans="1:12" ht="15" customHeight="1" x14ac:dyDescent="0.15">
      <c r="A28">
        <v>27</v>
      </c>
      <c r="B28" s="180" t="s">
        <v>218</v>
      </c>
      <c r="C28">
        <v>5.1999999999999995E-4</v>
      </c>
      <c r="D28">
        <v>0</v>
      </c>
      <c r="E28">
        <v>3.7499999999999999E-3</v>
      </c>
      <c r="F28">
        <v>0</v>
      </c>
      <c r="G28">
        <v>6.0000000000000002E-5</v>
      </c>
      <c r="H28">
        <v>4.8000000000000001E-4</v>
      </c>
      <c r="I28">
        <v>1.09E-3</v>
      </c>
      <c r="J28">
        <v>0.17397000000000001</v>
      </c>
      <c r="K28">
        <v>2.8500000000000001E-3</v>
      </c>
      <c r="L28">
        <v>0.18271999999999999</v>
      </c>
    </row>
    <row r="29" spans="1:12" ht="15" customHeight="1" x14ac:dyDescent="0.15">
      <c r="A29">
        <v>28</v>
      </c>
      <c r="B29" s="180" t="s">
        <v>219</v>
      </c>
      <c r="C29">
        <v>0</v>
      </c>
      <c r="D29">
        <v>0</v>
      </c>
      <c r="E29">
        <v>0</v>
      </c>
      <c r="F29">
        <v>0</v>
      </c>
      <c r="G29">
        <v>0</v>
      </c>
      <c r="H29">
        <v>0</v>
      </c>
      <c r="I29">
        <v>0</v>
      </c>
      <c r="J29">
        <v>0</v>
      </c>
      <c r="K29">
        <v>0</v>
      </c>
      <c r="L29">
        <v>0</v>
      </c>
    </row>
    <row r="30" spans="1:12" ht="15" customHeight="1" x14ac:dyDescent="0.15">
      <c r="A30">
        <v>29</v>
      </c>
      <c r="B30" s="180" t="s">
        <v>220</v>
      </c>
      <c r="C30">
        <v>8.1300000000000001E-3</v>
      </c>
      <c r="D30">
        <v>1.0000000000000001E-5</v>
      </c>
      <c r="E30">
        <v>2.4000000000000001E-4</v>
      </c>
      <c r="F30">
        <v>0</v>
      </c>
      <c r="G30">
        <v>2.0000000000000002E-5</v>
      </c>
      <c r="H30">
        <v>0</v>
      </c>
      <c r="I30">
        <v>6.6699999999999997E-3</v>
      </c>
      <c r="J30">
        <v>0</v>
      </c>
      <c r="K30">
        <v>0.18454000000000001</v>
      </c>
      <c r="L30">
        <v>0.19961000000000001</v>
      </c>
    </row>
    <row r="31" spans="1:12" ht="15" customHeight="1" x14ac:dyDescent="0.15">
      <c r="A31">
        <v>30</v>
      </c>
      <c r="B31" s="180" t="s">
        <v>221</v>
      </c>
      <c r="C31">
        <v>5.91E-2</v>
      </c>
      <c r="D31">
        <v>0</v>
      </c>
      <c r="E31">
        <v>0</v>
      </c>
      <c r="F31">
        <v>0</v>
      </c>
      <c r="G31">
        <v>0</v>
      </c>
      <c r="H31">
        <v>1.0000000000000001E-5</v>
      </c>
      <c r="I31">
        <v>7.7600000000000004E-3</v>
      </c>
      <c r="J31">
        <v>0</v>
      </c>
      <c r="K31">
        <v>1.9300000000000001E-3</v>
      </c>
      <c r="L31">
        <v>6.88E-2</v>
      </c>
    </row>
    <row r="32" spans="1:12" ht="15" customHeight="1" x14ac:dyDescent="0.15">
      <c r="A32">
        <v>31</v>
      </c>
      <c r="B32" s="180" t="s">
        <v>222</v>
      </c>
      <c r="C32">
        <v>2.7E-4</v>
      </c>
      <c r="D32">
        <v>0</v>
      </c>
      <c r="E32">
        <v>8.0999999999999996E-4</v>
      </c>
      <c r="F32">
        <v>0</v>
      </c>
      <c r="G32">
        <v>1.2999999999999999E-4</v>
      </c>
      <c r="H32">
        <v>3.6000000000000002E-4</v>
      </c>
      <c r="I32">
        <v>2.9999999999999997E-4</v>
      </c>
      <c r="J32">
        <v>0</v>
      </c>
      <c r="K32">
        <v>1.6000000000000001E-4</v>
      </c>
      <c r="L32">
        <v>2.0300000000000001E-3</v>
      </c>
    </row>
    <row r="33" spans="1:12" ht="15" customHeight="1" x14ac:dyDescent="0.15">
      <c r="A33">
        <v>32</v>
      </c>
      <c r="B33" s="180" t="s">
        <v>223</v>
      </c>
      <c r="C33">
        <v>2.6700000000000001E-3</v>
      </c>
      <c r="D33">
        <v>2.2000000000000001E-4</v>
      </c>
      <c r="E33">
        <v>0</v>
      </c>
      <c r="F33">
        <v>0</v>
      </c>
      <c r="G33">
        <v>1.0000000000000001E-5</v>
      </c>
      <c r="H33">
        <v>0</v>
      </c>
      <c r="I33">
        <v>4.6999999999999999E-4</v>
      </c>
      <c r="J33">
        <v>0</v>
      </c>
      <c r="K33">
        <v>8.0000000000000007E-5</v>
      </c>
      <c r="L33">
        <v>3.4500000000000004E-3</v>
      </c>
    </row>
    <row r="34" spans="1:12" ht="15" customHeight="1" x14ac:dyDescent="0.15">
      <c r="A34">
        <v>33</v>
      </c>
      <c r="B34" s="180" t="s">
        <v>224</v>
      </c>
      <c r="C34">
        <v>0</v>
      </c>
      <c r="D34">
        <v>3.0000000000000001E-5</v>
      </c>
      <c r="E34">
        <v>0</v>
      </c>
      <c r="F34">
        <v>0</v>
      </c>
      <c r="G34">
        <v>0</v>
      </c>
      <c r="H34">
        <v>0</v>
      </c>
      <c r="I34">
        <v>1.2899999999999999E-3</v>
      </c>
      <c r="J34">
        <v>0</v>
      </c>
      <c r="K34">
        <v>0</v>
      </c>
      <c r="L34">
        <v>1.32E-3</v>
      </c>
    </row>
    <row r="35" spans="1:12" ht="15" customHeight="1" x14ac:dyDescent="0.15">
      <c r="A35">
        <v>34</v>
      </c>
      <c r="B35" s="180" t="s">
        <v>225</v>
      </c>
      <c r="C35">
        <v>0</v>
      </c>
      <c r="D35">
        <v>0</v>
      </c>
      <c r="E35">
        <v>0</v>
      </c>
      <c r="F35">
        <v>0</v>
      </c>
      <c r="G35">
        <v>0</v>
      </c>
      <c r="H35">
        <v>0</v>
      </c>
      <c r="I35">
        <v>0</v>
      </c>
      <c r="J35">
        <v>0</v>
      </c>
      <c r="K35">
        <v>0</v>
      </c>
      <c r="L35">
        <v>0</v>
      </c>
    </row>
    <row r="36" spans="1:12" ht="15" customHeight="1" x14ac:dyDescent="0.15">
      <c r="A36">
        <v>35</v>
      </c>
      <c r="B36" s="180" t="s">
        <v>226</v>
      </c>
      <c r="C36">
        <v>1.3500000000000001E-3</v>
      </c>
      <c r="D36">
        <v>5.4000000000000001E-4</v>
      </c>
      <c r="E36">
        <v>1.0000000000000001E-5</v>
      </c>
      <c r="F36">
        <v>0</v>
      </c>
      <c r="G36">
        <v>0</v>
      </c>
      <c r="H36">
        <v>0</v>
      </c>
      <c r="I36">
        <v>4.7600000000000003E-3</v>
      </c>
      <c r="J36">
        <v>0</v>
      </c>
      <c r="K36">
        <v>2.0000000000000002E-5</v>
      </c>
      <c r="L36">
        <v>6.680000000000001E-3</v>
      </c>
    </row>
    <row r="37" spans="1:12" ht="15" customHeight="1" x14ac:dyDescent="0.15">
      <c r="A37">
        <v>36</v>
      </c>
      <c r="B37" s="180" t="s">
        <v>227</v>
      </c>
      <c r="C37">
        <v>0</v>
      </c>
      <c r="D37">
        <v>0</v>
      </c>
      <c r="E37">
        <v>0</v>
      </c>
      <c r="F37">
        <v>0</v>
      </c>
      <c r="G37">
        <v>0</v>
      </c>
      <c r="H37">
        <v>0</v>
      </c>
      <c r="I37">
        <v>0</v>
      </c>
      <c r="J37">
        <v>0</v>
      </c>
      <c r="K37">
        <v>0</v>
      </c>
      <c r="L37">
        <v>0</v>
      </c>
    </row>
    <row r="38" spans="1:12" ht="15" customHeight="1" x14ac:dyDescent="0.15">
      <c r="A38">
        <v>37</v>
      </c>
      <c r="B38" s="180" t="s">
        <v>228</v>
      </c>
      <c r="C38">
        <v>0</v>
      </c>
      <c r="D38">
        <v>0</v>
      </c>
      <c r="E38">
        <v>0</v>
      </c>
      <c r="F38">
        <v>0</v>
      </c>
      <c r="G38">
        <v>0</v>
      </c>
      <c r="H38">
        <v>0</v>
      </c>
      <c r="I38">
        <v>0</v>
      </c>
      <c r="J38">
        <v>0</v>
      </c>
      <c r="K38">
        <v>0</v>
      </c>
      <c r="L38">
        <v>0</v>
      </c>
    </row>
    <row r="39" spans="1:12" ht="15" customHeight="1" x14ac:dyDescent="0.15">
      <c r="A39">
        <v>38</v>
      </c>
      <c r="B39" s="180" t="s">
        <v>229</v>
      </c>
      <c r="C39">
        <v>0</v>
      </c>
      <c r="D39">
        <v>0</v>
      </c>
      <c r="E39">
        <v>0</v>
      </c>
      <c r="F39">
        <v>0</v>
      </c>
      <c r="G39">
        <v>0</v>
      </c>
      <c r="H39">
        <v>0</v>
      </c>
      <c r="I39">
        <v>0</v>
      </c>
      <c r="J39">
        <v>0</v>
      </c>
      <c r="K39">
        <v>0</v>
      </c>
      <c r="L39">
        <v>0</v>
      </c>
    </row>
    <row r="40" spans="1:12" ht="15" customHeight="1" x14ac:dyDescent="0.15">
      <c r="A40">
        <v>39</v>
      </c>
      <c r="B40" s="180" t="s">
        <v>230</v>
      </c>
      <c r="C40">
        <v>0</v>
      </c>
      <c r="D40">
        <v>0</v>
      </c>
      <c r="E40">
        <v>0</v>
      </c>
      <c r="F40">
        <v>0</v>
      </c>
      <c r="G40">
        <v>0</v>
      </c>
      <c r="H40">
        <v>0</v>
      </c>
      <c r="I40">
        <v>0</v>
      </c>
      <c r="J40">
        <v>0</v>
      </c>
      <c r="K40">
        <v>0</v>
      </c>
      <c r="L40">
        <v>0</v>
      </c>
    </row>
    <row r="41" spans="1:12" ht="15" customHeight="1" x14ac:dyDescent="0.15">
      <c r="A41">
        <v>40</v>
      </c>
      <c r="B41" s="180" t="s">
        <v>231</v>
      </c>
      <c r="C41">
        <v>0</v>
      </c>
      <c r="D41">
        <v>0</v>
      </c>
      <c r="E41">
        <v>0</v>
      </c>
      <c r="F41">
        <v>0</v>
      </c>
      <c r="G41">
        <v>0</v>
      </c>
      <c r="H41">
        <v>0</v>
      </c>
      <c r="I41">
        <v>0</v>
      </c>
      <c r="J41">
        <v>0</v>
      </c>
      <c r="K41">
        <v>0</v>
      </c>
      <c r="L41">
        <v>0</v>
      </c>
    </row>
    <row r="42" spans="1:12" ht="15" customHeight="1" x14ac:dyDescent="0.15">
      <c r="A42">
        <v>41</v>
      </c>
      <c r="B42" s="180" t="s">
        <v>232</v>
      </c>
      <c r="C42">
        <v>0</v>
      </c>
      <c r="D42">
        <v>0</v>
      </c>
      <c r="E42">
        <v>0</v>
      </c>
      <c r="F42">
        <v>0</v>
      </c>
      <c r="G42">
        <v>0</v>
      </c>
      <c r="H42">
        <v>0</v>
      </c>
      <c r="I42">
        <v>0</v>
      </c>
      <c r="J42">
        <v>0</v>
      </c>
      <c r="K42">
        <v>0</v>
      </c>
      <c r="L42">
        <v>0</v>
      </c>
    </row>
    <row r="43" spans="1:12" ht="15" customHeight="1" x14ac:dyDescent="0.15">
      <c r="A43">
        <v>42</v>
      </c>
      <c r="B43" s="180" t="s">
        <v>233</v>
      </c>
      <c r="C43">
        <v>0</v>
      </c>
      <c r="D43">
        <v>0</v>
      </c>
      <c r="E43">
        <v>0</v>
      </c>
      <c r="F43">
        <v>0</v>
      </c>
      <c r="G43">
        <v>0</v>
      </c>
      <c r="H43">
        <v>0</v>
      </c>
      <c r="I43">
        <v>0</v>
      </c>
      <c r="J43">
        <v>0</v>
      </c>
      <c r="K43">
        <v>0</v>
      </c>
      <c r="L43">
        <v>0</v>
      </c>
    </row>
    <row r="44" spans="1:12" ht="15" customHeight="1" x14ac:dyDescent="0.15">
      <c r="A44">
        <v>43</v>
      </c>
      <c r="B44" s="180" t="s">
        <v>234</v>
      </c>
      <c r="C44">
        <v>0</v>
      </c>
      <c r="D44">
        <v>0</v>
      </c>
      <c r="E44">
        <v>0</v>
      </c>
      <c r="F44">
        <v>0</v>
      </c>
      <c r="G44">
        <v>0</v>
      </c>
      <c r="H44">
        <v>0</v>
      </c>
      <c r="I44">
        <v>0</v>
      </c>
      <c r="J44">
        <v>0</v>
      </c>
      <c r="K44">
        <v>0</v>
      </c>
      <c r="L44">
        <v>0</v>
      </c>
    </row>
    <row r="45" spans="1:12" ht="15" customHeight="1" x14ac:dyDescent="0.15"/>
    <row r="46" spans="1:12" ht="15" customHeight="1" x14ac:dyDescent="0.15"/>
    <row r="47" spans="1:12" ht="15" customHeight="1" x14ac:dyDescent="0.15"/>
    <row r="48" spans="1:12" ht="15" customHeight="1" x14ac:dyDescent="0.15"/>
    <row r="49" ht="15" customHeight="1" x14ac:dyDescent="0.15"/>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L4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31.5" bestFit="1" customWidth="1"/>
    <col min="3" max="5" width="7.83203125" bestFit="1" customWidth="1"/>
    <col min="6" max="6" width="2.33203125" customWidth="1"/>
    <col min="7" max="12" width="7.83203125" customWidth="1"/>
  </cols>
  <sheetData>
    <row r="1" spans="1:12" s="115" customFormat="1" ht="112" x14ac:dyDescent="0.15">
      <c r="A1" s="5" t="s">
        <v>22</v>
      </c>
      <c r="B1" s="3" t="s">
        <v>0</v>
      </c>
      <c r="C1" s="183" t="s">
        <v>235</v>
      </c>
      <c r="D1" s="183" t="s">
        <v>236</v>
      </c>
      <c r="E1" s="183" t="s">
        <v>237</v>
      </c>
      <c r="F1" s="183" t="s">
        <v>238</v>
      </c>
      <c r="G1" s="183" t="s">
        <v>239</v>
      </c>
      <c r="H1" s="183" t="s">
        <v>240</v>
      </c>
      <c r="I1" s="183" t="s">
        <v>241</v>
      </c>
      <c r="J1" s="183" t="s">
        <v>242</v>
      </c>
      <c r="K1" s="183" t="s">
        <v>243</v>
      </c>
      <c r="L1" s="183" t="s">
        <v>247</v>
      </c>
    </row>
    <row r="2" spans="1:12" x14ac:dyDescent="0.15">
      <c r="A2">
        <v>1</v>
      </c>
      <c r="B2" s="182" t="s">
        <v>192</v>
      </c>
      <c r="C2">
        <v>0</v>
      </c>
      <c r="D2">
        <v>0</v>
      </c>
      <c r="E2">
        <v>0</v>
      </c>
      <c r="F2">
        <v>0</v>
      </c>
      <c r="G2">
        <v>4.6000000000000001E-4</v>
      </c>
      <c r="H2">
        <v>0</v>
      </c>
      <c r="I2">
        <v>3.1E-4</v>
      </c>
      <c r="J2">
        <v>0</v>
      </c>
      <c r="K2">
        <v>0</v>
      </c>
      <c r="L2">
        <v>7.7000000000000007E-4</v>
      </c>
    </row>
    <row r="3" spans="1:12" x14ac:dyDescent="0.15">
      <c r="A3">
        <v>2</v>
      </c>
      <c r="B3" s="182" t="s">
        <v>193</v>
      </c>
      <c r="C3">
        <v>5.0000000000000002E-5</v>
      </c>
      <c r="D3">
        <v>0</v>
      </c>
      <c r="E3">
        <v>4.8300000000000001E-3</v>
      </c>
      <c r="F3">
        <v>0</v>
      </c>
      <c r="G3">
        <v>5.1000000000000004E-4</v>
      </c>
      <c r="H3">
        <v>0</v>
      </c>
      <c r="I3">
        <v>2.7E-4</v>
      </c>
      <c r="J3">
        <v>0</v>
      </c>
      <c r="K3">
        <v>0</v>
      </c>
      <c r="L3">
        <v>5.6600000000000001E-3</v>
      </c>
    </row>
    <row r="4" spans="1:12" x14ac:dyDescent="0.15">
      <c r="A4">
        <v>3</v>
      </c>
      <c r="B4" s="182" t="s">
        <v>194</v>
      </c>
      <c r="C4">
        <v>0</v>
      </c>
      <c r="D4">
        <v>0</v>
      </c>
      <c r="E4">
        <v>0</v>
      </c>
      <c r="F4">
        <v>0</v>
      </c>
      <c r="G4">
        <v>6.9999999999999999E-4</v>
      </c>
      <c r="H4">
        <v>0</v>
      </c>
      <c r="I4">
        <v>4.0000000000000003E-5</v>
      </c>
      <c r="J4">
        <v>0</v>
      </c>
      <c r="K4">
        <v>0</v>
      </c>
      <c r="L4">
        <v>7.3999999999999999E-4</v>
      </c>
    </row>
    <row r="5" spans="1:12" x14ac:dyDescent="0.15">
      <c r="A5">
        <v>4</v>
      </c>
      <c r="B5" s="182" t="s">
        <v>195</v>
      </c>
      <c r="C5">
        <v>0</v>
      </c>
      <c r="D5">
        <v>0</v>
      </c>
      <c r="E5">
        <v>0</v>
      </c>
      <c r="F5">
        <v>0</v>
      </c>
      <c r="G5">
        <v>0</v>
      </c>
      <c r="H5">
        <v>0</v>
      </c>
      <c r="I5">
        <v>0</v>
      </c>
      <c r="J5">
        <v>0</v>
      </c>
      <c r="K5">
        <v>0</v>
      </c>
      <c r="L5">
        <v>0</v>
      </c>
    </row>
    <row r="6" spans="1:12" x14ac:dyDescent="0.15">
      <c r="A6">
        <v>5</v>
      </c>
      <c r="B6" s="182" t="s">
        <v>196</v>
      </c>
      <c r="C6">
        <v>0</v>
      </c>
      <c r="D6">
        <v>0</v>
      </c>
      <c r="E6">
        <v>8.4999999999999995E-4</v>
      </c>
      <c r="F6">
        <v>0</v>
      </c>
      <c r="G6">
        <v>1.17E-3</v>
      </c>
      <c r="H6">
        <v>1.0000000000000001E-5</v>
      </c>
      <c r="I6">
        <v>1.14E-3</v>
      </c>
      <c r="J6">
        <v>0</v>
      </c>
      <c r="K6">
        <v>6.0000000000000002E-5</v>
      </c>
      <c r="L6">
        <v>3.2300000000000002E-3</v>
      </c>
    </row>
    <row r="7" spans="1:12" x14ac:dyDescent="0.15">
      <c r="A7">
        <v>6</v>
      </c>
      <c r="B7" s="182" t="s">
        <v>197</v>
      </c>
      <c r="C7">
        <v>6.9999999999999994E-5</v>
      </c>
      <c r="D7">
        <v>0</v>
      </c>
      <c r="E7">
        <v>0</v>
      </c>
      <c r="F7">
        <v>0</v>
      </c>
      <c r="G7">
        <v>8.7000000000000001E-4</v>
      </c>
      <c r="H7">
        <v>0</v>
      </c>
      <c r="I7">
        <v>2.1000000000000001E-4</v>
      </c>
      <c r="J7">
        <v>0</v>
      </c>
      <c r="K7">
        <v>2.5999999999999998E-4</v>
      </c>
      <c r="L7">
        <v>1.41E-3</v>
      </c>
    </row>
    <row r="8" spans="1:12" x14ac:dyDescent="0.15">
      <c r="A8">
        <v>7</v>
      </c>
      <c r="B8" s="182" t="s">
        <v>198</v>
      </c>
      <c r="C8">
        <v>0</v>
      </c>
      <c r="D8">
        <v>0</v>
      </c>
      <c r="E8">
        <v>4.0000000000000003E-5</v>
      </c>
      <c r="F8">
        <v>0</v>
      </c>
      <c r="G8">
        <v>3.5E-4</v>
      </c>
      <c r="H8">
        <v>0</v>
      </c>
      <c r="I8">
        <v>3.4000000000000002E-4</v>
      </c>
      <c r="J8">
        <v>0</v>
      </c>
      <c r="K8">
        <v>3.0000000000000001E-5</v>
      </c>
      <c r="L8">
        <v>7.5999999999999993E-4</v>
      </c>
    </row>
    <row r="9" spans="1:12" x14ac:dyDescent="0.15">
      <c r="A9">
        <v>8</v>
      </c>
      <c r="B9" s="182" t="s">
        <v>199</v>
      </c>
      <c r="C9">
        <v>0</v>
      </c>
      <c r="D9">
        <v>0</v>
      </c>
      <c r="E9">
        <v>0</v>
      </c>
      <c r="F9">
        <v>0</v>
      </c>
      <c r="G9">
        <v>4.2000000000000002E-4</v>
      </c>
      <c r="H9">
        <v>0</v>
      </c>
      <c r="I9">
        <v>1.7000000000000001E-4</v>
      </c>
      <c r="J9">
        <v>0</v>
      </c>
      <c r="K9">
        <v>0</v>
      </c>
      <c r="L9">
        <v>5.9000000000000003E-4</v>
      </c>
    </row>
    <row r="10" spans="1:12" x14ac:dyDescent="0.15">
      <c r="A10">
        <v>9</v>
      </c>
      <c r="B10" s="182" t="s">
        <v>200</v>
      </c>
      <c r="C10">
        <v>1.2999999999999999E-4</v>
      </c>
      <c r="D10">
        <v>0</v>
      </c>
      <c r="E10">
        <v>1.6999999999999999E-3</v>
      </c>
      <c r="F10">
        <v>0</v>
      </c>
      <c r="G10">
        <v>3.8999999999999999E-4</v>
      </c>
      <c r="H10">
        <v>1E-4</v>
      </c>
      <c r="I10">
        <v>2.7E-4</v>
      </c>
      <c r="J10">
        <v>0</v>
      </c>
      <c r="K10">
        <v>1.0000000000000001E-5</v>
      </c>
      <c r="L10">
        <v>2.5999999999999994E-3</v>
      </c>
    </row>
    <row r="11" spans="1:12" x14ac:dyDescent="0.15">
      <c r="A11">
        <v>10</v>
      </c>
      <c r="B11" s="182" t="s">
        <v>201</v>
      </c>
      <c r="C11">
        <v>0</v>
      </c>
      <c r="D11">
        <v>0</v>
      </c>
      <c r="E11">
        <v>0</v>
      </c>
      <c r="F11">
        <v>0</v>
      </c>
      <c r="G11">
        <v>0</v>
      </c>
      <c r="H11">
        <v>0</v>
      </c>
      <c r="I11">
        <v>0</v>
      </c>
      <c r="J11">
        <v>0</v>
      </c>
      <c r="K11">
        <v>1.0000000000000001E-5</v>
      </c>
      <c r="L11">
        <v>1.0000000000000001E-5</v>
      </c>
    </row>
    <row r="12" spans="1:12" x14ac:dyDescent="0.15">
      <c r="A12">
        <v>11</v>
      </c>
      <c r="B12" s="182" t="s">
        <v>202</v>
      </c>
      <c r="C12">
        <v>0</v>
      </c>
      <c r="D12">
        <v>0</v>
      </c>
      <c r="E12">
        <v>1.2999999999999999E-4</v>
      </c>
      <c r="F12">
        <v>0</v>
      </c>
      <c r="G12">
        <v>5.0000000000000002E-5</v>
      </c>
      <c r="H12">
        <v>6.0000000000000002E-5</v>
      </c>
      <c r="I12">
        <v>1E-4</v>
      </c>
      <c r="J12">
        <v>0</v>
      </c>
      <c r="K12">
        <v>1.0000000000000001E-5</v>
      </c>
      <c r="L12">
        <v>3.5E-4</v>
      </c>
    </row>
    <row r="13" spans="1:12" x14ac:dyDescent="0.15">
      <c r="A13">
        <v>12</v>
      </c>
      <c r="B13" s="182" t="s">
        <v>203</v>
      </c>
      <c r="C13">
        <v>0</v>
      </c>
      <c r="D13">
        <v>0</v>
      </c>
      <c r="E13">
        <v>0</v>
      </c>
      <c r="F13">
        <v>0</v>
      </c>
      <c r="G13">
        <v>0</v>
      </c>
      <c r="H13">
        <v>0</v>
      </c>
      <c r="I13">
        <v>0</v>
      </c>
      <c r="J13">
        <v>0</v>
      </c>
      <c r="K13">
        <v>0</v>
      </c>
      <c r="L13">
        <v>0</v>
      </c>
    </row>
    <row r="14" spans="1:12" x14ac:dyDescent="0.15">
      <c r="A14">
        <v>13</v>
      </c>
      <c r="B14" s="182" t="s">
        <v>204</v>
      </c>
      <c r="C14">
        <v>8.0000000000000007E-5</v>
      </c>
      <c r="D14">
        <v>1.0000000000000001E-5</v>
      </c>
      <c r="E14">
        <v>2.3000000000000001E-4</v>
      </c>
      <c r="F14">
        <v>0</v>
      </c>
      <c r="G14">
        <v>0</v>
      </c>
      <c r="H14">
        <v>0</v>
      </c>
      <c r="I14">
        <v>0</v>
      </c>
      <c r="J14">
        <v>0</v>
      </c>
      <c r="K14">
        <v>0</v>
      </c>
      <c r="L14">
        <v>3.2000000000000003E-4</v>
      </c>
    </row>
    <row r="15" spans="1:12" x14ac:dyDescent="0.15">
      <c r="A15">
        <v>14</v>
      </c>
      <c r="B15" s="182" t="s">
        <v>205</v>
      </c>
      <c r="C15">
        <v>3.49E-3</v>
      </c>
      <c r="D15">
        <v>0</v>
      </c>
      <c r="E15">
        <v>4.2199999999999998E-3</v>
      </c>
      <c r="F15">
        <v>0</v>
      </c>
      <c r="G15">
        <v>3.0000000000000001E-5</v>
      </c>
      <c r="H15">
        <v>1.1199999999999999E-3</v>
      </c>
      <c r="I15">
        <v>2.2000000000000001E-4</v>
      </c>
      <c r="J15">
        <v>0</v>
      </c>
      <c r="K15">
        <v>1.1E-4</v>
      </c>
      <c r="L15">
        <v>9.1900000000000003E-3</v>
      </c>
    </row>
    <row r="16" spans="1:12" x14ac:dyDescent="0.15">
      <c r="A16">
        <v>15</v>
      </c>
      <c r="B16" s="182" t="s">
        <v>206</v>
      </c>
      <c r="C16">
        <v>0</v>
      </c>
      <c r="D16">
        <v>0</v>
      </c>
      <c r="E16">
        <v>0</v>
      </c>
      <c r="F16">
        <v>0</v>
      </c>
      <c r="G16">
        <v>1.9000000000000001E-4</v>
      </c>
      <c r="H16">
        <v>0</v>
      </c>
      <c r="I16">
        <v>1.1E-4</v>
      </c>
      <c r="J16">
        <v>0</v>
      </c>
      <c r="K16">
        <v>2.0000000000000002E-5</v>
      </c>
      <c r="L16">
        <v>3.2000000000000003E-4</v>
      </c>
    </row>
    <row r="17" spans="1:12" x14ac:dyDescent="0.15">
      <c r="A17">
        <v>16</v>
      </c>
      <c r="B17" s="182" t="s">
        <v>207</v>
      </c>
      <c r="C17">
        <v>3.5E-4</v>
      </c>
      <c r="D17">
        <v>0</v>
      </c>
      <c r="E17">
        <v>0</v>
      </c>
      <c r="F17">
        <v>0</v>
      </c>
      <c r="G17">
        <v>0</v>
      </c>
      <c r="H17">
        <v>0</v>
      </c>
      <c r="I17">
        <v>0</v>
      </c>
      <c r="J17">
        <v>0</v>
      </c>
      <c r="K17">
        <v>0</v>
      </c>
      <c r="L17">
        <v>3.5E-4</v>
      </c>
    </row>
    <row r="18" spans="1:12" x14ac:dyDescent="0.15">
      <c r="A18">
        <v>17</v>
      </c>
      <c r="B18" s="182" t="s">
        <v>208</v>
      </c>
      <c r="C18">
        <v>1.73E-3</v>
      </c>
      <c r="D18">
        <v>0</v>
      </c>
      <c r="E18">
        <v>1.0000000000000001E-5</v>
      </c>
      <c r="F18">
        <v>0</v>
      </c>
      <c r="G18">
        <v>0</v>
      </c>
      <c r="H18">
        <v>0</v>
      </c>
      <c r="I18">
        <v>0</v>
      </c>
      <c r="J18">
        <v>0</v>
      </c>
      <c r="K18">
        <v>0</v>
      </c>
      <c r="L18">
        <v>1.74E-3</v>
      </c>
    </row>
    <row r="19" spans="1:12" x14ac:dyDescent="0.15">
      <c r="A19">
        <v>18</v>
      </c>
      <c r="B19" s="182" t="s">
        <v>209</v>
      </c>
      <c r="C19">
        <v>0</v>
      </c>
      <c r="D19">
        <v>0</v>
      </c>
      <c r="E19">
        <v>1.0000000000000001E-5</v>
      </c>
      <c r="F19">
        <v>0</v>
      </c>
      <c r="G19">
        <v>0</v>
      </c>
      <c r="H19">
        <v>0</v>
      </c>
      <c r="I19">
        <v>0</v>
      </c>
      <c r="J19">
        <v>0</v>
      </c>
      <c r="K19">
        <v>0</v>
      </c>
      <c r="L19">
        <v>1.0000000000000001E-5</v>
      </c>
    </row>
    <row r="20" spans="1:12" x14ac:dyDescent="0.15">
      <c r="A20">
        <v>19</v>
      </c>
      <c r="B20" s="182" t="s">
        <v>210</v>
      </c>
      <c r="C20">
        <v>0</v>
      </c>
      <c r="D20">
        <v>0</v>
      </c>
      <c r="E20">
        <v>0</v>
      </c>
      <c r="F20">
        <v>0</v>
      </c>
      <c r="G20">
        <v>0</v>
      </c>
      <c r="H20">
        <v>0</v>
      </c>
      <c r="I20">
        <v>2.2000000000000001E-4</v>
      </c>
      <c r="J20">
        <v>0</v>
      </c>
      <c r="K20">
        <v>1.1E-4</v>
      </c>
      <c r="L20">
        <v>3.3E-4</v>
      </c>
    </row>
    <row r="21" spans="1:12" x14ac:dyDescent="0.15">
      <c r="A21">
        <v>20</v>
      </c>
      <c r="B21" s="182" t="s">
        <v>211</v>
      </c>
      <c r="C21">
        <v>0</v>
      </c>
      <c r="D21">
        <v>0</v>
      </c>
      <c r="E21">
        <v>0</v>
      </c>
      <c r="F21">
        <v>0</v>
      </c>
      <c r="G21">
        <v>0</v>
      </c>
      <c r="H21">
        <v>0</v>
      </c>
      <c r="I21">
        <v>0</v>
      </c>
      <c r="J21">
        <v>0</v>
      </c>
      <c r="K21">
        <v>0</v>
      </c>
      <c r="L21">
        <v>0</v>
      </c>
    </row>
    <row r="22" spans="1:12" x14ac:dyDescent="0.15">
      <c r="A22">
        <v>21</v>
      </c>
      <c r="B22" s="182" t="s">
        <v>212</v>
      </c>
      <c r="C22">
        <v>0</v>
      </c>
      <c r="D22">
        <v>0</v>
      </c>
      <c r="E22">
        <v>0</v>
      </c>
      <c r="F22">
        <v>0</v>
      </c>
      <c r="G22">
        <v>0</v>
      </c>
      <c r="H22">
        <v>0</v>
      </c>
      <c r="I22">
        <v>0</v>
      </c>
      <c r="J22">
        <v>0</v>
      </c>
      <c r="K22">
        <v>0</v>
      </c>
      <c r="L22">
        <v>0</v>
      </c>
    </row>
    <row r="23" spans="1:12" x14ac:dyDescent="0.15">
      <c r="A23">
        <v>22</v>
      </c>
      <c r="B23" s="182" t="s">
        <v>213</v>
      </c>
      <c r="C23">
        <v>0</v>
      </c>
      <c r="D23">
        <v>0</v>
      </c>
      <c r="E23">
        <v>0</v>
      </c>
      <c r="F23">
        <v>0</v>
      </c>
      <c r="G23">
        <v>0</v>
      </c>
      <c r="H23">
        <v>0</v>
      </c>
      <c r="I23">
        <v>0</v>
      </c>
      <c r="J23">
        <v>0</v>
      </c>
      <c r="K23">
        <v>0</v>
      </c>
      <c r="L23">
        <v>0</v>
      </c>
    </row>
    <row r="24" spans="1:12" x14ac:dyDescent="0.15">
      <c r="A24">
        <v>23</v>
      </c>
      <c r="B24" s="182" t="s">
        <v>214</v>
      </c>
      <c r="C24">
        <v>2.0000000000000002E-5</v>
      </c>
      <c r="D24">
        <v>0</v>
      </c>
      <c r="E24">
        <v>1.1100000000000001E-3</v>
      </c>
      <c r="F24">
        <v>0</v>
      </c>
      <c r="G24">
        <v>5.2999999999999998E-4</v>
      </c>
      <c r="H24">
        <v>1.3999999999999999E-4</v>
      </c>
      <c r="I24">
        <v>6.6E-4</v>
      </c>
      <c r="J24">
        <v>0</v>
      </c>
      <c r="K24">
        <v>6.7000000000000002E-4</v>
      </c>
      <c r="L24">
        <v>3.13E-3</v>
      </c>
    </row>
    <row r="25" spans="1:12" x14ac:dyDescent="0.15">
      <c r="A25">
        <v>24</v>
      </c>
      <c r="B25" s="182" t="s">
        <v>215</v>
      </c>
      <c r="C25">
        <v>0</v>
      </c>
      <c r="D25">
        <v>0</v>
      </c>
      <c r="E25">
        <v>0</v>
      </c>
      <c r="F25">
        <v>0</v>
      </c>
      <c r="G25">
        <v>0</v>
      </c>
      <c r="H25">
        <v>0</v>
      </c>
      <c r="I25">
        <v>0</v>
      </c>
      <c r="J25">
        <v>0</v>
      </c>
      <c r="K25">
        <v>0</v>
      </c>
      <c r="L25">
        <v>0</v>
      </c>
    </row>
    <row r="26" spans="1:12" x14ac:dyDescent="0.15">
      <c r="A26">
        <v>25</v>
      </c>
      <c r="B26" s="182" t="s">
        <v>216</v>
      </c>
      <c r="C26">
        <v>8.0000000000000007E-5</v>
      </c>
      <c r="D26">
        <v>0</v>
      </c>
      <c r="E26">
        <v>5.0000000000000002E-5</v>
      </c>
      <c r="F26">
        <v>0</v>
      </c>
      <c r="G26">
        <v>0</v>
      </c>
      <c r="H26">
        <v>4.0000000000000003E-5</v>
      </c>
      <c r="I26">
        <v>8.0000000000000007E-5</v>
      </c>
      <c r="J26">
        <v>8.0000000000000007E-5</v>
      </c>
      <c r="K26">
        <v>9.0000000000000006E-5</v>
      </c>
      <c r="L26">
        <v>4.2000000000000002E-4</v>
      </c>
    </row>
    <row r="27" spans="1:12" x14ac:dyDescent="0.15">
      <c r="A27">
        <v>26</v>
      </c>
      <c r="B27" s="182" t="s">
        <v>217</v>
      </c>
      <c r="C27">
        <v>2.9E-4</v>
      </c>
      <c r="D27">
        <v>0</v>
      </c>
      <c r="E27">
        <v>2.5000000000000001E-4</v>
      </c>
      <c r="F27">
        <v>0</v>
      </c>
      <c r="G27">
        <v>7.3999999999999999E-4</v>
      </c>
      <c r="H27">
        <v>8.0000000000000007E-5</v>
      </c>
      <c r="I27">
        <v>1.3999999999999999E-4</v>
      </c>
      <c r="J27">
        <v>4.5300000000000002E-3</v>
      </c>
      <c r="K27">
        <v>2.1000000000000001E-4</v>
      </c>
      <c r="L27">
        <v>6.2399999999999999E-3</v>
      </c>
    </row>
    <row r="28" spans="1:12" x14ac:dyDescent="0.15">
      <c r="A28">
        <v>27</v>
      </c>
      <c r="B28" s="182" t="s">
        <v>218</v>
      </c>
      <c r="C28">
        <v>1E-4</v>
      </c>
      <c r="D28">
        <v>0</v>
      </c>
      <c r="E28">
        <v>7.5000000000000002E-4</v>
      </c>
      <c r="F28">
        <v>0</v>
      </c>
      <c r="G28">
        <v>1.0000000000000001E-5</v>
      </c>
      <c r="H28">
        <v>1E-4</v>
      </c>
      <c r="I28">
        <v>2.2000000000000001E-4</v>
      </c>
      <c r="J28">
        <v>3.4790000000000001E-2</v>
      </c>
      <c r="K28">
        <v>5.6999999999999998E-4</v>
      </c>
      <c r="L28">
        <v>3.6540000000000003E-2</v>
      </c>
    </row>
    <row r="29" spans="1:12" x14ac:dyDescent="0.15">
      <c r="A29">
        <v>28</v>
      </c>
      <c r="B29" s="182" t="s">
        <v>219</v>
      </c>
      <c r="C29">
        <v>0</v>
      </c>
      <c r="D29">
        <v>0</v>
      </c>
      <c r="E29">
        <v>0</v>
      </c>
      <c r="F29">
        <v>0</v>
      </c>
      <c r="G29">
        <v>0</v>
      </c>
      <c r="H29">
        <v>0</v>
      </c>
      <c r="I29">
        <v>0</v>
      </c>
      <c r="J29">
        <v>0</v>
      </c>
      <c r="K29">
        <v>0</v>
      </c>
      <c r="L29">
        <v>0</v>
      </c>
    </row>
    <row r="30" spans="1:12" x14ac:dyDescent="0.15">
      <c r="A30">
        <v>29</v>
      </c>
      <c r="B30" s="182" t="s">
        <v>220</v>
      </c>
      <c r="C30">
        <v>1.6299999999999999E-3</v>
      </c>
      <c r="D30">
        <v>0</v>
      </c>
      <c r="E30">
        <v>5.0000000000000002E-5</v>
      </c>
      <c r="F30">
        <v>0</v>
      </c>
      <c r="G30">
        <v>0</v>
      </c>
      <c r="H30">
        <v>0</v>
      </c>
      <c r="I30">
        <v>1.33E-3</v>
      </c>
      <c r="J30">
        <v>0</v>
      </c>
      <c r="K30">
        <v>3.6909999999999998E-2</v>
      </c>
      <c r="L30">
        <v>3.9919999999999997E-2</v>
      </c>
    </row>
    <row r="31" spans="1:12" x14ac:dyDescent="0.15">
      <c r="A31">
        <v>30</v>
      </c>
      <c r="B31" s="182" t="s">
        <v>221</v>
      </c>
      <c r="C31">
        <v>1.1820000000000001E-2</v>
      </c>
      <c r="D31">
        <v>0</v>
      </c>
      <c r="E31">
        <v>0</v>
      </c>
      <c r="F31">
        <v>0</v>
      </c>
      <c r="G31">
        <v>0</v>
      </c>
      <c r="H31">
        <v>0</v>
      </c>
      <c r="I31">
        <v>1.5499999999999999E-3</v>
      </c>
      <c r="J31">
        <v>0</v>
      </c>
      <c r="K31">
        <v>3.8999999999999999E-4</v>
      </c>
      <c r="L31">
        <v>1.376E-2</v>
      </c>
    </row>
    <row r="32" spans="1:12" x14ac:dyDescent="0.15">
      <c r="A32">
        <v>31</v>
      </c>
      <c r="B32" s="182" t="s">
        <v>222</v>
      </c>
      <c r="C32">
        <v>5.0000000000000002E-5</v>
      </c>
      <c r="D32">
        <v>0</v>
      </c>
      <c r="E32">
        <v>1.6000000000000001E-4</v>
      </c>
      <c r="F32">
        <v>0</v>
      </c>
      <c r="G32">
        <v>3.0000000000000001E-5</v>
      </c>
      <c r="H32">
        <v>6.9999999999999994E-5</v>
      </c>
      <c r="I32">
        <v>6.0000000000000002E-5</v>
      </c>
      <c r="J32">
        <v>0</v>
      </c>
      <c r="K32">
        <v>3.0000000000000001E-5</v>
      </c>
      <c r="L32">
        <v>4.0000000000000002E-4</v>
      </c>
    </row>
    <row r="33" spans="1:12" x14ac:dyDescent="0.15">
      <c r="A33">
        <v>32</v>
      </c>
      <c r="B33" s="182" t="s">
        <v>223</v>
      </c>
      <c r="C33">
        <v>5.2999999999999998E-4</v>
      </c>
      <c r="D33">
        <v>4.0000000000000003E-5</v>
      </c>
      <c r="E33">
        <v>0</v>
      </c>
      <c r="F33">
        <v>0</v>
      </c>
      <c r="G33">
        <v>0</v>
      </c>
      <c r="H33">
        <v>0</v>
      </c>
      <c r="I33">
        <v>9.0000000000000006E-5</v>
      </c>
      <c r="J33">
        <v>0</v>
      </c>
      <c r="K33">
        <v>2.0000000000000002E-5</v>
      </c>
      <c r="L33">
        <v>6.8000000000000005E-4</v>
      </c>
    </row>
    <row r="34" spans="1:12" x14ac:dyDescent="0.15">
      <c r="A34">
        <v>33</v>
      </c>
      <c r="B34" s="182" t="s">
        <v>224</v>
      </c>
      <c r="C34">
        <v>0</v>
      </c>
      <c r="D34">
        <v>1.0000000000000001E-5</v>
      </c>
      <c r="E34">
        <v>0</v>
      </c>
      <c r="F34">
        <v>0</v>
      </c>
      <c r="G34">
        <v>0</v>
      </c>
      <c r="H34">
        <v>0</v>
      </c>
      <c r="I34">
        <v>2.5999999999999998E-4</v>
      </c>
      <c r="J34">
        <v>0</v>
      </c>
      <c r="K34">
        <v>0</v>
      </c>
      <c r="L34">
        <v>2.7E-4</v>
      </c>
    </row>
    <row r="35" spans="1:12" x14ac:dyDescent="0.15">
      <c r="A35">
        <v>34</v>
      </c>
      <c r="B35" s="182" t="s">
        <v>225</v>
      </c>
      <c r="C35">
        <v>0</v>
      </c>
      <c r="D35">
        <v>0</v>
      </c>
      <c r="E35">
        <v>0</v>
      </c>
      <c r="F35">
        <v>0</v>
      </c>
      <c r="G35">
        <v>0</v>
      </c>
      <c r="H35">
        <v>0</v>
      </c>
      <c r="I35">
        <v>0</v>
      </c>
      <c r="J35">
        <v>0</v>
      </c>
      <c r="K35">
        <v>0</v>
      </c>
      <c r="L35">
        <v>0</v>
      </c>
    </row>
    <row r="36" spans="1:12" x14ac:dyDescent="0.15">
      <c r="A36">
        <v>35</v>
      </c>
      <c r="B36" s="182" t="s">
        <v>226</v>
      </c>
      <c r="C36">
        <v>2.7E-4</v>
      </c>
      <c r="D36">
        <v>1.1E-4</v>
      </c>
      <c r="E36">
        <v>0</v>
      </c>
      <c r="F36">
        <v>0</v>
      </c>
      <c r="G36">
        <v>0</v>
      </c>
      <c r="H36">
        <v>0</v>
      </c>
      <c r="I36">
        <v>9.5E-4</v>
      </c>
      <c r="J36">
        <v>0</v>
      </c>
      <c r="K36">
        <v>0</v>
      </c>
      <c r="L36">
        <v>1.33E-3</v>
      </c>
    </row>
    <row r="37" spans="1:12" x14ac:dyDescent="0.15">
      <c r="A37">
        <v>36</v>
      </c>
      <c r="B37" s="182" t="s">
        <v>227</v>
      </c>
      <c r="C37">
        <v>0</v>
      </c>
      <c r="D37">
        <v>0</v>
      </c>
      <c r="E37">
        <v>0</v>
      </c>
      <c r="F37">
        <v>0</v>
      </c>
      <c r="G37">
        <v>0</v>
      </c>
      <c r="H37">
        <v>0</v>
      </c>
      <c r="I37">
        <v>0</v>
      </c>
      <c r="J37">
        <v>0</v>
      </c>
      <c r="K37">
        <v>0</v>
      </c>
      <c r="L37">
        <v>0</v>
      </c>
    </row>
    <row r="38" spans="1:12" x14ac:dyDescent="0.15">
      <c r="A38">
        <v>37</v>
      </c>
      <c r="B38" s="182" t="s">
        <v>228</v>
      </c>
      <c r="C38">
        <v>0</v>
      </c>
      <c r="D38">
        <v>0</v>
      </c>
      <c r="E38">
        <v>0</v>
      </c>
      <c r="F38">
        <v>0</v>
      </c>
      <c r="G38">
        <v>0</v>
      </c>
      <c r="H38">
        <v>0</v>
      </c>
      <c r="I38">
        <v>0</v>
      </c>
      <c r="J38">
        <v>0</v>
      </c>
      <c r="K38">
        <v>0</v>
      </c>
      <c r="L38">
        <v>0</v>
      </c>
    </row>
    <row r="39" spans="1:12" x14ac:dyDescent="0.15">
      <c r="A39">
        <v>38</v>
      </c>
      <c r="B39" s="182" t="s">
        <v>229</v>
      </c>
      <c r="C39">
        <v>0</v>
      </c>
      <c r="D39">
        <v>0</v>
      </c>
      <c r="E39">
        <v>0</v>
      </c>
      <c r="F39">
        <v>0</v>
      </c>
      <c r="G39">
        <v>0</v>
      </c>
      <c r="H39">
        <v>0</v>
      </c>
      <c r="I39">
        <v>0</v>
      </c>
      <c r="J39">
        <v>0</v>
      </c>
      <c r="K39">
        <v>0</v>
      </c>
      <c r="L39">
        <v>0</v>
      </c>
    </row>
    <row r="40" spans="1:12" x14ac:dyDescent="0.15">
      <c r="A40">
        <v>39</v>
      </c>
      <c r="B40" s="182" t="s">
        <v>230</v>
      </c>
      <c r="C40">
        <v>0</v>
      </c>
      <c r="D40">
        <v>0</v>
      </c>
      <c r="E40">
        <v>0</v>
      </c>
      <c r="F40">
        <v>0</v>
      </c>
      <c r="G40">
        <v>0</v>
      </c>
      <c r="H40">
        <v>0</v>
      </c>
      <c r="I40">
        <v>0</v>
      </c>
      <c r="J40">
        <v>0</v>
      </c>
      <c r="K40">
        <v>0</v>
      </c>
      <c r="L40">
        <v>0</v>
      </c>
    </row>
    <row r="41" spans="1:12" x14ac:dyDescent="0.15">
      <c r="A41">
        <v>40</v>
      </c>
      <c r="B41" s="182" t="s">
        <v>231</v>
      </c>
      <c r="C41">
        <v>0</v>
      </c>
      <c r="D41">
        <v>0</v>
      </c>
      <c r="E41">
        <v>0</v>
      </c>
      <c r="F41">
        <v>0</v>
      </c>
      <c r="G41">
        <v>0</v>
      </c>
      <c r="H41">
        <v>0</v>
      </c>
      <c r="I41">
        <v>0</v>
      </c>
      <c r="J41">
        <v>0</v>
      </c>
      <c r="K41">
        <v>0</v>
      </c>
      <c r="L41">
        <v>0</v>
      </c>
    </row>
    <row r="42" spans="1:12" x14ac:dyDescent="0.15">
      <c r="A42">
        <v>41</v>
      </c>
      <c r="B42" s="182" t="s">
        <v>232</v>
      </c>
      <c r="C42">
        <v>0</v>
      </c>
      <c r="D42">
        <v>0</v>
      </c>
      <c r="E42">
        <v>0</v>
      </c>
      <c r="F42">
        <v>0</v>
      </c>
      <c r="G42">
        <v>0</v>
      </c>
      <c r="H42">
        <v>0</v>
      </c>
      <c r="I42">
        <v>0</v>
      </c>
      <c r="J42">
        <v>0</v>
      </c>
      <c r="K42">
        <v>0</v>
      </c>
      <c r="L42">
        <v>0</v>
      </c>
    </row>
    <row r="43" spans="1:12" x14ac:dyDescent="0.15">
      <c r="A43">
        <v>42</v>
      </c>
      <c r="B43" s="182" t="s">
        <v>233</v>
      </c>
      <c r="C43">
        <v>0</v>
      </c>
      <c r="D43">
        <v>0</v>
      </c>
      <c r="E43">
        <v>0</v>
      </c>
      <c r="F43">
        <v>0</v>
      </c>
      <c r="G43">
        <v>0</v>
      </c>
      <c r="H43">
        <v>0</v>
      </c>
      <c r="I43">
        <v>0</v>
      </c>
      <c r="J43">
        <v>0</v>
      </c>
      <c r="K43">
        <v>0</v>
      </c>
      <c r="L43">
        <v>0</v>
      </c>
    </row>
    <row r="44" spans="1:12" x14ac:dyDescent="0.15">
      <c r="A44">
        <v>43</v>
      </c>
      <c r="B44" s="182" t="s">
        <v>234</v>
      </c>
      <c r="C44">
        <v>0</v>
      </c>
      <c r="D44">
        <v>0</v>
      </c>
      <c r="E44">
        <v>0</v>
      </c>
      <c r="F44">
        <v>0</v>
      </c>
      <c r="G44">
        <v>0</v>
      </c>
      <c r="H44">
        <v>0</v>
      </c>
      <c r="I44">
        <v>0</v>
      </c>
      <c r="J44">
        <v>0</v>
      </c>
      <c r="K44">
        <v>0</v>
      </c>
      <c r="L44">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31.5" bestFit="1" customWidth="1"/>
    <col min="6" max="6" width="4.83203125" bestFit="1" customWidth="1"/>
    <col min="7" max="9" width="3.83203125" bestFit="1" customWidth="1"/>
    <col min="10" max="11" width="4.83203125" style="114"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6" customFormat="1" ht="14" thickBot="1" x14ac:dyDescent="0.2">
      <c r="D1" s="117" t="s">
        <v>8</v>
      </c>
      <c r="E1" s="117" t="s">
        <v>0</v>
      </c>
      <c r="F1" s="118" t="s">
        <v>99</v>
      </c>
      <c r="G1" s="119" t="s">
        <v>84</v>
      </c>
      <c r="H1" s="119" t="s">
        <v>85</v>
      </c>
      <c r="I1" s="119" t="s">
        <v>86</v>
      </c>
      <c r="J1" s="119" t="s">
        <v>87</v>
      </c>
      <c r="K1" s="119" t="s">
        <v>88</v>
      </c>
      <c r="L1" s="120" t="s">
        <v>89</v>
      </c>
      <c r="M1" s="120" t="s">
        <v>93</v>
      </c>
      <c r="N1" s="120" t="s">
        <v>92</v>
      </c>
      <c r="O1" s="120" t="s">
        <v>90</v>
      </c>
      <c r="P1" s="120" t="s">
        <v>91</v>
      </c>
      <c r="Q1" s="121" t="s">
        <v>94</v>
      </c>
      <c r="R1" s="121" t="s">
        <v>95</v>
      </c>
      <c r="S1" s="121" t="s">
        <v>96</v>
      </c>
      <c r="T1" s="121" t="s">
        <v>97</v>
      </c>
      <c r="U1" s="121" t="s">
        <v>98</v>
      </c>
      <c r="V1" s="119" t="s">
        <v>100</v>
      </c>
      <c r="W1" s="119" t="s">
        <v>101</v>
      </c>
      <c r="X1" s="119" t="s">
        <v>102</v>
      </c>
      <c r="Y1" s="119" t="s">
        <v>134</v>
      </c>
      <c r="Z1" s="120" t="s">
        <v>103</v>
      </c>
      <c r="AA1" s="120" t="s">
        <v>104</v>
      </c>
      <c r="AB1" s="120" t="s">
        <v>105</v>
      </c>
      <c r="AC1" s="122" t="s">
        <v>135</v>
      </c>
      <c r="AD1" s="121" t="s">
        <v>106</v>
      </c>
      <c r="AE1" s="121" t="s">
        <v>107</v>
      </c>
      <c r="AF1" s="121" t="s">
        <v>108</v>
      </c>
      <c r="AG1" s="121" t="s">
        <v>136</v>
      </c>
      <c r="AH1" s="119" t="s">
        <v>109</v>
      </c>
      <c r="AI1" s="119" t="s">
        <v>111</v>
      </c>
      <c r="AJ1" s="119" t="s">
        <v>110</v>
      </c>
      <c r="AK1" s="120" t="s">
        <v>115</v>
      </c>
      <c r="AL1" s="120" t="s">
        <v>116</v>
      </c>
      <c r="AM1" s="120" t="s">
        <v>117</v>
      </c>
      <c r="AN1" s="121" t="s">
        <v>112</v>
      </c>
      <c r="AO1" s="121" t="s">
        <v>113</v>
      </c>
      <c r="AP1" s="121" t="s">
        <v>114</v>
      </c>
    </row>
    <row r="2" spans="1:42" x14ac:dyDescent="0.15">
      <c r="A2" s="123" t="s">
        <v>74</v>
      </c>
      <c r="B2" s="124">
        <v>1</v>
      </c>
      <c r="D2">
        <v>1</v>
      </c>
      <c r="E2" s="184" t="s">
        <v>192</v>
      </c>
      <c r="F2">
        <v>0.98</v>
      </c>
      <c r="G2">
        <v>0.8</v>
      </c>
      <c r="H2">
        <v>0.8</v>
      </c>
      <c r="I2">
        <v>0.8</v>
      </c>
      <c r="J2" s="114">
        <v>0.25</v>
      </c>
      <c r="K2" s="114">
        <v>0.05</v>
      </c>
    </row>
    <row r="3" spans="1:42" x14ac:dyDescent="0.15">
      <c r="A3" s="123" t="s">
        <v>75</v>
      </c>
      <c r="B3" s="125">
        <v>1</v>
      </c>
      <c r="D3">
        <v>2</v>
      </c>
      <c r="E3" s="184" t="s">
        <v>193</v>
      </c>
      <c r="F3">
        <v>0.98</v>
      </c>
      <c r="G3">
        <v>0.8</v>
      </c>
      <c r="H3">
        <v>0.8</v>
      </c>
      <c r="I3">
        <v>0.8</v>
      </c>
      <c r="J3" s="114">
        <v>0.25</v>
      </c>
      <c r="K3" s="114">
        <v>0.05</v>
      </c>
    </row>
    <row r="4" spans="1:42" x14ac:dyDescent="0.15">
      <c r="A4" s="123" t="s">
        <v>76</v>
      </c>
      <c r="B4" s="125">
        <v>1</v>
      </c>
      <c r="D4">
        <v>3</v>
      </c>
      <c r="E4" s="184" t="s">
        <v>194</v>
      </c>
      <c r="F4">
        <v>0.98</v>
      </c>
      <c r="G4">
        <v>0.8</v>
      </c>
      <c r="H4">
        <v>0.8</v>
      </c>
      <c r="I4">
        <v>0.8</v>
      </c>
      <c r="J4" s="114">
        <v>0.25</v>
      </c>
      <c r="K4" s="114">
        <v>0.05</v>
      </c>
    </row>
    <row r="5" spans="1:42" x14ac:dyDescent="0.15">
      <c r="A5" s="123" t="s">
        <v>77</v>
      </c>
      <c r="B5" s="125">
        <v>1</v>
      </c>
      <c r="D5">
        <v>4</v>
      </c>
      <c r="E5" s="184" t="s">
        <v>195</v>
      </c>
      <c r="F5">
        <v>0.98</v>
      </c>
      <c r="G5">
        <v>0.8</v>
      </c>
      <c r="H5">
        <v>0.8</v>
      </c>
      <c r="I5">
        <v>0.8</v>
      </c>
      <c r="J5" s="114">
        <v>0.25</v>
      </c>
      <c r="K5" s="114">
        <v>0.05</v>
      </c>
    </row>
    <row r="6" spans="1:42" x14ac:dyDescent="0.15">
      <c r="A6" s="123" t="s">
        <v>78</v>
      </c>
      <c r="B6" s="125">
        <v>1</v>
      </c>
      <c r="D6">
        <v>5</v>
      </c>
      <c r="E6" s="184" t="s">
        <v>196</v>
      </c>
      <c r="F6">
        <v>0.98</v>
      </c>
      <c r="G6">
        <v>0.8</v>
      </c>
      <c r="H6">
        <v>0.8</v>
      </c>
      <c r="I6">
        <v>0.8</v>
      </c>
      <c r="J6" s="114">
        <v>0.25</v>
      </c>
      <c r="K6" s="114">
        <v>0.05</v>
      </c>
    </row>
    <row r="7" spans="1:42" x14ac:dyDescent="0.15">
      <c r="A7" s="123" t="s">
        <v>79</v>
      </c>
      <c r="B7" s="125">
        <v>1</v>
      </c>
      <c r="D7">
        <v>6</v>
      </c>
      <c r="E7" s="184" t="s">
        <v>197</v>
      </c>
      <c r="F7">
        <v>0.98</v>
      </c>
      <c r="G7">
        <v>0.8</v>
      </c>
      <c r="H7">
        <v>0.8</v>
      </c>
      <c r="I7">
        <v>0.8</v>
      </c>
      <c r="J7" s="114">
        <v>0.25</v>
      </c>
      <c r="K7" s="114">
        <v>0.05</v>
      </c>
    </row>
    <row r="8" spans="1:42" x14ac:dyDescent="0.15">
      <c r="A8" s="123" t="s">
        <v>80</v>
      </c>
      <c r="B8" s="125">
        <v>1</v>
      </c>
      <c r="D8">
        <v>7</v>
      </c>
      <c r="E8" s="184" t="s">
        <v>198</v>
      </c>
      <c r="F8">
        <v>0.98</v>
      </c>
      <c r="G8">
        <v>0.8</v>
      </c>
      <c r="H8">
        <v>0.8</v>
      </c>
      <c r="I8">
        <v>0.8</v>
      </c>
      <c r="J8" s="114">
        <v>0.25</v>
      </c>
      <c r="K8" s="114">
        <v>0.05</v>
      </c>
    </row>
    <row r="9" spans="1:42" x14ac:dyDescent="0.15">
      <c r="A9" s="123" t="s">
        <v>81</v>
      </c>
      <c r="B9" s="125">
        <v>0.1</v>
      </c>
      <c r="C9" s="61" t="s">
        <v>150</v>
      </c>
      <c r="D9">
        <v>8</v>
      </c>
      <c r="E9" s="184" t="s">
        <v>199</v>
      </c>
      <c r="F9">
        <v>0.98</v>
      </c>
      <c r="G9">
        <v>0.8</v>
      </c>
      <c r="H9">
        <v>0.8</v>
      </c>
      <c r="I9">
        <v>0.8</v>
      </c>
      <c r="J9" s="114">
        <v>0.25</v>
      </c>
      <c r="K9" s="114">
        <v>0.05</v>
      </c>
    </row>
    <row r="10" spans="1:42" ht="14" thickBot="1" x14ac:dyDescent="0.2">
      <c r="A10" s="123" t="s">
        <v>149</v>
      </c>
      <c r="B10" s="126">
        <f>1/3</f>
        <v>0.33333333333333331</v>
      </c>
      <c r="C10" s="61" t="s">
        <v>150</v>
      </c>
      <c r="D10">
        <v>9</v>
      </c>
      <c r="E10" s="184" t="s">
        <v>200</v>
      </c>
      <c r="F10">
        <v>0.98</v>
      </c>
      <c r="G10">
        <v>0.8</v>
      </c>
      <c r="H10">
        <v>0.8</v>
      </c>
      <c r="I10">
        <v>0.8</v>
      </c>
      <c r="J10" s="114">
        <v>0.25</v>
      </c>
      <c r="K10" s="114">
        <v>0.05</v>
      </c>
    </row>
    <row r="11" spans="1:42" x14ac:dyDescent="0.15">
      <c r="D11">
        <v>10</v>
      </c>
      <c r="E11" s="184" t="s">
        <v>201</v>
      </c>
      <c r="F11">
        <v>0.98</v>
      </c>
      <c r="G11">
        <v>0.8</v>
      </c>
      <c r="H11">
        <v>0.8</v>
      </c>
      <c r="I11">
        <v>0.8</v>
      </c>
      <c r="J11" s="114">
        <v>0.25</v>
      </c>
      <c r="K11" s="114">
        <v>0.05</v>
      </c>
    </row>
    <row r="12" spans="1:42" x14ac:dyDescent="0.15">
      <c r="D12">
        <v>11</v>
      </c>
      <c r="E12" s="184" t="s">
        <v>202</v>
      </c>
      <c r="F12">
        <v>0.98</v>
      </c>
      <c r="G12">
        <v>0.8</v>
      </c>
      <c r="H12">
        <v>0.8</v>
      </c>
      <c r="I12">
        <v>0.8</v>
      </c>
      <c r="J12" s="114">
        <v>0.25</v>
      </c>
      <c r="K12" s="114">
        <v>0.05</v>
      </c>
    </row>
    <row r="13" spans="1:42" x14ac:dyDescent="0.15">
      <c r="D13">
        <v>12</v>
      </c>
      <c r="E13" s="184" t="s">
        <v>203</v>
      </c>
      <c r="F13">
        <v>0.98</v>
      </c>
      <c r="G13">
        <v>0.8</v>
      </c>
      <c r="H13">
        <v>0.8</v>
      </c>
      <c r="I13">
        <v>0.8</v>
      </c>
      <c r="J13" s="114">
        <v>0.25</v>
      </c>
      <c r="K13" s="114">
        <v>0.05</v>
      </c>
    </row>
    <row r="14" spans="1:42" x14ac:dyDescent="0.15">
      <c r="D14">
        <v>13</v>
      </c>
      <c r="E14" s="184" t="s">
        <v>204</v>
      </c>
      <c r="F14">
        <v>0.98</v>
      </c>
      <c r="G14">
        <v>0.8</v>
      </c>
      <c r="H14">
        <v>0.8</v>
      </c>
      <c r="I14">
        <v>0.8</v>
      </c>
      <c r="J14" s="114">
        <v>0.25</v>
      </c>
      <c r="K14" s="114">
        <v>0.05</v>
      </c>
    </row>
    <row r="15" spans="1:42" x14ac:dyDescent="0.15">
      <c r="D15">
        <v>14</v>
      </c>
      <c r="E15" s="184" t="s">
        <v>205</v>
      </c>
      <c r="F15">
        <v>0.98</v>
      </c>
      <c r="G15">
        <v>0.8</v>
      </c>
      <c r="H15">
        <v>0.8</v>
      </c>
      <c r="I15">
        <v>0.8</v>
      </c>
      <c r="J15" s="114">
        <v>0.25</v>
      </c>
      <c r="K15" s="114">
        <v>0.05</v>
      </c>
    </row>
    <row r="16" spans="1:42" x14ac:dyDescent="0.15">
      <c r="D16">
        <v>15</v>
      </c>
      <c r="E16" s="184" t="s">
        <v>206</v>
      </c>
      <c r="F16">
        <v>0.98</v>
      </c>
      <c r="G16">
        <v>0.8</v>
      </c>
      <c r="H16">
        <v>0.8</v>
      </c>
      <c r="I16">
        <v>0.8</v>
      </c>
      <c r="J16" s="114">
        <v>0.25</v>
      </c>
      <c r="K16" s="114">
        <v>0.05</v>
      </c>
    </row>
    <row r="17" spans="4:33" ht="15" customHeight="1" x14ac:dyDescent="0.15">
      <c r="D17">
        <v>16</v>
      </c>
      <c r="E17" s="184" t="s">
        <v>207</v>
      </c>
      <c r="F17">
        <v>0.98</v>
      </c>
      <c r="G17">
        <v>0.8</v>
      </c>
      <c r="H17">
        <v>0.8</v>
      </c>
      <c r="I17">
        <v>0.8</v>
      </c>
      <c r="J17" s="114">
        <v>0.25</v>
      </c>
      <c r="K17" s="114">
        <v>0.05</v>
      </c>
    </row>
    <row r="18" spans="4:33" ht="15" customHeight="1" x14ac:dyDescent="0.15">
      <c r="D18">
        <v>17</v>
      </c>
      <c r="E18" s="184" t="s">
        <v>208</v>
      </c>
      <c r="F18">
        <v>0.98</v>
      </c>
      <c r="G18">
        <v>0.8</v>
      </c>
      <c r="H18">
        <v>0.8</v>
      </c>
      <c r="I18">
        <v>0.8</v>
      </c>
      <c r="J18" s="114">
        <v>0.25</v>
      </c>
      <c r="K18" s="114">
        <v>0.05</v>
      </c>
    </row>
    <row r="19" spans="4:33" ht="15" customHeight="1" x14ac:dyDescent="0.15">
      <c r="D19">
        <v>18</v>
      </c>
      <c r="E19" s="184" t="s">
        <v>209</v>
      </c>
      <c r="F19">
        <v>0.98</v>
      </c>
      <c r="G19">
        <v>0.8</v>
      </c>
      <c r="H19">
        <v>0.8</v>
      </c>
      <c r="I19">
        <v>0.8</v>
      </c>
      <c r="J19" s="114">
        <v>0.25</v>
      </c>
      <c r="K19" s="114">
        <v>0.05</v>
      </c>
    </row>
    <row r="20" spans="4:33" ht="15" customHeight="1" x14ac:dyDescent="0.15">
      <c r="D20">
        <v>19</v>
      </c>
      <c r="E20" s="184" t="s">
        <v>210</v>
      </c>
      <c r="F20">
        <v>0.98</v>
      </c>
      <c r="G20">
        <v>0.8</v>
      </c>
      <c r="H20">
        <v>0.8</v>
      </c>
      <c r="I20">
        <v>0.8</v>
      </c>
      <c r="J20" s="114">
        <v>0.25</v>
      </c>
      <c r="K20" s="114">
        <v>0.05</v>
      </c>
    </row>
    <row r="21" spans="4:33" ht="15" customHeight="1" x14ac:dyDescent="0.15">
      <c r="D21">
        <v>20</v>
      </c>
      <c r="E21" s="184" t="s">
        <v>211</v>
      </c>
      <c r="F21">
        <v>0.98</v>
      </c>
      <c r="G21">
        <v>0.8</v>
      </c>
      <c r="H21">
        <v>0.8</v>
      </c>
      <c r="I21">
        <v>0.8</v>
      </c>
      <c r="J21" s="114">
        <v>0.25</v>
      </c>
      <c r="K21" s="114">
        <v>0.05</v>
      </c>
    </row>
    <row r="22" spans="4:33" ht="15" customHeight="1" x14ac:dyDescent="0.15">
      <c r="D22">
        <v>21</v>
      </c>
      <c r="E22" s="184" t="s">
        <v>212</v>
      </c>
      <c r="F22">
        <v>0.98</v>
      </c>
      <c r="G22">
        <v>0.8</v>
      </c>
      <c r="H22">
        <v>0.8</v>
      </c>
      <c r="I22">
        <v>0.8</v>
      </c>
      <c r="J22" s="114">
        <v>0.25</v>
      </c>
      <c r="K22" s="114">
        <v>0.05</v>
      </c>
    </row>
    <row r="23" spans="4:33" ht="15" customHeight="1" x14ac:dyDescent="0.15">
      <c r="D23">
        <v>22</v>
      </c>
      <c r="E23" s="184" t="s">
        <v>213</v>
      </c>
      <c r="F23">
        <v>0.98</v>
      </c>
      <c r="G23">
        <v>0.8</v>
      </c>
      <c r="H23">
        <v>0.8</v>
      </c>
      <c r="I23">
        <v>0.8</v>
      </c>
      <c r="J23" s="114">
        <v>0.25</v>
      </c>
      <c r="K23" s="114">
        <v>0.05</v>
      </c>
    </row>
    <row r="24" spans="4:33" ht="15" customHeight="1" x14ac:dyDescent="0.15">
      <c r="D24">
        <v>23</v>
      </c>
      <c r="E24" s="184" t="s">
        <v>214</v>
      </c>
      <c r="F24">
        <v>0.98</v>
      </c>
      <c r="G24">
        <v>0.8</v>
      </c>
      <c r="H24">
        <v>0.8</v>
      </c>
      <c r="I24">
        <v>0.8</v>
      </c>
      <c r="J24" s="114">
        <v>0.25</v>
      </c>
      <c r="K24" s="114">
        <v>0.05</v>
      </c>
    </row>
    <row r="25" spans="4:33" ht="15" customHeight="1" x14ac:dyDescent="0.15">
      <c r="D25">
        <v>24</v>
      </c>
      <c r="E25" s="184" t="s">
        <v>215</v>
      </c>
      <c r="F25">
        <v>0.98</v>
      </c>
      <c r="G25">
        <v>0.8</v>
      </c>
      <c r="H25">
        <v>0.8</v>
      </c>
      <c r="I25">
        <v>0.8</v>
      </c>
      <c r="J25" s="114">
        <v>0.25</v>
      </c>
      <c r="K25" s="114">
        <v>0.05</v>
      </c>
    </row>
    <row r="26" spans="4:33" ht="15" customHeight="1" x14ac:dyDescent="0.15">
      <c r="D26">
        <v>25</v>
      </c>
      <c r="E26" s="184" t="s">
        <v>216</v>
      </c>
      <c r="F26">
        <v>0.98</v>
      </c>
      <c r="G26">
        <v>0.8</v>
      </c>
      <c r="H26">
        <v>0.8</v>
      </c>
      <c r="I26">
        <v>0.8</v>
      </c>
      <c r="J26" s="114">
        <v>0.25</v>
      </c>
      <c r="K26" s="114">
        <v>0.05</v>
      </c>
    </row>
    <row r="27" spans="4:33" ht="15" customHeight="1" x14ac:dyDescent="0.15">
      <c r="D27">
        <v>26</v>
      </c>
      <c r="E27" s="184" t="s">
        <v>217</v>
      </c>
      <c r="F27">
        <v>0.98</v>
      </c>
      <c r="G27">
        <v>0.8</v>
      </c>
      <c r="H27">
        <v>0.8</v>
      </c>
      <c r="I27">
        <v>0.8</v>
      </c>
      <c r="J27" s="114">
        <v>0.25</v>
      </c>
      <c r="K27" s="114">
        <v>0.05</v>
      </c>
    </row>
    <row r="28" spans="4:33" ht="15" customHeight="1" x14ac:dyDescent="0.15">
      <c r="D28">
        <v>27</v>
      </c>
      <c r="E28" s="184" t="s">
        <v>218</v>
      </c>
      <c r="F28">
        <v>0.98</v>
      </c>
      <c r="G28">
        <v>0.8</v>
      </c>
      <c r="H28">
        <v>0.8</v>
      </c>
      <c r="I28">
        <v>0.8</v>
      </c>
      <c r="J28" s="114">
        <v>0.25</v>
      </c>
      <c r="K28" s="114">
        <v>0.05</v>
      </c>
    </row>
    <row r="29" spans="4:33" ht="15" customHeight="1" x14ac:dyDescent="0.15">
      <c r="D29">
        <v>28</v>
      </c>
      <c r="E29" s="184" t="s">
        <v>219</v>
      </c>
      <c r="F29">
        <v>0.98</v>
      </c>
      <c r="G29">
        <v>0.8</v>
      </c>
      <c r="H29">
        <v>0.8</v>
      </c>
      <c r="I29">
        <v>0.8</v>
      </c>
      <c r="J29" s="114">
        <v>0.25</v>
      </c>
      <c r="K29" s="114">
        <v>0.05</v>
      </c>
      <c r="Y29"/>
      <c r="AC29"/>
      <c r="AG29"/>
    </row>
    <row r="30" spans="4:33" ht="15" customHeight="1" x14ac:dyDescent="0.15">
      <c r="D30">
        <v>29</v>
      </c>
      <c r="E30" s="184" t="s">
        <v>220</v>
      </c>
      <c r="F30">
        <v>0.98</v>
      </c>
      <c r="G30">
        <v>0.8</v>
      </c>
      <c r="H30">
        <v>0.8</v>
      </c>
      <c r="I30">
        <v>0.8</v>
      </c>
      <c r="J30" s="114">
        <v>0.25</v>
      </c>
      <c r="K30" s="114">
        <v>0.05</v>
      </c>
      <c r="Y30"/>
      <c r="AC30"/>
      <c r="AG30"/>
    </row>
    <row r="31" spans="4:33" ht="15" customHeight="1" x14ac:dyDescent="0.15">
      <c r="D31">
        <v>30</v>
      </c>
      <c r="E31" s="184" t="s">
        <v>221</v>
      </c>
      <c r="F31">
        <v>0.98</v>
      </c>
      <c r="G31">
        <v>0.8</v>
      </c>
      <c r="H31">
        <v>0.8</v>
      </c>
      <c r="I31">
        <v>0.8</v>
      </c>
      <c r="J31" s="114">
        <v>0.25</v>
      </c>
      <c r="K31" s="114">
        <v>0.05</v>
      </c>
      <c r="Y31"/>
      <c r="AC31"/>
      <c r="AG31"/>
    </row>
    <row r="32" spans="4:33" ht="15" customHeight="1" x14ac:dyDescent="0.15">
      <c r="D32">
        <v>31</v>
      </c>
      <c r="E32" s="184" t="s">
        <v>222</v>
      </c>
      <c r="F32">
        <v>0.98</v>
      </c>
      <c r="G32">
        <v>0.8</v>
      </c>
      <c r="H32">
        <v>0.8</v>
      </c>
      <c r="I32">
        <v>0.8</v>
      </c>
      <c r="J32" s="114">
        <v>0.25</v>
      </c>
      <c r="K32" s="114">
        <v>0.05</v>
      </c>
      <c r="Y32"/>
      <c r="AC32"/>
      <c r="AG32"/>
    </row>
    <row r="33" spans="4:33" ht="15" customHeight="1" x14ac:dyDescent="0.15">
      <c r="D33">
        <v>32</v>
      </c>
      <c r="E33" s="184" t="s">
        <v>223</v>
      </c>
      <c r="F33">
        <v>0.98</v>
      </c>
      <c r="G33">
        <v>0.8</v>
      </c>
      <c r="H33">
        <v>0.8</v>
      </c>
      <c r="I33">
        <v>0.8</v>
      </c>
      <c r="J33" s="114">
        <v>0.25</v>
      </c>
      <c r="K33" s="114">
        <v>0.05</v>
      </c>
      <c r="Y33"/>
      <c r="AC33"/>
      <c r="AG33"/>
    </row>
    <row r="34" spans="4:33" ht="15" customHeight="1" x14ac:dyDescent="0.15">
      <c r="D34">
        <v>33</v>
      </c>
      <c r="E34" s="184" t="s">
        <v>224</v>
      </c>
      <c r="F34">
        <v>0.98</v>
      </c>
      <c r="G34">
        <v>0.8</v>
      </c>
      <c r="H34">
        <v>0.8</v>
      </c>
      <c r="I34">
        <v>0.8</v>
      </c>
      <c r="J34" s="114">
        <v>0.25</v>
      </c>
      <c r="K34" s="114">
        <v>0.05</v>
      </c>
      <c r="Y34"/>
      <c r="AC34"/>
      <c r="AG34"/>
    </row>
    <row r="35" spans="4:33" ht="15" customHeight="1" x14ac:dyDescent="0.15">
      <c r="D35">
        <v>34</v>
      </c>
      <c r="E35" s="184" t="s">
        <v>225</v>
      </c>
      <c r="F35">
        <v>0.98</v>
      </c>
      <c r="G35">
        <v>0.8</v>
      </c>
      <c r="H35">
        <v>0.8</v>
      </c>
      <c r="I35">
        <v>0.8</v>
      </c>
      <c r="J35" s="114">
        <v>0.25</v>
      </c>
      <c r="K35" s="114">
        <v>0.05</v>
      </c>
      <c r="Y35"/>
      <c r="AC35"/>
      <c r="AG35"/>
    </row>
    <row r="36" spans="4:33" ht="15" customHeight="1" x14ac:dyDescent="0.15">
      <c r="D36">
        <v>35</v>
      </c>
      <c r="E36" s="184" t="s">
        <v>226</v>
      </c>
      <c r="F36">
        <v>0.98</v>
      </c>
      <c r="G36">
        <v>0.8</v>
      </c>
      <c r="H36">
        <v>0.8</v>
      </c>
      <c r="I36">
        <v>0.8</v>
      </c>
      <c r="J36" s="114">
        <v>0.25</v>
      </c>
      <c r="K36" s="114">
        <v>0.05</v>
      </c>
      <c r="Y36"/>
      <c r="AC36"/>
      <c r="AG36"/>
    </row>
    <row r="37" spans="4:33" ht="15" customHeight="1" x14ac:dyDescent="0.15">
      <c r="D37">
        <v>36</v>
      </c>
      <c r="E37" s="184" t="s">
        <v>227</v>
      </c>
      <c r="F37">
        <v>0.98</v>
      </c>
      <c r="G37">
        <v>0.8</v>
      </c>
      <c r="H37">
        <v>0.8</v>
      </c>
      <c r="I37">
        <v>0.8</v>
      </c>
      <c r="J37" s="114">
        <v>0.25</v>
      </c>
      <c r="K37" s="114">
        <v>0.05</v>
      </c>
      <c r="Y37"/>
      <c r="AC37"/>
      <c r="AG37"/>
    </row>
    <row r="38" spans="4:33" ht="15" customHeight="1" x14ac:dyDescent="0.15">
      <c r="D38">
        <v>37</v>
      </c>
      <c r="E38" s="184" t="s">
        <v>228</v>
      </c>
      <c r="F38">
        <v>0.98</v>
      </c>
      <c r="G38">
        <v>0.8</v>
      </c>
      <c r="H38">
        <v>0.8</v>
      </c>
      <c r="I38">
        <v>0.8</v>
      </c>
      <c r="J38" s="114">
        <v>0.25</v>
      </c>
      <c r="K38" s="114">
        <v>0.05</v>
      </c>
      <c r="Y38"/>
      <c r="AC38"/>
      <c r="AG38"/>
    </row>
    <row r="39" spans="4:33" ht="15" customHeight="1" x14ac:dyDescent="0.15">
      <c r="D39">
        <v>38</v>
      </c>
      <c r="E39" s="184" t="s">
        <v>229</v>
      </c>
      <c r="F39">
        <v>0.98</v>
      </c>
      <c r="G39">
        <v>0.8</v>
      </c>
      <c r="H39">
        <v>0.8</v>
      </c>
      <c r="I39">
        <v>0</v>
      </c>
      <c r="J39" s="114">
        <v>0</v>
      </c>
      <c r="K39" s="114">
        <v>0</v>
      </c>
    </row>
    <row r="40" spans="4:33" ht="15" customHeight="1" x14ac:dyDescent="0.15">
      <c r="D40">
        <v>39</v>
      </c>
      <c r="E40" s="184" t="s">
        <v>230</v>
      </c>
      <c r="F40">
        <v>0.98</v>
      </c>
      <c r="G40">
        <v>0.8</v>
      </c>
      <c r="H40">
        <v>0.8</v>
      </c>
      <c r="I40">
        <v>0</v>
      </c>
      <c r="J40" s="114">
        <v>0</v>
      </c>
      <c r="K40" s="114">
        <v>0</v>
      </c>
      <c r="Y40"/>
      <c r="AC40"/>
      <c r="AG40"/>
    </row>
    <row r="41" spans="4:33" ht="15" customHeight="1" x14ac:dyDescent="0.15">
      <c r="D41">
        <v>40</v>
      </c>
      <c r="E41" s="184" t="s">
        <v>231</v>
      </c>
      <c r="F41">
        <v>0.98</v>
      </c>
      <c r="G41">
        <v>0.8</v>
      </c>
      <c r="H41">
        <v>0.8</v>
      </c>
      <c r="I41">
        <v>0</v>
      </c>
      <c r="J41" s="114">
        <v>0</v>
      </c>
      <c r="K41" s="114">
        <v>0</v>
      </c>
      <c r="Y41"/>
      <c r="AC41"/>
      <c r="AG41"/>
    </row>
    <row r="42" spans="4:33" ht="15" customHeight="1" x14ac:dyDescent="0.15">
      <c r="D42">
        <v>41</v>
      </c>
      <c r="E42" s="184" t="s">
        <v>232</v>
      </c>
      <c r="F42">
        <v>0.98</v>
      </c>
      <c r="G42">
        <v>0.8</v>
      </c>
      <c r="H42">
        <v>0.8</v>
      </c>
      <c r="I42">
        <v>0</v>
      </c>
      <c r="J42" s="114">
        <v>0</v>
      </c>
      <c r="K42" s="114">
        <v>0</v>
      </c>
      <c r="Y42"/>
      <c r="AC42"/>
      <c r="AG42"/>
    </row>
    <row r="43" spans="4:33" ht="15" customHeight="1" x14ac:dyDescent="0.15">
      <c r="D43">
        <v>42</v>
      </c>
      <c r="E43" s="184" t="s">
        <v>233</v>
      </c>
      <c r="F43">
        <v>0.98</v>
      </c>
      <c r="G43">
        <v>0.8</v>
      </c>
      <c r="H43">
        <v>0</v>
      </c>
      <c r="I43">
        <v>0</v>
      </c>
      <c r="J43" s="114">
        <v>0</v>
      </c>
      <c r="K43" s="114">
        <v>0</v>
      </c>
      <c r="Y43"/>
      <c r="AC43"/>
      <c r="AG43"/>
    </row>
    <row r="44" spans="4:33" ht="15" customHeight="1" x14ac:dyDescent="0.15">
      <c r="D44">
        <v>43</v>
      </c>
      <c r="E44" s="184" t="s">
        <v>234</v>
      </c>
      <c r="F44">
        <v>0.98</v>
      </c>
      <c r="G44">
        <v>0.8</v>
      </c>
      <c r="H44">
        <v>0</v>
      </c>
      <c r="I44">
        <v>0</v>
      </c>
      <c r="J44" s="114">
        <v>0</v>
      </c>
      <c r="K44" s="114">
        <v>0</v>
      </c>
      <c r="Y44"/>
      <c r="AC44"/>
      <c r="AG44"/>
    </row>
    <row r="45" spans="4:33" ht="15" customHeight="1" x14ac:dyDescent="0.15">
      <c r="J45"/>
      <c r="K45"/>
      <c r="Y45"/>
      <c r="AC45"/>
      <c r="AG45"/>
    </row>
    <row r="46" spans="4:33" ht="15" customHeight="1" x14ac:dyDescent="0.15">
      <c r="J46"/>
      <c r="K46"/>
      <c r="Y46"/>
      <c r="AC46"/>
      <c r="AG46"/>
    </row>
    <row r="47" spans="4:33" ht="15" customHeight="1" x14ac:dyDescent="0.15">
      <c r="J47"/>
      <c r="K47"/>
      <c r="Y47"/>
      <c r="AC47"/>
      <c r="AG47"/>
    </row>
    <row r="48" spans="4:33" ht="15" customHeight="1" x14ac:dyDescent="0.15">
      <c r="J48"/>
      <c r="K48"/>
      <c r="Y48"/>
      <c r="AC48"/>
      <c r="AG48"/>
    </row>
    <row r="49" spans="10:33" ht="15" customHeight="1" x14ac:dyDescent="0.15">
      <c r="Y49"/>
      <c r="AC49"/>
      <c r="AG49"/>
    </row>
    <row r="50" spans="10:33" ht="15" customHeight="1" x14ac:dyDescent="0.15">
      <c r="Y50"/>
      <c r="AC50"/>
      <c r="AG50"/>
    </row>
    <row r="51" spans="10:33" ht="15" customHeight="1" x14ac:dyDescent="0.15">
      <c r="J51"/>
      <c r="K51"/>
      <c r="Y51"/>
      <c r="AC51"/>
      <c r="AG51"/>
    </row>
    <row r="52" spans="10:33" ht="15" customHeight="1" x14ac:dyDescent="0.15">
      <c r="J52"/>
      <c r="K52"/>
      <c r="Y52"/>
      <c r="AC52"/>
      <c r="AG52"/>
    </row>
    <row r="53" spans="10:33" ht="15" customHeight="1" x14ac:dyDescent="0.15">
      <c r="J53"/>
      <c r="K53"/>
      <c r="Y53"/>
      <c r="AC53"/>
      <c r="AG53"/>
    </row>
    <row r="54" spans="10:33" ht="15" customHeight="1" x14ac:dyDescent="0.15">
      <c r="J54"/>
      <c r="K54"/>
      <c r="Y54"/>
      <c r="AC54"/>
      <c r="AG54"/>
    </row>
    <row r="55" spans="10:33" ht="15" customHeight="1" x14ac:dyDescent="0.15">
      <c r="J55"/>
      <c r="K55"/>
      <c r="Y55"/>
      <c r="AC55"/>
      <c r="AG55"/>
    </row>
    <row r="56" spans="10:33" ht="15" customHeight="1" x14ac:dyDescent="0.15">
      <c r="J56"/>
      <c r="K56"/>
      <c r="Y56"/>
      <c r="AC56"/>
      <c r="AG56"/>
    </row>
    <row r="57" spans="10:33" ht="15" customHeight="1" x14ac:dyDescent="0.15">
      <c r="J57"/>
      <c r="K57"/>
      <c r="Y57"/>
      <c r="AC57"/>
      <c r="AG57"/>
    </row>
    <row r="58" spans="10:33" ht="15" customHeight="1" x14ac:dyDescent="0.15">
      <c r="J58"/>
      <c r="K58"/>
      <c r="Y58"/>
      <c r="AC58"/>
      <c r="AG58"/>
    </row>
    <row r="59" spans="10:33" ht="15" customHeight="1" x14ac:dyDescent="0.15">
      <c r="J59"/>
      <c r="K59"/>
      <c r="Y59"/>
      <c r="AC59"/>
      <c r="AG59"/>
    </row>
    <row r="60" spans="10:33" ht="15" customHeight="1" x14ac:dyDescent="0.15">
      <c r="J60"/>
      <c r="K60"/>
      <c r="Y60"/>
      <c r="AC60"/>
      <c r="AG60"/>
    </row>
    <row r="61" spans="10:33" ht="15" customHeight="1" x14ac:dyDescent="0.15">
      <c r="J61"/>
      <c r="K61"/>
      <c r="Y61"/>
      <c r="AC61"/>
      <c r="AG61"/>
    </row>
    <row r="62" spans="10:33" ht="15" customHeight="1" x14ac:dyDescent="0.15">
      <c r="J62"/>
      <c r="K62"/>
      <c r="Y62"/>
      <c r="AC62"/>
      <c r="AG62"/>
    </row>
    <row r="63" spans="10:33" ht="15" customHeight="1" x14ac:dyDescent="0.15">
      <c r="J63"/>
      <c r="K63"/>
      <c r="Y63"/>
      <c r="AC63"/>
      <c r="AG63"/>
    </row>
    <row r="64" spans="10: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R45"/>
  <sheetViews>
    <sheetView workbookViewId="0">
      <selection activeCell="A3" sqref="A3"/>
    </sheetView>
  </sheetViews>
  <sheetFormatPr baseColWidth="10" defaultRowHeight="13" x14ac:dyDescent="0.15"/>
  <cols>
    <col min="1" max="1" width="31.5" style="111" bestFit="1" customWidth="1"/>
    <col min="2" max="38" width="3.83203125" style="111" customWidth="1"/>
    <col min="39" max="44" width="2.33203125" style="111" customWidth="1"/>
    <col min="45" max="16384" width="10.83203125" style="111"/>
  </cols>
  <sheetData>
    <row r="1" spans="1:44" x14ac:dyDescent="0.15">
      <c r="A1" s="63" t="s">
        <v>118</v>
      </c>
      <c r="B1" s="186" t="s">
        <v>192</v>
      </c>
      <c r="C1" s="186" t="s">
        <v>193</v>
      </c>
      <c r="D1" s="186" t="s">
        <v>194</v>
      </c>
      <c r="E1" s="186" t="s">
        <v>195</v>
      </c>
      <c r="F1" s="186" t="s">
        <v>196</v>
      </c>
      <c r="G1" s="186" t="s">
        <v>197</v>
      </c>
      <c r="H1" s="186" t="s">
        <v>198</v>
      </c>
      <c r="I1" s="186" t="s">
        <v>199</v>
      </c>
      <c r="J1" s="186" t="s">
        <v>200</v>
      </c>
      <c r="K1" s="186" t="s">
        <v>201</v>
      </c>
      <c r="L1" s="186" t="s">
        <v>202</v>
      </c>
      <c r="M1" s="186" t="s">
        <v>203</v>
      </c>
      <c r="N1" s="186" t="s">
        <v>204</v>
      </c>
      <c r="O1" s="186" t="s">
        <v>205</v>
      </c>
      <c r="P1" s="186" t="s">
        <v>206</v>
      </c>
      <c r="Q1" s="186" t="s">
        <v>207</v>
      </c>
      <c r="R1" s="186" t="s">
        <v>208</v>
      </c>
      <c r="S1" s="186" t="s">
        <v>209</v>
      </c>
      <c r="T1" s="186" t="s">
        <v>210</v>
      </c>
      <c r="U1" s="186" t="s">
        <v>211</v>
      </c>
      <c r="V1" s="186" t="s">
        <v>212</v>
      </c>
      <c r="W1" s="186" t="s">
        <v>213</v>
      </c>
      <c r="X1" s="186" t="s">
        <v>214</v>
      </c>
      <c r="Y1" s="186" t="s">
        <v>215</v>
      </c>
      <c r="Z1" s="186" t="s">
        <v>216</v>
      </c>
      <c r="AA1" s="186" t="s">
        <v>217</v>
      </c>
      <c r="AB1" s="186" t="s">
        <v>218</v>
      </c>
      <c r="AC1" s="186" t="s">
        <v>219</v>
      </c>
      <c r="AD1" s="186" t="s">
        <v>220</v>
      </c>
      <c r="AE1" s="186" t="s">
        <v>221</v>
      </c>
      <c r="AF1" s="186" t="s">
        <v>222</v>
      </c>
      <c r="AG1" s="186" t="s">
        <v>223</v>
      </c>
      <c r="AH1" s="186" t="s">
        <v>224</v>
      </c>
      <c r="AI1" s="186" t="s">
        <v>225</v>
      </c>
      <c r="AJ1" s="186" t="s">
        <v>226</v>
      </c>
      <c r="AK1" s="186" t="s">
        <v>227</v>
      </c>
      <c r="AL1" s="186" t="s">
        <v>228</v>
      </c>
      <c r="AM1" s="186" t="s">
        <v>229</v>
      </c>
      <c r="AN1" s="186" t="s">
        <v>230</v>
      </c>
      <c r="AO1" s="186" t="s">
        <v>231</v>
      </c>
      <c r="AP1" s="186" t="s">
        <v>232</v>
      </c>
      <c r="AQ1" s="186" t="s">
        <v>233</v>
      </c>
      <c r="AR1" s="186" t="s">
        <v>234</v>
      </c>
    </row>
    <row r="2" spans="1:44" customFormat="1" x14ac:dyDescent="0.15">
      <c r="A2" s="185" t="s">
        <v>192</v>
      </c>
      <c r="B2" s="111">
        <v>0.8</v>
      </c>
      <c r="C2" s="111">
        <v>0</v>
      </c>
      <c r="D2" s="111">
        <v>0</v>
      </c>
      <c r="E2" s="111">
        <v>0</v>
      </c>
      <c r="F2" s="111">
        <v>0</v>
      </c>
      <c r="G2" s="111">
        <v>0</v>
      </c>
      <c r="H2" s="111">
        <v>0</v>
      </c>
      <c r="I2" s="111">
        <v>0</v>
      </c>
      <c r="J2" s="111">
        <v>0</v>
      </c>
      <c r="K2" s="111">
        <v>0</v>
      </c>
      <c r="L2" s="111">
        <v>0</v>
      </c>
      <c r="M2" s="111">
        <v>0</v>
      </c>
      <c r="N2" s="111">
        <v>0</v>
      </c>
      <c r="O2" s="111">
        <v>0</v>
      </c>
      <c r="P2" s="111">
        <v>0</v>
      </c>
      <c r="Q2" s="111">
        <v>0</v>
      </c>
      <c r="R2" s="111">
        <v>0</v>
      </c>
      <c r="S2" s="111">
        <v>0</v>
      </c>
      <c r="T2" s="111">
        <v>0</v>
      </c>
      <c r="U2" s="111">
        <v>0</v>
      </c>
      <c r="V2" s="111">
        <v>0</v>
      </c>
      <c r="W2" s="111">
        <v>0</v>
      </c>
      <c r="X2" s="111">
        <v>0</v>
      </c>
      <c r="Y2" s="111">
        <v>0</v>
      </c>
      <c r="Z2" s="111">
        <v>0</v>
      </c>
      <c r="AA2" s="111">
        <v>0</v>
      </c>
      <c r="AB2" s="111">
        <v>0</v>
      </c>
      <c r="AC2" s="111">
        <v>0</v>
      </c>
      <c r="AD2" s="111">
        <v>0</v>
      </c>
      <c r="AE2" s="111">
        <v>0</v>
      </c>
      <c r="AF2" s="111">
        <v>0</v>
      </c>
      <c r="AG2" s="111">
        <v>0</v>
      </c>
      <c r="AH2" s="111">
        <v>0</v>
      </c>
      <c r="AI2" s="111">
        <v>0</v>
      </c>
      <c r="AJ2" s="111">
        <v>0</v>
      </c>
      <c r="AK2" s="111">
        <v>0</v>
      </c>
      <c r="AL2" s="111">
        <v>0</v>
      </c>
      <c r="AM2" s="111">
        <v>0</v>
      </c>
      <c r="AN2" s="111">
        <v>0</v>
      </c>
      <c r="AO2" s="111">
        <v>0</v>
      </c>
      <c r="AP2" s="111">
        <v>0</v>
      </c>
      <c r="AQ2" s="111">
        <v>0</v>
      </c>
      <c r="AR2" s="111">
        <v>0</v>
      </c>
    </row>
    <row r="3" spans="1:44" customFormat="1" x14ac:dyDescent="0.15">
      <c r="A3" s="185" t="s">
        <v>193</v>
      </c>
      <c r="B3" s="111">
        <v>0.8</v>
      </c>
      <c r="C3" s="111">
        <v>0.8</v>
      </c>
      <c r="D3" s="111">
        <v>0.8</v>
      </c>
      <c r="E3" s="111">
        <v>0</v>
      </c>
      <c r="F3" s="111">
        <v>0</v>
      </c>
      <c r="G3" s="111">
        <v>0</v>
      </c>
      <c r="H3" s="111">
        <v>0</v>
      </c>
      <c r="I3" s="111">
        <v>0</v>
      </c>
      <c r="J3" s="111">
        <v>0</v>
      </c>
      <c r="K3" s="111">
        <v>0</v>
      </c>
      <c r="L3" s="111">
        <v>0</v>
      </c>
      <c r="M3" s="111">
        <v>0</v>
      </c>
      <c r="N3" s="111">
        <v>0</v>
      </c>
      <c r="O3" s="111">
        <v>0</v>
      </c>
      <c r="P3" s="111">
        <v>0</v>
      </c>
      <c r="Q3" s="111">
        <v>0</v>
      </c>
      <c r="R3" s="111">
        <v>0</v>
      </c>
      <c r="S3" s="111">
        <v>0</v>
      </c>
      <c r="T3" s="111">
        <v>0</v>
      </c>
      <c r="U3" s="111">
        <v>0</v>
      </c>
      <c r="V3" s="111">
        <v>0</v>
      </c>
      <c r="W3" s="111">
        <v>0</v>
      </c>
      <c r="X3" s="111">
        <v>0</v>
      </c>
      <c r="Y3" s="111">
        <v>0</v>
      </c>
      <c r="Z3" s="111">
        <v>0</v>
      </c>
      <c r="AA3" s="111">
        <v>0</v>
      </c>
      <c r="AB3" s="111">
        <v>0</v>
      </c>
      <c r="AC3" s="111">
        <v>0</v>
      </c>
      <c r="AD3" s="111">
        <v>0</v>
      </c>
      <c r="AE3" s="111">
        <v>0</v>
      </c>
      <c r="AF3" s="111">
        <v>0</v>
      </c>
      <c r="AG3" s="111">
        <v>0</v>
      </c>
      <c r="AH3" s="111">
        <v>0</v>
      </c>
      <c r="AI3" s="111">
        <v>0</v>
      </c>
      <c r="AJ3" s="111">
        <v>0</v>
      </c>
      <c r="AK3" s="111">
        <v>0</v>
      </c>
      <c r="AL3" s="111">
        <v>0</v>
      </c>
      <c r="AM3" s="111">
        <v>0</v>
      </c>
      <c r="AN3" s="111">
        <v>0</v>
      </c>
      <c r="AO3" s="111">
        <v>0</v>
      </c>
      <c r="AP3" s="111">
        <v>0</v>
      </c>
      <c r="AQ3" s="111">
        <v>0</v>
      </c>
      <c r="AR3" s="111">
        <v>0</v>
      </c>
    </row>
    <row r="4" spans="1:44" customFormat="1" x14ac:dyDescent="0.15">
      <c r="A4" s="185" t="s">
        <v>194</v>
      </c>
      <c r="B4" s="111">
        <v>0.8</v>
      </c>
      <c r="C4" s="111">
        <v>0</v>
      </c>
      <c r="D4" s="111">
        <v>0.8</v>
      </c>
      <c r="E4" s="111">
        <v>0</v>
      </c>
      <c r="F4" s="111">
        <v>0.8</v>
      </c>
      <c r="G4" s="111">
        <v>0</v>
      </c>
      <c r="H4" s="111">
        <v>0</v>
      </c>
      <c r="I4" s="111">
        <v>0</v>
      </c>
      <c r="J4" s="111">
        <v>0</v>
      </c>
      <c r="K4" s="111">
        <v>0</v>
      </c>
      <c r="L4" s="111">
        <v>0</v>
      </c>
      <c r="M4" s="111">
        <v>0</v>
      </c>
      <c r="N4" s="111">
        <v>0</v>
      </c>
      <c r="O4" s="111">
        <v>0</v>
      </c>
      <c r="P4" s="111">
        <v>0</v>
      </c>
      <c r="Q4" s="111">
        <v>0</v>
      </c>
      <c r="R4" s="111">
        <v>0</v>
      </c>
      <c r="S4" s="111">
        <v>0</v>
      </c>
      <c r="T4" s="111">
        <v>0</v>
      </c>
      <c r="U4" s="111">
        <v>0</v>
      </c>
      <c r="V4" s="111">
        <v>0</v>
      </c>
      <c r="W4" s="111">
        <v>0</v>
      </c>
      <c r="X4" s="111">
        <v>0</v>
      </c>
      <c r="Y4" s="111">
        <v>0</v>
      </c>
      <c r="Z4" s="111">
        <v>0</v>
      </c>
      <c r="AA4" s="111">
        <v>0</v>
      </c>
      <c r="AB4" s="111">
        <v>0</v>
      </c>
      <c r="AC4" s="111">
        <v>0</v>
      </c>
      <c r="AD4" s="111">
        <v>0</v>
      </c>
      <c r="AE4" s="111">
        <v>0</v>
      </c>
      <c r="AF4" s="111">
        <v>0</v>
      </c>
      <c r="AG4" s="111">
        <v>0</v>
      </c>
      <c r="AH4" s="111">
        <v>0</v>
      </c>
      <c r="AI4" s="111">
        <v>0</v>
      </c>
      <c r="AJ4" s="111">
        <v>0</v>
      </c>
      <c r="AK4" s="111">
        <v>0</v>
      </c>
      <c r="AL4" s="111">
        <v>0</v>
      </c>
      <c r="AM4" s="111">
        <v>0</v>
      </c>
      <c r="AN4" s="111">
        <v>0</v>
      </c>
      <c r="AO4" s="111">
        <v>0</v>
      </c>
      <c r="AP4" s="111">
        <v>0</v>
      </c>
      <c r="AQ4" s="111">
        <v>0</v>
      </c>
      <c r="AR4" s="111">
        <v>0</v>
      </c>
    </row>
    <row r="5" spans="1:44" customFormat="1" x14ac:dyDescent="0.15">
      <c r="A5" s="185" t="s">
        <v>195</v>
      </c>
      <c r="B5" s="111">
        <v>0</v>
      </c>
      <c r="C5" s="111">
        <v>0</v>
      </c>
      <c r="D5" s="111">
        <v>0</v>
      </c>
      <c r="E5" s="111">
        <v>0</v>
      </c>
      <c r="F5" s="111">
        <v>0</v>
      </c>
      <c r="G5" s="111">
        <v>0</v>
      </c>
      <c r="H5" s="111">
        <v>0</v>
      </c>
      <c r="I5" s="111">
        <v>0</v>
      </c>
      <c r="J5" s="111">
        <v>0</v>
      </c>
      <c r="K5" s="111">
        <v>0</v>
      </c>
      <c r="L5" s="111">
        <v>0</v>
      </c>
      <c r="M5" s="111">
        <v>0</v>
      </c>
      <c r="N5" s="111">
        <v>0</v>
      </c>
      <c r="O5" s="111">
        <v>0</v>
      </c>
      <c r="P5" s="111">
        <v>0</v>
      </c>
      <c r="Q5" s="111">
        <v>0</v>
      </c>
      <c r="R5" s="111">
        <v>0</v>
      </c>
      <c r="S5" s="111">
        <v>0</v>
      </c>
      <c r="T5" s="111">
        <v>0</v>
      </c>
      <c r="U5" s="111">
        <v>0</v>
      </c>
      <c r="V5" s="111">
        <v>0</v>
      </c>
      <c r="W5" s="111">
        <v>0</v>
      </c>
      <c r="X5" s="111">
        <v>0</v>
      </c>
      <c r="Y5" s="111">
        <v>0</v>
      </c>
      <c r="Z5" s="111">
        <v>0</v>
      </c>
      <c r="AA5" s="111">
        <v>0</v>
      </c>
      <c r="AB5" s="111">
        <v>0</v>
      </c>
      <c r="AC5" s="111">
        <v>0</v>
      </c>
      <c r="AD5" s="111">
        <v>0</v>
      </c>
      <c r="AE5" s="111">
        <v>0</v>
      </c>
      <c r="AF5" s="111">
        <v>0</v>
      </c>
      <c r="AG5" s="111">
        <v>0</v>
      </c>
      <c r="AH5" s="111">
        <v>0</v>
      </c>
      <c r="AI5" s="111">
        <v>0</v>
      </c>
      <c r="AJ5" s="111">
        <v>0</v>
      </c>
      <c r="AK5" s="111">
        <v>0</v>
      </c>
      <c r="AL5" s="111">
        <v>0</v>
      </c>
      <c r="AM5" s="111">
        <v>0</v>
      </c>
      <c r="AN5" s="111">
        <v>0</v>
      </c>
      <c r="AO5" s="111">
        <v>0</v>
      </c>
      <c r="AP5" s="111">
        <v>0</v>
      </c>
      <c r="AQ5" s="111">
        <v>0</v>
      </c>
      <c r="AR5" s="111">
        <v>0</v>
      </c>
    </row>
    <row r="6" spans="1:44" customFormat="1" x14ac:dyDescent="0.15">
      <c r="A6" s="185" t="s">
        <v>196</v>
      </c>
      <c r="B6" s="111">
        <v>0.8</v>
      </c>
      <c r="C6" s="111">
        <v>0.8</v>
      </c>
      <c r="D6" s="111">
        <v>0.8</v>
      </c>
      <c r="E6" s="111">
        <v>0.8</v>
      </c>
      <c r="F6" s="111">
        <v>0</v>
      </c>
      <c r="G6" s="111">
        <v>0.8</v>
      </c>
      <c r="H6" s="111">
        <v>0.8</v>
      </c>
      <c r="I6" s="111">
        <v>0</v>
      </c>
      <c r="J6" s="111">
        <v>0</v>
      </c>
      <c r="K6" s="111">
        <v>0</v>
      </c>
      <c r="L6" s="111">
        <v>0.8</v>
      </c>
      <c r="M6" s="111">
        <v>0</v>
      </c>
      <c r="N6" s="111">
        <v>0</v>
      </c>
      <c r="O6" s="111">
        <v>0</v>
      </c>
      <c r="P6" s="111">
        <v>0</v>
      </c>
      <c r="Q6" s="111">
        <v>0</v>
      </c>
      <c r="R6" s="111">
        <v>0</v>
      </c>
      <c r="S6" s="111">
        <v>0</v>
      </c>
      <c r="T6" s="111">
        <v>0</v>
      </c>
      <c r="U6" s="111">
        <v>0</v>
      </c>
      <c r="V6" s="111">
        <v>0</v>
      </c>
      <c r="W6" s="111">
        <v>0</v>
      </c>
      <c r="X6" s="111">
        <v>0</v>
      </c>
      <c r="Y6" s="111">
        <v>0</v>
      </c>
      <c r="Z6" s="111">
        <v>0</v>
      </c>
      <c r="AA6" s="111">
        <v>0</v>
      </c>
      <c r="AB6" s="111">
        <v>0</v>
      </c>
      <c r="AC6" s="111">
        <v>0</v>
      </c>
      <c r="AD6" s="111">
        <v>0</v>
      </c>
      <c r="AE6" s="111">
        <v>0</v>
      </c>
      <c r="AF6" s="111">
        <v>0</v>
      </c>
      <c r="AG6" s="111">
        <v>0</v>
      </c>
      <c r="AH6" s="111">
        <v>0</v>
      </c>
      <c r="AI6" s="111">
        <v>0</v>
      </c>
      <c r="AJ6" s="111">
        <v>0</v>
      </c>
      <c r="AK6" s="111">
        <v>0</v>
      </c>
      <c r="AL6" s="111">
        <v>0</v>
      </c>
      <c r="AM6" s="111">
        <v>0</v>
      </c>
      <c r="AN6" s="111">
        <v>0</v>
      </c>
      <c r="AO6" s="111">
        <v>0</v>
      </c>
      <c r="AP6" s="111">
        <v>0</v>
      </c>
      <c r="AQ6" s="111">
        <v>0</v>
      </c>
      <c r="AR6" s="111">
        <v>0</v>
      </c>
    </row>
    <row r="7" spans="1:44" customFormat="1" x14ac:dyDescent="0.15">
      <c r="A7" s="185" t="s">
        <v>197</v>
      </c>
      <c r="B7" s="111">
        <v>0</v>
      </c>
      <c r="C7" s="111">
        <v>0.8</v>
      </c>
      <c r="D7" s="111">
        <v>0.8</v>
      </c>
      <c r="E7" s="111">
        <v>0</v>
      </c>
      <c r="F7" s="111">
        <v>0</v>
      </c>
      <c r="G7" s="111">
        <v>0.8</v>
      </c>
      <c r="H7" s="111">
        <v>0</v>
      </c>
      <c r="I7" s="111">
        <v>0</v>
      </c>
      <c r="J7" s="111">
        <v>0</v>
      </c>
      <c r="K7" s="111">
        <v>0</v>
      </c>
      <c r="L7" s="111">
        <v>0.8</v>
      </c>
      <c r="M7" s="111">
        <v>0</v>
      </c>
      <c r="N7" s="111">
        <v>0.8</v>
      </c>
      <c r="O7" s="111">
        <v>0</v>
      </c>
      <c r="P7" s="111">
        <v>0</v>
      </c>
      <c r="Q7" s="111">
        <v>0</v>
      </c>
      <c r="R7" s="111">
        <v>0</v>
      </c>
      <c r="S7" s="111">
        <v>0</v>
      </c>
      <c r="T7" s="111">
        <v>0</v>
      </c>
      <c r="U7" s="111">
        <v>0</v>
      </c>
      <c r="V7" s="111">
        <v>0</v>
      </c>
      <c r="W7" s="111">
        <v>0</v>
      </c>
      <c r="X7" s="111">
        <v>0.8</v>
      </c>
      <c r="Y7" s="111">
        <v>0</v>
      </c>
      <c r="Z7" s="111">
        <v>0</v>
      </c>
      <c r="AA7" s="111">
        <v>0</v>
      </c>
      <c r="AB7" s="111">
        <v>0</v>
      </c>
      <c r="AC7" s="111">
        <v>0</v>
      </c>
      <c r="AD7" s="111">
        <v>0</v>
      </c>
      <c r="AE7" s="111">
        <v>0</v>
      </c>
      <c r="AF7" s="111">
        <v>0</v>
      </c>
      <c r="AG7" s="111">
        <v>0</v>
      </c>
      <c r="AH7" s="111">
        <v>0</v>
      </c>
      <c r="AI7" s="111">
        <v>0</v>
      </c>
      <c r="AJ7" s="111">
        <v>0</v>
      </c>
      <c r="AK7" s="111">
        <v>0</v>
      </c>
      <c r="AL7" s="111">
        <v>0</v>
      </c>
      <c r="AM7" s="111">
        <v>0</v>
      </c>
      <c r="AN7" s="111">
        <v>0</v>
      </c>
      <c r="AO7" s="111">
        <v>0</v>
      </c>
      <c r="AP7" s="111">
        <v>0</v>
      </c>
      <c r="AQ7" s="111">
        <v>0</v>
      </c>
      <c r="AR7" s="111">
        <v>0</v>
      </c>
    </row>
    <row r="8" spans="1:44" customFormat="1" x14ac:dyDescent="0.15">
      <c r="A8" s="185" t="s">
        <v>198</v>
      </c>
      <c r="B8" s="111">
        <v>0.8</v>
      </c>
      <c r="C8" s="111">
        <v>0.8</v>
      </c>
      <c r="D8" s="111">
        <v>0.8</v>
      </c>
      <c r="E8" s="111">
        <v>0</v>
      </c>
      <c r="F8" s="111">
        <v>0.8</v>
      </c>
      <c r="G8" s="111">
        <v>0.8</v>
      </c>
      <c r="H8" s="111">
        <v>0</v>
      </c>
      <c r="I8" s="111">
        <v>0</v>
      </c>
      <c r="J8" s="111">
        <v>0</v>
      </c>
      <c r="K8" s="111">
        <v>0</v>
      </c>
      <c r="L8" s="111">
        <v>0.8</v>
      </c>
      <c r="M8" s="111">
        <v>0</v>
      </c>
      <c r="N8" s="111">
        <v>0</v>
      </c>
      <c r="O8" s="111">
        <v>0</v>
      </c>
      <c r="P8" s="111">
        <v>0</v>
      </c>
      <c r="Q8" s="111">
        <v>0</v>
      </c>
      <c r="R8" s="111">
        <v>0</v>
      </c>
      <c r="S8" s="111">
        <v>0</v>
      </c>
      <c r="T8" s="111">
        <v>0</v>
      </c>
      <c r="U8" s="111">
        <v>0</v>
      </c>
      <c r="V8" s="111">
        <v>0</v>
      </c>
      <c r="W8" s="111">
        <v>0</v>
      </c>
      <c r="X8" s="111">
        <v>0</v>
      </c>
      <c r="Y8" s="111">
        <v>0</v>
      </c>
      <c r="Z8" s="111">
        <v>0</v>
      </c>
      <c r="AA8" s="111">
        <v>0</v>
      </c>
      <c r="AB8" s="111">
        <v>0</v>
      </c>
      <c r="AC8" s="111">
        <v>0</v>
      </c>
      <c r="AD8" s="111">
        <v>0</v>
      </c>
      <c r="AE8" s="111">
        <v>0</v>
      </c>
      <c r="AF8" s="111">
        <v>0</v>
      </c>
      <c r="AG8" s="111">
        <v>0</v>
      </c>
      <c r="AH8" s="111">
        <v>0</v>
      </c>
      <c r="AI8" s="111">
        <v>0</v>
      </c>
      <c r="AJ8" s="111">
        <v>0</v>
      </c>
      <c r="AK8" s="111">
        <v>0</v>
      </c>
      <c r="AL8" s="111">
        <v>0</v>
      </c>
      <c r="AM8" s="111">
        <v>0</v>
      </c>
      <c r="AN8" s="111">
        <v>0</v>
      </c>
      <c r="AO8" s="111">
        <v>0</v>
      </c>
      <c r="AP8" s="111">
        <v>0</v>
      </c>
      <c r="AQ8" s="111">
        <v>0</v>
      </c>
      <c r="AR8" s="111">
        <v>0</v>
      </c>
    </row>
    <row r="9" spans="1:44" customFormat="1" x14ac:dyDescent="0.15">
      <c r="A9" s="185" t="s">
        <v>199</v>
      </c>
      <c r="B9" s="111">
        <v>0</v>
      </c>
      <c r="C9" s="111">
        <v>0.8</v>
      </c>
      <c r="D9" s="111">
        <v>0.8</v>
      </c>
      <c r="E9" s="111">
        <v>0</v>
      </c>
      <c r="F9" s="111">
        <v>0.8</v>
      </c>
      <c r="G9" s="111">
        <v>0.8</v>
      </c>
      <c r="H9" s="111">
        <v>0</v>
      </c>
      <c r="I9" s="111">
        <v>0</v>
      </c>
      <c r="J9" s="111">
        <v>0</v>
      </c>
      <c r="K9" s="111">
        <v>0</v>
      </c>
      <c r="L9" s="111">
        <v>0.8</v>
      </c>
      <c r="M9" s="111">
        <v>0</v>
      </c>
      <c r="N9" s="111">
        <v>0</v>
      </c>
      <c r="O9" s="111">
        <v>0</v>
      </c>
      <c r="P9" s="111">
        <v>0</v>
      </c>
      <c r="Q9" s="111">
        <v>0</v>
      </c>
      <c r="R9" s="111">
        <v>0</v>
      </c>
      <c r="S9" s="111">
        <v>0</v>
      </c>
      <c r="T9" s="111">
        <v>0</v>
      </c>
      <c r="U9" s="111">
        <v>0</v>
      </c>
      <c r="V9" s="111">
        <v>0</v>
      </c>
      <c r="W9" s="111">
        <v>0</v>
      </c>
      <c r="X9" s="111">
        <v>0</v>
      </c>
      <c r="Y9" s="111">
        <v>0</v>
      </c>
      <c r="Z9" s="111">
        <v>0</v>
      </c>
      <c r="AA9" s="111">
        <v>0</v>
      </c>
      <c r="AB9" s="111">
        <v>0</v>
      </c>
      <c r="AC9" s="111">
        <v>0</v>
      </c>
      <c r="AD9" s="111">
        <v>0</v>
      </c>
      <c r="AE9" s="111">
        <v>0</v>
      </c>
      <c r="AF9" s="111">
        <v>0</v>
      </c>
      <c r="AG9" s="111">
        <v>0</v>
      </c>
      <c r="AH9" s="111">
        <v>0</v>
      </c>
      <c r="AI9" s="111">
        <v>0</v>
      </c>
      <c r="AJ9" s="111">
        <v>0</v>
      </c>
      <c r="AK9" s="111">
        <v>0</v>
      </c>
      <c r="AL9" s="111">
        <v>0</v>
      </c>
      <c r="AM9" s="111">
        <v>0</v>
      </c>
      <c r="AN9" s="111">
        <v>0</v>
      </c>
      <c r="AO9" s="111">
        <v>0</v>
      </c>
      <c r="AP9" s="111">
        <v>0</v>
      </c>
      <c r="AQ9" s="111">
        <v>0</v>
      </c>
      <c r="AR9" s="111">
        <v>0</v>
      </c>
    </row>
    <row r="10" spans="1:44" customFormat="1" x14ac:dyDescent="0.15">
      <c r="A10" s="185" t="s">
        <v>200</v>
      </c>
      <c r="B10" s="111">
        <v>0.8</v>
      </c>
      <c r="C10" s="111">
        <v>0.8</v>
      </c>
      <c r="D10" s="111">
        <v>0.8</v>
      </c>
      <c r="E10" s="111">
        <v>0.8</v>
      </c>
      <c r="F10" s="111">
        <v>0.8</v>
      </c>
      <c r="G10" s="111">
        <v>0.8</v>
      </c>
      <c r="H10" s="111">
        <v>0.8</v>
      </c>
      <c r="I10" s="111">
        <v>0</v>
      </c>
      <c r="J10" s="111">
        <v>0.8</v>
      </c>
      <c r="K10" s="111">
        <v>0</v>
      </c>
      <c r="L10" s="111">
        <v>0.8</v>
      </c>
      <c r="M10" s="111">
        <v>0</v>
      </c>
      <c r="N10" s="111">
        <v>0</v>
      </c>
      <c r="O10" s="111">
        <v>0</v>
      </c>
      <c r="P10" s="111">
        <v>0</v>
      </c>
      <c r="Q10" s="111">
        <v>0</v>
      </c>
      <c r="R10" s="111">
        <v>0</v>
      </c>
      <c r="S10" s="111">
        <v>0</v>
      </c>
      <c r="T10" s="111">
        <v>0</v>
      </c>
      <c r="U10" s="111">
        <v>0</v>
      </c>
      <c r="V10" s="111">
        <v>0</v>
      </c>
      <c r="W10" s="111">
        <v>0</v>
      </c>
      <c r="X10" s="111">
        <v>0</v>
      </c>
      <c r="Y10" s="111">
        <v>0</v>
      </c>
      <c r="Z10" s="111">
        <v>0</v>
      </c>
      <c r="AA10" s="111">
        <v>0</v>
      </c>
      <c r="AB10" s="111">
        <v>0</v>
      </c>
      <c r="AC10" s="111">
        <v>0</v>
      </c>
      <c r="AD10" s="111">
        <v>0</v>
      </c>
      <c r="AE10" s="111">
        <v>0</v>
      </c>
      <c r="AF10" s="111">
        <v>0</v>
      </c>
      <c r="AG10" s="111">
        <v>0</v>
      </c>
      <c r="AH10" s="111">
        <v>0</v>
      </c>
      <c r="AI10" s="111">
        <v>0</v>
      </c>
      <c r="AJ10" s="111">
        <v>0</v>
      </c>
      <c r="AK10" s="111">
        <v>0</v>
      </c>
      <c r="AL10" s="111">
        <v>0</v>
      </c>
      <c r="AM10" s="111">
        <v>0</v>
      </c>
      <c r="AN10" s="111">
        <v>0</v>
      </c>
      <c r="AO10" s="111">
        <v>0</v>
      </c>
      <c r="AP10" s="111">
        <v>0</v>
      </c>
      <c r="AQ10" s="111">
        <v>0</v>
      </c>
      <c r="AR10" s="111">
        <v>0</v>
      </c>
    </row>
    <row r="11" spans="1:44" customFormat="1" x14ac:dyDescent="0.15">
      <c r="A11" s="185" t="s">
        <v>201</v>
      </c>
      <c r="B11" s="111">
        <v>0</v>
      </c>
      <c r="C11" s="111">
        <v>0.8</v>
      </c>
      <c r="D11" s="111">
        <v>0</v>
      </c>
      <c r="E11" s="111">
        <v>0.8</v>
      </c>
      <c r="F11" s="111">
        <v>0</v>
      </c>
      <c r="G11" s="111">
        <v>0.8</v>
      </c>
      <c r="H11" s="111">
        <v>0</v>
      </c>
      <c r="I11" s="111">
        <v>0.8</v>
      </c>
      <c r="J11" s="111">
        <v>0</v>
      </c>
      <c r="K11" s="111">
        <v>0</v>
      </c>
      <c r="L11" s="111">
        <v>0.8</v>
      </c>
      <c r="M11" s="111">
        <v>0.8</v>
      </c>
      <c r="N11" s="111">
        <v>0</v>
      </c>
      <c r="O11" s="111">
        <v>0</v>
      </c>
      <c r="P11" s="111">
        <v>0</v>
      </c>
      <c r="Q11" s="111">
        <v>0</v>
      </c>
      <c r="R11" s="111">
        <v>0</v>
      </c>
      <c r="S11" s="111">
        <v>0.8</v>
      </c>
      <c r="T11" s="111">
        <v>0</v>
      </c>
      <c r="U11" s="111">
        <v>0</v>
      </c>
      <c r="V11" s="111">
        <v>0</v>
      </c>
      <c r="W11" s="111">
        <v>0</v>
      </c>
      <c r="X11" s="111">
        <v>0.8</v>
      </c>
      <c r="Y11" s="111">
        <v>0</v>
      </c>
      <c r="Z11" s="111">
        <v>0</v>
      </c>
      <c r="AA11" s="111">
        <v>0</v>
      </c>
      <c r="AB11" s="111">
        <v>0</v>
      </c>
      <c r="AC11" s="111">
        <v>0</v>
      </c>
      <c r="AD11" s="111">
        <v>0</v>
      </c>
      <c r="AE11" s="111">
        <v>0</v>
      </c>
      <c r="AF11" s="111">
        <v>0</v>
      </c>
      <c r="AG11" s="111">
        <v>0</v>
      </c>
      <c r="AH11" s="111">
        <v>0</v>
      </c>
      <c r="AI11" s="111">
        <v>0</v>
      </c>
      <c r="AJ11" s="111">
        <v>0</v>
      </c>
      <c r="AK11" s="111">
        <v>0</v>
      </c>
      <c r="AL11" s="111">
        <v>0</v>
      </c>
      <c r="AM11" s="111">
        <v>0</v>
      </c>
      <c r="AN11" s="111">
        <v>0</v>
      </c>
      <c r="AO11" s="111">
        <v>0</v>
      </c>
      <c r="AP11" s="111">
        <v>0</v>
      </c>
      <c r="AQ11" s="111">
        <v>0</v>
      </c>
      <c r="AR11" s="111">
        <v>0</v>
      </c>
    </row>
    <row r="12" spans="1:44" customFormat="1" x14ac:dyDescent="0.15">
      <c r="A12" s="185" t="s">
        <v>202</v>
      </c>
      <c r="B12" s="111">
        <v>0</v>
      </c>
      <c r="C12" s="111">
        <v>0.8</v>
      </c>
      <c r="D12" s="111">
        <v>0.8</v>
      </c>
      <c r="E12" s="111">
        <v>0.8</v>
      </c>
      <c r="F12" s="111">
        <v>0</v>
      </c>
      <c r="G12" s="111">
        <v>0.8</v>
      </c>
      <c r="H12" s="111">
        <v>0.8</v>
      </c>
      <c r="I12" s="111">
        <v>0.8</v>
      </c>
      <c r="J12" s="111">
        <v>0</v>
      </c>
      <c r="K12" s="111">
        <v>0</v>
      </c>
      <c r="L12" s="111">
        <v>0.8</v>
      </c>
      <c r="M12" s="111">
        <v>0</v>
      </c>
      <c r="N12" s="111">
        <v>0.8</v>
      </c>
      <c r="O12" s="111">
        <v>0.8</v>
      </c>
      <c r="P12" s="111">
        <v>0</v>
      </c>
      <c r="Q12" s="111">
        <v>0</v>
      </c>
      <c r="R12" s="111">
        <v>0</v>
      </c>
      <c r="S12" s="111">
        <v>0</v>
      </c>
      <c r="T12" s="111">
        <v>0</v>
      </c>
      <c r="U12" s="111">
        <v>0</v>
      </c>
      <c r="V12" s="111">
        <v>0</v>
      </c>
      <c r="W12" s="111">
        <v>0</v>
      </c>
      <c r="X12" s="111">
        <v>0.8</v>
      </c>
      <c r="Y12" s="111">
        <v>0</v>
      </c>
      <c r="Z12" s="111">
        <v>0</v>
      </c>
      <c r="AA12" s="111">
        <v>0</v>
      </c>
      <c r="AB12" s="111">
        <v>0</v>
      </c>
      <c r="AC12" s="111">
        <v>0</v>
      </c>
      <c r="AD12" s="111">
        <v>0</v>
      </c>
      <c r="AE12" s="111">
        <v>0</v>
      </c>
      <c r="AF12" s="111">
        <v>0</v>
      </c>
      <c r="AG12" s="111">
        <v>0</v>
      </c>
      <c r="AH12" s="111">
        <v>0</v>
      </c>
      <c r="AI12" s="111">
        <v>0</v>
      </c>
      <c r="AJ12" s="111">
        <v>0</v>
      </c>
      <c r="AK12" s="111">
        <v>0</v>
      </c>
      <c r="AL12" s="111">
        <v>0</v>
      </c>
      <c r="AM12" s="111">
        <v>0</v>
      </c>
      <c r="AN12" s="111">
        <v>0</v>
      </c>
      <c r="AO12" s="111">
        <v>0</v>
      </c>
      <c r="AP12" s="111">
        <v>0</v>
      </c>
      <c r="AQ12" s="111">
        <v>0</v>
      </c>
      <c r="AR12" s="111">
        <v>0</v>
      </c>
    </row>
    <row r="13" spans="1:44" customFormat="1" x14ac:dyDescent="0.15">
      <c r="A13" s="185" t="s">
        <v>203</v>
      </c>
      <c r="B13" s="111">
        <v>0</v>
      </c>
      <c r="C13" s="111">
        <v>0</v>
      </c>
      <c r="D13" s="111">
        <v>0</v>
      </c>
      <c r="E13" s="111">
        <v>0</v>
      </c>
      <c r="F13" s="111">
        <v>0</v>
      </c>
      <c r="G13" s="111">
        <v>0</v>
      </c>
      <c r="H13" s="111">
        <v>0</v>
      </c>
      <c r="I13" s="111">
        <v>0</v>
      </c>
      <c r="J13" s="111">
        <v>0</v>
      </c>
      <c r="K13" s="111">
        <v>0</v>
      </c>
      <c r="L13" s="111">
        <v>0</v>
      </c>
      <c r="M13" s="111">
        <v>0.8</v>
      </c>
      <c r="N13" s="111">
        <v>0</v>
      </c>
      <c r="O13" s="111">
        <v>0</v>
      </c>
      <c r="P13" s="111">
        <v>0</v>
      </c>
      <c r="Q13" s="111">
        <v>0</v>
      </c>
      <c r="R13" s="111">
        <v>0</v>
      </c>
      <c r="S13" s="111">
        <v>0</v>
      </c>
      <c r="T13" s="111">
        <v>0</v>
      </c>
      <c r="U13" s="111">
        <v>0</v>
      </c>
      <c r="V13" s="111">
        <v>0</v>
      </c>
      <c r="W13" s="111">
        <v>0</v>
      </c>
      <c r="X13" s="111">
        <v>0</v>
      </c>
      <c r="Y13" s="111">
        <v>0</v>
      </c>
      <c r="Z13" s="111">
        <v>0</v>
      </c>
      <c r="AA13" s="111">
        <v>0</v>
      </c>
      <c r="AB13" s="111">
        <v>0</v>
      </c>
      <c r="AC13" s="111">
        <v>0</v>
      </c>
      <c r="AD13" s="111">
        <v>0</v>
      </c>
      <c r="AE13" s="111">
        <v>0</v>
      </c>
      <c r="AF13" s="111">
        <v>0</v>
      </c>
      <c r="AG13" s="111">
        <v>0</v>
      </c>
      <c r="AH13" s="111">
        <v>0</v>
      </c>
      <c r="AI13" s="111">
        <v>0</v>
      </c>
      <c r="AJ13" s="111">
        <v>0</v>
      </c>
      <c r="AK13" s="111">
        <v>0</v>
      </c>
      <c r="AL13" s="111">
        <v>0</v>
      </c>
      <c r="AM13" s="111">
        <v>0</v>
      </c>
      <c r="AN13" s="111">
        <v>0</v>
      </c>
      <c r="AO13" s="111">
        <v>0</v>
      </c>
      <c r="AP13" s="111">
        <v>0</v>
      </c>
      <c r="AQ13" s="111">
        <v>0</v>
      </c>
      <c r="AR13" s="111">
        <v>0</v>
      </c>
    </row>
    <row r="14" spans="1:44" customFormat="1" x14ac:dyDescent="0.15">
      <c r="A14" s="185" t="s">
        <v>204</v>
      </c>
      <c r="B14" s="111">
        <v>0</v>
      </c>
      <c r="C14" s="111">
        <v>0.8</v>
      </c>
      <c r="D14" s="111">
        <v>0.8</v>
      </c>
      <c r="E14" s="111">
        <v>0</v>
      </c>
      <c r="F14" s="111">
        <v>0.8</v>
      </c>
      <c r="G14" s="111">
        <v>0.8</v>
      </c>
      <c r="H14" s="111">
        <v>0</v>
      </c>
      <c r="I14" s="111">
        <v>0.8</v>
      </c>
      <c r="J14" s="111">
        <v>0</v>
      </c>
      <c r="K14" s="111">
        <v>0</v>
      </c>
      <c r="L14" s="111">
        <v>0</v>
      </c>
      <c r="M14" s="111">
        <v>0</v>
      </c>
      <c r="N14" s="111">
        <v>0.8</v>
      </c>
      <c r="O14" s="111">
        <v>0.8</v>
      </c>
      <c r="P14" s="111">
        <v>0.8</v>
      </c>
      <c r="Q14" s="111">
        <v>0</v>
      </c>
      <c r="R14" s="111">
        <v>0.8</v>
      </c>
      <c r="S14" s="111">
        <v>0</v>
      </c>
      <c r="T14" s="111">
        <v>0</v>
      </c>
      <c r="U14" s="111">
        <v>0</v>
      </c>
      <c r="V14" s="111">
        <v>0</v>
      </c>
      <c r="W14" s="111">
        <v>0</v>
      </c>
      <c r="X14" s="111">
        <v>0</v>
      </c>
      <c r="Y14" s="111">
        <v>0</v>
      </c>
      <c r="Z14" s="111">
        <v>0</v>
      </c>
      <c r="AA14" s="111">
        <v>0</v>
      </c>
      <c r="AB14" s="111">
        <v>0</v>
      </c>
      <c r="AC14" s="111">
        <v>0</v>
      </c>
      <c r="AD14" s="111">
        <v>0</v>
      </c>
      <c r="AE14" s="111">
        <v>0</v>
      </c>
      <c r="AF14" s="111">
        <v>0</v>
      </c>
      <c r="AG14" s="111">
        <v>0</v>
      </c>
      <c r="AH14" s="111">
        <v>0</v>
      </c>
      <c r="AI14" s="111">
        <v>0</v>
      </c>
      <c r="AJ14" s="111">
        <v>0</v>
      </c>
      <c r="AK14" s="111">
        <v>0</v>
      </c>
      <c r="AL14" s="111">
        <v>0</v>
      </c>
      <c r="AM14" s="111">
        <v>0</v>
      </c>
      <c r="AN14" s="111">
        <v>0</v>
      </c>
      <c r="AO14" s="111">
        <v>0</v>
      </c>
      <c r="AP14" s="111">
        <v>0</v>
      </c>
      <c r="AQ14" s="111">
        <v>0</v>
      </c>
      <c r="AR14" s="111">
        <v>0</v>
      </c>
    </row>
    <row r="15" spans="1:44" customFormat="1" x14ac:dyDescent="0.15">
      <c r="A15" s="185" t="s">
        <v>205</v>
      </c>
      <c r="B15" s="111">
        <v>0.8</v>
      </c>
      <c r="C15" s="111">
        <v>0</v>
      </c>
      <c r="D15" s="111">
        <v>0.8</v>
      </c>
      <c r="E15" s="111">
        <v>0.8</v>
      </c>
      <c r="F15" s="111">
        <v>0.8</v>
      </c>
      <c r="G15" s="111">
        <v>0</v>
      </c>
      <c r="H15" s="111">
        <v>0</v>
      </c>
      <c r="I15" s="111">
        <v>0</v>
      </c>
      <c r="J15" s="111">
        <v>0</v>
      </c>
      <c r="K15" s="111">
        <v>0</v>
      </c>
      <c r="L15" s="111">
        <v>0.8</v>
      </c>
      <c r="M15" s="111">
        <v>0.8</v>
      </c>
      <c r="N15" s="111">
        <v>0.8</v>
      </c>
      <c r="O15" s="111">
        <v>0</v>
      </c>
      <c r="P15" s="111">
        <v>0</v>
      </c>
      <c r="Q15" s="111">
        <v>0</v>
      </c>
      <c r="R15" s="111">
        <v>0</v>
      </c>
      <c r="S15" s="111">
        <v>0</v>
      </c>
      <c r="T15" s="111">
        <v>0</v>
      </c>
      <c r="U15" s="111">
        <v>0</v>
      </c>
      <c r="V15" s="111">
        <v>0</v>
      </c>
      <c r="W15" s="111">
        <v>0</v>
      </c>
      <c r="X15" s="111">
        <v>0.8</v>
      </c>
      <c r="Y15" s="111">
        <v>0</v>
      </c>
      <c r="Z15" s="111">
        <v>0</v>
      </c>
      <c r="AA15" s="111">
        <v>0</v>
      </c>
      <c r="AB15" s="111">
        <v>0</v>
      </c>
      <c r="AC15" s="111">
        <v>0</v>
      </c>
      <c r="AD15" s="111">
        <v>0</v>
      </c>
      <c r="AE15" s="111">
        <v>0</v>
      </c>
      <c r="AF15" s="111">
        <v>0</v>
      </c>
      <c r="AG15" s="111">
        <v>0</v>
      </c>
      <c r="AH15" s="111">
        <v>0</v>
      </c>
      <c r="AI15" s="111">
        <v>0</v>
      </c>
      <c r="AJ15" s="111">
        <v>0</v>
      </c>
      <c r="AK15" s="111">
        <v>0</v>
      </c>
      <c r="AL15" s="111">
        <v>0</v>
      </c>
      <c r="AM15" s="111">
        <v>0</v>
      </c>
      <c r="AN15" s="111">
        <v>0</v>
      </c>
      <c r="AO15" s="111">
        <v>0</v>
      </c>
      <c r="AP15" s="111">
        <v>0</v>
      </c>
      <c r="AQ15" s="111">
        <v>0</v>
      </c>
      <c r="AR15" s="111">
        <v>0</v>
      </c>
    </row>
    <row r="16" spans="1:44" customFormat="1" x14ac:dyDescent="0.15">
      <c r="A16" s="185" t="s">
        <v>206</v>
      </c>
      <c r="B16" s="111">
        <v>0</v>
      </c>
      <c r="C16" s="111">
        <v>0.8</v>
      </c>
      <c r="D16" s="111">
        <v>0.8</v>
      </c>
      <c r="E16" s="111">
        <v>0.8</v>
      </c>
      <c r="F16" s="111">
        <v>0.8</v>
      </c>
      <c r="G16" s="111">
        <v>0.8</v>
      </c>
      <c r="H16" s="111">
        <v>0</v>
      </c>
      <c r="I16" s="111">
        <v>0.8</v>
      </c>
      <c r="J16" s="111">
        <v>0</v>
      </c>
      <c r="K16" s="111">
        <v>0.8</v>
      </c>
      <c r="L16" s="111">
        <v>0.8</v>
      </c>
      <c r="M16" s="111">
        <v>0.8</v>
      </c>
      <c r="N16" s="111">
        <v>0.8</v>
      </c>
      <c r="O16" s="111">
        <v>0.8</v>
      </c>
      <c r="P16" s="111">
        <v>0.8</v>
      </c>
      <c r="Q16" s="111">
        <v>0</v>
      </c>
      <c r="R16" s="111">
        <v>0.8</v>
      </c>
      <c r="S16" s="111">
        <v>0.8</v>
      </c>
      <c r="T16" s="111">
        <v>0.8</v>
      </c>
      <c r="U16" s="111">
        <v>0</v>
      </c>
      <c r="V16" s="111">
        <v>0</v>
      </c>
      <c r="W16" s="111">
        <v>0</v>
      </c>
      <c r="X16" s="111">
        <v>0.8</v>
      </c>
      <c r="Y16" s="111">
        <v>0</v>
      </c>
      <c r="Z16" s="111">
        <v>0</v>
      </c>
      <c r="AA16" s="111">
        <v>0</v>
      </c>
      <c r="AB16" s="111">
        <v>0</v>
      </c>
      <c r="AC16" s="111">
        <v>0</v>
      </c>
      <c r="AD16" s="111">
        <v>0</v>
      </c>
      <c r="AE16" s="111">
        <v>0</v>
      </c>
      <c r="AF16" s="111">
        <v>0</v>
      </c>
      <c r="AG16" s="111">
        <v>0</v>
      </c>
      <c r="AH16" s="111">
        <v>0</v>
      </c>
      <c r="AI16" s="111">
        <v>0</v>
      </c>
      <c r="AJ16" s="111">
        <v>0</v>
      </c>
      <c r="AK16" s="111">
        <v>0</v>
      </c>
      <c r="AL16" s="111">
        <v>0</v>
      </c>
      <c r="AM16" s="111">
        <v>0</v>
      </c>
      <c r="AN16" s="111">
        <v>0</v>
      </c>
      <c r="AO16" s="111">
        <v>0</v>
      </c>
      <c r="AP16" s="111">
        <v>0</v>
      </c>
      <c r="AQ16" s="111">
        <v>0</v>
      </c>
      <c r="AR16" s="111">
        <v>0</v>
      </c>
    </row>
    <row r="17" spans="1:44" customFormat="1" x14ac:dyDescent="0.15">
      <c r="A17" s="185" t="s">
        <v>207</v>
      </c>
      <c r="B17" s="111">
        <v>0.8</v>
      </c>
      <c r="C17" s="111">
        <v>0.8</v>
      </c>
      <c r="D17" s="111">
        <v>0.8</v>
      </c>
      <c r="E17" s="111">
        <v>0.8</v>
      </c>
      <c r="F17" s="111">
        <v>0.8</v>
      </c>
      <c r="G17" s="111">
        <v>0.8</v>
      </c>
      <c r="H17" s="111">
        <v>0.8</v>
      </c>
      <c r="I17" s="111">
        <v>0.8</v>
      </c>
      <c r="J17" s="111">
        <v>0.8</v>
      </c>
      <c r="K17" s="111">
        <v>0</v>
      </c>
      <c r="L17" s="111">
        <v>0.8</v>
      </c>
      <c r="M17" s="111">
        <v>0</v>
      </c>
      <c r="N17" s="111">
        <v>0.8</v>
      </c>
      <c r="O17" s="111">
        <v>0.8</v>
      </c>
      <c r="P17" s="111">
        <v>0</v>
      </c>
      <c r="Q17" s="111">
        <v>0.8</v>
      </c>
      <c r="R17" s="111">
        <v>0.8</v>
      </c>
      <c r="S17" s="111">
        <v>0.8</v>
      </c>
      <c r="T17" s="111">
        <v>0</v>
      </c>
      <c r="U17" s="111">
        <v>0.8</v>
      </c>
      <c r="V17" s="111">
        <v>0</v>
      </c>
      <c r="W17" s="111">
        <v>0</v>
      </c>
      <c r="X17" s="111">
        <v>0.8</v>
      </c>
      <c r="Y17" s="111">
        <v>0.8</v>
      </c>
      <c r="Z17" s="111">
        <v>0.8</v>
      </c>
      <c r="AA17" s="111">
        <v>0.8</v>
      </c>
      <c r="AB17" s="111">
        <v>0</v>
      </c>
      <c r="AC17" s="111">
        <v>0</v>
      </c>
      <c r="AD17" s="111">
        <v>0</v>
      </c>
      <c r="AE17" s="111">
        <v>0.8</v>
      </c>
      <c r="AF17" s="111">
        <v>0</v>
      </c>
      <c r="AG17" s="111">
        <v>0</v>
      </c>
      <c r="AH17" s="111">
        <v>0</v>
      </c>
      <c r="AI17" s="111">
        <v>0</v>
      </c>
      <c r="AJ17" s="111">
        <v>0</v>
      </c>
      <c r="AK17" s="111">
        <v>0</v>
      </c>
      <c r="AL17" s="111">
        <v>0</v>
      </c>
      <c r="AM17" s="111">
        <v>0</v>
      </c>
      <c r="AN17" s="111">
        <v>0</v>
      </c>
      <c r="AO17" s="111">
        <v>0</v>
      </c>
      <c r="AP17" s="111">
        <v>0</v>
      </c>
      <c r="AQ17" s="111">
        <v>0</v>
      </c>
      <c r="AR17" s="111">
        <v>0</v>
      </c>
    </row>
    <row r="18" spans="1:44" customFormat="1" x14ac:dyDescent="0.15">
      <c r="A18" s="185" t="s">
        <v>208</v>
      </c>
      <c r="B18" s="111">
        <v>0</v>
      </c>
      <c r="C18" s="111">
        <v>0.8</v>
      </c>
      <c r="D18" s="111">
        <v>0.8</v>
      </c>
      <c r="E18" s="111">
        <v>0</v>
      </c>
      <c r="F18" s="111">
        <v>0</v>
      </c>
      <c r="G18" s="111">
        <v>0</v>
      </c>
      <c r="H18" s="111">
        <v>0</v>
      </c>
      <c r="I18" s="111">
        <v>0</v>
      </c>
      <c r="J18" s="111">
        <v>0</v>
      </c>
      <c r="K18" s="111">
        <v>0.8</v>
      </c>
      <c r="L18" s="111">
        <v>0</v>
      </c>
      <c r="M18" s="111">
        <v>0.8</v>
      </c>
      <c r="N18" s="111">
        <v>0</v>
      </c>
      <c r="O18" s="111">
        <v>0</v>
      </c>
      <c r="P18" s="111">
        <v>0</v>
      </c>
      <c r="Q18" s="111">
        <v>0</v>
      </c>
      <c r="R18" s="111">
        <v>0</v>
      </c>
      <c r="S18" s="111">
        <v>0</v>
      </c>
      <c r="T18" s="111">
        <v>0</v>
      </c>
      <c r="U18" s="111">
        <v>0</v>
      </c>
      <c r="V18" s="111">
        <v>0</v>
      </c>
      <c r="W18" s="111">
        <v>0</v>
      </c>
      <c r="X18" s="111">
        <v>0.8</v>
      </c>
      <c r="Y18" s="111">
        <v>0</v>
      </c>
      <c r="Z18" s="111">
        <v>0</v>
      </c>
      <c r="AA18" s="111">
        <v>0</v>
      </c>
      <c r="AB18" s="111">
        <v>0</v>
      </c>
      <c r="AC18" s="111">
        <v>0</v>
      </c>
      <c r="AD18" s="111">
        <v>0</v>
      </c>
      <c r="AE18" s="111">
        <v>0</v>
      </c>
      <c r="AF18" s="111">
        <v>0</v>
      </c>
      <c r="AG18" s="111">
        <v>0</v>
      </c>
      <c r="AH18" s="111">
        <v>0</v>
      </c>
      <c r="AI18" s="111">
        <v>0</v>
      </c>
      <c r="AJ18" s="111">
        <v>0</v>
      </c>
      <c r="AK18" s="111">
        <v>0</v>
      </c>
      <c r="AL18" s="111">
        <v>0</v>
      </c>
      <c r="AM18" s="111">
        <v>0</v>
      </c>
      <c r="AN18" s="111">
        <v>0</v>
      </c>
      <c r="AO18" s="111">
        <v>0</v>
      </c>
      <c r="AP18" s="111">
        <v>0</v>
      </c>
      <c r="AQ18" s="111">
        <v>0</v>
      </c>
      <c r="AR18" s="111">
        <v>0</v>
      </c>
    </row>
    <row r="19" spans="1:44" customFormat="1" x14ac:dyDescent="0.15">
      <c r="A19" s="185" t="s">
        <v>209</v>
      </c>
      <c r="B19" s="111">
        <v>0</v>
      </c>
      <c r="C19" s="111">
        <v>0.8</v>
      </c>
      <c r="D19" s="111">
        <v>0.8</v>
      </c>
      <c r="E19" s="111">
        <v>0.8</v>
      </c>
      <c r="F19" s="111">
        <v>0</v>
      </c>
      <c r="G19" s="111">
        <v>0.8</v>
      </c>
      <c r="H19" s="111">
        <v>0</v>
      </c>
      <c r="I19" s="111">
        <v>0</v>
      </c>
      <c r="J19" s="111">
        <v>0</v>
      </c>
      <c r="K19" s="111">
        <v>0.8</v>
      </c>
      <c r="L19" s="111">
        <v>0</v>
      </c>
      <c r="M19" s="111">
        <v>0</v>
      </c>
      <c r="N19" s="111">
        <v>0</v>
      </c>
      <c r="O19" s="111">
        <v>0</v>
      </c>
      <c r="P19" s="111">
        <v>0</v>
      </c>
      <c r="Q19" s="111">
        <v>0</v>
      </c>
      <c r="R19" s="111">
        <v>0</v>
      </c>
      <c r="S19" s="111">
        <v>0</v>
      </c>
      <c r="T19" s="111">
        <v>0.8</v>
      </c>
      <c r="U19" s="111">
        <v>0</v>
      </c>
      <c r="V19" s="111">
        <v>0</v>
      </c>
      <c r="W19" s="111">
        <v>0</v>
      </c>
      <c r="X19" s="111">
        <v>0</v>
      </c>
      <c r="Y19" s="111">
        <v>0</v>
      </c>
      <c r="Z19" s="111">
        <v>0</v>
      </c>
      <c r="AA19" s="111">
        <v>0</v>
      </c>
      <c r="AB19" s="111">
        <v>0</v>
      </c>
      <c r="AC19" s="111">
        <v>0</v>
      </c>
      <c r="AD19" s="111">
        <v>0</v>
      </c>
      <c r="AE19" s="111">
        <v>0</v>
      </c>
      <c r="AF19" s="111">
        <v>0</v>
      </c>
      <c r="AG19" s="111">
        <v>0</v>
      </c>
      <c r="AH19" s="111">
        <v>0</v>
      </c>
      <c r="AI19" s="111">
        <v>0</v>
      </c>
      <c r="AJ19" s="111">
        <v>0</v>
      </c>
      <c r="AK19" s="111">
        <v>0</v>
      </c>
      <c r="AL19" s="111">
        <v>0</v>
      </c>
      <c r="AM19" s="111">
        <v>0</v>
      </c>
      <c r="AN19" s="111">
        <v>0</v>
      </c>
      <c r="AO19" s="111">
        <v>0</v>
      </c>
      <c r="AP19" s="111">
        <v>0</v>
      </c>
      <c r="AQ19" s="111">
        <v>0</v>
      </c>
      <c r="AR19" s="111">
        <v>0</v>
      </c>
    </row>
    <row r="20" spans="1:44" customFormat="1" x14ac:dyDescent="0.15">
      <c r="A20" s="185" t="s">
        <v>210</v>
      </c>
      <c r="B20" s="111">
        <v>0.8</v>
      </c>
      <c r="C20" s="111">
        <v>0.8</v>
      </c>
      <c r="D20" s="111">
        <v>0.8</v>
      </c>
      <c r="E20" s="111">
        <v>0.8</v>
      </c>
      <c r="F20" s="111">
        <v>0</v>
      </c>
      <c r="G20" s="111">
        <v>0.8</v>
      </c>
      <c r="H20" s="111">
        <v>0</v>
      </c>
      <c r="I20" s="111">
        <v>0.8</v>
      </c>
      <c r="J20" s="111">
        <v>0</v>
      </c>
      <c r="K20" s="111">
        <v>0.8</v>
      </c>
      <c r="L20" s="111">
        <v>0.8</v>
      </c>
      <c r="M20" s="111">
        <v>0</v>
      </c>
      <c r="N20" s="111">
        <v>0</v>
      </c>
      <c r="O20" s="111">
        <v>0</v>
      </c>
      <c r="P20" s="111">
        <v>0.8</v>
      </c>
      <c r="Q20" s="111">
        <v>0</v>
      </c>
      <c r="R20" s="111">
        <v>0</v>
      </c>
      <c r="S20" s="111">
        <v>0.8</v>
      </c>
      <c r="T20" s="111">
        <v>0</v>
      </c>
      <c r="U20" s="111">
        <v>0</v>
      </c>
      <c r="V20" s="111">
        <v>0</v>
      </c>
      <c r="W20" s="111">
        <v>0</v>
      </c>
      <c r="X20" s="111">
        <v>0.8</v>
      </c>
      <c r="Y20" s="111">
        <v>0</v>
      </c>
      <c r="Z20" s="111">
        <v>0</v>
      </c>
      <c r="AA20" s="111">
        <v>0</v>
      </c>
      <c r="AB20" s="111">
        <v>0</v>
      </c>
      <c r="AC20" s="111">
        <v>0</v>
      </c>
      <c r="AD20" s="111">
        <v>0</v>
      </c>
      <c r="AE20" s="111">
        <v>0</v>
      </c>
      <c r="AF20" s="111">
        <v>0</v>
      </c>
      <c r="AG20" s="111">
        <v>0</v>
      </c>
      <c r="AH20" s="111">
        <v>0</v>
      </c>
      <c r="AI20" s="111">
        <v>0</v>
      </c>
      <c r="AJ20" s="111">
        <v>0</v>
      </c>
      <c r="AK20" s="111">
        <v>0</v>
      </c>
      <c r="AL20" s="111">
        <v>0</v>
      </c>
      <c r="AM20" s="111">
        <v>0</v>
      </c>
      <c r="AN20" s="111">
        <v>0</v>
      </c>
      <c r="AO20" s="111">
        <v>0</v>
      </c>
      <c r="AP20" s="111">
        <v>0</v>
      </c>
      <c r="AQ20" s="111">
        <v>0</v>
      </c>
      <c r="AR20" s="111">
        <v>0</v>
      </c>
    </row>
    <row r="21" spans="1:44" customFormat="1" x14ac:dyDescent="0.15">
      <c r="A21" s="185" t="s">
        <v>211</v>
      </c>
      <c r="B21" s="111">
        <v>0</v>
      </c>
      <c r="C21" s="111">
        <v>0</v>
      </c>
      <c r="D21" s="111">
        <v>0</v>
      </c>
      <c r="E21" s="111">
        <v>0</v>
      </c>
      <c r="F21" s="111">
        <v>0</v>
      </c>
      <c r="G21" s="111">
        <v>0</v>
      </c>
      <c r="H21" s="111">
        <v>0</v>
      </c>
      <c r="I21" s="111">
        <v>0</v>
      </c>
      <c r="J21" s="111">
        <v>0</v>
      </c>
      <c r="K21" s="111">
        <v>0</v>
      </c>
      <c r="L21" s="111">
        <v>0</v>
      </c>
      <c r="M21" s="111">
        <v>0</v>
      </c>
      <c r="N21" s="111">
        <v>0</v>
      </c>
      <c r="O21" s="111">
        <v>0</v>
      </c>
      <c r="P21" s="111">
        <v>0</v>
      </c>
      <c r="Q21" s="111">
        <v>0</v>
      </c>
      <c r="R21" s="111">
        <v>0</v>
      </c>
      <c r="S21" s="111">
        <v>0</v>
      </c>
      <c r="T21" s="111">
        <v>0</v>
      </c>
      <c r="U21" s="111">
        <v>0</v>
      </c>
      <c r="V21" s="111">
        <v>0</v>
      </c>
      <c r="W21" s="111">
        <v>0</v>
      </c>
      <c r="X21" s="111">
        <v>0</v>
      </c>
      <c r="Y21" s="111">
        <v>0</v>
      </c>
      <c r="Z21" s="111">
        <v>0</v>
      </c>
      <c r="AA21" s="111">
        <v>0</v>
      </c>
      <c r="AB21" s="111">
        <v>0</v>
      </c>
      <c r="AC21" s="111">
        <v>0</v>
      </c>
      <c r="AD21" s="111">
        <v>0</v>
      </c>
      <c r="AE21" s="111">
        <v>0</v>
      </c>
      <c r="AF21" s="111">
        <v>0</v>
      </c>
      <c r="AG21" s="111">
        <v>0</v>
      </c>
      <c r="AH21" s="111">
        <v>0</v>
      </c>
      <c r="AI21" s="111">
        <v>0</v>
      </c>
      <c r="AJ21" s="111">
        <v>0</v>
      </c>
      <c r="AK21" s="111">
        <v>0</v>
      </c>
      <c r="AL21" s="111">
        <v>0</v>
      </c>
      <c r="AM21" s="111">
        <v>0</v>
      </c>
      <c r="AN21" s="111">
        <v>0</v>
      </c>
      <c r="AO21" s="111">
        <v>0</v>
      </c>
      <c r="AP21" s="111">
        <v>0</v>
      </c>
      <c r="AQ21" s="111">
        <v>0</v>
      </c>
      <c r="AR21" s="111">
        <v>0</v>
      </c>
    </row>
    <row r="22" spans="1:44" customFormat="1" x14ac:dyDescent="0.15">
      <c r="A22" s="185" t="s">
        <v>212</v>
      </c>
      <c r="B22" s="111">
        <v>0</v>
      </c>
      <c r="C22" s="111">
        <v>0</v>
      </c>
      <c r="D22" s="111">
        <v>0</v>
      </c>
      <c r="E22" s="111">
        <v>0.8</v>
      </c>
      <c r="F22" s="111">
        <v>0.8</v>
      </c>
      <c r="G22" s="111">
        <v>0.8</v>
      </c>
      <c r="H22" s="111">
        <v>0</v>
      </c>
      <c r="I22" s="111">
        <v>0.8</v>
      </c>
      <c r="J22" s="111">
        <v>0</v>
      </c>
      <c r="K22" s="111">
        <v>0</v>
      </c>
      <c r="L22" s="111">
        <v>0</v>
      </c>
      <c r="M22" s="111">
        <v>0</v>
      </c>
      <c r="N22" s="111">
        <v>0</v>
      </c>
      <c r="O22" s="111">
        <v>0</v>
      </c>
      <c r="P22" s="111">
        <v>0</v>
      </c>
      <c r="Q22" s="111">
        <v>0</v>
      </c>
      <c r="R22" s="111">
        <v>0</v>
      </c>
      <c r="S22" s="111">
        <v>0</v>
      </c>
      <c r="T22" s="111">
        <v>0</v>
      </c>
      <c r="U22" s="111">
        <v>0</v>
      </c>
      <c r="V22" s="111">
        <v>0</v>
      </c>
      <c r="W22" s="111">
        <v>0</v>
      </c>
      <c r="X22" s="111">
        <v>0</v>
      </c>
      <c r="Y22" s="111">
        <v>0</v>
      </c>
      <c r="Z22" s="111">
        <v>0</v>
      </c>
      <c r="AA22" s="111">
        <v>0</v>
      </c>
      <c r="AB22" s="111">
        <v>0</v>
      </c>
      <c r="AC22" s="111">
        <v>0</v>
      </c>
      <c r="AD22" s="111">
        <v>0</v>
      </c>
      <c r="AE22" s="111">
        <v>0</v>
      </c>
      <c r="AF22" s="111">
        <v>0</v>
      </c>
      <c r="AG22" s="111">
        <v>0</v>
      </c>
      <c r="AH22" s="111">
        <v>0</v>
      </c>
      <c r="AI22" s="111">
        <v>0</v>
      </c>
      <c r="AJ22" s="111">
        <v>0</v>
      </c>
      <c r="AK22" s="111">
        <v>0</v>
      </c>
      <c r="AL22" s="111">
        <v>0</v>
      </c>
      <c r="AM22" s="111">
        <v>0</v>
      </c>
      <c r="AN22" s="111">
        <v>0</v>
      </c>
      <c r="AO22" s="111">
        <v>0</v>
      </c>
      <c r="AP22" s="111">
        <v>0</v>
      </c>
      <c r="AQ22" s="111">
        <v>0</v>
      </c>
      <c r="AR22" s="111">
        <v>0</v>
      </c>
    </row>
    <row r="23" spans="1:44" customFormat="1" x14ac:dyDescent="0.15">
      <c r="A23" s="185" t="s">
        <v>213</v>
      </c>
      <c r="B23" s="111">
        <v>0</v>
      </c>
      <c r="C23" s="111">
        <v>0</v>
      </c>
      <c r="D23" s="111">
        <v>0</v>
      </c>
      <c r="E23" s="111">
        <v>0</v>
      </c>
      <c r="F23" s="111">
        <v>0</v>
      </c>
      <c r="G23" s="111">
        <v>0.8</v>
      </c>
      <c r="H23" s="111">
        <v>0</v>
      </c>
      <c r="I23" s="111">
        <v>0</v>
      </c>
      <c r="J23" s="111">
        <v>0</v>
      </c>
      <c r="K23" s="111">
        <v>0</v>
      </c>
      <c r="L23" s="111">
        <v>0</v>
      </c>
      <c r="M23" s="111">
        <v>0</v>
      </c>
      <c r="N23" s="111">
        <v>0</v>
      </c>
      <c r="O23" s="111">
        <v>0</v>
      </c>
      <c r="P23" s="111">
        <v>0</v>
      </c>
      <c r="Q23" s="111">
        <v>0</v>
      </c>
      <c r="R23" s="111">
        <v>0</v>
      </c>
      <c r="S23" s="111">
        <v>0</v>
      </c>
      <c r="T23" s="111">
        <v>0</v>
      </c>
      <c r="U23" s="111">
        <v>0</v>
      </c>
      <c r="V23" s="111">
        <v>0</v>
      </c>
      <c r="W23" s="111">
        <v>0</v>
      </c>
      <c r="X23" s="111">
        <v>0</v>
      </c>
      <c r="Y23" s="111">
        <v>0</v>
      </c>
      <c r="Z23" s="111">
        <v>0</v>
      </c>
      <c r="AA23" s="111">
        <v>0</v>
      </c>
      <c r="AB23" s="111">
        <v>0</v>
      </c>
      <c r="AC23" s="111">
        <v>0</v>
      </c>
      <c r="AD23" s="111">
        <v>0</v>
      </c>
      <c r="AE23" s="111">
        <v>0</v>
      </c>
      <c r="AF23" s="111">
        <v>0</v>
      </c>
      <c r="AG23" s="111">
        <v>0</v>
      </c>
      <c r="AH23" s="111">
        <v>0</v>
      </c>
      <c r="AI23" s="111">
        <v>0</v>
      </c>
      <c r="AJ23" s="111">
        <v>0</v>
      </c>
      <c r="AK23" s="111">
        <v>0</v>
      </c>
      <c r="AL23" s="111">
        <v>0</v>
      </c>
      <c r="AM23" s="111">
        <v>0</v>
      </c>
      <c r="AN23" s="111">
        <v>0</v>
      </c>
      <c r="AO23" s="111">
        <v>0</v>
      </c>
      <c r="AP23" s="111">
        <v>0</v>
      </c>
      <c r="AQ23" s="111">
        <v>0</v>
      </c>
      <c r="AR23" s="111">
        <v>0</v>
      </c>
    </row>
    <row r="24" spans="1:44" customFormat="1" x14ac:dyDescent="0.15">
      <c r="A24" s="185" t="s">
        <v>214</v>
      </c>
      <c r="B24" s="111">
        <v>0</v>
      </c>
      <c r="C24" s="111">
        <v>0.8</v>
      </c>
      <c r="D24" s="111">
        <v>0.8</v>
      </c>
      <c r="E24" s="111">
        <v>0.8</v>
      </c>
      <c r="F24" s="111">
        <v>0.8</v>
      </c>
      <c r="G24" s="111">
        <v>0.8</v>
      </c>
      <c r="H24" s="111">
        <v>0.8</v>
      </c>
      <c r="I24" s="111">
        <v>0.8</v>
      </c>
      <c r="J24" s="111">
        <v>0</v>
      </c>
      <c r="K24" s="111">
        <v>0.8</v>
      </c>
      <c r="L24" s="111">
        <v>0.8</v>
      </c>
      <c r="M24" s="111">
        <v>0</v>
      </c>
      <c r="N24" s="111">
        <v>0.8</v>
      </c>
      <c r="O24" s="111">
        <v>0.8</v>
      </c>
      <c r="P24" s="111">
        <v>0.8</v>
      </c>
      <c r="Q24" s="111">
        <v>0</v>
      </c>
      <c r="R24" s="111">
        <v>0.8</v>
      </c>
      <c r="S24" s="111">
        <v>0</v>
      </c>
      <c r="T24" s="111">
        <v>0.8</v>
      </c>
      <c r="U24" s="111">
        <v>0</v>
      </c>
      <c r="V24" s="111">
        <v>0</v>
      </c>
      <c r="W24" s="111">
        <v>0</v>
      </c>
      <c r="X24" s="111">
        <v>0.8</v>
      </c>
      <c r="Y24" s="111">
        <v>0.8</v>
      </c>
      <c r="Z24" s="111">
        <v>0</v>
      </c>
      <c r="AA24" s="111">
        <v>0</v>
      </c>
      <c r="AB24" s="111">
        <v>0</v>
      </c>
      <c r="AC24" s="111">
        <v>0</v>
      </c>
      <c r="AD24" s="111">
        <v>0.8</v>
      </c>
      <c r="AE24" s="111">
        <v>0</v>
      </c>
      <c r="AF24" s="111">
        <v>0</v>
      </c>
      <c r="AG24" s="111">
        <v>0</v>
      </c>
      <c r="AH24" s="111">
        <v>0</v>
      </c>
      <c r="AI24" s="111">
        <v>0</v>
      </c>
      <c r="AJ24" s="111">
        <v>0</v>
      </c>
      <c r="AK24" s="111">
        <v>0</v>
      </c>
      <c r="AL24" s="111">
        <v>0</v>
      </c>
      <c r="AM24" s="111">
        <v>0</v>
      </c>
      <c r="AN24" s="111">
        <v>0</v>
      </c>
      <c r="AO24" s="111">
        <v>0</v>
      </c>
      <c r="AP24" s="111">
        <v>0</v>
      </c>
      <c r="AQ24" s="111">
        <v>0</v>
      </c>
      <c r="AR24" s="111">
        <v>0</v>
      </c>
    </row>
    <row r="25" spans="1:44" customFormat="1" x14ac:dyDescent="0.15">
      <c r="A25" s="185" t="s">
        <v>215</v>
      </c>
      <c r="B25" s="111">
        <v>0</v>
      </c>
      <c r="C25" s="111">
        <v>0</v>
      </c>
      <c r="D25" s="111">
        <v>0</v>
      </c>
      <c r="E25" s="111">
        <v>0</v>
      </c>
      <c r="F25" s="111">
        <v>0</v>
      </c>
      <c r="G25" s="111">
        <v>0.8</v>
      </c>
      <c r="H25" s="111">
        <v>0.8</v>
      </c>
      <c r="I25" s="111">
        <v>0.8</v>
      </c>
      <c r="J25" s="111">
        <v>0</v>
      </c>
      <c r="K25" s="111">
        <v>0.8</v>
      </c>
      <c r="L25" s="111">
        <v>0.8</v>
      </c>
      <c r="M25" s="111">
        <v>0</v>
      </c>
      <c r="N25" s="111">
        <v>0</v>
      </c>
      <c r="O25" s="111">
        <v>0.8</v>
      </c>
      <c r="P25" s="111">
        <v>0.8</v>
      </c>
      <c r="Q25" s="111">
        <v>0.8</v>
      </c>
      <c r="R25" s="111">
        <v>0</v>
      </c>
      <c r="S25" s="111">
        <v>0.8</v>
      </c>
      <c r="T25" s="111">
        <v>0</v>
      </c>
      <c r="U25" s="111">
        <v>0</v>
      </c>
      <c r="V25" s="111">
        <v>0</v>
      </c>
      <c r="W25" s="111">
        <v>0</v>
      </c>
      <c r="X25" s="111">
        <v>0</v>
      </c>
      <c r="Y25" s="111">
        <v>0</v>
      </c>
      <c r="Z25" s="111">
        <v>0</v>
      </c>
      <c r="AA25" s="111">
        <v>0</v>
      </c>
      <c r="AB25" s="111">
        <v>0</v>
      </c>
      <c r="AC25" s="111">
        <v>0</v>
      </c>
      <c r="AD25" s="111">
        <v>0</v>
      </c>
      <c r="AE25" s="111">
        <v>0.8</v>
      </c>
      <c r="AF25" s="111">
        <v>0.8</v>
      </c>
      <c r="AG25" s="111">
        <v>0</v>
      </c>
      <c r="AH25" s="111">
        <v>0</v>
      </c>
      <c r="AI25" s="111">
        <v>0</v>
      </c>
      <c r="AJ25" s="111">
        <v>0</v>
      </c>
      <c r="AK25" s="111">
        <v>0</v>
      </c>
      <c r="AL25" s="111">
        <v>0</v>
      </c>
      <c r="AM25" s="111">
        <v>0</v>
      </c>
      <c r="AN25" s="111">
        <v>0</v>
      </c>
      <c r="AO25" s="111">
        <v>0</v>
      </c>
      <c r="AP25" s="111">
        <v>0</v>
      </c>
      <c r="AQ25" s="111">
        <v>0</v>
      </c>
      <c r="AR25" s="111">
        <v>0</v>
      </c>
    </row>
    <row r="26" spans="1:44" customFormat="1" x14ac:dyDescent="0.15">
      <c r="A26" s="185" t="s">
        <v>216</v>
      </c>
      <c r="B26" s="111">
        <v>0.8</v>
      </c>
      <c r="C26" s="111">
        <v>0</v>
      </c>
      <c r="D26" s="111">
        <v>0.8</v>
      </c>
      <c r="E26" s="111">
        <v>0.8</v>
      </c>
      <c r="F26" s="111">
        <v>0.8</v>
      </c>
      <c r="G26" s="111">
        <v>0.8</v>
      </c>
      <c r="H26" s="111">
        <v>0.8</v>
      </c>
      <c r="I26" s="111">
        <v>0.8</v>
      </c>
      <c r="J26" s="111">
        <v>0.8</v>
      </c>
      <c r="K26" s="111">
        <v>0</v>
      </c>
      <c r="L26" s="111">
        <v>0.8</v>
      </c>
      <c r="M26" s="111">
        <v>0</v>
      </c>
      <c r="N26" s="111">
        <v>0</v>
      </c>
      <c r="O26" s="111">
        <v>0</v>
      </c>
      <c r="P26" s="111">
        <v>0</v>
      </c>
      <c r="Q26" s="111">
        <v>0.8</v>
      </c>
      <c r="R26" s="111">
        <v>0</v>
      </c>
      <c r="S26" s="111">
        <v>0</v>
      </c>
      <c r="T26" s="111">
        <v>0</v>
      </c>
      <c r="U26" s="111">
        <v>0</v>
      </c>
      <c r="V26" s="111">
        <v>0</v>
      </c>
      <c r="W26" s="111">
        <v>0</v>
      </c>
      <c r="X26" s="111">
        <v>0</v>
      </c>
      <c r="Y26" s="111">
        <v>0</v>
      </c>
      <c r="Z26" s="111">
        <v>0.8</v>
      </c>
      <c r="AA26" s="111">
        <v>0</v>
      </c>
      <c r="AB26" s="111">
        <v>0</v>
      </c>
      <c r="AC26" s="111">
        <v>0</v>
      </c>
      <c r="AD26" s="111">
        <v>0</v>
      </c>
      <c r="AE26" s="111">
        <v>0</v>
      </c>
      <c r="AF26" s="111">
        <v>0</v>
      </c>
      <c r="AG26" s="111">
        <v>0</v>
      </c>
      <c r="AH26" s="111">
        <v>0</v>
      </c>
      <c r="AI26" s="111">
        <v>0</v>
      </c>
      <c r="AJ26" s="111">
        <v>0</v>
      </c>
      <c r="AK26" s="111">
        <v>0</v>
      </c>
      <c r="AL26" s="111">
        <v>0</v>
      </c>
      <c r="AM26" s="111">
        <v>0</v>
      </c>
      <c r="AN26" s="111">
        <v>0</v>
      </c>
      <c r="AO26" s="111">
        <v>0</v>
      </c>
      <c r="AP26" s="111">
        <v>0</v>
      </c>
      <c r="AQ26" s="111">
        <v>0</v>
      </c>
      <c r="AR26" s="111">
        <v>0</v>
      </c>
    </row>
    <row r="27" spans="1:44" customFormat="1" x14ac:dyDescent="0.15">
      <c r="A27" s="185" t="s">
        <v>217</v>
      </c>
      <c r="B27" s="111">
        <v>0.8</v>
      </c>
      <c r="C27" s="111">
        <v>0.8</v>
      </c>
      <c r="D27" s="111">
        <v>0.8</v>
      </c>
      <c r="E27" s="111">
        <v>0.8</v>
      </c>
      <c r="F27" s="111">
        <v>0</v>
      </c>
      <c r="G27" s="111">
        <v>0.8</v>
      </c>
      <c r="H27" s="111">
        <v>0</v>
      </c>
      <c r="I27" s="111">
        <v>0.8</v>
      </c>
      <c r="J27" s="111">
        <v>0.8</v>
      </c>
      <c r="K27" s="111">
        <v>0</v>
      </c>
      <c r="L27" s="111">
        <v>0.8</v>
      </c>
      <c r="M27" s="111">
        <v>0</v>
      </c>
      <c r="N27" s="111">
        <v>0.8</v>
      </c>
      <c r="O27" s="111">
        <v>0.8</v>
      </c>
      <c r="P27" s="111">
        <v>0.8</v>
      </c>
      <c r="Q27" s="111">
        <v>0</v>
      </c>
      <c r="R27" s="111">
        <v>0.8</v>
      </c>
      <c r="S27" s="111">
        <v>0.8</v>
      </c>
      <c r="T27" s="111">
        <v>0.8</v>
      </c>
      <c r="U27" s="111">
        <v>0</v>
      </c>
      <c r="V27" s="111">
        <v>0.8</v>
      </c>
      <c r="W27" s="111">
        <v>0</v>
      </c>
      <c r="X27" s="111">
        <v>0.8</v>
      </c>
      <c r="Y27" s="111">
        <v>0</v>
      </c>
      <c r="Z27" s="111">
        <v>0.8</v>
      </c>
      <c r="AA27" s="111">
        <v>0.8</v>
      </c>
      <c r="AB27" s="111">
        <v>0.8</v>
      </c>
      <c r="AC27" s="111">
        <v>0</v>
      </c>
      <c r="AD27" s="111">
        <v>0</v>
      </c>
      <c r="AE27" s="111">
        <v>0</v>
      </c>
      <c r="AF27" s="111">
        <v>0.8</v>
      </c>
      <c r="AG27" s="111">
        <v>0</v>
      </c>
      <c r="AH27" s="111">
        <v>0</v>
      </c>
      <c r="AI27" s="111">
        <v>0</v>
      </c>
      <c r="AJ27" s="111">
        <v>0</v>
      </c>
      <c r="AK27" s="111">
        <v>0</v>
      </c>
      <c r="AL27" s="111">
        <v>0</v>
      </c>
      <c r="AM27" s="111">
        <v>0</v>
      </c>
      <c r="AN27" s="111">
        <v>0</v>
      </c>
      <c r="AO27" s="111">
        <v>0</v>
      </c>
      <c r="AP27" s="111">
        <v>0</v>
      </c>
      <c r="AQ27" s="111">
        <v>0</v>
      </c>
      <c r="AR27" s="111">
        <v>0</v>
      </c>
    </row>
    <row r="28" spans="1:44" customFormat="1" x14ac:dyDescent="0.15">
      <c r="A28" s="185" t="s">
        <v>218</v>
      </c>
      <c r="B28" s="111">
        <v>0.8</v>
      </c>
      <c r="C28" s="111">
        <v>0.8</v>
      </c>
      <c r="D28" s="111">
        <v>0.8</v>
      </c>
      <c r="E28" s="111">
        <v>0.8</v>
      </c>
      <c r="F28" s="111">
        <v>0.8</v>
      </c>
      <c r="G28" s="111">
        <v>0.8</v>
      </c>
      <c r="H28" s="111">
        <v>0.8</v>
      </c>
      <c r="I28" s="111">
        <v>0.8</v>
      </c>
      <c r="J28" s="111">
        <v>0.8</v>
      </c>
      <c r="K28" s="111">
        <v>0.8</v>
      </c>
      <c r="L28" s="111">
        <v>0.8</v>
      </c>
      <c r="M28" s="111">
        <v>0.8</v>
      </c>
      <c r="N28" s="111">
        <v>0.8</v>
      </c>
      <c r="O28" s="111">
        <v>0.8</v>
      </c>
      <c r="P28" s="111">
        <v>0.8</v>
      </c>
      <c r="Q28" s="111">
        <v>0.8</v>
      </c>
      <c r="R28" s="111">
        <v>0.8</v>
      </c>
      <c r="S28" s="111">
        <v>0.8</v>
      </c>
      <c r="T28" s="111">
        <v>0.8</v>
      </c>
      <c r="U28" s="111">
        <v>0.8</v>
      </c>
      <c r="V28" s="111">
        <v>0</v>
      </c>
      <c r="W28" s="111">
        <v>0.8</v>
      </c>
      <c r="X28" s="111">
        <v>0.8</v>
      </c>
      <c r="Y28" s="111">
        <v>0</v>
      </c>
      <c r="Z28" s="111">
        <v>0.8</v>
      </c>
      <c r="AA28" s="111">
        <v>0</v>
      </c>
      <c r="AB28" s="111">
        <v>0</v>
      </c>
      <c r="AC28" s="111">
        <v>0</v>
      </c>
      <c r="AD28" s="111">
        <v>0</v>
      </c>
      <c r="AE28" s="111">
        <v>0</v>
      </c>
      <c r="AF28" s="111">
        <v>0</v>
      </c>
      <c r="AG28" s="111">
        <v>0</v>
      </c>
      <c r="AH28" s="111">
        <v>0</v>
      </c>
      <c r="AI28" s="111">
        <v>0</v>
      </c>
      <c r="AJ28" s="111">
        <v>0</v>
      </c>
      <c r="AK28" s="111">
        <v>0</v>
      </c>
      <c r="AL28" s="111">
        <v>0</v>
      </c>
      <c r="AM28" s="111">
        <v>0</v>
      </c>
      <c r="AN28" s="111">
        <v>0</v>
      </c>
      <c r="AO28" s="111">
        <v>0</v>
      </c>
      <c r="AP28" s="111">
        <v>0</v>
      </c>
      <c r="AQ28" s="111">
        <v>0</v>
      </c>
      <c r="AR28" s="111">
        <v>0</v>
      </c>
    </row>
    <row r="29" spans="1:44" customFormat="1" x14ac:dyDescent="0.15">
      <c r="A29" s="185" t="s">
        <v>219</v>
      </c>
      <c r="B29" s="111">
        <v>0</v>
      </c>
      <c r="C29" s="111">
        <v>0</v>
      </c>
      <c r="D29" s="111">
        <v>0</v>
      </c>
      <c r="E29" s="111">
        <v>0</v>
      </c>
      <c r="F29" s="111">
        <v>0</v>
      </c>
      <c r="G29" s="111">
        <v>0</v>
      </c>
      <c r="H29" s="111">
        <v>0</v>
      </c>
      <c r="I29" s="111">
        <v>0</v>
      </c>
      <c r="J29" s="111">
        <v>0</v>
      </c>
      <c r="K29" s="111">
        <v>0</v>
      </c>
      <c r="L29" s="111">
        <v>0</v>
      </c>
      <c r="M29" s="111">
        <v>0</v>
      </c>
      <c r="N29" s="111">
        <v>0</v>
      </c>
      <c r="O29" s="111">
        <v>0</v>
      </c>
      <c r="P29" s="111">
        <v>0</v>
      </c>
      <c r="Q29" s="111">
        <v>0.8</v>
      </c>
      <c r="R29" s="111">
        <v>0</v>
      </c>
      <c r="S29" s="111">
        <v>0</v>
      </c>
      <c r="T29" s="111">
        <v>0</v>
      </c>
      <c r="U29" s="111">
        <v>0</v>
      </c>
      <c r="V29" s="111">
        <v>0</v>
      </c>
      <c r="W29" s="111">
        <v>0.8</v>
      </c>
      <c r="X29" s="111">
        <v>0.8</v>
      </c>
      <c r="Y29" s="111">
        <v>0</v>
      </c>
      <c r="Z29" s="111">
        <v>0.8</v>
      </c>
      <c r="AA29" s="111">
        <v>0</v>
      </c>
      <c r="AB29" s="111">
        <v>0</v>
      </c>
      <c r="AC29" s="111">
        <v>0</v>
      </c>
      <c r="AD29" s="111">
        <v>0</v>
      </c>
      <c r="AE29" s="111">
        <v>0</v>
      </c>
      <c r="AF29" s="111">
        <v>0</v>
      </c>
      <c r="AG29" s="111">
        <v>0</v>
      </c>
      <c r="AH29" s="111">
        <v>0</v>
      </c>
      <c r="AI29" s="111">
        <v>0</v>
      </c>
      <c r="AJ29" s="111">
        <v>0</v>
      </c>
      <c r="AK29" s="111">
        <v>0</v>
      </c>
      <c r="AL29" s="111">
        <v>0</v>
      </c>
      <c r="AM29" s="111">
        <v>0</v>
      </c>
      <c r="AN29" s="111">
        <v>0</v>
      </c>
      <c r="AO29" s="111">
        <v>0</v>
      </c>
      <c r="AP29" s="111">
        <v>0</v>
      </c>
      <c r="AQ29" s="111">
        <v>0</v>
      </c>
      <c r="AR29" s="111">
        <v>0</v>
      </c>
    </row>
    <row r="30" spans="1:44" customFormat="1" x14ac:dyDescent="0.15">
      <c r="A30" s="185" t="s">
        <v>220</v>
      </c>
      <c r="B30" s="111">
        <v>0.8</v>
      </c>
      <c r="C30" s="111">
        <v>0.8</v>
      </c>
      <c r="D30" s="111">
        <v>0.8</v>
      </c>
      <c r="E30" s="111">
        <v>0.8</v>
      </c>
      <c r="F30" s="111">
        <v>0.8</v>
      </c>
      <c r="G30" s="111">
        <v>0.8</v>
      </c>
      <c r="H30" s="111">
        <v>0.8</v>
      </c>
      <c r="I30" s="111">
        <v>0.8</v>
      </c>
      <c r="J30" s="111">
        <v>0</v>
      </c>
      <c r="K30" s="111">
        <v>0.8</v>
      </c>
      <c r="L30" s="111">
        <v>0.8</v>
      </c>
      <c r="M30" s="111">
        <v>0.8</v>
      </c>
      <c r="N30" s="111">
        <v>0.8</v>
      </c>
      <c r="O30" s="111">
        <v>0.8</v>
      </c>
      <c r="P30" s="111">
        <v>0.8</v>
      </c>
      <c r="Q30" s="111">
        <v>0</v>
      </c>
      <c r="R30" s="111">
        <v>0.8</v>
      </c>
      <c r="S30" s="111">
        <v>0.8</v>
      </c>
      <c r="T30" s="111">
        <v>0.8</v>
      </c>
      <c r="U30" s="111">
        <v>0</v>
      </c>
      <c r="V30" s="111">
        <v>0.8</v>
      </c>
      <c r="W30" s="111">
        <v>0.8</v>
      </c>
      <c r="X30" s="111">
        <v>0.8</v>
      </c>
      <c r="Y30" s="111">
        <v>0.8</v>
      </c>
      <c r="Z30" s="111">
        <v>0</v>
      </c>
      <c r="AA30" s="111">
        <v>0.8</v>
      </c>
      <c r="AB30" s="111">
        <v>0.8</v>
      </c>
      <c r="AC30" s="111">
        <v>0</v>
      </c>
      <c r="AD30" s="111">
        <v>0.8</v>
      </c>
      <c r="AE30" s="111">
        <v>0</v>
      </c>
      <c r="AF30" s="111">
        <v>0.8</v>
      </c>
      <c r="AG30" s="111">
        <v>0</v>
      </c>
      <c r="AH30" s="111">
        <v>0</v>
      </c>
      <c r="AI30" s="111">
        <v>0</v>
      </c>
      <c r="AJ30" s="111">
        <v>0</v>
      </c>
      <c r="AK30" s="111">
        <v>0</v>
      </c>
      <c r="AL30" s="111">
        <v>0</v>
      </c>
      <c r="AM30" s="111">
        <v>0</v>
      </c>
      <c r="AN30" s="111">
        <v>0</v>
      </c>
      <c r="AO30" s="111">
        <v>0</v>
      </c>
      <c r="AP30" s="111">
        <v>0</v>
      </c>
      <c r="AQ30" s="111">
        <v>0</v>
      </c>
      <c r="AR30" s="111">
        <v>0</v>
      </c>
    </row>
    <row r="31" spans="1:44" customFormat="1" x14ac:dyDescent="0.15">
      <c r="A31" s="185" t="s">
        <v>221</v>
      </c>
      <c r="B31" s="111">
        <v>0.8</v>
      </c>
      <c r="C31" s="111">
        <v>0.8</v>
      </c>
      <c r="D31" s="111">
        <v>0.8</v>
      </c>
      <c r="E31" s="111">
        <v>0</v>
      </c>
      <c r="F31" s="111">
        <v>0.8</v>
      </c>
      <c r="G31" s="111">
        <v>0.8</v>
      </c>
      <c r="H31" s="111">
        <v>0.8</v>
      </c>
      <c r="I31" s="111">
        <v>0.8</v>
      </c>
      <c r="J31" s="111">
        <v>0.8</v>
      </c>
      <c r="K31" s="111">
        <v>0.8</v>
      </c>
      <c r="L31" s="111">
        <v>0.8</v>
      </c>
      <c r="M31" s="111">
        <v>0.8</v>
      </c>
      <c r="N31" s="111">
        <v>0.8</v>
      </c>
      <c r="O31" s="111">
        <v>0.8</v>
      </c>
      <c r="P31" s="111">
        <v>0.8</v>
      </c>
      <c r="Q31" s="111">
        <v>0</v>
      </c>
      <c r="R31" s="111">
        <v>0.8</v>
      </c>
      <c r="S31" s="111">
        <v>0.8</v>
      </c>
      <c r="T31" s="111">
        <v>0</v>
      </c>
      <c r="U31" s="111">
        <v>0</v>
      </c>
      <c r="V31" s="111">
        <v>0.8</v>
      </c>
      <c r="W31" s="111">
        <v>0</v>
      </c>
      <c r="X31" s="111">
        <v>0.8</v>
      </c>
      <c r="Y31" s="111">
        <v>0.8</v>
      </c>
      <c r="Z31" s="111">
        <v>0.8</v>
      </c>
      <c r="AA31" s="111">
        <v>0</v>
      </c>
      <c r="AB31" s="111">
        <v>0.8</v>
      </c>
      <c r="AC31" s="111">
        <v>0</v>
      </c>
      <c r="AD31" s="111">
        <v>0.8</v>
      </c>
      <c r="AE31" s="111">
        <v>0.8</v>
      </c>
      <c r="AF31" s="111">
        <v>0.8</v>
      </c>
      <c r="AG31" s="111">
        <v>0</v>
      </c>
      <c r="AH31" s="111">
        <v>0</v>
      </c>
      <c r="AI31" s="111">
        <v>0</v>
      </c>
      <c r="AJ31" s="111">
        <v>0</v>
      </c>
      <c r="AK31" s="111">
        <v>0</v>
      </c>
      <c r="AL31" s="111">
        <v>0</v>
      </c>
      <c r="AM31" s="111">
        <v>0</v>
      </c>
      <c r="AN31" s="111">
        <v>0</v>
      </c>
      <c r="AO31" s="111">
        <v>0</v>
      </c>
      <c r="AP31" s="111">
        <v>0</v>
      </c>
      <c r="AQ31" s="111">
        <v>0</v>
      </c>
      <c r="AR31" s="111">
        <v>0</v>
      </c>
    </row>
    <row r="32" spans="1:44" customFormat="1" x14ac:dyDescent="0.15">
      <c r="A32" s="185" t="s">
        <v>222</v>
      </c>
      <c r="B32" s="111">
        <v>0.8</v>
      </c>
      <c r="C32" s="111">
        <v>0.8</v>
      </c>
      <c r="D32" s="111">
        <v>0.8</v>
      </c>
      <c r="E32" s="111">
        <v>0.8</v>
      </c>
      <c r="F32" s="111">
        <v>0</v>
      </c>
      <c r="G32" s="111">
        <v>0.8</v>
      </c>
      <c r="H32" s="111">
        <v>0.8</v>
      </c>
      <c r="I32" s="111">
        <v>0.8</v>
      </c>
      <c r="J32" s="111">
        <v>0</v>
      </c>
      <c r="K32" s="111">
        <v>0.8</v>
      </c>
      <c r="L32" s="111">
        <v>0.8</v>
      </c>
      <c r="M32" s="111">
        <v>0</v>
      </c>
      <c r="N32" s="111">
        <v>0.8</v>
      </c>
      <c r="O32" s="111">
        <v>0.8</v>
      </c>
      <c r="P32" s="111">
        <v>0</v>
      </c>
      <c r="Q32" s="111">
        <v>0</v>
      </c>
      <c r="R32" s="111">
        <v>0.8</v>
      </c>
      <c r="S32" s="111">
        <v>0.8</v>
      </c>
      <c r="T32" s="111">
        <v>0.8</v>
      </c>
      <c r="U32" s="111">
        <v>0</v>
      </c>
      <c r="V32" s="111">
        <v>0</v>
      </c>
      <c r="W32" s="111">
        <v>0</v>
      </c>
      <c r="X32" s="111">
        <v>0.8</v>
      </c>
      <c r="Y32" s="111">
        <v>0.8</v>
      </c>
      <c r="Z32" s="111">
        <v>0</v>
      </c>
      <c r="AA32" s="111">
        <v>0</v>
      </c>
      <c r="AB32" s="111">
        <v>0</v>
      </c>
      <c r="AC32" s="111">
        <v>0</v>
      </c>
      <c r="AD32" s="111">
        <v>0.8</v>
      </c>
      <c r="AE32" s="111">
        <v>0</v>
      </c>
      <c r="AF32" s="111">
        <v>0</v>
      </c>
      <c r="AG32" s="111">
        <v>0</v>
      </c>
      <c r="AH32" s="111">
        <v>0</v>
      </c>
      <c r="AI32" s="111">
        <v>0</v>
      </c>
      <c r="AJ32" s="111">
        <v>0</v>
      </c>
      <c r="AK32" s="111">
        <v>0</v>
      </c>
      <c r="AL32" s="111">
        <v>0</v>
      </c>
      <c r="AM32" s="111">
        <v>0</v>
      </c>
      <c r="AN32" s="111">
        <v>0</v>
      </c>
      <c r="AO32" s="111">
        <v>0</v>
      </c>
      <c r="AP32" s="111">
        <v>0</v>
      </c>
      <c r="AQ32" s="111">
        <v>0</v>
      </c>
      <c r="AR32" s="111">
        <v>0</v>
      </c>
    </row>
    <row r="33" spans="1:44" x14ac:dyDescent="0.15">
      <c r="A33" s="185" t="s">
        <v>223</v>
      </c>
      <c r="B33" s="111">
        <v>0</v>
      </c>
      <c r="C33" s="111">
        <v>0.8</v>
      </c>
      <c r="D33" s="111">
        <v>0</v>
      </c>
      <c r="E33" s="111">
        <v>0.8</v>
      </c>
      <c r="F33" s="111">
        <v>0</v>
      </c>
      <c r="G33" s="111">
        <v>0.8</v>
      </c>
      <c r="H33" s="111">
        <v>0</v>
      </c>
      <c r="I33" s="111">
        <v>0.8</v>
      </c>
      <c r="J33" s="111">
        <v>0</v>
      </c>
      <c r="K33" s="111">
        <v>0.8</v>
      </c>
      <c r="L33" s="111">
        <v>0.8</v>
      </c>
      <c r="M33" s="111">
        <v>0</v>
      </c>
      <c r="N33" s="111">
        <v>0.8</v>
      </c>
      <c r="O33" s="111">
        <v>0</v>
      </c>
      <c r="P33" s="111">
        <v>0.8</v>
      </c>
      <c r="Q33" s="111">
        <v>0</v>
      </c>
      <c r="R33" s="111">
        <v>0.8</v>
      </c>
      <c r="S33" s="111">
        <v>0.8</v>
      </c>
      <c r="T33" s="111">
        <v>0.8</v>
      </c>
      <c r="U33" s="111">
        <v>0</v>
      </c>
      <c r="V33" s="111">
        <v>0.8</v>
      </c>
      <c r="W33" s="111">
        <v>0</v>
      </c>
      <c r="X33" s="111">
        <v>0.8</v>
      </c>
      <c r="Y33" s="111">
        <v>0.8</v>
      </c>
      <c r="Z33" s="111">
        <v>0.8</v>
      </c>
      <c r="AA33" s="111">
        <v>0.8</v>
      </c>
      <c r="AB33" s="111">
        <v>0</v>
      </c>
      <c r="AC33" s="111">
        <v>0</v>
      </c>
      <c r="AD33" s="111">
        <v>0.8</v>
      </c>
      <c r="AE33" s="111">
        <v>0.8</v>
      </c>
      <c r="AF33" s="111">
        <v>0.8</v>
      </c>
      <c r="AG33" s="111">
        <v>0.8</v>
      </c>
      <c r="AH33" s="111">
        <v>0</v>
      </c>
      <c r="AI33" s="111">
        <v>0</v>
      </c>
      <c r="AJ33" s="111">
        <v>0</v>
      </c>
      <c r="AK33" s="111">
        <v>0</v>
      </c>
      <c r="AL33" s="111">
        <v>0</v>
      </c>
      <c r="AM33" s="111">
        <v>0</v>
      </c>
      <c r="AN33" s="111">
        <v>0</v>
      </c>
      <c r="AO33" s="111">
        <v>0</v>
      </c>
      <c r="AP33" s="111">
        <v>0</v>
      </c>
      <c r="AQ33" s="111">
        <v>0</v>
      </c>
      <c r="AR33" s="111">
        <v>0</v>
      </c>
    </row>
    <row r="34" spans="1:44" x14ac:dyDescent="0.15">
      <c r="A34" s="185" t="s">
        <v>224</v>
      </c>
      <c r="B34" s="111">
        <v>0.8</v>
      </c>
      <c r="C34" s="111">
        <v>0</v>
      </c>
      <c r="D34" s="111">
        <v>0.8</v>
      </c>
      <c r="E34" s="111">
        <v>0</v>
      </c>
      <c r="F34" s="111">
        <v>0</v>
      </c>
      <c r="G34" s="111">
        <v>0.8</v>
      </c>
      <c r="H34" s="111">
        <v>0</v>
      </c>
      <c r="I34" s="111">
        <v>0</v>
      </c>
      <c r="J34" s="111">
        <v>0</v>
      </c>
      <c r="K34" s="111">
        <v>0.8</v>
      </c>
      <c r="L34" s="111">
        <v>0</v>
      </c>
      <c r="M34" s="111">
        <v>0</v>
      </c>
      <c r="N34" s="111">
        <v>0</v>
      </c>
      <c r="O34" s="111">
        <v>0.8</v>
      </c>
      <c r="P34" s="111">
        <v>0.8</v>
      </c>
      <c r="Q34" s="111">
        <v>0</v>
      </c>
      <c r="R34" s="111">
        <v>0.8</v>
      </c>
      <c r="S34" s="111">
        <v>0.8</v>
      </c>
      <c r="T34" s="111">
        <v>0.8</v>
      </c>
      <c r="U34" s="111">
        <v>0</v>
      </c>
      <c r="V34" s="111">
        <v>0.8</v>
      </c>
      <c r="W34" s="111">
        <v>0.8</v>
      </c>
      <c r="X34" s="111">
        <v>0.8</v>
      </c>
      <c r="Y34" s="111">
        <v>0</v>
      </c>
      <c r="Z34" s="111">
        <v>0</v>
      </c>
      <c r="AA34" s="111">
        <v>0</v>
      </c>
      <c r="AB34" s="111">
        <v>0.8</v>
      </c>
      <c r="AC34" s="111">
        <v>0</v>
      </c>
      <c r="AD34" s="111">
        <v>0.8</v>
      </c>
      <c r="AE34" s="111">
        <v>0.8</v>
      </c>
      <c r="AF34" s="111">
        <v>0.8</v>
      </c>
      <c r="AG34" s="111">
        <v>0.8</v>
      </c>
      <c r="AH34" s="111">
        <v>0.8</v>
      </c>
      <c r="AI34" s="111">
        <v>0</v>
      </c>
      <c r="AJ34" s="111">
        <v>0</v>
      </c>
      <c r="AK34" s="111">
        <v>0</v>
      </c>
      <c r="AL34" s="111">
        <v>0</v>
      </c>
      <c r="AM34" s="111">
        <v>0</v>
      </c>
      <c r="AN34" s="111">
        <v>0</v>
      </c>
      <c r="AO34" s="111">
        <v>0</v>
      </c>
      <c r="AP34" s="111">
        <v>0</v>
      </c>
      <c r="AQ34" s="111">
        <v>0</v>
      </c>
      <c r="AR34" s="111">
        <v>0</v>
      </c>
    </row>
    <row r="35" spans="1:44" x14ac:dyDescent="0.15">
      <c r="A35" s="185" t="s">
        <v>225</v>
      </c>
      <c r="B35" s="111">
        <v>0.8</v>
      </c>
      <c r="C35" s="111">
        <v>0.8</v>
      </c>
      <c r="D35" s="111">
        <v>0.8</v>
      </c>
      <c r="E35" s="111">
        <v>0</v>
      </c>
      <c r="F35" s="111">
        <v>0.8</v>
      </c>
      <c r="G35" s="111">
        <v>0.8</v>
      </c>
      <c r="H35" s="111">
        <v>0.8</v>
      </c>
      <c r="I35" s="111">
        <v>0.8</v>
      </c>
      <c r="J35" s="111">
        <v>0</v>
      </c>
      <c r="K35" s="111">
        <v>0</v>
      </c>
      <c r="L35" s="111">
        <v>0.8</v>
      </c>
      <c r="M35" s="111">
        <v>0</v>
      </c>
      <c r="N35" s="111">
        <v>0.8</v>
      </c>
      <c r="O35" s="111">
        <v>0.8</v>
      </c>
      <c r="P35" s="111">
        <v>0.8</v>
      </c>
      <c r="Q35" s="111">
        <v>0.8</v>
      </c>
      <c r="R35" s="111">
        <v>0.8</v>
      </c>
      <c r="S35" s="111">
        <v>0.8</v>
      </c>
      <c r="T35" s="111">
        <v>0.8</v>
      </c>
      <c r="U35" s="111">
        <v>0.8</v>
      </c>
      <c r="V35" s="111">
        <v>0.8</v>
      </c>
      <c r="W35" s="111">
        <v>0</v>
      </c>
      <c r="X35" s="111">
        <v>0.8</v>
      </c>
      <c r="Y35" s="111">
        <v>0.8</v>
      </c>
      <c r="Z35" s="111">
        <v>0.8</v>
      </c>
      <c r="AA35" s="111">
        <v>0.8</v>
      </c>
      <c r="AB35" s="111">
        <v>0.8</v>
      </c>
      <c r="AC35" s="111">
        <v>0</v>
      </c>
      <c r="AD35" s="111">
        <v>0.8</v>
      </c>
      <c r="AE35" s="111">
        <v>0.8</v>
      </c>
      <c r="AF35" s="111">
        <v>0.8</v>
      </c>
      <c r="AG35" s="111">
        <v>0.8</v>
      </c>
      <c r="AH35" s="111">
        <v>0.8</v>
      </c>
      <c r="AI35" s="111">
        <v>0.8</v>
      </c>
      <c r="AJ35" s="111">
        <v>0.8</v>
      </c>
      <c r="AK35" s="111">
        <v>0</v>
      </c>
      <c r="AL35" s="111">
        <v>0</v>
      </c>
      <c r="AM35" s="111">
        <v>0</v>
      </c>
      <c r="AN35" s="111">
        <v>0</v>
      </c>
      <c r="AO35" s="111">
        <v>0</v>
      </c>
      <c r="AP35" s="111">
        <v>0</v>
      </c>
      <c r="AQ35" s="111">
        <v>0</v>
      </c>
      <c r="AR35" s="111">
        <v>0</v>
      </c>
    </row>
    <row r="36" spans="1:44" x14ac:dyDescent="0.15">
      <c r="A36" s="185" t="s">
        <v>226</v>
      </c>
      <c r="B36" s="111">
        <v>0.8</v>
      </c>
      <c r="C36" s="111">
        <v>0.8</v>
      </c>
      <c r="D36" s="111">
        <v>0</v>
      </c>
      <c r="E36" s="111">
        <v>0.8</v>
      </c>
      <c r="F36" s="111">
        <v>0</v>
      </c>
      <c r="G36" s="111">
        <v>0</v>
      </c>
      <c r="H36" s="111">
        <v>0</v>
      </c>
      <c r="I36" s="111">
        <v>0.8</v>
      </c>
      <c r="J36" s="111">
        <v>0</v>
      </c>
      <c r="K36" s="111">
        <v>0.8</v>
      </c>
      <c r="L36" s="111">
        <v>0</v>
      </c>
      <c r="M36" s="111">
        <v>0.8</v>
      </c>
      <c r="N36" s="111">
        <v>0</v>
      </c>
      <c r="O36" s="111">
        <v>0.8</v>
      </c>
      <c r="P36" s="111">
        <v>0</v>
      </c>
      <c r="Q36" s="111">
        <v>0</v>
      </c>
      <c r="R36" s="111">
        <v>0</v>
      </c>
      <c r="S36" s="111">
        <v>0.8</v>
      </c>
      <c r="T36" s="111">
        <v>0.8</v>
      </c>
      <c r="U36" s="111">
        <v>0</v>
      </c>
      <c r="V36" s="111">
        <v>0</v>
      </c>
      <c r="W36" s="111">
        <v>0.8</v>
      </c>
      <c r="X36" s="111">
        <v>0.8</v>
      </c>
      <c r="Y36" s="111">
        <v>0.8</v>
      </c>
      <c r="Z36" s="111">
        <v>0</v>
      </c>
      <c r="AA36" s="111">
        <v>0.8</v>
      </c>
      <c r="AB36" s="111">
        <v>0</v>
      </c>
      <c r="AC36" s="111">
        <v>0</v>
      </c>
      <c r="AD36" s="111">
        <v>0.8</v>
      </c>
      <c r="AE36" s="111">
        <v>0</v>
      </c>
      <c r="AF36" s="111">
        <v>0</v>
      </c>
      <c r="AG36" s="111">
        <v>0.8</v>
      </c>
      <c r="AH36" s="111">
        <v>0</v>
      </c>
      <c r="AI36" s="111">
        <v>0</v>
      </c>
      <c r="AJ36" s="111">
        <v>0</v>
      </c>
      <c r="AK36" s="111">
        <v>0</v>
      </c>
      <c r="AL36" s="111">
        <v>0</v>
      </c>
      <c r="AM36" s="111">
        <v>0</v>
      </c>
      <c r="AN36" s="111">
        <v>0</v>
      </c>
      <c r="AO36" s="111">
        <v>0</v>
      </c>
      <c r="AP36" s="111">
        <v>0</v>
      </c>
      <c r="AQ36" s="111">
        <v>0</v>
      </c>
      <c r="AR36" s="111">
        <v>0</v>
      </c>
    </row>
    <row r="37" spans="1:44" x14ac:dyDescent="0.15">
      <c r="A37" s="185" t="s">
        <v>227</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0</v>
      </c>
      <c r="T37" s="111">
        <v>0</v>
      </c>
      <c r="U37" s="111">
        <v>0</v>
      </c>
      <c r="V37" s="111">
        <v>0</v>
      </c>
      <c r="W37" s="111">
        <v>0</v>
      </c>
      <c r="X37" s="111">
        <v>0</v>
      </c>
      <c r="Y37" s="111">
        <v>0</v>
      </c>
      <c r="Z37" s="111">
        <v>0</v>
      </c>
      <c r="AA37" s="111">
        <v>0</v>
      </c>
      <c r="AB37" s="111">
        <v>0</v>
      </c>
      <c r="AC37" s="111">
        <v>0</v>
      </c>
      <c r="AD37" s="111">
        <v>0</v>
      </c>
      <c r="AE37" s="111">
        <v>0</v>
      </c>
      <c r="AF37" s="111">
        <v>0</v>
      </c>
      <c r="AG37" s="111">
        <v>0</v>
      </c>
      <c r="AH37" s="111">
        <v>0</v>
      </c>
      <c r="AI37" s="111">
        <v>0</v>
      </c>
      <c r="AJ37" s="111">
        <v>0</v>
      </c>
      <c r="AK37" s="111">
        <v>0</v>
      </c>
      <c r="AL37" s="111">
        <v>0</v>
      </c>
      <c r="AM37" s="111">
        <v>0</v>
      </c>
      <c r="AN37" s="111">
        <v>0</v>
      </c>
      <c r="AO37" s="111">
        <v>0</v>
      </c>
      <c r="AP37" s="111">
        <v>0</v>
      </c>
      <c r="AQ37" s="111">
        <v>0</v>
      </c>
      <c r="AR37" s="111">
        <v>0</v>
      </c>
    </row>
    <row r="38" spans="1:44" x14ac:dyDescent="0.15">
      <c r="A38" s="185" t="s">
        <v>228</v>
      </c>
      <c r="B38" s="111">
        <v>0.8</v>
      </c>
      <c r="C38" s="111">
        <v>0</v>
      </c>
      <c r="D38" s="111">
        <v>0.8</v>
      </c>
      <c r="E38" s="111">
        <v>0.8</v>
      </c>
      <c r="F38" s="111">
        <v>0.8</v>
      </c>
      <c r="G38" s="111">
        <v>0</v>
      </c>
      <c r="H38" s="111">
        <v>0.8</v>
      </c>
      <c r="I38" s="111">
        <v>0.8</v>
      </c>
      <c r="J38" s="111">
        <v>0.8</v>
      </c>
      <c r="K38" s="111">
        <v>0</v>
      </c>
      <c r="L38" s="111">
        <v>0.8</v>
      </c>
      <c r="M38" s="111">
        <v>0</v>
      </c>
      <c r="N38" s="111">
        <v>0.8</v>
      </c>
      <c r="O38" s="111">
        <v>0.8</v>
      </c>
      <c r="P38" s="111">
        <v>0.8</v>
      </c>
      <c r="Q38" s="111">
        <v>0.8</v>
      </c>
      <c r="R38" s="111">
        <v>0.8</v>
      </c>
      <c r="S38" s="111">
        <v>0</v>
      </c>
      <c r="T38" s="111">
        <v>0</v>
      </c>
      <c r="U38" s="111">
        <v>0.8</v>
      </c>
      <c r="V38" s="111">
        <v>0.8</v>
      </c>
      <c r="W38" s="111">
        <v>0</v>
      </c>
      <c r="X38" s="111">
        <v>0.8</v>
      </c>
      <c r="Y38" s="111">
        <v>0</v>
      </c>
      <c r="Z38" s="111">
        <v>0.8</v>
      </c>
      <c r="AA38" s="111">
        <v>0.8</v>
      </c>
      <c r="AB38" s="111">
        <v>0.8</v>
      </c>
      <c r="AC38" s="111">
        <v>0.8</v>
      </c>
      <c r="AD38" s="111">
        <v>0</v>
      </c>
      <c r="AE38" s="111">
        <v>0</v>
      </c>
      <c r="AF38" s="111">
        <v>0.8</v>
      </c>
      <c r="AG38" s="111">
        <v>0</v>
      </c>
      <c r="AH38" s="111">
        <v>0.8</v>
      </c>
      <c r="AI38" s="111">
        <v>0.8</v>
      </c>
      <c r="AJ38" s="111">
        <v>0</v>
      </c>
      <c r="AK38" s="111">
        <v>0</v>
      </c>
      <c r="AL38" s="111">
        <v>0</v>
      </c>
      <c r="AM38" s="111">
        <v>0</v>
      </c>
      <c r="AN38" s="111">
        <v>0</v>
      </c>
      <c r="AO38" s="111">
        <v>0</v>
      </c>
      <c r="AP38" s="111">
        <v>0</v>
      </c>
      <c r="AQ38" s="111">
        <v>0</v>
      </c>
      <c r="AR38" s="111">
        <v>0</v>
      </c>
    </row>
    <row r="39" spans="1:44" x14ac:dyDescent="0.15">
      <c r="A39" s="185" t="s">
        <v>229</v>
      </c>
      <c r="B39" s="111">
        <v>0.8</v>
      </c>
      <c r="C39" s="111">
        <v>0.8</v>
      </c>
      <c r="D39" s="111">
        <v>0.8</v>
      </c>
      <c r="E39" s="111">
        <v>0</v>
      </c>
      <c r="F39" s="111">
        <v>0</v>
      </c>
      <c r="G39" s="111">
        <v>0</v>
      </c>
      <c r="H39" s="111">
        <v>0.8</v>
      </c>
      <c r="I39" s="111">
        <v>0</v>
      </c>
      <c r="J39" s="111">
        <v>0</v>
      </c>
      <c r="K39" s="111">
        <v>0</v>
      </c>
      <c r="L39" s="111">
        <v>0.8</v>
      </c>
      <c r="M39" s="111">
        <v>0</v>
      </c>
      <c r="N39" s="111">
        <v>0</v>
      </c>
      <c r="O39" s="111">
        <v>0.8</v>
      </c>
      <c r="P39" s="111">
        <v>0.8</v>
      </c>
      <c r="Q39" s="111">
        <v>0</v>
      </c>
      <c r="R39" s="111">
        <v>0</v>
      </c>
      <c r="S39" s="111">
        <v>0.8</v>
      </c>
      <c r="T39" s="111">
        <v>0.8</v>
      </c>
      <c r="U39" s="111">
        <v>0</v>
      </c>
      <c r="V39" s="111">
        <v>0</v>
      </c>
      <c r="W39" s="111">
        <v>0.8</v>
      </c>
      <c r="X39" s="111">
        <v>0.8</v>
      </c>
      <c r="Y39" s="111">
        <v>0.8</v>
      </c>
      <c r="Z39" s="111">
        <v>0</v>
      </c>
      <c r="AA39" s="111">
        <v>0</v>
      </c>
      <c r="AB39" s="111">
        <v>0.8</v>
      </c>
      <c r="AC39" s="111">
        <v>0</v>
      </c>
      <c r="AD39" s="111">
        <v>0</v>
      </c>
      <c r="AE39" s="111">
        <v>0.8</v>
      </c>
      <c r="AF39" s="111">
        <v>0.8</v>
      </c>
      <c r="AG39" s="111">
        <v>0.8</v>
      </c>
      <c r="AH39" s="111">
        <v>0</v>
      </c>
      <c r="AI39" s="111">
        <v>0.8</v>
      </c>
      <c r="AJ39" s="111">
        <v>0</v>
      </c>
      <c r="AK39" s="111">
        <v>0.8</v>
      </c>
      <c r="AL39" s="111">
        <v>0</v>
      </c>
      <c r="AM39" s="111">
        <v>0</v>
      </c>
      <c r="AN39" s="111">
        <v>0</v>
      </c>
      <c r="AO39" s="111">
        <v>0</v>
      </c>
      <c r="AP39" s="111">
        <v>0</v>
      </c>
      <c r="AQ39" s="111">
        <v>0</v>
      </c>
      <c r="AR39" s="111">
        <v>0</v>
      </c>
    </row>
    <row r="40" spans="1:44" x14ac:dyDescent="0.15">
      <c r="A40" s="185" t="s">
        <v>230</v>
      </c>
      <c r="B40" s="111">
        <v>0</v>
      </c>
      <c r="C40" s="111">
        <v>0</v>
      </c>
      <c r="D40" s="111">
        <v>0</v>
      </c>
      <c r="E40" s="111">
        <v>0</v>
      </c>
      <c r="F40" s="111">
        <v>0</v>
      </c>
      <c r="G40" s="111">
        <v>0</v>
      </c>
      <c r="H40" s="111">
        <v>0</v>
      </c>
      <c r="I40" s="111">
        <v>0.8</v>
      </c>
      <c r="J40" s="111">
        <v>0</v>
      </c>
      <c r="K40" s="111">
        <v>0</v>
      </c>
      <c r="L40" s="111">
        <v>0</v>
      </c>
      <c r="M40" s="111">
        <v>0</v>
      </c>
      <c r="N40" s="111">
        <v>0</v>
      </c>
      <c r="O40" s="111">
        <v>0.8</v>
      </c>
      <c r="P40" s="111">
        <v>0</v>
      </c>
      <c r="Q40" s="111">
        <v>0</v>
      </c>
      <c r="R40" s="111">
        <v>0.8</v>
      </c>
      <c r="S40" s="111">
        <v>0.8</v>
      </c>
      <c r="T40" s="111">
        <v>0.8</v>
      </c>
      <c r="U40" s="111">
        <v>0</v>
      </c>
      <c r="V40" s="111">
        <v>0</v>
      </c>
      <c r="W40" s="111">
        <v>0.8</v>
      </c>
      <c r="X40" s="111">
        <v>0.8</v>
      </c>
      <c r="Y40" s="111">
        <v>0.8</v>
      </c>
      <c r="Z40" s="111">
        <v>0</v>
      </c>
      <c r="AA40" s="111">
        <v>0.8</v>
      </c>
      <c r="AB40" s="111">
        <v>0</v>
      </c>
      <c r="AC40" s="111">
        <v>0</v>
      </c>
      <c r="AD40" s="111">
        <v>0.8</v>
      </c>
      <c r="AE40" s="111">
        <v>0.8</v>
      </c>
      <c r="AF40" s="111">
        <v>0</v>
      </c>
      <c r="AG40" s="111">
        <v>0.8</v>
      </c>
      <c r="AH40" s="111">
        <v>0.8</v>
      </c>
      <c r="AI40" s="111">
        <v>0.8</v>
      </c>
      <c r="AJ40" s="111">
        <v>0.8</v>
      </c>
      <c r="AK40" s="111">
        <v>0</v>
      </c>
      <c r="AL40" s="111">
        <v>0</v>
      </c>
      <c r="AM40" s="111">
        <v>0</v>
      </c>
      <c r="AN40" s="111">
        <v>0</v>
      </c>
      <c r="AO40" s="111">
        <v>0</v>
      </c>
      <c r="AP40" s="111">
        <v>0</v>
      </c>
      <c r="AQ40" s="111">
        <v>0</v>
      </c>
      <c r="AR40" s="111">
        <v>0</v>
      </c>
    </row>
    <row r="41" spans="1:44" x14ac:dyDescent="0.15">
      <c r="A41" s="185" t="s">
        <v>231</v>
      </c>
      <c r="B41" s="111">
        <v>0</v>
      </c>
      <c r="C41" s="111">
        <v>0</v>
      </c>
      <c r="D41" s="111">
        <v>0</v>
      </c>
      <c r="E41" s="111">
        <v>0</v>
      </c>
      <c r="F41" s="111">
        <v>0</v>
      </c>
      <c r="G41" s="111">
        <v>0</v>
      </c>
      <c r="H41" s="111">
        <v>0</v>
      </c>
      <c r="I41" s="111">
        <v>0</v>
      </c>
      <c r="J41" s="111">
        <v>0</v>
      </c>
      <c r="K41" s="111">
        <v>0</v>
      </c>
      <c r="L41" s="111">
        <v>0</v>
      </c>
      <c r="M41" s="111">
        <v>0</v>
      </c>
      <c r="N41" s="111">
        <v>0</v>
      </c>
      <c r="O41" s="111">
        <v>0</v>
      </c>
      <c r="P41" s="111">
        <v>0</v>
      </c>
      <c r="Q41" s="111">
        <v>0</v>
      </c>
      <c r="R41" s="111">
        <v>0</v>
      </c>
      <c r="S41" s="111">
        <v>0</v>
      </c>
      <c r="T41" s="111">
        <v>0</v>
      </c>
      <c r="U41" s="111">
        <v>0</v>
      </c>
      <c r="V41" s="111">
        <v>0</v>
      </c>
      <c r="W41" s="111">
        <v>0</v>
      </c>
      <c r="X41" s="111">
        <v>0.8</v>
      </c>
      <c r="Y41" s="111">
        <v>0</v>
      </c>
      <c r="Z41" s="111">
        <v>0.8</v>
      </c>
      <c r="AA41" s="111">
        <v>0.8</v>
      </c>
      <c r="AB41" s="111">
        <v>0.8</v>
      </c>
      <c r="AC41" s="111">
        <v>0.8</v>
      </c>
      <c r="AD41" s="111">
        <v>0</v>
      </c>
      <c r="AE41" s="111">
        <v>0</v>
      </c>
      <c r="AF41" s="111">
        <v>0</v>
      </c>
      <c r="AG41" s="111">
        <v>0.8</v>
      </c>
      <c r="AH41" s="111">
        <v>0.8</v>
      </c>
      <c r="AI41" s="111">
        <v>0.8</v>
      </c>
      <c r="AJ41" s="111">
        <v>0.8</v>
      </c>
      <c r="AK41" s="111">
        <v>0</v>
      </c>
      <c r="AL41" s="111">
        <v>0.8</v>
      </c>
      <c r="AM41" s="111">
        <v>0</v>
      </c>
      <c r="AN41" s="111">
        <v>0</v>
      </c>
      <c r="AO41" s="111">
        <v>0</v>
      </c>
      <c r="AP41" s="111">
        <v>0</v>
      </c>
      <c r="AQ41" s="111">
        <v>0</v>
      </c>
      <c r="AR41" s="111">
        <v>0</v>
      </c>
    </row>
    <row r="42" spans="1:44" x14ac:dyDescent="0.15">
      <c r="A42" s="185" t="s">
        <v>232</v>
      </c>
      <c r="B42" s="111">
        <v>0</v>
      </c>
      <c r="C42" s="111">
        <v>0</v>
      </c>
      <c r="D42" s="111">
        <v>0</v>
      </c>
      <c r="E42" s="111">
        <v>0</v>
      </c>
      <c r="F42" s="111">
        <v>0</v>
      </c>
      <c r="G42" s="111">
        <v>0</v>
      </c>
      <c r="H42" s="111">
        <v>0.8</v>
      </c>
      <c r="I42" s="111">
        <v>0</v>
      </c>
      <c r="J42" s="111">
        <v>0</v>
      </c>
      <c r="K42" s="111">
        <v>0</v>
      </c>
      <c r="L42" s="111">
        <v>0.8</v>
      </c>
      <c r="M42" s="111">
        <v>0</v>
      </c>
      <c r="N42" s="111">
        <v>0</v>
      </c>
      <c r="O42" s="111">
        <v>0.8</v>
      </c>
      <c r="P42" s="111">
        <v>0</v>
      </c>
      <c r="Q42" s="111">
        <v>0</v>
      </c>
      <c r="R42" s="111">
        <v>0</v>
      </c>
      <c r="S42" s="111">
        <v>0</v>
      </c>
      <c r="T42" s="111">
        <v>0</v>
      </c>
      <c r="U42" s="111">
        <v>0</v>
      </c>
      <c r="V42" s="111">
        <v>0</v>
      </c>
      <c r="W42" s="111">
        <v>0</v>
      </c>
      <c r="X42" s="111">
        <v>0.8</v>
      </c>
      <c r="Y42" s="111">
        <v>0</v>
      </c>
      <c r="Z42" s="111">
        <v>0.8</v>
      </c>
      <c r="AA42" s="111">
        <v>0.8</v>
      </c>
      <c r="AB42" s="111">
        <v>0.8</v>
      </c>
      <c r="AC42" s="111">
        <v>0</v>
      </c>
      <c r="AD42" s="111">
        <v>0</v>
      </c>
      <c r="AE42" s="111">
        <v>0</v>
      </c>
      <c r="AF42" s="111">
        <v>0.8</v>
      </c>
      <c r="AG42" s="111">
        <v>0.8</v>
      </c>
      <c r="AH42" s="111">
        <v>0</v>
      </c>
      <c r="AI42" s="111">
        <v>0.8</v>
      </c>
      <c r="AJ42" s="111">
        <v>0</v>
      </c>
      <c r="AK42" s="111">
        <v>0.8</v>
      </c>
      <c r="AL42" s="111">
        <v>0</v>
      </c>
      <c r="AM42" s="111">
        <v>0</v>
      </c>
      <c r="AN42" s="111">
        <v>0</v>
      </c>
      <c r="AO42" s="111">
        <v>0</v>
      </c>
      <c r="AP42" s="111">
        <v>0</v>
      </c>
      <c r="AQ42" s="111">
        <v>0</v>
      </c>
      <c r="AR42" s="111">
        <v>0</v>
      </c>
    </row>
    <row r="43" spans="1:44" x14ac:dyDescent="0.15">
      <c r="A43" s="185" t="s">
        <v>233</v>
      </c>
      <c r="B43" s="111">
        <v>0</v>
      </c>
      <c r="C43" s="111">
        <v>0</v>
      </c>
      <c r="D43" s="111">
        <v>0</v>
      </c>
      <c r="E43" s="111">
        <v>0.8</v>
      </c>
      <c r="F43" s="111">
        <v>0</v>
      </c>
      <c r="G43" s="111">
        <v>0</v>
      </c>
      <c r="H43" s="111">
        <v>0</v>
      </c>
      <c r="I43" s="111">
        <v>0.8</v>
      </c>
      <c r="J43" s="111">
        <v>0</v>
      </c>
      <c r="K43" s="111">
        <v>0</v>
      </c>
      <c r="L43" s="111">
        <v>0.8</v>
      </c>
      <c r="M43" s="111">
        <v>0.8</v>
      </c>
      <c r="N43" s="111">
        <v>0.8</v>
      </c>
      <c r="O43" s="111">
        <v>0.8</v>
      </c>
      <c r="P43" s="111">
        <v>0</v>
      </c>
      <c r="Q43" s="111">
        <v>0</v>
      </c>
      <c r="R43" s="111">
        <v>0.8</v>
      </c>
      <c r="S43" s="111">
        <v>0.8</v>
      </c>
      <c r="T43" s="111">
        <v>0.8</v>
      </c>
      <c r="U43" s="111">
        <v>0</v>
      </c>
      <c r="V43" s="111">
        <v>0</v>
      </c>
      <c r="W43" s="111">
        <v>0</v>
      </c>
      <c r="X43" s="111">
        <v>0.8</v>
      </c>
      <c r="Y43" s="111">
        <v>0.8</v>
      </c>
      <c r="Z43" s="111">
        <v>0</v>
      </c>
      <c r="AA43" s="111">
        <v>0.8</v>
      </c>
      <c r="AB43" s="111">
        <v>0.8</v>
      </c>
      <c r="AC43" s="111">
        <v>0.8</v>
      </c>
      <c r="AD43" s="111">
        <v>0.8</v>
      </c>
      <c r="AE43" s="111">
        <v>0.8</v>
      </c>
      <c r="AF43" s="111">
        <v>0.8</v>
      </c>
      <c r="AG43" s="111">
        <v>0.8</v>
      </c>
      <c r="AH43" s="111">
        <v>0.8</v>
      </c>
      <c r="AI43" s="111">
        <v>0.8</v>
      </c>
      <c r="AJ43" s="111">
        <v>0.8</v>
      </c>
      <c r="AK43" s="111">
        <v>0</v>
      </c>
      <c r="AL43" s="111">
        <v>0.8</v>
      </c>
      <c r="AM43" s="111">
        <v>0</v>
      </c>
      <c r="AN43" s="111">
        <v>0</v>
      </c>
      <c r="AO43" s="111">
        <v>0</v>
      </c>
      <c r="AP43" s="111">
        <v>0</v>
      </c>
      <c r="AQ43" s="111">
        <v>0</v>
      </c>
      <c r="AR43" s="111">
        <v>0</v>
      </c>
    </row>
    <row r="44" spans="1:44" x14ac:dyDescent="0.15">
      <c r="A44" s="185" t="s">
        <v>234</v>
      </c>
      <c r="B44" s="111">
        <v>0</v>
      </c>
      <c r="C44" s="111">
        <v>0</v>
      </c>
      <c r="D44" s="111">
        <v>0</v>
      </c>
      <c r="E44" s="111">
        <v>0</v>
      </c>
      <c r="F44" s="111">
        <v>0</v>
      </c>
      <c r="G44" s="111">
        <v>0</v>
      </c>
      <c r="H44" s="111">
        <v>0</v>
      </c>
      <c r="I44" s="111">
        <v>0</v>
      </c>
      <c r="J44" s="111">
        <v>0</v>
      </c>
      <c r="K44" s="111">
        <v>0</v>
      </c>
      <c r="L44" s="111">
        <v>0</v>
      </c>
      <c r="M44" s="111">
        <v>0</v>
      </c>
      <c r="N44" s="111">
        <v>0</v>
      </c>
      <c r="O44" s="111">
        <v>0</v>
      </c>
      <c r="P44" s="111">
        <v>0</v>
      </c>
      <c r="Q44" s="111">
        <v>0</v>
      </c>
      <c r="R44" s="111">
        <v>0</v>
      </c>
      <c r="S44" s="111">
        <v>0</v>
      </c>
      <c r="T44" s="111">
        <v>0</v>
      </c>
      <c r="U44" s="111">
        <v>0</v>
      </c>
      <c r="V44" s="111">
        <v>0</v>
      </c>
      <c r="W44" s="111">
        <v>0</v>
      </c>
      <c r="X44" s="111">
        <v>0</v>
      </c>
      <c r="Y44" s="111">
        <v>0</v>
      </c>
      <c r="Z44" s="111">
        <v>0</v>
      </c>
      <c r="AA44" s="111">
        <v>0</v>
      </c>
      <c r="AB44" s="111">
        <v>0</v>
      </c>
      <c r="AC44" s="111">
        <v>0</v>
      </c>
      <c r="AD44" s="111">
        <v>0</v>
      </c>
      <c r="AE44" s="111">
        <v>0</v>
      </c>
      <c r="AF44" s="111">
        <v>0</v>
      </c>
      <c r="AG44" s="111">
        <v>0</v>
      </c>
      <c r="AH44" s="111">
        <v>0</v>
      </c>
      <c r="AI44" s="111">
        <v>0</v>
      </c>
      <c r="AJ44" s="111">
        <v>0</v>
      </c>
      <c r="AK44" s="111">
        <v>0</v>
      </c>
      <c r="AL44" s="111">
        <v>0</v>
      </c>
      <c r="AM44" s="111">
        <v>0</v>
      </c>
      <c r="AN44" s="111">
        <v>0</v>
      </c>
      <c r="AO44" s="111">
        <v>0</v>
      </c>
      <c r="AP44" s="111">
        <v>0</v>
      </c>
      <c r="AQ44" s="111">
        <v>0</v>
      </c>
      <c r="AR44" s="111">
        <v>0</v>
      </c>
    </row>
    <row r="45" spans="1:44" x14ac:dyDescent="0.15">
      <c r="A45" s="185" t="s">
        <v>244</v>
      </c>
      <c r="B45" s="111">
        <v>0</v>
      </c>
      <c r="C45" s="111">
        <v>0</v>
      </c>
      <c r="D45" s="111">
        <v>0</v>
      </c>
      <c r="E45" s="111">
        <v>0</v>
      </c>
      <c r="F45" s="111">
        <v>0</v>
      </c>
      <c r="G45" s="111">
        <v>0</v>
      </c>
      <c r="H45" s="111">
        <v>0</v>
      </c>
      <c r="I45" s="111">
        <v>0</v>
      </c>
      <c r="J45" s="111">
        <v>0</v>
      </c>
      <c r="K45" s="111">
        <v>0</v>
      </c>
      <c r="L45" s="111">
        <v>0</v>
      </c>
      <c r="M45" s="111">
        <v>0</v>
      </c>
      <c r="N45" s="111">
        <v>0</v>
      </c>
      <c r="O45" s="111">
        <v>0</v>
      </c>
      <c r="P45" s="111">
        <v>0</v>
      </c>
      <c r="Q45" s="111">
        <v>0</v>
      </c>
      <c r="R45" s="111">
        <v>0</v>
      </c>
      <c r="S45" s="111">
        <v>0</v>
      </c>
      <c r="T45" s="111">
        <v>0</v>
      </c>
      <c r="U45" s="111">
        <v>0</v>
      </c>
      <c r="V45" s="111">
        <v>0</v>
      </c>
      <c r="W45" s="111">
        <v>0</v>
      </c>
      <c r="X45" s="111">
        <v>0</v>
      </c>
      <c r="Y45" s="111">
        <v>0</v>
      </c>
      <c r="Z45" s="111">
        <v>0</v>
      </c>
      <c r="AA45" s="111">
        <v>0</v>
      </c>
      <c r="AB45" s="111">
        <v>0</v>
      </c>
      <c r="AC45" s="111">
        <v>0</v>
      </c>
      <c r="AD45" s="111">
        <v>0</v>
      </c>
      <c r="AE45" s="111">
        <v>0</v>
      </c>
      <c r="AF45" s="111">
        <v>0</v>
      </c>
      <c r="AG45" s="111">
        <v>0</v>
      </c>
      <c r="AH45" s="111">
        <v>0</v>
      </c>
      <c r="AI45" s="111">
        <v>0</v>
      </c>
      <c r="AJ45" s="111">
        <v>0</v>
      </c>
      <c r="AK45" s="111">
        <v>0</v>
      </c>
      <c r="AL45" s="111">
        <v>0</v>
      </c>
      <c r="AM45" s="111">
        <v>0</v>
      </c>
      <c r="AN45" s="111">
        <v>0</v>
      </c>
      <c r="AO45" s="111">
        <v>0</v>
      </c>
      <c r="AP45" s="111">
        <v>0</v>
      </c>
      <c r="AQ45" s="111">
        <v>0</v>
      </c>
      <c r="AR45" s="11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R45"/>
  <sheetViews>
    <sheetView workbookViewId="0">
      <selection activeCell="A3" sqref="A3"/>
    </sheetView>
  </sheetViews>
  <sheetFormatPr baseColWidth="10" defaultRowHeight="13" x14ac:dyDescent="0.15"/>
  <cols>
    <col min="1" max="1" width="31.5" style="111" bestFit="1" customWidth="1"/>
    <col min="2" max="44" width="2.33203125" style="111" customWidth="1"/>
    <col min="45" max="16384" width="10.83203125" style="111"/>
  </cols>
  <sheetData>
    <row r="1" spans="1:44" x14ac:dyDescent="0.15">
      <c r="A1" s="63" t="s">
        <v>139</v>
      </c>
      <c r="B1" s="188" t="s">
        <v>192</v>
      </c>
      <c r="C1" s="188" t="s">
        <v>193</v>
      </c>
      <c r="D1" s="188" t="s">
        <v>194</v>
      </c>
      <c r="E1" s="188" t="s">
        <v>195</v>
      </c>
      <c r="F1" s="188" t="s">
        <v>196</v>
      </c>
      <c r="G1" s="188" t="s">
        <v>197</v>
      </c>
      <c r="H1" s="188" t="s">
        <v>198</v>
      </c>
      <c r="I1" s="188" t="s">
        <v>199</v>
      </c>
      <c r="J1" s="188" t="s">
        <v>200</v>
      </c>
      <c r="K1" s="188" t="s">
        <v>201</v>
      </c>
      <c r="L1" s="188" t="s">
        <v>202</v>
      </c>
      <c r="M1" s="188" t="s">
        <v>203</v>
      </c>
      <c r="N1" s="188" t="s">
        <v>204</v>
      </c>
      <c r="O1" s="188" t="s">
        <v>205</v>
      </c>
      <c r="P1" s="188" t="s">
        <v>206</v>
      </c>
      <c r="Q1" s="188" t="s">
        <v>207</v>
      </c>
      <c r="R1" s="188" t="s">
        <v>208</v>
      </c>
      <c r="S1" s="188" t="s">
        <v>209</v>
      </c>
      <c r="T1" s="188" t="s">
        <v>210</v>
      </c>
      <c r="U1" s="188" t="s">
        <v>211</v>
      </c>
      <c r="V1" s="188" t="s">
        <v>212</v>
      </c>
      <c r="W1" s="188" t="s">
        <v>213</v>
      </c>
      <c r="X1" s="188" t="s">
        <v>214</v>
      </c>
      <c r="Y1" s="188" t="s">
        <v>215</v>
      </c>
      <c r="Z1" s="188" t="s">
        <v>216</v>
      </c>
      <c r="AA1" s="188" t="s">
        <v>217</v>
      </c>
      <c r="AB1" s="188" t="s">
        <v>218</v>
      </c>
      <c r="AC1" s="188" t="s">
        <v>219</v>
      </c>
      <c r="AD1" s="188" t="s">
        <v>220</v>
      </c>
      <c r="AE1" s="188" t="s">
        <v>221</v>
      </c>
      <c r="AF1" s="188" t="s">
        <v>222</v>
      </c>
      <c r="AG1" s="188" t="s">
        <v>223</v>
      </c>
      <c r="AH1" s="188" t="s">
        <v>224</v>
      </c>
      <c r="AI1" s="188" t="s">
        <v>225</v>
      </c>
      <c r="AJ1" s="188" t="s">
        <v>226</v>
      </c>
      <c r="AK1" s="188" t="s">
        <v>227</v>
      </c>
      <c r="AL1" s="188" t="s">
        <v>228</v>
      </c>
      <c r="AM1" s="188" t="s">
        <v>229</v>
      </c>
      <c r="AN1" s="188" t="s">
        <v>230</v>
      </c>
      <c r="AO1" s="188" t="s">
        <v>231</v>
      </c>
      <c r="AP1" s="188" t="s">
        <v>232</v>
      </c>
      <c r="AQ1" s="188" t="s">
        <v>233</v>
      </c>
      <c r="AR1" s="188" t="s">
        <v>234</v>
      </c>
    </row>
    <row r="2" spans="1:44" customFormat="1" x14ac:dyDescent="0.15">
      <c r="A2" s="187" t="s">
        <v>192</v>
      </c>
      <c r="B2" s="111">
        <v>1</v>
      </c>
      <c r="C2" s="111">
        <v>0</v>
      </c>
      <c r="D2" s="111">
        <v>0</v>
      </c>
      <c r="E2" s="111">
        <v>0</v>
      </c>
      <c r="F2" s="111">
        <v>0</v>
      </c>
      <c r="G2" s="111">
        <v>0</v>
      </c>
      <c r="H2" s="111">
        <v>0</v>
      </c>
      <c r="I2" s="111">
        <v>0</v>
      </c>
      <c r="J2" s="111">
        <v>0</v>
      </c>
      <c r="K2" s="111">
        <v>0</v>
      </c>
      <c r="L2" s="111">
        <v>0</v>
      </c>
      <c r="M2" s="111">
        <v>0</v>
      </c>
      <c r="N2" s="111">
        <v>0</v>
      </c>
      <c r="O2" s="111">
        <v>0</v>
      </c>
      <c r="P2" s="111">
        <v>0</v>
      </c>
      <c r="Q2" s="111">
        <v>0</v>
      </c>
      <c r="R2" s="111">
        <v>0</v>
      </c>
      <c r="S2" s="111">
        <v>0</v>
      </c>
      <c r="T2" s="111">
        <v>0</v>
      </c>
      <c r="U2" s="111">
        <v>0</v>
      </c>
      <c r="V2" s="111">
        <v>0</v>
      </c>
      <c r="W2" s="111">
        <v>0</v>
      </c>
      <c r="X2" s="111">
        <v>0</v>
      </c>
      <c r="Y2" s="111">
        <v>0</v>
      </c>
      <c r="Z2" s="111">
        <v>0</v>
      </c>
      <c r="AA2" s="111">
        <v>0</v>
      </c>
      <c r="AB2" s="111">
        <v>0</v>
      </c>
      <c r="AC2" s="111">
        <v>0</v>
      </c>
      <c r="AD2" s="111">
        <v>0</v>
      </c>
      <c r="AE2" s="111">
        <v>0</v>
      </c>
      <c r="AF2" s="111">
        <v>0</v>
      </c>
      <c r="AG2" s="111">
        <v>0</v>
      </c>
      <c r="AH2" s="111">
        <v>0</v>
      </c>
      <c r="AI2" s="111">
        <v>0</v>
      </c>
      <c r="AJ2" s="111">
        <v>0</v>
      </c>
      <c r="AK2" s="111">
        <v>0</v>
      </c>
      <c r="AL2" s="111">
        <v>0</v>
      </c>
      <c r="AM2" s="111">
        <v>0</v>
      </c>
      <c r="AN2" s="111">
        <v>0</v>
      </c>
      <c r="AO2" s="111">
        <v>0</v>
      </c>
      <c r="AP2" s="111">
        <v>0</v>
      </c>
      <c r="AQ2" s="111">
        <v>0</v>
      </c>
      <c r="AR2" s="111">
        <v>0</v>
      </c>
    </row>
    <row r="3" spans="1:44" customFormat="1" x14ac:dyDescent="0.15">
      <c r="A3" s="187" t="s">
        <v>193</v>
      </c>
      <c r="B3" s="111">
        <v>1</v>
      </c>
      <c r="C3" s="111">
        <v>1</v>
      </c>
      <c r="D3" s="111">
        <v>1</v>
      </c>
      <c r="E3" s="111">
        <v>0</v>
      </c>
      <c r="F3" s="111">
        <v>0</v>
      </c>
      <c r="G3" s="111">
        <v>0</v>
      </c>
      <c r="H3" s="111">
        <v>0</v>
      </c>
      <c r="I3" s="111">
        <v>0</v>
      </c>
      <c r="J3" s="111">
        <v>0</v>
      </c>
      <c r="K3" s="111">
        <v>0</v>
      </c>
      <c r="L3" s="111">
        <v>0</v>
      </c>
      <c r="M3" s="111">
        <v>0</v>
      </c>
      <c r="N3" s="111">
        <v>0</v>
      </c>
      <c r="O3" s="111">
        <v>0</v>
      </c>
      <c r="P3" s="111">
        <v>0</v>
      </c>
      <c r="Q3" s="111">
        <v>0</v>
      </c>
      <c r="R3" s="111">
        <v>0</v>
      </c>
      <c r="S3" s="111">
        <v>0</v>
      </c>
      <c r="T3" s="111">
        <v>0</v>
      </c>
      <c r="U3" s="111">
        <v>0</v>
      </c>
      <c r="V3" s="111">
        <v>0</v>
      </c>
      <c r="W3" s="111">
        <v>0</v>
      </c>
      <c r="X3" s="111">
        <v>0</v>
      </c>
      <c r="Y3" s="111">
        <v>0</v>
      </c>
      <c r="Z3" s="111">
        <v>0</v>
      </c>
      <c r="AA3" s="111">
        <v>0</v>
      </c>
      <c r="AB3" s="111">
        <v>0</v>
      </c>
      <c r="AC3" s="111">
        <v>0</v>
      </c>
      <c r="AD3" s="111">
        <v>0</v>
      </c>
      <c r="AE3" s="111">
        <v>0</v>
      </c>
      <c r="AF3" s="111">
        <v>0</v>
      </c>
      <c r="AG3" s="111">
        <v>0</v>
      </c>
      <c r="AH3" s="111">
        <v>0</v>
      </c>
      <c r="AI3" s="111">
        <v>0</v>
      </c>
      <c r="AJ3" s="111">
        <v>0</v>
      </c>
      <c r="AK3" s="111">
        <v>0</v>
      </c>
      <c r="AL3" s="111">
        <v>0</v>
      </c>
      <c r="AM3" s="111">
        <v>0</v>
      </c>
      <c r="AN3" s="111">
        <v>0</v>
      </c>
      <c r="AO3" s="111">
        <v>0</v>
      </c>
      <c r="AP3" s="111">
        <v>0</v>
      </c>
      <c r="AQ3" s="111">
        <v>0</v>
      </c>
      <c r="AR3" s="111">
        <v>0</v>
      </c>
    </row>
    <row r="4" spans="1:44" customFormat="1" x14ac:dyDescent="0.15">
      <c r="A4" s="187" t="s">
        <v>194</v>
      </c>
      <c r="B4" s="111">
        <v>1</v>
      </c>
      <c r="C4" s="111">
        <v>0</v>
      </c>
      <c r="D4" s="111">
        <v>1</v>
      </c>
      <c r="E4" s="111">
        <v>0</v>
      </c>
      <c r="F4" s="111">
        <v>1</v>
      </c>
      <c r="G4" s="111">
        <v>0</v>
      </c>
      <c r="H4" s="111">
        <v>0</v>
      </c>
      <c r="I4" s="111">
        <v>0</v>
      </c>
      <c r="J4" s="111">
        <v>0</v>
      </c>
      <c r="K4" s="111">
        <v>0</v>
      </c>
      <c r="L4" s="111">
        <v>0</v>
      </c>
      <c r="M4" s="111">
        <v>0</v>
      </c>
      <c r="N4" s="111">
        <v>0</v>
      </c>
      <c r="O4" s="111">
        <v>0</v>
      </c>
      <c r="P4" s="111">
        <v>0</v>
      </c>
      <c r="Q4" s="111">
        <v>0</v>
      </c>
      <c r="R4" s="111">
        <v>0</v>
      </c>
      <c r="S4" s="111">
        <v>0</v>
      </c>
      <c r="T4" s="111">
        <v>0</v>
      </c>
      <c r="U4" s="111">
        <v>0</v>
      </c>
      <c r="V4" s="111">
        <v>0</v>
      </c>
      <c r="W4" s="111">
        <v>0</v>
      </c>
      <c r="X4" s="111">
        <v>0</v>
      </c>
      <c r="Y4" s="111">
        <v>0</v>
      </c>
      <c r="Z4" s="111">
        <v>0</v>
      </c>
      <c r="AA4" s="111">
        <v>0</v>
      </c>
      <c r="AB4" s="111">
        <v>0</v>
      </c>
      <c r="AC4" s="111">
        <v>0</v>
      </c>
      <c r="AD4" s="111">
        <v>0</v>
      </c>
      <c r="AE4" s="111">
        <v>0</v>
      </c>
      <c r="AF4" s="111">
        <v>0</v>
      </c>
      <c r="AG4" s="111">
        <v>0</v>
      </c>
      <c r="AH4" s="111">
        <v>0</v>
      </c>
      <c r="AI4" s="111">
        <v>0</v>
      </c>
      <c r="AJ4" s="111">
        <v>0</v>
      </c>
      <c r="AK4" s="111">
        <v>0</v>
      </c>
      <c r="AL4" s="111">
        <v>0</v>
      </c>
      <c r="AM4" s="111">
        <v>0</v>
      </c>
      <c r="AN4" s="111">
        <v>0</v>
      </c>
      <c r="AO4" s="111">
        <v>0</v>
      </c>
      <c r="AP4" s="111">
        <v>0</v>
      </c>
      <c r="AQ4" s="111">
        <v>0</v>
      </c>
      <c r="AR4" s="111">
        <v>0</v>
      </c>
    </row>
    <row r="5" spans="1:44" customFormat="1" x14ac:dyDescent="0.15">
      <c r="A5" s="187" t="s">
        <v>195</v>
      </c>
      <c r="B5" s="111">
        <v>0</v>
      </c>
      <c r="C5" s="111">
        <v>0</v>
      </c>
      <c r="D5" s="111">
        <v>0</v>
      </c>
      <c r="E5" s="111">
        <v>0</v>
      </c>
      <c r="F5" s="111">
        <v>0</v>
      </c>
      <c r="G5" s="111">
        <v>0</v>
      </c>
      <c r="H5" s="111">
        <v>0</v>
      </c>
      <c r="I5" s="111">
        <v>0</v>
      </c>
      <c r="J5" s="111">
        <v>0</v>
      </c>
      <c r="K5" s="111">
        <v>0</v>
      </c>
      <c r="L5" s="111">
        <v>0</v>
      </c>
      <c r="M5" s="111">
        <v>0</v>
      </c>
      <c r="N5" s="111">
        <v>0</v>
      </c>
      <c r="O5" s="111">
        <v>0</v>
      </c>
      <c r="P5" s="111">
        <v>0</v>
      </c>
      <c r="Q5" s="111">
        <v>0</v>
      </c>
      <c r="R5" s="111">
        <v>0</v>
      </c>
      <c r="S5" s="111">
        <v>0</v>
      </c>
      <c r="T5" s="111">
        <v>0</v>
      </c>
      <c r="U5" s="111">
        <v>0</v>
      </c>
      <c r="V5" s="111">
        <v>0</v>
      </c>
      <c r="W5" s="111">
        <v>0</v>
      </c>
      <c r="X5" s="111">
        <v>0</v>
      </c>
      <c r="Y5" s="111">
        <v>0</v>
      </c>
      <c r="Z5" s="111">
        <v>0</v>
      </c>
      <c r="AA5" s="111">
        <v>0</v>
      </c>
      <c r="AB5" s="111">
        <v>0</v>
      </c>
      <c r="AC5" s="111">
        <v>0</v>
      </c>
      <c r="AD5" s="111">
        <v>0</v>
      </c>
      <c r="AE5" s="111">
        <v>0</v>
      </c>
      <c r="AF5" s="111">
        <v>0</v>
      </c>
      <c r="AG5" s="111">
        <v>0</v>
      </c>
      <c r="AH5" s="111">
        <v>0</v>
      </c>
      <c r="AI5" s="111">
        <v>0</v>
      </c>
      <c r="AJ5" s="111">
        <v>0</v>
      </c>
      <c r="AK5" s="111">
        <v>0</v>
      </c>
      <c r="AL5" s="111">
        <v>0</v>
      </c>
      <c r="AM5" s="111">
        <v>0</v>
      </c>
      <c r="AN5" s="111">
        <v>0</v>
      </c>
      <c r="AO5" s="111">
        <v>0</v>
      </c>
      <c r="AP5" s="111">
        <v>0</v>
      </c>
      <c r="AQ5" s="111">
        <v>0</v>
      </c>
      <c r="AR5" s="111">
        <v>0</v>
      </c>
    </row>
    <row r="6" spans="1:44" customFormat="1" x14ac:dyDescent="0.15">
      <c r="A6" s="187" t="s">
        <v>196</v>
      </c>
      <c r="B6" s="111">
        <v>1</v>
      </c>
      <c r="C6" s="111">
        <v>1</v>
      </c>
      <c r="D6" s="111">
        <v>1</v>
      </c>
      <c r="E6" s="111">
        <v>1</v>
      </c>
      <c r="F6" s="111">
        <v>0</v>
      </c>
      <c r="G6" s="111">
        <v>1</v>
      </c>
      <c r="H6" s="111">
        <v>1</v>
      </c>
      <c r="I6" s="111">
        <v>0</v>
      </c>
      <c r="J6" s="111">
        <v>0</v>
      </c>
      <c r="K6" s="111">
        <v>0</v>
      </c>
      <c r="L6" s="111">
        <v>1</v>
      </c>
      <c r="M6" s="111">
        <v>0</v>
      </c>
      <c r="N6" s="111">
        <v>0</v>
      </c>
      <c r="O6" s="111">
        <v>0</v>
      </c>
      <c r="P6" s="111">
        <v>0</v>
      </c>
      <c r="Q6" s="111">
        <v>0</v>
      </c>
      <c r="R6" s="111">
        <v>0</v>
      </c>
      <c r="S6" s="111">
        <v>0</v>
      </c>
      <c r="T6" s="111">
        <v>0</v>
      </c>
      <c r="U6" s="111">
        <v>0</v>
      </c>
      <c r="V6" s="111">
        <v>0</v>
      </c>
      <c r="W6" s="111">
        <v>0</v>
      </c>
      <c r="X6" s="111">
        <v>0</v>
      </c>
      <c r="Y6" s="111">
        <v>0</v>
      </c>
      <c r="Z6" s="111">
        <v>0</v>
      </c>
      <c r="AA6" s="111">
        <v>0</v>
      </c>
      <c r="AB6" s="111">
        <v>0</v>
      </c>
      <c r="AC6" s="111">
        <v>0</v>
      </c>
      <c r="AD6" s="111">
        <v>0</v>
      </c>
      <c r="AE6" s="111">
        <v>0</v>
      </c>
      <c r="AF6" s="111">
        <v>0</v>
      </c>
      <c r="AG6" s="111">
        <v>0</v>
      </c>
      <c r="AH6" s="111">
        <v>0</v>
      </c>
      <c r="AI6" s="111">
        <v>0</v>
      </c>
      <c r="AJ6" s="111">
        <v>0</v>
      </c>
      <c r="AK6" s="111">
        <v>0</v>
      </c>
      <c r="AL6" s="111">
        <v>0</v>
      </c>
      <c r="AM6" s="111">
        <v>0</v>
      </c>
      <c r="AN6" s="111">
        <v>0</v>
      </c>
      <c r="AO6" s="111">
        <v>0</v>
      </c>
      <c r="AP6" s="111">
        <v>0</v>
      </c>
      <c r="AQ6" s="111">
        <v>0</v>
      </c>
      <c r="AR6" s="111">
        <v>0</v>
      </c>
    </row>
    <row r="7" spans="1:44" customFormat="1" x14ac:dyDescent="0.15">
      <c r="A7" s="187" t="s">
        <v>197</v>
      </c>
      <c r="B7" s="111">
        <v>0</v>
      </c>
      <c r="C7" s="111">
        <v>1</v>
      </c>
      <c r="D7" s="111">
        <v>1</v>
      </c>
      <c r="E7" s="111">
        <v>0</v>
      </c>
      <c r="F7" s="111">
        <v>0</v>
      </c>
      <c r="G7" s="111">
        <v>1</v>
      </c>
      <c r="H7" s="111">
        <v>0</v>
      </c>
      <c r="I7" s="111">
        <v>0</v>
      </c>
      <c r="J7" s="111">
        <v>0</v>
      </c>
      <c r="K7" s="111">
        <v>0</v>
      </c>
      <c r="L7" s="111">
        <v>1</v>
      </c>
      <c r="M7" s="111">
        <v>0</v>
      </c>
      <c r="N7" s="111">
        <v>1</v>
      </c>
      <c r="O7" s="111">
        <v>0</v>
      </c>
      <c r="P7" s="111">
        <v>0</v>
      </c>
      <c r="Q7" s="111">
        <v>0</v>
      </c>
      <c r="R7" s="111">
        <v>0</v>
      </c>
      <c r="S7" s="111">
        <v>0</v>
      </c>
      <c r="T7" s="111">
        <v>0</v>
      </c>
      <c r="U7" s="111">
        <v>0</v>
      </c>
      <c r="V7" s="111">
        <v>0</v>
      </c>
      <c r="W7" s="111">
        <v>0</v>
      </c>
      <c r="X7" s="111">
        <v>1</v>
      </c>
      <c r="Y7" s="111">
        <v>0</v>
      </c>
      <c r="Z7" s="111">
        <v>0</v>
      </c>
      <c r="AA7" s="111">
        <v>0</v>
      </c>
      <c r="AB7" s="111">
        <v>0</v>
      </c>
      <c r="AC7" s="111">
        <v>0</v>
      </c>
      <c r="AD7" s="111">
        <v>0</v>
      </c>
      <c r="AE7" s="111">
        <v>0</v>
      </c>
      <c r="AF7" s="111">
        <v>0</v>
      </c>
      <c r="AG7" s="111">
        <v>0</v>
      </c>
      <c r="AH7" s="111">
        <v>0</v>
      </c>
      <c r="AI7" s="111">
        <v>0</v>
      </c>
      <c r="AJ7" s="111">
        <v>0</v>
      </c>
      <c r="AK7" s="111">
        <v>0</v>
      </c>
      <c r="AL7" s="111">
        <v>0</v>
      </c>
      <c r="AM7" s="111">
        <v>0</v>
      </c>
      <c r="AN7" s="111">
        <v>0</v>
      </c>
      <c r="AO7" s="111">
        <v>0</v>
      </c>
      <c r="AP7" s="111">
        <v>0</v>
      </c>
      <c r="AQ7" s="111">
        <v>0</v>
      </c>
      <c r="AR7" s="111">
        <v>0</v>
      </c>
    </row>
    <row r="8" spans="1:44" customFormat="1" x14ac:dyDescent="0.15">
      <c r="A8" s="187" t="s">
        <v>198</v>
      </c>
      <c r="B8" s="111">
        <v>1</v>
      </c>
      <c r="C8" s="111">
        <v>1</v>
      </c>
      <c r="D8" s="111">
        <v>1</v>
      </c>
      <c r="E8" s="111">
        <v>0</v>
      </c>
      <c r="F8" s="111">
        <v>1</v>
      </c>
      <c r="G8" s="111">
        <v>1</v>
      </c>
      <c r="H8" s="111">
        <v>0</v>
      </c>
      <c r="I8" s="111">
        <v>0</v>
      </c>
      <c r="J8" s="111">
        <v>0</v>
      </c>
      <c r="K8" s="111">
        <v>0</v>
      </c>
      <c r="L8" s="111">
        <v>1</v>
      </c>
      <c r="M8" s="111">
        <v>0</v>
      </c>
      <c r="N8" s="111">
        <v>0</v>
      </c>
      <c r="O8" s="111">
        <v>0</v>
      </c>
      <c r="P8" s="111">
        <v>0</v>
      </c>
      <c r="Q8" s="111">
        <v>0</v>
      </c>
      <c r="R8" s="111">
        <v>0</v>
      </c>
      <c r="S8" s="111">
        <v>0</v>
      </c>
      <c r="T8" s="111">
        <v>0</v>
      </c>
      <c r="U8" s="111">
        <v>0</v>
      </c>
      <c r="V8" s="111">
        <v>0</v>
      </c>
      <c r="W8" s="111">
        <v>0</v>
      </c>
      <c r="X8" s="111">
        <v>0</v>
      </c>
      <c r="Y8" s="111">
        <v>0</v>
      </c>
      <c r="Z8" s="111">
        <v>0</v>
      </c>
      <c r="AA8" s="111">
        <v>0</v>
      </c>
      <c r="AB8" s="111">
        <v>0</v>
      </c>
      <c r="AC8" s="111">
        <v>0</v>
      </c>
      <c r="AD8" s="111">
        <v>0</v>
      </c>
      <c r="AE8" s="111">
        <v>0</v>
      </c>
      <c r="AF8" s="111">
        <v>0</v>
      </c>
      <c r="AG8" s="111">
        <v>0</v>
      </c>
      <c r="AH8" s="111">
        <v>0</v>
      </c>
      <c r="AI8" s="111">
        <v>0</v>
      </c>
      <c r="AJ8" s="111">
        <v>0</v>
      </c>
      <c r="AK8" s="111">
        <v>0</v>
      </c>
      <c r="AL8" s="111">
        <v>0</v>
      </c>
      <c r="AM8" s="111">
        <v>0</v>
      </c>
      <c r="AN8" s="111">
        <v>0</v>
      </c>
      <c r="AO8" s="111">
        <v>0</v>
      </c>
      <c r="AP8" s="111">
        <v>0</v>
      </c>
      <c r="AQ8" s="111">
        <v>0</v>
      </c>
      <c r="AR8" s="111">
        <v>0</v>
      </c>
    </row>
    <row r="9" spans="1:44" customFormat="1" x14ac:dyDescent="0.15">
      <c r="A9" s="187" t="s">
        <v>199</v>
      </c>
      <c r="B9" s="111">
        <v>0</v>
      </c>
      <c r="C9" s="111">
        <v>1</v>
      </c>
      <c r="D9" s="111">
        <v>1</v>
      </c>
      <c r="E9" s="111">
        <v>0</v>
      </c>
      <c r="F9" s="111">
        <v>1</v>
      </c>
      <c r="G9" s="111">
        <v>1</v>
      </c>
      <c r="H9" s="111">
        <v>0</v>
      </c>
      <c r="I9" s="111">
        <v>0</v>
      </c>
      <c r="J9" s="111">
        <v>0</v>
      </c>
      <c r="K9" s="111">
        <v>0</v>
      </c>
      <c r="L9" s="111">
        <v>1</v>
      </c>
      <c r="M9" s="111">
        <v>0</v>
      </c>
      <c r="N9" s="111">
        <v>0</v>
      </c>
      <c r="O9" s="111">
        <v>0</v>
      </c>
      <c r="P9" s="111">
        <v>0</v>
      </c>
      <c r="Q9" s="111">
        <v>0</v>
      </c>
      <c r="R9" s="111">
        <v>0</v>
      </c>
      <c r="S9" s="111">
        <v>0</v>
      </c>
      <c r="T9" s="111">
        <v>0</v>
      </c>
      <c r="U9" s="111">
        <v>0</v>
      </c>
      <c r="V9" s="111">
        <v>0</v>
      </c>
      <c r="W9" s="111">
        <v>0</v>
      </c>
      <c r="X9" s="111">
        <v>0</v>
      </c>
      <c r="Y9" s="111">
        <v>0</v>
      </c>
      <c r="Z9" s="111">
        <v>0</v>
      </c>
      <c r="AA9" s="111">
        <v>0</v>
      </c>
      <c r="AB9" s="111">
        <v>0</v>
      </c>
      <c r="AC9" s="111">
        <v>0</v>
      </c>
      <c r="AD9" s="111">
        <v>0</v>
      </c>
      <c r="AE9" s="111">
        <v>0</v>
      </c>
      <c r="AF9" s="111">
        <v>0</v>
      </c>
      <c r="AG9" s="111">
        <v>0</v>
      </c>
      <c r="AH9" s="111">
        <v>0</v>
      </c>
      <c r="AI9" s="111">
        <v>0</v>
      </c>
      <c r="AJ9" s="111">
        <v>0</v>
      </c>
      <c r="AK9" s="111">
        <v>0</v>
      </c>
      <c r="AL9" s="111">
        <v>0</v>
      </c>
      <c r="AM9" s="111">
        <v>0</v>
      </c>
      <c r="AN9" s="111">
        <v>0</v>
      </c>
      <c r="AO9" s="111">
        <v>0</v>
      </c>
      <c r="AP9" s="111">
        <v>0</v>
      </c>
      <c r="AQ9" s="111">
        <v>0</v>
      </c>
      <c r="AR9" s="111">
        <v>0</v>
      </c>
    </row>
    <row r="10" spans="1:44" customFormat="1" x14ac:dyDescent="0.15">
      <c r="A10" s="187" t="s">
        <v>200</v>
      </c>
      <c r="B10" s="111">
        <v>1</v>
      </c>
      <c r="C10" s="111">
        <v>1</v>
      </c>
      <c r="D10" s="111">
        <v>1</v>
      </c>
      <c r="E10" s="111">
        <v>1</v>
      </c>
      <c r="F10" s="111">
        <v>1</v>
      </c>
      <c r="G10" s="111">
        <v>1</v>
      </c>
      <c r="H10" s="111">
        <v>1</v>
      </c>
      <c r="I10" s="111">
        <v>0</v>
      </c>
      <c r="J10" s="111">
        <v>1</v>
      </c>
      <c r="K10" s="111">
        <v>0</v>
      </c>
      <c r="L10" s="111">
        <v>1</v>
      </c>
      <c r="M10" s="111">
        <v>0</v>
      </c>
      <c r="N10" s="111">
        <v>0</v>
      </c>
      <c r="O10" s="111">
        <v>0</v>
      </c>
      <c r="P10" s="111">
        <v>0</v>
      </c>
      <c r="Q10" s="111">
        <v>0</v>
      </c>
      <c r="R10" s="111">
        <v>0</v>
      </c>
      <c r="S10" s="111">
        <v>0</v>
      </c>
      <c r="T10" s="111">
        <v>0</v>
      </c>
      <c r="U10" s="111">
        <v>0</v>
      </c>
      <c r="V10" s="111">
        <v>0</v>
      </c>
      <c r="W10" s="111">
        <v>0</v>
      </c>
      <c r="X10" s="111">
        <v>0</v>
      </c>
      <c r="Y10" s="111">
        <v>0</v>
      </c>
      <c r="Z10" s="111">
        <v>0</v>
      </c>
      <c r="AA10" s="111">
        <v>0</v>
      </c>
      <c r="AB10" s="111">
        <v>0</v>
      </c>
      <c r="AC10" s="111">
        <v>0</v>
      </c>
      <c r="AD10" s="111">
        <v>0</v>
      </c>
      <c r="AE10" s="111">
        <v>0</v>
      </c>
      <c r="AF10" s="111">
        <v>0</v>
      </c>
      <c r="AG10" s="111">
        <v>0</v>
      </c>
      <c r="AH10" s="111">
        <v>0</v>
      </c>
      <c r="AI10" s="111">
        <v>0</v>
      </c>
      <c r="AJ10" s="111">
        <v>0</v>
      </c>
      <c r="AK10" s="111">
        <v>0</v>
      </c>
      <c r="AL10" s="111">
        <v>0</v>
      </c>
      <c r="AM10" s="111">
        <v>0</v>
      </c>
      <c r="AN10" s="111">
        <v>0</v>
      </c>
      <c r="AO10" s="111">
        <v>0</v>
      </c>
      <c r="AP10" s="111">
        <v>0</v>
      </c>
      <c r="AQ10" s="111">
        <v>0</v>
      </c>
      <c r="AR10" s="111">
        <v>0</v>
      </c>
    </row>
    <row r="11" spans="1:44" customFormat="1" x14ac:dyDescent="0.15">
      <c r="A11" s="187" t="s">
        <v>201</v>
      </c>
      <c r="B11" s="111">
        <v>0</v>
      </c>
      <c r="C11" s="111">
        <v>1</v>
      </c>
      <c r="D11" s="111">
        <v>0</v>
      </c>
      <c r="E11" s="111">
        <v>1</v>
      </c>
      <c r="F11" s="111">
        <v>0</v>
      </c>
      <c r="G11" s="111">
        <v>1</v>
      </c>
      <c r="H11" s="111">
        <v>0</v>
      </c>
      <c r="I11" s="111">
        <v>1</v>
      </c>
      <c r="J11" s="111">
        <v>0</v>
      </c>
      <c r="K11" s="111">
        <v>0</v>
      </c>
      <c r="L11" s="111">
        <v>1</v>
      </c>
      <c r="M11" s="111">
        <v>1</v>
      </c>
      <c r="N11" s="111">
        <v>0</v>
      </c>
      <c r="O11" s="111">
        <v>0</v>
      </c>
      <c r="P11" s="111">
        <v>0</v>
      </c>
      <c r="Q11" s="111">
        <v>0</v>
      </c>
      <c r="R11" s="111">
        <v>0</v>
      </c>
      <c r="S11" s="111">
        <v>1</v>
      </c>
      <c r="T11" s="111">
        <v>0</v>
      </c>
      <c r="U11" s="111">
        <v>0</v>
      </c>
      <c r="V11" s="111">
        <v>0</v>
      </c>
      <c r="W11" s="111">
        <v>0</v>
      </c>
      <c r="X11" s="111">
        <v>1</v>
      </c>
      <c r="Y11" s="111">
        <v>0</v>
      </c>
      <c r="Z11" s="111">
        <v>0</v>
      </c>
      <c r="AA11" s="111">
        <v>0</v>
      </c>
      <c r="AB11" s="111">
        <v>0</v>
      </c>
      <c r="AC11" s="111">
        <v>0</v>
      </c>
      <c r="AD11" s="111">
        <v>0</v>
      </c>
      <c r="AE11" s="111">
        <v>0</v>
      </c>
      <c r="AF11" s="111">
        <v>0</v>
      </c>
      <c r="AG11" s="111">
        <v>0</v>
      </c>
      <c r="AH11" s="111">
        <v>0</v>
      </c>
      <c r="AI11" s="111">
        <v>0</v>
      </c>
      <c r="AJ11" s="111">
        <v>0</v>
      </c>
      <c r="AK11" s="111">
        <v>0</v>
      </c>
      <c r="AL11" s="111">
        <v>0</v>
      </c>
      <c r="AM11" s="111">
        <v>0</v>
      </c>
      <c r="AN11" s="111">
        <v>0</v>
      </c>
      <c r="AO11" s="111">
        <v>0</v>
      </c>
      <c r="AP11" s="111">
        <v>0</v>
      </c>
      <c r="AQ11" s="111">
        <v>0</v>
      </c>
      <c r="AR11" s="111">
        <v>0</v>
      </c>
    </row>
    <row r="12" spans="1:44" customFormat="1" x14ac:dyDescent="0.15">
      <c r="A12" s="187" t="s">
        <v>202</v>
      </c>
      <c r="B12" s="111">
        <v>0</v>
      </c>
      <c r="C12" s="111">
        <v>1</v>
      </c>
      <c r="D12" s="111">
        <v>1</v>
      </c>
      <c r="E12" s="111">
        <v>1</v>
      </c>
      <c r="F12" s="111">
        <v>0</v>
      </c>
      <c r="G12" s="111">
        <v>1</v>
      </c>
      <c r="H12" s="111">
        <v>1</v>
      </c>
      <c r="I12" s="111">
        <v>1</v>
      </c>
      <c r="J12" s="111">
        <v>0</v>
      </c>
      <c r="K12" s="111">
        <v>0</v>
      </c>
      <c r="L12" s="111">
        <v>1</v>
      </c>
      <c r="M12" s="111">
        <v>0</v>
      </c>
      <c r="N12" s="111">
        <v>1</v>
      </c>
      <c r="O12" s="111">
        <v>1</v>
      </c>
      <c r="P12" s="111">
        <v>0</v>
      </c>
      <c r="Q12" s="111">
        <v>0</v>
      </c>
      <c r="R12" s="111">
        <v>0</v>
      </c>
      <c r="S12" s="111">
        <v>0</v>
      </c>
      <c r="T12" s="111">
        <v>0</v>
      </c>
      <c r="U12" s="111">
        <v>0</v>
      </c>
      <c r="V12" s="111">
        <v>0</v>
      </c>
      <c r="W12" s="111">
        <v>0</v>
      </c>
      <c r="X12" s="111">
        <v>1</v>
      </c>
      <c r="Y12" s="111">
        <v>0</v>
      </c>
      <c r="Z12" s="111">
        <v>0</v>
      </c>
      <c r="AA12" s="111">
        <v>0</v>
      </c>
      <c r="AB12" s="111">
        <v>0</v>
      </c>
      <c r="AC12" s="111">
        <v>0</v>
      </c>
      <c r="AD12" s="111">
        <v>0</v>
      </c>
      <c r="AE12" s="111">
        <v>0</v>
      </c>
      <c r="AF12" s="111">
        <v>0</v>
      </c>
      <c r="AG12" s="111">
        <v>0</v>
      </c>
      <c r="AH12" s="111">
        <v>0</v>
      </c>
      <c r="AI12" s="111">
        <v>0</v>
      </c>
      <c r="AJ12" s="111">
        <v>0</v>
      </c>
      <c r="AK12" s="111">
        <v>0</v>
      </c>
      <c r="AL12" s="111">
        <v>0</v>
      </c>
      <c r="AM12" s="111">
        <v>0</v>
      </c>
      <c r="AN12" s="111">
        <v>0</v>
      </c>
      <c r="AO12" s="111">
        <v>0</v>
      </c>
      <c r="AP12" s="111">
        <v>0</v>
      </c>
      <c r="AQ12" s="111">
        <v>0</v>
      </c>
      <c r="AR12" s="111">
        <v>0</v>
      </c>
    </row>
    <row r="13" spans="1:44" customFormat="1" x14ac:dyDescent="0.15">
      <c r="A13" s="187" t="s">
        <v>203</v>
      </c>
      <c r="B13" s="111">
        <v>0</v>
      </c>
      <c r="C13" s="111">
        <v>0</v>
      </c>
      <c r="D13" s="111">
        <v>0</v>
      </c>
      <c r="E13" s="111">
        <v>0</v>
      </c>
      <c r="F13" s="111">
        <v>0</v>
      </c>
      <c r="G13" s="111">
        <v>0</v>
      </c>
      <c r="H13" s="111">
        <v>0</v>
      </c>
      <c r="I13" s="111">
        <v>0</v>
      </c>
      <c r="J13" s="111">
        <v>0</v>
      </c>
      <c r="K13" s="111">
        <v>0</v>
      </c>
      <c r="L13" s="111">
        <v>0</v>
      </c>
      <c r="M13" s="111">
        <v>1</v>
      </c>
      <c r="N13" s="111">
        <v>0</v>
      </c>
      <c r="O13" s="111">
        <v>0</v>
      </c>
      <c r="P13" s="111">
        <v>0</v>
      </c>
      <c r="Q13" s="111">
        <v>0</v>
      </c>
      <c r="R13" s="111">
        <v>0</v>
      </c>
      <c r="S13" s="111">
        <v>0</v>
      </c>
      <c r="T13" s="111">
        <v>0</v>
      </c>
      <c r="U13" s="111">
        <v>0</v>
      </c>
      <c r="V13" s="111">
        <v>0</v>
      </c>
      <c r="W13" s="111">
        <v>0</v>
      </c>
      <c r="X13" s="111">
        <v>0</v>
      </c>
      <c r="Y13" s="111">
        <v>0</v>
      </c>
      <c r="Z13" s="111">
        <v>0</v>
      </c>
      <c r="AA13" s="111">
        <v>0</v>
      </c>
      <c r="AB13" s="111">
        <v>0</v>
      </c>
      <c r="AC13" s="111">
        <v>0</v>
      </c>
      <c r="AD13" s="111">
        <v>0</v>
      </c>
      <c r="AE13" s="111">
        <v>0</v>
      </c>
      <c r="AF13" s="111">
        <v>0</v>
      </c>
      <c r="AG13" s="111">
        <v>0</v>
      </c>
      <c r="AH13" s="111">
        <v>0</v>
      </c>
      <c r="AI13" s="111">
        <v>0</v>
      </c>
      <c r="AJ13" s="111">
        <v>0</v>
      </c>
      <c r="AK13" s="111">
        <v>0</v>
      </c>
      <c r="AL13" s="111">
        <v>0</v>
      </c>
      <c r="AM13" s="111">
        <v>0</v>
      </c>
      <c r="AN13" s="111">
        <v>0</v>
      </c>
      <c r="AO13" s="111">
        <v>0</v>
      </c>
      <c r="AP13" s="111">
        <v>0</v>
      </c>
      <c r="AQ13" s="111">
        <v>0</v>
      </c>
      <c r="AR13" s="111">
        <v>0</v>
      </c>
    </row>
    <row r="14" spans="1:44" customFormat="1" x14ac:dyDescent="0.15">
      <c r="A14" s="187" t="s">
        <v>204</v>
      </c>
      <c r="B14" s="111">
        <v>0</v>
      </c>
      <c r="C14" s="111">
        <v>1</v>
      </c>
      <c r="D14" s="111">
        <v>1</v>
      </c>
      <c r="E14" s="111">
        <v>0</v>
      </c>
      <c r="F14" s="111">
        <v>1</v>
      </c>
      <c r="G14" s="111">
        <v>1</v>
      </c>
      <c r="H14" s="111">
        <v>0</v>
      </c>
      <c r="I14" s="111">
        <v>1</v>
      </c>
      <c r="J14" s="111">
        <v>0</v>
      </c>
      <c r="K14" s="111">
        <v>0</v>
      </c>
      <c r="L14" s="111">
        <v>0</v>
      </c>
      <c r="M14" s="111">
        <v>0</v>
      </c>
      <c r="N14" s="111">
        <v>1</v>
      </c>
      <c r="O14" s="111">
        <v>1</v>
      </c>
      <c r="P14" s="111">
        <v>1</v>
      </c>
      <c r="Q14" s="111">
        <v>0</v>
      </c>
      <c r="R14" s="111">
        <v>1</v>
      </c>
      <c r="S14" s="111">
        <v>0</v>
      </c>
      <c r="T14" s="111">
        <v>0</v>
      </c>
      <c r="U14" s="111">
        <v>0</v>
      </c>
      <c r="V14" s="111">
        <v>0</v>
      </c>
      <c r="W14" s="111">
        <v>0</v>
      </c>
      <c r="X14" s="111">
        <v>0</v>
      </c>
      <c r="Y14" s="111">
        <v>0</v>
      </c>
      <c r="Z14" s="111">
        <v>0</v>
      </c>
      <c r="AA14" s="111">
        <v>0</v>
      </c>
      <c r="AB14" s="111">
        <v>0</v>
      </c>
      <c r="AC14" s="111">
        <v>0</v>
      </c>
      <c r="AD14" s="111">
        <v>0</v>
      </c>
      <c r="AE14" s="111">
        <v>0</v>
      </c>
      <c r="AF14" s="111">
        <v>0</v>
      </c>
      <c r="AG14" s="111">
        <v>0</v>
      </c>
      <c r="AH14" s="111">
        <v>0</v>
      </c>
      <c r="AI14" s="111">
        <v>0</v>
      </c>
      <c r="AJ14" s="111">
        <v>0</v>
      </c>
      <c r="AK14" s="111">
        <v>0</v>
      </c>
      <c r="AL14" s="111">
        <v>0</v>
      </c>
      <c r="AM14" s="111">
        <v>0</v>
      </c>
      <c r="AN14" s="111">
        <v>0</v>
      </c>
      <c r="AO14" s="111">
        <v>0</v>
      </c>
      <c r="AP14" s="111">
        <v>0</v>
      </c>
      <c r="AQ14" s="111">
        <v>0</v>
      </c>
      <c r="AR14" s="111">
        <v>0</v>
      </c>
    </row>
    <row r="15" spans="1:44" customFormat="1" x14ac:dyDescent="0.15">
      <c r="A15" s="187" t="s">
        <v>205</v>
      </c>
      <c r="B15" s="111">
        <v>1</v>
      </c>
      <c r="C15" s="111">
        <v>0</v>
      </c>
      <c r="D15" s="111">
        <v>1</v>
      </c>
      <c r="E15" s="111">
        <v>1</v>
      </c>
      <c r="F15" s="111">
        <v>1</v>
      </c>
      <c r="G15" s="111">
        <v>0</v>
      </c>
      <c r="H15" s="111">
        <v>0</v>
      </c>
      <c r="I15" s="111">
        <v>0</v>
      </c>
      <c r="J15" s="111">
        <v>0</v>
      </c>
      <c r="K15" s="111">
        <v>0</v>
      </c>
      <c r="L15" s="111">
        <v>1</v>
      </c>
      <c r="M15" s="111">
        <v>1</v>
      </c>
      <c r="N15" s="111">
        <v>1</v>
      </c>
      <c r="O15" s="111">
        <v>0</v>
      </c>
      <c r="P15" s="111">
        <v>0</v>
      </c>
      <c r="Q15" s="111">
        <v>0</v>
      </c>
      <c r="R15" s="111">
        <v>0</v>
      </c>
      <c r="S15" s="111">
        <v>0</v>
      </c>
      <c r="T15" s="111">
        <v>0</v>
      </c>
      <c r="U15" s="111">
        <v>0</v>
      </c>
      <c r="V15" s="111">
        <v>0</v>
      </c>
      <c r="W15" s="111">
        <v>0</v>
      </c>
      <c r="X15" s="111">
        <v>1</v>
      </c>
      <c r="Y15" s="111">
        <v>0</v>
      </c>
      <c r="Z15" s="111">
        <v>0</v>
      </c>
      <c r="AA15" s="111">
        <v>0</v>
      </c>
      <c r="AB15" s="111">
        <v>0</v>
      </c>
      <c r="AC15" s="111">
        <v>0</v>
      </c>
      <c r="AD15" s="111">
        <v>0</v>
      </c>
      <c r="AE15" s="111">
        <v>0</v>
      </c>
      <c r="AF15" s="111">
        <v>0</v>
      </c>
      <c r="AG15" s="111">
        <v>0</v>
      </c>
      <c r="AH15" s="111">
        <v>0</v>
      </c>
      <c r="AI15" s="111">
        <v>0</v>
      </c>
      <c r="AJ15" s="111">
        <v>0</v>
      </c>
      <c r="AK15" s="111">
        <v>0</v>
      </c>
      <c r="AL15" s="111">
        <v>0</v>
      </c>
      <c r="AM15" s="111">
        <v>0</v>
      </c>
      <c r="AN15" s="111">
        <v>0</v>
      </c>
      <c r="AO15" s="111">
        <v>0</v>
      </c>
      <c r="AP15" s="111">
        <v>0</v>
      </c>
      <c r="AQ15" s="111">
        <v>0</v>
      </c>
      <c r="AR15" s="111">
        <v>0</v>
      </c>
    </row>
    <row r="16" spans="1:44" customFormat="1" x14ac:dyDescent="0.15">
      <c r="A16" s="187" t="s">
        <v>206</v>
      </c>
      <c r="B16" s="111">
        <v>0</v>
      </c>
      <c r="C16" s="111">
        <v>1</v>
      </c>
      <c r="D16" s="111">
        <v>1</v>
      </c>
      <c r="E16" s="111">
        <v>1</v>
      </c>
      <c r="F16" s="111">
        <v>1</v>
      </c>
      <c r="G16" s="111">
        <v>1</v>
      </c>
      <c r="H16" s="111">
        <v>0</v>
      </c>
      <c r="I16" s="111">
        <v>1</v>
      </c>
      <c r="J16" s="111">
        <v>0</v>
      </c>
      <c r="K16" s="111">
        <v>1</v>
      </c>
      <c r="L16" s="111">
        <v>1</v>
      </c>
      <c r="M16" s="111">
        <v>1</v>
      </c>
      <c r="N16" s="111">
        <v>1</v>
      </c>
      <c r="O16" s="111">
        <v>1</v>
      </c>
      <c r="P16" s="111">
        <v>1</v>
      </c>
      <c r="Q16" s="111">
        <v>0</v>
      </c>
      <c r="R16" s="111">
        <v>1</v>
      </c>
      <c r="S16" s="111">
        <v>1</v>
      </c>
      <c r="T16" s="111">
        <v>1</v>
      </c>
      <c r="U16" s="111">
        <v>0</v>
      </c>
      <c r="V16" s="111">
        <v>0</v>
      </c>
      <c r="W16" s="111">
        <v>0</v>
      </c>
      <c r="X16" s="111">
        <v>1</v>
      </c>
      <c r="Y16" s="111">
        <v>0</v>
      </c>
      <c r="Z16" s="111">
        <v>0</v>
      </c>
      <c r="AA16" s="111">
        <v>0</v>
      </c>
      <c r="AB16" s="111">
        <v>0</v>
      </c>
      <c r="AC16" s="111">
        <v>0</v>
      </c>
      <c r="AD16" s="111">
        <v>0</v>
      </c>
      <c r="AE16" s="111">
        <v>0</v>
      </c>
      <c r="AF16" s="111">
        <v>0</v>
      </c>
      <c r="AG16" s="111">
        <v>0</v>
      </c>
      <c r="AH16" s="111">
        <v>0</v>
      </c>
      <c r="AI16" s="111">
        <v>0</v>
      </c>
      <c r="AJ16" s="111">
        <v>0</v>
      </c>
      <c r="AK16" s="111">
        <v>0</v>
      </c>
      <c r="AL16" s="111">
        <v>0</v>
      </c>
      <c r="AM16" s="111">
        <v>0</v>
      </c>
      <c r="AN16" s="111">
        <v>0</v>
      </c>
      <c r="AO16" s="111">
        <v>0</v>
      </c>
      <c r="AP16" s="111">
        <v>0</v>
      </c>
      <c r="AQ16" s="111">
        <v>0</v>
      </c>
      <c r="AR16" s="111">
        <v>0</v>
      </c>
    </row>
    <row r="17" spans="1:44" customFormat="1" x14ac:dyDescent="0.15">
      <c r="A17" s="187" t="s">
        <v>207</v>
      </c>
      <c r="B17" s="111">
        <v>1</v>
      </c>
      <c r="C17" s="111">
        <v>1</v>
      </c>
      <c r="D17" s="111">
        <v>1</v>
      </c>
      <c r="E17" s="111">
        <v>1</v>
      </c>
      <c r="F17" s="111">
        <v>1</v>
      </c>
      <c r="G17" s="111">
        <v>1</v>
      </c>
      <c r="H17" s="111">
        <v>1</v>
      </c>
      <c r="I17" s="111">
        <v>1</v>
      </c>
      <c r="J17" s="111">
        <v>1</v>
      </c>
      <c r="K17" s="111">
        <v>0</v>
      </c>
      <c r="L17" s="111">
        <v>1</v>
      </c>
      <c r="M17" s="111">
        <v>0</v>
      </c>
      <c r="N17" s="111">
        <v>1</v>
      </c>
      <c r="O17" s="111">
        <v>1</v>
      </c>
      <c r="P17" s="111">
        <v>0</v>
      </c>
      <c r="Q17" s="111">
        <v>1</v>
      </c>
      <c r="R17" s="111">
        <v>1</v>
      </c>
      <c r="S17" s="111">
        <v>1</v>
      </c>
      <c r="T17" s="111">
        <v>0</v>
      </c>
      <c r="U17" s="111">
        <v>1</v>
      </c>
      <c r="V17" s="111">
        <v>0</v>
      </c>
      <c r="W17" s="111">
        <v>0</v>
      </c>
      <c r="X17" s="111">
        <v>1</v>
      </c>
      <c r="Y17" s="111">
        <v>1</v>
      </c>
      <c r="Z17" s="111">
        <v>1</v>
      </c>
      <c r="AA17" s="111">
        <v>1</v>
      </c>
      <c r="AB17" s="111">
        <v>0</v>
      </c>
      <c r="AC17" s="111">
        <v>0</v>
      </c>
      <c r="AD17" s="111">
        <v>0</v>
      </c>
      <c r="AE17" s="111">
        <v>1</v>
      </c>
      <c r="AF17" s="111">
        <v>0</v>
      </c>
      <c r="AG17" s="111">
        <v>0</v>
      </c>
      <c r="AH17" s="111">
        <v>0</v>
      </c>
      <c r="AI17" s="111">
        <v>0</v>
      </c>
      <c r="AJ17" s="111">
        <v>0</v>
      </c>
      <c r="AK17" s="111">
        <v>0</v>
      </c>
      <c r="AL17" s="111">
        <v>0</v>
      </c>
      <c r="AM17" s="111">
        <v>0</v>
      </c>
      <c r="AN17" s="111">
        <v>0</v>
      </c>
      <c r="AO17" s="111">
        <v>0</v>
      </c>
      <c r="AP17" s="111">
        <v>0</v>
      </c>
      <c r="AQ17" s="111">
        <v>0</v>
      </c>
      <c r="AR17" s="111">
        <v>0</v>
      </c>
    </row>
    <row r="18" spans="1:44" customFormat="1" x14ac:dyDescent="0.15">
      <c r="A18" s="187" t="s">
        <v>208</v>
      </c>
      <c r="B18" s="111">
        <v>0</v>
      </c>
      <c r="C18" s="111">
        <v>1</v>
      </c>
      <c r="D18" s="111">
        <v>1</v>
      </c>
      <c r="E18" s="111">
        <v>0</v>
      </c>
      <c r="F18" s="111">
        <v>0</v>
      </c>
      <c r="G18" s="111">
        <v>0</v>
      </c>
      <c r="H18" s="111">
        <v>0</v>
      </c>
      <c r="I18" s="111">
        <v>0</v>
      </c>
      <c r="J18" s="111">
        <v>0</v>
      </c>
      <c r="K18" s="111">
        <v>1</v>
      </c>
      <c r="L18" s="111">
        <v>0</v>
      </c>
      <c r="M18" s="111">
        <v>1</v>
      </c>
      <c r="N18" s="111">
        <v>0</v>
      </c>
      <c r="O18" s="111">
        <v>0</v>
      </c>
      <c r="P18" s="111">
        <v>0</v>
      </c>
      <c r="Q18" s="111">
        <v>0</v>
      </c>
      <c r="R18" s="111">
        <v>0</v>
      </c>
      <c r="S18" s="111">
        <v>0</v>
      </c>
      <c r="T18" s="111">
        <v>0</v>
      </c>
      <c r="U18" s="111">
        <v>0</v>
      </c>
      <c r="V18" s="111">
        <v>0</v>
      </c>
      <c r="W18" s="111">
        <v>0</v>
      </c>
      <c r="X18" s="111">
        <v>1</v>
      </c>
      <c r="Y18" s="111">
        <v>0</v>
      </c>
      <c r="Z18" s="111">
        <v>0</v>
      </c>
      <c r="AA18" s="111">
        <v>0</v>
      </c>
      <c r="AB18" s="111">
        <v>0</v>
      </c>
      <c r="AC18" s="111">
        <v>0</v>
      </c>
      <c r="AD18" s="111">
        <v>0</v>
      </c>
      <c r="AE18" s="111">
        <v>0</v>
      </c>
      <c r="AF18" s="111">
        <v>0</v>
      </c>
      <c r="AG18" s="111">
        <v>0</v>
      </c>
      <c r="AH18" s="111">
        <v>0</v>
      </c>
      <c r="AI18" s="111">
        <v>0</v>
      </c>
      <c r="AJ18" s="111">
        <v>0</v>
      </c>
      <c r="AK18" s="111">
        <v>0</v>
      </c>
      <c r="AL18" s="111">
        <v>0</v>
      </c>
      <c r="AM18" s="111">
        <v>0</v>
      </c>
      <c r="AN18" s="111">
        <v>0</v>
      </c>
      <c r="AO18" s="111">
        <v>0</v>
      </c>
      <c r="AP18" s="111">
        <v>0</v>
      </c>
      <c r="AQ18" s="111">
        <v>0</v>
      </c>
      <c r="AR18" s="111">
        <v>0</v>
      </c>
    </row>
    <row r="19" spans="1:44" customFormat="1" x14ac:dyDescent="0.15">
      <c r="A19" s="187" t="s">
        <v>209</v>
      </c>
      <c r="B19" s="111">
        <v>0</v>
      </c>
      <c r="C19" s="111">
        <v>1</v>
      </c>
      <c r="D19" s="111">
        <v>1</v>
      </c>
      <c r="E19" s="111">
        <v>1</v>
      </c>
      <c r="F19" s="111">
        <v>0</v>
      </c>
      <c r="G19" s="111">
        <v>1</v>
      </c>
      <c r="H19" s="111">
        <v>0</v>
      </c>
      <c r="I19" s="111">
        <v>0</v>
      </c>
      <c r="J19" s="111">
        <v>0</v>
      </c>
      <c r="K19" s="111">
        <v>1</v>
      </c>
      <c r="L19" s="111">
        <v>0</v>
      </c>
      <c r="M19" s="111">
        <v>0</v>
      </c>
      <c r="N19" s="111">
        <v>0</v>
      </c>
      <c r="O19" s="111">
        <v>0</v>
      </c>
      <c r="P19" s="111">
        <v>0</v>
      </c>
      <c r="Q19" s="111">
        <v>0</v>
      </c>
      <c r="R19" s="111">
        <v>0</v>
      </c>
      <c r="S19" s="111">
        <v>0</v>
      </c>
      <c r="T19" s="111">
        <v>1</v>
      </c>
      <c r="U19" s="111">
        <v>0</v>
      </c>
      <c r="V19" s="111">
        <v>0</v>
      </c>
      <c r="W19" s="111">
        <v>0</v>
      </c>
      <c r="X19" s="111">
        <v>0</v>
      </c>
      <c r="Y19" s="111">
        <v>0</v>
      </c>
      <c r="Z19" s="111">
        <v>0</v>
      </c>
      <c r="AA19" s="111">
        <v>0</v>
      </c>
      <c r="AB19" s="111">
        <v>0</v>
      </c>
      <c r="AC19" s="111">
        <v>0</v>
      </c>
      <c r="AD19" s="111">
        <v>0</v>
      </c>
      <c r="AE19" s="111">
        <v>0</v>
      </c>
      <c r="AF19" s="111">
        <v>0</v>
      </c>
      <c r="AG19" s="111">
        <v>0</v>
      </c>
      <c r="AH19" s="111">
        <v>0</v>
      </c>
      <c r="AI19" s="111">
        <v>0</v>
      </c>
      <c r="AJ19" s="111">
        <v>0</v>
      </c>
      <c r="AK19" s="111">
        <v>0</v>
      </c>
      <c r="AL19" s="111">
        <v>0</v>
      </c>
      <c r="AM19" s="111">
        <v>0</v>
      </c>
      <c r="AN19" s="111">
        <v>0</v>
      </c>
      <c r="AO19" s="111">
        <v>0</v>
      </c>
      <c r="AP19" s="111">
        <v>0</v>
      </c>
      <c r="AQ19" s="111">
        <v>0</v>
      </c>
      <c r="AR19" s="111">
        <v>0</v>
      </c>
    </row>
    <row r="20" spans="1:44" customFormat="1" x14ac:dyDescent="0.15">
      <c r="A20" s="187" t="s">
        <v>210</v>
      </c>
      <c r="B20" s="111">
        <v>1</v>
      </c>
      <c r="C20" s="111">
        <v>1</v>
      </c>
      <c r="D20" s="111">
        <v>1</v>
      </c>
      <c r="E20" s="111">
        <v>1</v>
      </c>
      <c r="F20" s="111">
        <v>0</v>
      </c>
      <c r="G20" s="111">
        <v>1</v>
      </c>
      <c r="H20" s="111">
        <v>0</v>
      </c>
      <c r="I20" s="111">
        <v>1</v>
      </c>
      <c r="J20" s="111">
        <v>0</v>
      </c>
      <c r="K20" s="111">
        <v>1</v>
      </c>
      <c r="L20" s="111">
        <v>1</v>
      </c>
      <c r="M20" s="111">
        <v>0</v>
      </c>
      <c r="N20" s="111">
        <v>0</v>
      </c>
      <c r="O20" s="111">
        <v>0</v>
      </c>
      <c r="P20" s="111">
        <v>1</v>
      </c>
      <c r="Q20" s="111">
        <v>0</v>
      </c>
      <c r="R20" s="111">
        <v>0</v>
      </c>
      <c r="S20" s="111">
        <v>1</v>
      </c>
      <c r="T20" s="111">
        <v>0</v>
      </c>
      <c r="U20" s="111">
        <v>0</v>
      </c>
      <c r="V20" s="111">
        <v>0</v>
      </c>
      <c r="W20" s="111">
        <v>0</v>
      </c>
      <c r="X20" s="111">
        <v>1</v>
      </c>
      <c r="Y20" s="111">
        <v>0</v>
      </c>
      <c r="Z20" s="111">
        <v>0</v>
      </c>
      <c r="AA20" s="111">
        <v>0</v>
      </c>
      <c r="AB20" s="111">
        <v>0</v>
      </c>
      <c r="AC20" s="111">
        <v>0</v>
      </c>
      <c r="AD20" s="111">
        <v>0</v>
      </c>
      <c r="AE20" s="111">
        <v>0</v>
      </c>
      <c r="AF20" s="111">
        <v>0</v>
      </c>
      <c r="AG20" s="111">
        <v>0</v>
      </c>
      <c r="AH20" s="111">
        <v>0</v>
      </c>
      <c r="AI20" s="111">
        <v>0</v>
      </c>
      <c r="AJ20" s="111">
        <v>0</v>
      </c>
      <c r="AK20" s="111">
        <v>0</v>
      </c>
      <c r="AL20" s="111">
        <v>0</v>
      </c>
      <c r="AM20" s="111">
        <v>0</v>
      </c>
      <c r="AN20" s="111">
        <v>0</v>
      </c>
      <c r="AO20" s="111">
        <v>0</v>
      </c>
      <c r="AP20" s="111">
        <v>0</v>
      </c>
      <c r="AQ20" s="111">
        <v>0</v>
      </c>
      <c r="AR20" s="111">
        <v>0</v>
      </c>
    </row>
    <row r="21" spans="1:44" customFormat="1" x14ac:dyDescent="0.15">
      <c r="A21" s="187" t="s">
        <v>211</v>
      </c>
      <c r="B21" s="111">
        <v>0</v>
      </c>
      <c r="C21" s="111">
        <v>0</v>
      </c>
      <c r="D21" s="111">
        <v>0</v>
      </c>
      <c r="E21" s="111">
        <v>0</v>
      </c>
      <c r="F21" s="111">
        <v>0</v>
      </c>
      <c r="G21" s="111">
        <v>0</v>
      </c>
      <c r="H21" s="111">
        <v>0</v>
      </c>
      <c r="I21" s="111">
        <v>0</v>
      </c>
      <c r="J21" s="111">
        <v>0</v>
      </c>
      <c r="K21" s="111">
        <v>0</v>
      </c>
      <c r="L21" s="111">
        <v>0</v>
      </c>
      <c r="M21" s="111">
        <v>0</v>
      </c>
      <c r="N21" s="111">
        <v>0</v>
      </c>
      <c r="O21" s="111">
        <v>0</v>
      </c>
      <c r="P21" s="111">
        <v>0</v>
      </c>
      <c r="Q21" s="111">
        <v>0</v>
      </c>
      <c r="R21" s="111">
        <v>0</v>
      </c>
      <c r="S21" s="111">
        <v>0</v>
      </c>
      <c r="T21" s="111">
        <v>0</v>
      </c>
      <c r="U21" s="111">
        <v>0</v>
      </c>
      <c r="V21" s="111">
        <v>0</v>
      </c>
      <c r="W21" s="111">
        <v>0</v>
      </c>
      <c r="X21" s="111">
        <v>0</v>
      </c>
      <c r="Y21" s="111">
        <v>0</v>
      </c>
      <c r="Z21" s="111">
        <v>0</v>
      </c>
      <c r="AA21" s="111">
        <v>0</v>
      </c>
      <c r="AB21" s="111">
        <v>0</v>
      </c>
      <c r="AC21" s="111">
        <v>0</v>
      </c>
      <c r="AD21" s="111">
        <v>0</v>
      </c>
      <c r="AE21" s="111">
        <v>0</v>
      </c>
      <c r="AF21" s="111">
        <v>0</v>
      </c>
      <c r="AG21" s="111">
        <v>0</v>
      </c>
      <c r="AH21" s="111">
        <v>0</v>
      </c>
      <c r="AI21" s="111">
        <v>0</v>
      </c>
      <c r="AJ21" s="111">
        <v>0</v>
      </c>
      <c r="AK21" s="111">
        <v>0</v>
      </c>
      <c r="AL21" s="111">
        <v>0</v>
      </c>
      <c r="AM21" s="111">
        <v>0</v>
      </c>
      <c r="AN21" s="111">
        <v>0</v>
      </c>
      <c r="AO21" s="111">
        <v>0</v>
      </c>
      <c r="AP21" s="111">
        <v>0</v>
      </c>
      <c r="AQ21" s="111">
        <v>0</v>
      </c>
      <c r="AR21" s="111">
        <v>0</v>
      </c>
    </row>
    <row r="22" spans="1:44" customFormat="1" x14ac:dyDescent="0.15">
      <c r="A22" s="187" t="s">
        <v>212</v>
      </c>
      <c r="B22" s="111">
        <v>0</v>
      </c>
      <c r="C22" s="111">
        <v>0</v>
      </c>
      <c r="D22" s="111">
        <v>0</v>
      </c>
      <c r="E22" s="111">
        <v>1</v>
      </c>
      <c r="F22" s="111">
        <v>1</v>
      </c>
      <c r="G22" s="111">
        <v>1</v>
      </c>
      <c r="H22" s="111">
        <v>0</v>
      </c>
      <c r="I22" s="111">
        <v>1</v>
      </c>
      <c r="J22" s="111">
        <v>0</v>
      </c>
      <c r="K22" s="111">
        <v>0</v>
      </c>
      <c r="L22" s="111">
        <v>0</v>
      </c>
      <c r="M22" s="111">
        <v>0</v>
      </c>
      <c r="N22" s="111">
        <v>0</v>
      </c>
      <c r="O22" s="111">
        <v>0</v>
      </c>
      <c r="P22" s="111">
        <v>0</v>
      </c>
      <c r="Q22" s="111">
        <v>0</v>
      </c>
      <c r="R22" s="111">
        <v>0</v>
      </c>
      <c r="S22" s="111">
        <v>0</v>
      </c>
      <c r="T22" s="111">
        <v>0</v>
      </c>
      <c r="U22" s="111">
        <v>0</v>
      </c>
      <c r="V22" s="111">
        <v>0</v>
      </c>
      <c r="W22" s="111">
        <v>0</v>
      </c>
      <c r="X22" s="111">
        <v>0</v>
      </c>
      <c r="Y22" s="111">
        <v>0</v>
      </c>
      <c r="Z22" s="111">
        <v>0</v>
      </c>
      <c r="AA22" s="111">
        <v>0</v>
      </c>
      <c r="AB22" s="111">
        <v>0</v>
      </c>
      <c r="AC22" s="111">
        <v>0</v>
      </c>
      <c r="AD22" s="111">
        <v>0</v>
      </c>
      <c r="AE22" s="111">
        <v>0</v>
      </c>
      <c r="AF22" s="111">
        <v>0</v>
      </c>
      <c r="AG22" s="111">
        <v>0</v>
      </c>
      <c r="AH22" s="111">
        <v>0</v>
      </c>
      <c r="AI22" s="111">
        <v>0</v>
      </c>
      <c r="AJ22" s="111">
        <v>0</v>
      </c>
      <c r="AK22" s="111">
        <v>0</v>
      </c>
      <c r="AL22" s="111">
        <v>0</v>
      </c>
      <c r="AM22" s="111">
        <v>0</v>
      </c>
      <c r="AN22" s="111">
        <v>0</v>
      </c>
      <c r="AO22" s="111">
        <v>0</v>
      </c>
      <c r="AP22" s="111">
        <v>0</v>
      </c>
      <c r="AQ22" s="111">
        <v>0</v>
      </c>
      <c r="AR22" s="111">
        <v>0</v>
      </c>
    </row>
    <row r="23" spans="1:44" customFormat="1" x14ac:dyDescent="0.15">
      <c r="A23" s="187" t="s">
        <v>213</v>
      </c>
      <c r="B23" s="111">
        <v>0</v>
      </c>
      <c r="C23" s="111">
        <v>0</v>
      </c>
      <c r="D23" s="111">
        <v>0</v>
      </c>
      <c r="E23" s="111">
        <v>0</v>
      </c>
      <c r="F23" s="111">
        <v>0</v>
      </c>
      <c r="G23" s="111">
        <v>1</v>
      </c>
      <c r="H23" s="111">
        <v>0</v>
      </c>
      <c r="I23" s="111">
        <v>0</v>
      </c>
      <c r="J23" s="111">
        <v>0</v>
      </c>
      <c r="K23" s="111">
        <v>0</v>
      </c>
      <c r="L23" s="111">
        <v>0</v>
      </c>
      <c r="M23" s="111">
        <v>0</v>
      </c>
      <c r="N23" s="111">
        <v>0</v>
      </c>
      <c r="O23" s="111">
        <v>0</v>
      </c>
      <c r="P23" s="111">
        <v>0</v>
      </c>
      <c r="Q23" s="111">
        <v>0</v>
      </c>
      <c r="R23" s="111">
        <v>0</v>
      </c>
      <c r="S23" s="111">
        <v>0</v>
      </c>
      <c r="T23" s="111">
        <v>0</v>
      </c>
      <c r="U23" s="111">
        <v>0</v>
      </c>
      <c r="V23" s="111">
        <v>0</v>
      </c>
      <c r="W23" s="111">
        <v>0</v>
      </c>
      <c r="X23" s="111">
        <v>0</v>
      </c>
      <c r="Y23" s="111">
        <v>0</v>
      </c>
      <c r="Z23" s="111">
        <v>0</v>
      </c>
      <c r="AA23" s="111">
        <v>0</v>
      </c>
      <c r="AB23" s="111">
        <v>0</v>
      </c>
      <c r="AC23" s="111">
        <v>0</v>
      </c>
      <c r="AD23" s="111">
        <v>0</v>
      </c>
      <c r="AE23" s="111">
        <v>0</v>
      </c>
      <c r="AF23" s="111">
        <v>0</v>
      </c>
      <c r="AG23" s="111">
        <v>0</v>
      </c>
      <c r="AH23" s="111">
        <v>0</v>
      </c>
      <c r="AI23" s="111">
        <v>0</v>
      </c>
      <c r="AJ23" s="111">
        <v>0</v>
      </c>
      <c r="AK23" s="111">
        <v>0</v>
      </c>
      <c r="AL23" s="111">
        <v>0</v>
      </c>
      <c r="AM23" s="111">
        <v>0</v>
      </c>
      <c r="AN23" s="111">
        <v>0</v>
      </c>
      <c r="AO23" s="111">
        <v>0</v>
      </c>
      <c r="AP23" s="111">
        <v>0</v>
      </c>
      <c r="AQ23" s="111">
        <v>0</v>
      </c>
      <c r="AR23" s="111">
        <v>0</v>
      </c>
    </row>
    <row r="24" spans="1:44" customFormat="1" x14ac:dyDescent="0.15">
      <c r="A24" s="187" t="s">
        <v>214</v>
      </c>
      <c r="B24" s="111">
        <v>0</v>
      </c>
      <c r="C24" s="111">
        <v>1</v>
      </c>
      <c r="D24" s="111">
        <v>1</v>
      </c>
      <c r="E24" s="111">
        <v>1</v>
      </c>
      <c r="F24" s="111">
        <v>1</v>
      </c>
      <c r="G24" s="111">
        <v>1</v>
      </c>
      <c r="H24" s="111">
        <v>1</v>
      </c>
      <c r="I24" s="111">
        <v>1</v>
      </c>
      <c r="J24" s="111">
        <v>0</v>
      </c>
      <c r="K24" s="111">
        <v>1</v>
      </c>
      <c r="L24" s="111">
        <v>1</v>
      </c>
      <c r="M24" s="111">
        <v>0</v>
      </c>
      <c r="N24" s="111">
        <v>1</v>
      </c>
      <c r="O24" s="111">
        <v>1</v>
      </c>
      <c r="P24" s="111">
        <v>1</v>
      </c>
      <c r="Q24" s="111">
        <v>0</v>
      </c>
      <c r="R24" s="111">
        <v>1</v>
      </c>
      <c r="S24" s="111">
        <v>0</v>
      </c>
      <c r="T24" s="111">
        <v>1</v>
      </c>
      <c r="U24" s="111">
        <v>0</v>
      </c>
      <c r="V24" s="111">
        <v>0</v>
      </c>
      <c r="W24" s="111">
        <v>0</v>
      </c>
      <c r="X24" s="111">
        <v>1</v>
      </c>
      <c r="Y24" s="111">
        <v>1</v>
      </c>
      <c r="Z24" s="111">
        <v>0</v>
      </c>
      <c r="AA24" s="111">
        <v>0</v>
      </c>
      <c r="AB24" s="111">
        <v>0</v>
      </c>
      <c r="AC24" s="111">
        <v>0</v>
      </c>
      <c r="AD24" s="111">
        <v>1</v>
      </c>
      <c r="AE24" s="111">
        <v>0</v>
      </c>
      <c r="AF24" s="111">
        <v>0</v>
      </c>
      <c r="AG24" s="111">
        <v>0</v>
      </c>
      <c r="AH24" s="111">
        <v>0</v>
      </c>
      <c r="AI24" s="111">
        <v>0</v>
      </c>
      <c r="AJ24" s="111">
        <v>0</v>
      </c>
      <c r="AK24" s="111">
        <v>0</v>
      </c>
      <c r="AL24" s="111">
        <v>0</v>
      </c>
      <c r="AM24" s="111">
        <v>0</v>
      </c>
      <c r="AN24" s="111">
        <v>0</v>
      </c>
      <c r="AO24" s="111">
        <v>0</v>
      </c>
      <c r="AP24" s="111">
        <v>0</v>
      </c>
      <c r="AQ24" s="111">
        <v>0</v>
      </c>
      <c r="AR24" s="111">
        <v>0</v>
      </c>
    </row>
    <row r="25" spans="1:44" customFormat="1" x14ac:dyDescent="0.15">
      <c r="A25" s="187" t="s">
        <v>215</v>
      </c>
      <c r="B25" s="111">
        <v>0</v>
      </c>
      <c r="C25" s="111">
        <v>0</v>
      </c>
      <c r="D25" s="111">
        <v>0</v>
      </c>
      <c r="E25" s="111">
        <v>0</v>
      </c>
      <c r="F25" s="111">
        <v>0</v>
      </c>
      <c r="G25" s="111">
        <v>1</v>
      </c>
      <c r="H25" s="111">
        <v>1</v>
      </c>
      <c r="I25" s="111">
        <v>1</v>
      </c>
      <c r="J25" s="111">
        <v>0</v>
      </c>
      <c r="K25" s="111">
        <v>1</v>
      </c>
      <c r="L25" s="111">
        <v>1</v>
      </c>
      <c r="M25" s="111">
        <v>0</v>
      </c>
      <c r="N25" s="111">
        <v>0</v>
      </c>
      <c r="O25" s="111">
        <v>1</v>
      </c>
      <c r="P25" s="111">
        <v>1</v>
      </c>
      <c r="Q25" s="111">
        <v>1</v>
      </c>
      <c r="R25" s="111">
        <v>0</v>
      </c>
      <c r="S25" s="111">
        <v>1</v>
      </c>
      <c r="T25" s="111">
        <v>0</v>
      </c>
      <c r="U25" s="111">
        <v>0</v>
      </c>
      <c r="V25" s="111">
        <v>0</v>
      </c>
      <c r="W25" s="111">
        <v>0</v>
      </c>
      <c r="X25" s="111">
        <v>0</v>
      </c>
      <c r="Y25" s="111">
        <v>0</v>
      </c>
      <c r="Z25" s="111">
        <v>0</v>
      </c>
      <c r="AA25" s="111">
        <v>0</v>
      </c>
      <c r="AB25" s="111">
        <v>0</v>
      </c>
      <c r="AC25" s="111">
        <v>0</v>
      </c>
      <c r="AD25" s="111">
        <v>0</v>
      </c>
      <c r="AE25" s="111">
        <v>1</v>
      </c>
      <c r="AF25" s="111">
        <v>1</v>
      </c>
      <c r="AG25" s="111">
        <v>0</v>
      </c>
      <c r="AH25" s="111">
        <v>0</v>
      </c>
      <c r="AI25" s="111">
        <v>0</v>
      </c>
      <c r="AJ25" s="111">
        <v>0</v>
      </c>
      <c r="AK25" s="111">
        <v>0</v>
      </c>
      <c r="AL25" s="111">
        <v>0</v>
      </c>
      <c r="AM25" s="111">
        <v>0</v>
      </c>
      <c r="AN25" s="111">
        <v>0</v>
      </c>
      <c r="AO25" s="111">
        <v>0</v>
      </c>
      <c r="AP25" s="111">
        <v>0</v>
      </c>
      <c r="AQ25" s="111">
        <v>0</v>
      </c>
      <c r="AR25" s="111">
        <v>0</v>
      </c>
    </row>
    <row r="26" spans="1:44" customFormat="1" x14ac:dyDescent="0.15">
      <c r="A26" s="187" t="s">
        <v>216</v>
      </c>
      <c r="B26" s="111">
        <v>1</v>
      </c>
      <c r="C26" s="111">
        <v>0</v>
      </c>
      <c r="D26" s="111">
        <v>1</v>
      </c>
      <c r="E26" s="111">
        <v>1</v>
      </c>
      <c r="F26" s="111">
        <v>1</v>
      </c>
      <c r="G26" s="111">
        <v>1</v>
      </c>
      <c r="H26" s="111">
        <v>1</v>
      </c>
      <c r="I26" s="111">
        <v>1</v>
      </c>
      <c r="J26" s="111">
        <v>1</v>
      </c>
      <c r="K26" s="111">
        <v>0</v>
      </c>
      <c r="L26" s="111">
        <v>1</v>
      </c>
      <c r="M26" s="111">
        <v>0</v>
      </c>
      <c r="N26" s="111">
        <v>0</v>
      </c>
      <c r="O26" s="111">
        <v>0</v>
      </c>
      <c r="P26" s="111">
        <v>0</v>
      </c>
      <c r="Q26" s="111">
        <v>1</v>
      </c>
      <c r="R26" s="111">
        <v>0</v>
      </c>
      <c r="S26" s="111">
        <v>0</v>
      </c>
      <c r="T26" s="111">
        <v>0</v>
      </c>
      <c r="U26" s="111">
        <v>0</v>
      </c>
      <c r="V26" s="111">
        <v>0</v>
      </c>
      <c r="W26" s="111">
        <v>0</v>
      </c>
      <c r="X26" s="111">
        <v>0</v>
      </c>
      <c r="Y26" s="111">
        <v>0</v>
      </c>
      <c r="Z26" s="111">
        <v>1</v>
      </c>
      <c r="AA26" s="111">
        <v>0</v>
      </c>
      <c r="AB26" s="111">
        <v>0</v>
      </c>
      <c r="AC26" s="111">
        <v>0</v>
      </c>
      <c r="AD26" s="111">
        <v>0</v>
      </c>
      <c r="AE26" s="111">
        <v>0</v>
      </c>
      <c r="AF26" s="111">
        <v>0</v>
      </c>
      <c r="AG26" s="111">
        <v>0</v>
      </c>
      <c r="AH26" s="111">
        <v>0</v>
      </c>
      <c r="AI26" s="111">
        <v>0</v>
      </c>
      <c r="AJ26" s="111">
        <v>0</v>
      </c>
      <c r="AK26" s="111">
        <v>0</v>
      </c>
      <c r="AL26" s="111">
        <v>0</v>
      </c>
      <c r="AM26" s="111">
        <v>0</v>
      </c>
      <c r="AN26" s="111">
        <v>0</v>
      </c>
      <c r="AO26" s="111">
        <v>0</v>
      </c>
      <c r="AP26" s="111">
        <v>0</v>
      </c>
      <c r="AQ26" s="111">
        <v>0</v>
      </c>
      <c r="AR26" s="111">
        <v>0</v>
      </c>
    </row>
    <row r="27" spans="1:44" customFormat="1" x14ac:dyDescent="0.15">
      <c r="A27" s="187" t="s">
        <v>217</v>
      </c>
      <c r="B27" s="111">
        <v>1</v>
      </c>
      <c r="C27" s="111">
        <v>1</v>
      </c>
      <c r="D27" s="111">
        <v>1</v>
      </c>
      <c r="E27" s="111">
        <v>1</v>
      </c>
      <c r="F27" s="111">
        <v>0</v>
      </c>
      <c r="G27" s="111">
        <v>1</v>
      </c>
      <c r="H27" s="111">
        <v>0</v>
      </c>
      <c r="I27" s="111">
        <v>1</v>
      </c>
      <c r="J27" s="111">
        <v>1</v>
      </c>
      <c r="K27" s="111">
        <v>0</v>
      </c>
      <c r="L27" s="111">
        <v>1</v>
      </c>
      <c r="M27" s="111">
        <v>0</v>
      </c>
      <c r="N27" s="111">
        <v>1</v>
      </c>
      <c r="O27" s="111">
        <v>1</v>
      </c>
      <c r="P27" s="111">
        <v>1</v>
      </c>
      <c r="Q27" s="111">
        <v>0</v>
      </c>
      <c r="R27" s="111">
        <v>1</v>
      </c>
      <c r="S27" s="111">
        <v>1</v>
      </c>
      <c r="T27" s="111">
        <v>1</v>
      </c>
      <c r="U27" s="111">
        <v>0</v>
      </c>
      <c r="V27" s="111">
        <v>1</v>
      </c>
      <c r="W27" s="111">
        <v>0</v>
      </c>
      <c r="X27" s="111">
        <v>1</v>
      </c>
      <c r="Y27" s="111">
        <v>0</v>
      </c>
      <c r="Z27" s="111">
        <v>1</v>
      </c>
      <c r="AA27" s="111">
        <v>1</v>
      </c>
      <c r="AB27" s="111">
        <v>1</v>
      </c>
      <c r="AC27" s="111">
        <v>0</v>
      </c>
      <c r="AD27" s="111">
        <v>0</v>
      </c>
      <c r="AE27" s="111">
        <v>0</v>
      </c>
      <c r="AF27" s="111">
        <v>1</v>
      </c>
      <c r="AG27" s="111">
        <v>0</v>
      </c>
      <c r="AH27" s="111">
        <v>0</v>
      </c>
      <c r="AI27" s="111">
        <v>0</v>
      </c>
      <c r="AJ27" s="111">
        <v>0</v>
      </c>
      <c r="AK27" s="111">
        <v>0</v>
      </c>
      <c r="AL27" s="111">
        <v>0</v>
      </c>
      <c r="AM27" s="111">
        <v>0</v>
      </c>
      <c r="AN27" s="111">
        <v>0</v>
      </c>
      <c r="AO27" s="111">
        <v>0</v>
      </c>
      <c r="AP27" s="111">
        <v>0</v>
      </c>
      <c r="AQ27" s="111">
        <v>0</v>
      </c>
      <c r="AR27" s="111">
        <v>0</v>
      </c>
    </row>
    <row r="28" spans="1:44" customFormat="1" x14ac:dyDescent="0.15">
      <c r="A28" s="187" t="s">
        <v>218</v>
      </c>
      <c r="B28" s="111">
        <v>1</v>
      </c>
      <c r="C28" s="111">
        <v>1</v>
      </c>
      <c r="D28" s="111">
        <v>1</v>
      </c>
      <c r="E28" s="111">
        <v>1</v>
      </c>
      <c r="F28" s="111">
        <v>1</v>
      </c>
      <c r="G28" s="111">
        <v>1</v>
      </c>
      <c r="H28" s="111">
        <v>1</v>
      </c>
      <c r="I28" s="111">
        <v>1</v>
      </c>
      <c r="J28" s="111">
        <v>1</v>
      </c>
      <c r="K28" s="111">
        <v>1</v>
      </c>
      <c r="L28" s="111">
        <v>1</v>
      </c>
      <c r="M28" s="111">
        <v>1</v>
      </c>
      <c r="N28" s="111">
        <v>1</v>
      </c>
      <c r="O28" s="111">
        <v>1</v>
      </c>
      <c r="P28" s="111">
        <v>1</v>
      </c>
      <c r="Q28" s="111">
        <v>1</v>
      </c>
      <c r="R28" s="111">
        <v>1</v>
      </c>
      <c r="S28" s="111">
        <v>1</v>
      </c>
      <c r="T28" s="111">
        <v>1</v>
      </c>
      <c r="U28" s="111">
        <v>1</v>
      </c>
      <c r="V28" s="111">
        <v>0</v>
      </c>
      <c r="W28" s="111">
        <v>1</v>
      </c>
      <c r="X28" s="111">
        <v>1</v>
      </c>
      <c r="Y28" s="111">
        <v>0</v>
      </c>
      <c r="Z28" s="111">
        <v>1</v>
      </c>
      <c r="AA28" s="111">
        <v>0</v>
      </c>
      <c r="AB28" s="111">
        <v>0</v>
      </c>
      <c r="AC28" s="111">
        <v>0</v>
      </c>
      <c r="AD28" s="111">
        <v>0</v>
      </c>
      <c r="AE28" s="111">
        <v>0</v>
      </c>
      <c r="AF28" s="111">
        <v>0</v>
      </c>
      <c r="AG28" s="111">
        <v>0</v>
      </c>
      <c r="AH28" s="111">
        <v>0</v>
      </c>
      <c r="AI28" s="111">
        <v>0</v>
      </c>
      <c r="AJ28" s="111">
        <v>0</v>
      </c>
      <c r="AK28" s="111">
        <v>0</v>
      </c>
      <c r="AL28" s="111">
        <v>0</v>
      </c>
      <c r="AM28" s="111">
        <v>0</v>
      </c>
      <c r="AN28" s="111">
        <v>0</v>
      </c>
      <c r="AO28" s="111">
        <v>0</v>
      </c>
      <c r="AP28" s="111">
        <v>0</v>
      </c>
      <c r="AQ28" s="111">
        <v>0</v>
      </c>
      <c r="AR28" s="111">
        <v>0</v>
      </c>
    </row>
    <row r="29" spans="1:44" customFormat="1" x14ac:dyDescent="0.15">
      <c r="A29" s="187" t="s">
        <v>219</v>
      </c>
      <c r="B29" s="111">
        <v>0</v>
      </c>
      <c r="C29" s="111">
        <v>0</v>
      </c>
      <c r="D29" s="111">
        <v>0</v>
      </c>
      <c r="E29" s="111">
        <v>0</v>
      </c>
      <c r="F29" s="111">
        <v>0</v>
      </c>
      <c r="G29" s="111">
        <v>0</v>
      </c>
      <c r="H29" s="111">
        <v>0</v>
      </c>
      <c r="I29" s="111">
        <v>0</v>
      </c>
      <c r="J29" s="111">
        <v>0</v>
      </c>
      <c r="K29" s="111">
        <v>0</v>
      </c>
      <c r="L29" s="111">
        <v>0</v>
      </c>
      <c r="M29" s="111">
        <v>0</v>
      </c>
      <c r="N29" s="111">
        <v>0</v>
      </c>
      <c r="O29" s="111">
        <v>0</v>
      </c>
      <c r="P29" s="111">
        <v>0</v>
      </c>
      <c r="Q29" s="111">
        <v>1</v>
      </c>
      <c r="R29" s="111">
        <v>0</v>
      </c>
      <c r="S29" s="111">
        <v>0</v>
      </c>
      <c r="T29" s="111">
        <v>0</v>
      </c>
      <c r="U29" s="111">
        <v>0</v>
      </c>
      <c r="V29" s="111">
        <v>0</v>
      </c>
      <c r="W29" s="111">
        <v>1</v>
      </c>
      <c r="X29" s="111">
        <v>1</v>
      </c>
      <c r="Y29" s="111">
        <v>0</v>
      </c>
      <c r="Z29" s="111">
        <v>1</v>
      </c>
      <c r="AA29" s="111">
        <v>0</v>
      </c>
      <c r="AB29" s="111">
        <v>0</v>
      </c>
      <c r="AC29" s="111">
        <v>0</v>
      </c>
      <c r="AD29" s="111">
        <v>0</v>
      </c>
      <c r="AE29" s="111">
        <v>0</v>
      </c>
      <c r="AF29" s="111">
        <v>0</v>
      </c>
      <c r="AG29" s="111">
        <v>0</v>
      </c>
      <c r="AH29" s="111">
        <v>0</v>
      </c>
      <c r="AI29" s="111">
        <v>0</v>
      </c>
      <c r="AJ29" s="111">
        <v>0</v>
      </c>
      <c r="AK29" s="111">
        <v>0</v>
      </c>
      <c r="AL29" s="111">
        <v>0</v>
      </c>
      <c r="AM29" s="111">
        <v>0</v>
      </c>
      <c r="AN29" s="111">
        <v>0</v>
      </c>
      <c r="AO29" s="111">
        <v>0</v>
      </c>
      <c r="AP29" s="111">
        <v>0</v>
      </c>
      <c r="AQ29" s="111">
        <v>0</v>
      </c>
      <c r="AR29" s="111">
        <v>0</v>
      </c>
    </row>
    <row r="30" spans="1:44" customFormat="1" x14ac:dyDescent="0.15">
      <c r="A30" s="187" t="s">
        <v>220</v>
      </c>
      <c r="B30" s="111">
        <v>1</v>
      </c>
      <c r="C30" s="111">
        <v>1</v>
      </c>
      <c r="D30" s="111">
        <v>1</v>
      </c>
      <c r="E30" s="111">
        <v>1</v>
      </c>
      <c r="F30" s="111">
        <v>1</v>
      </c>
      <c r="G30" s="111">
        <v>1</v>
      </c>
      <c r="H30" s="111">
        <v>1</v>
      </c>
      <c r="I30" s="111">
        <v>1</v>
      </c>
      <c r="J30" s="111">
        <v>0</v>
      </c>
      <c r="K30" s="111">
        <v>1</v>
      </c>
      <c r="L30" s="111">
        <v>1</v>
      </c>
      <c r="M30" s="111">
        <v>1</v>
      </c>
      <c r="N30" s="111">
        <v>1</v>
      </c>
      <c r="O30" s="111">
        <v>1</v>
      </c>
      <c r="P30" s="111">
        <v>1</v>
      </c>
      <c r="Q30" s="111">
        <v>0</v>
      </c>
      <c r="R30" s="111">
        <v>1</v>
      </c>
      <c r="S30" s="111">
        <v>1</v>
      </c>
      <c r="T30" s="111">
        <v>1</v>
      </c>
      <c r="U30" s="111">
        <v>0</v>
      </c>
      <c r="V30" s="111">
        <v>1</v>
      </c>
      <c r="W30" s="111">
        <v>1</v>
      </c>
      <c r="X30" s="111">
        <v>1</v>
      </c>
      <c r="Y30" s="111">
        <v>1</v>
      </c>
      <c r="Z30" s="111">
        <v>0</v>
      </c>
      <c r="AA30" s="111">
        <v>1</v>
      </c>
      <c r="AB30" s="111">
        <v>1</v>
      </c>
      <c r="AC30" s="111">
        <v>0</v>
      </c>
      <c r="AD30" s="111">
        <v>1</v>
      </c>
      <c r="AE30" s="111">
        <v>0</v>
      </c>
      <c r="AF30" s="111">
        <v>1</v>
      </c>
      <c r="AG30" s="111">
        <v>0</v>
      </c>
      <c r="AH30" s="111">
        <v>0</v>
      </c>
      <c r="AI30" s="111">
        <v>0</v>
      </c>
      <c r="AJ30" s="111">
        <v>0</v>
      </c>
      <c r="AK30" s="111">
        <v>0</v>
      </c>
      <c r="AL30" s="111">
        <v>0</v>
      </c>
      <c r="AM30" s="111">
        <v>0</v>
      </c>
      <c r="AN30" s="111">
        <v>0</v>
      </c>
      <c r="AO30" s="111">
        <v>0</v>
      </c>
      <c r="AP30" s="111">
        <v>0</v>
      </c>
      <c r="AQ30" s="111">
        <v>0</v>
      </c>
      <c r="AR30" s="111">
        <v>0</v>
      </c>
    </row>
    <row r="31" spans="1:44" customFormat="1" x14ac:dyDescent="0.15">
      <c r="A31" s="187" t="s">
        <v>221</v>
      </c>
      <c r="B31" s="111">
        <v>1</v>
      </c>
      <c r="C31" s="111">
        <v>1</v>
      </c>
      <c r="D31" s="111">
        <v>1</v>
      </c>
      <c r="E31" s="111">
        <v>0</v>
      </c>
      <c r="F31" s="111">
        <v>1</v>
      </c>
      <c r="G31" s="111">
        <v>1</v>
      </c>
      <c r="H31" s="111">
        <v>1</v>
      </c>
      <c r="I31" s="111">
        <v>1</v>
      </c>
      <c r="J31" s="111">
        <v>1</v>
      </c>
      <c r="K31" s="111">
        <v>1</v>
      </c>
      <c r="L31" s="111">
        <v>1</v>
      </c>
      <c r="M31" s="111">
        <v>1</v>
      </c>
      <c r="N31" s="111">
        <v>1</v>
      </c>
      <c r="O31" s="111">
        <v>1</v>
      </c>
      <c r="P31" s="111">
        <v>1</v>
      </c>
      <c r="Q31" s="111">
        <v>0</v>
      </c>
      <c r="R31" s="111">
        <v>1</v>
      </c>
      <c r="S31" s="111">
        <v>1</v>
      </c>
      <c r="T31" s="111">
        <v>0</v>
      </c>
      <c r="U31" s="111">
        <v>0</v>
      </c>
      <c r="V31" s="111">
        <v>1</v>
      </c>
      <c r="W31" s="111">
        <v>0</v>
      </c>
      <c r="X31" s="111">
        <v>1</v>
      </c>
      <c r="Y31" s="111">
        <v>1</v>
      </c>
      <c r="Z31" s="111">
        <v>1</v>
      </c>
      <c r="AA31" s="111">
        <v>0</v>
      </c>
      <c r="AB31" s="111">
        <v>1</v>
      </c>
      <c r="AC31" s="111">
        <v>0</v>
      </c>
      <c r="AD31" s="111">
        <v>1</v>
      </c>
      <c r="AE31" s="111">
        <v>1</v>
      </c>
      <c r="AF31" s="111">
        <v>1</v>
      </c>
      <c r="AG31" s="111">
        <v>0</v>
      </c>
      <c r="AH31" s="111">
        <v>0</v>
      </c>
      <c r="AI31" s="111">
        <v>0</v>
      </c>
      <c r="AJ31" s="111">
        <v>0</v>
      </c>
      <c r="AK31" s="111">
        <v>0</v>
      </c>
      <c r="AL31" s="111">
        <v>0</v>
      </c>
      <c r="AM31" s="111">
        <v>0</v>
      </c>
      <c r="AN31" s="111">
        <v>0</v>
      </c>
      <c r="AO31" s="111">
        <v>0</v>
      </c>
      <c r="AP31" s="111">
        <v>0</v>
      </c>
      <c r="AQ31" s="111">
        <v>0</v>
      </c>
      <c r="AR31" s="111">
        <v>0</v>
      </c>
    </row>
    <row r="32" spans="1:44" x14ac:dyDescent="0.15">
      <c r="A32" s="187" t="s">
        <v>222</v>
      </c>
      <c r="B32" s="111">
        <v>1</v>
      </c>
      <c r="C32" s="111">
        <v>1</v>
      </c>
      <c r="D32" s="111">
        <v>1</v>
      </c>
      <c r="E32" s="111">
        <v>1</v>
      </c>
      <c r="F32" s="111">
        <v>0</v>
      </c>
      <c r="G32" s="111">
        <v>1</v>
      </c>
      <c r="H32" s="111">
        <v>1</v>
      </c>
      <c r="I32" s="111">
        <v>1</v>
      </c>
      <c r="J32" s="111">
        <v>0</v>
      </c>
      <c r="K32" s="111">
        <v>1</v>
      </c>
      <c r="L32" s="111">
        <v>1</v>
      </c>
      <c r="M32" s="111">
        <v>0</v>
      </c>
      <c r="N32" s="111">
        <v>1</v>
      </c>
      <c r="O32" s="111">
        <v>1</v>
      </c>
      <c r="P32" s="111">
        <v>0</v>
      </c>
      <c r="Q32" s="111">
        <v>0</v>
      </c>
      <c r="R32" s="111">
        <v>1</v>
      </c>
      <c r="S32" s="111">
        <v>1</v>
      </c>
      <c r="T32" s="111">
        <v>1</v>
      </c>
      <c r="U32" s="111">
        <v>0</v>
      </c>
      <c r="V32" s="111">
        <v>0</v>
      </c>
      <c r="W32" s="111">
        <v>0</v>
      </c>
      <c r="X32" s="111">
        <v>1</v>
      </c>
      <c r="Y32" s="111">
        <v>1</v>
      </c>
      <c r="Z32" s="111">
        <v>0</v>
      </c>
      <c r="AA32" s="111">
        <v>0</v>
      </c>
      <c r="AB32" s="111">
        <v>0</v>
      </c>
      <c r="AC32" s="111">
        <v>0</v>
      </c>
      <c r="AD32" s="111">
        <v>1</v>
      </c>
      <c r="AE32" s="111">
        <v>0</v>
      </c>
      <c r="AF32" s="111">
        <v>0</v>
      </c>
      <c r="AG32" s="111">
        <v>0</v>
      </c>
      <c r="AH32" s="111">
        <v>0</v>
      </c>
      <c r="AI32" s="111">
        <v>0</v>
      </c>
      <c r="AJ32" s="111">
        <v>0</v>
      </c>
      <c r="AK32" s="111">
        <v>0</v>
      </c>
      <c r="AL32" s="111">
        <v>0</v>
      </c>
      <c r="AM32" s="111">
        <v>0</v>
      </c>
      <c r="AN32" s="111">
        <v>0</v>
      </c>
      <c r="AO32" s="111">
        <v>0</v>
      </c>
      <c r="AP32" s="111">
        <v>0</v>
      </c>
      <c r="AQ32" s="111">
        <v>0</v>
      </c>
      <c r="AR32" s="111">
        <v>0</v>
      </c>
    </row>
    <row r="33" spans="1:44" x14ac:dyDescent="0.15">
      <c r="A33" s="187" t="s">
        <v>223</v>
      </c>
      <c r="B33" s="111">
        <v>0</v>
      </c>
      <c r="C33" s="111">
        <v>1</v>
      </c>
      <c r="D33" s="111">
        <v>0</v>
      </c>
      <c r="E33" s="111">
        <v>1</v>
      </c>
      <c r="F33" s="111">
        <v>0</v>
      </c>
      <c r="G33" s="111">
        <v>1</v>
      </c>
      <c r="H33" s="111">
        <v>0</v>
      </c>
      <c r="I33" s="111">
        <v>1</v>
      </c>
      <c r="J33" s="111">
        <v>0</v>
      </c>
      <c r="K33" s="111">
        <v>1</v>
      </c>
      <c r="L33" s="111">
        <v>1</v>
      </c>
      <c r="M33" s="111">
        <v>0</v>
      </c>
      <c r="N33" s="111">
        <v>1</v>
      </c>
      <c r="O33" s="111">
        <v>0</v>
      </c>
      <c r="P33" s="111">
        <v>1</v>
      </c>
      <c r="Q33" s="111">
        <v>0</v>
      </c>
      <c r="R33" s="111">
        <v>1</v>
      </c>
      <c r="S33" s="111">
        <v>1</v>
      </c>
      <c r="T33" s="111">
        <v>1</v>
      </c>
      <c r="U33" s="111">
        <v>0</v>
      </c>
      <c r="V33" s="111">
        <v>1</v>
      </c>
      <c r="W33" s="111">
        <v>0</v>
      </c>
      <c r="X33" s="111">
        <v>1</v>
      </c>
      <c r="Y33" s="111">
        <v>1</v>
      </c>
      <c r="Z33" s="111">
        <v>1</v>
      </c>
      <c r="AA33" s="111">
        <v>1</v>
      </c>
      <c r="AB33" s="111">
        <v>0</v>
      </c>
      <c r="AC33" s="111">
        <v>0</v>
      </c>
      <c r="AD33" s="111">
        <v>1</v>
      </c>
      <c r="AE33" s="111">
        <v>1</v>
      </c>
      <c r="AF33" s="111">
        <v>1</v>
      </c>
      <c r="AG33" s="111">
        <v>1</v>
      </c>
      <c r="AH33" s="111">
        <v>0</v>
      </c>
      <c r="AI33" s="111">
        <v>0</v>
      </c>
      <c r="AJ33" s="111">
        <v>0</v>
      </c>
      <c r="AK33" s="111">
        <v>0</v>
      </c>
      <c r="AL33" s="111">
        <v>0</v>
      </c>
      <c r="AM33" s="111">
        <v>0</v>
      </c>
      <c r="AN33" s="111">
        <v>0</v>
      </c>
      <c r="AO33" s="111">
        <v>0</v>
      </c>
      <c r="AP33" s="111">
        <v>0</v>
      </c>
      <c r="AQ33" s="111">
        <v>0</v>
      </c>
      <c r="AR33" s="111">
        <v>0</v>
      </c>
    </row>
    <row r="34" spans="1:44" x14ac:dyDescent="0.15">
      <c r="A34" s="187" t="s">
        <v>224</v>
      </c>
      <c r="B34" s="111">
        <v>1</v>
      </c>
      <c r="C34" s="111">
        <v>0</v>
      </c>
      <c r="D34" s="111">
        <v>1</v>
      </c>
      <c r="E34" s="111">
        <v>0</v>
      </c>
      <c r="F34" s="111">
        <v>0</v>
      </c>
      <c r="G34" s="111">
        <v>1</v>
      </c>
      <c r="H34" s="111">
        <v>0</v>
      </c>
      <c r="I34" s="111">
        <v>0</v>
      </c>
      <c r="J34" s="111">
        <v>0</v>
      </c>
      <c r="K34" s="111">
        <v>1</v>
      </c>
      <c r="L34" s="111">
        <v>0</v>
      </c>
      <c r="M34" s="111">
        <v>0</v>
      </c>
      <c r="N34" s="111">
        <v>0</v>
      </c>
      <c r="O34" s="111">
        <v>1</v>
      </c>
      <c r="P34" s="111">
        <v>1</v>
      </c>
      <c r="Q34" s="111">
        <v>0</v>
      </c>
      <c r="R34" s="111">
        <v>1</v>
      </c>
      <c r="S34" s="111">
        <v>1</v>
      </c>
      <c r="T34" s="111">
        <v>1</v>
      </c>
      <c r="U34" s="111">
        <v>0</v>
      </c>
      <c r="V34" s="111">
        <v>1</v>
      </c>
      <c r="W34" s="111">
        <v>1</v>
      </c>
      <c r="X34" s="111">
        <v>1</v>
      </c>
      <c r="Y34" s="111">
        <v>0</v>
      </c>
      <c r="Z34" s="111">
        <v>0</v>
      </c>
      <c r="AA34" s="111">
        <v>0</v>
      </c>
      <c r="AB34" s="111">
        <v>1</v>
      </c>
      <c r="AC34" s="111">
        <v>0</v>
      </c>
      <c r="AD34" s="111">
        <v>1</v>
      </c>
      <c r="AE34" s="111">
        <v>1</v>
      </c>
      <c r="AF34" s="111">
        <v>1</v>
      </c>
      <c r="AG34" s="111">
        <v>1</v>
      </c>
      <c r="AH34" s="111">
        <v>1</v>
      </c>
      <c r="AI34" s="111">
        <v>0</v>
      </c>
      <c r="AJ34" s="111">
        <v>0</v>
      </c>
      <c r="AK34" s="111">
        <v>0</v>
      </c>
      <c r="AL34" s="111">
        <v>0</v>
      </c>
      <c r="AM34" s="111">
        <v>0</v>
      </c>
      <c r="AN34" s="111">
        <v>0</v>
      </c>
      <c r="AO34" s="111">
        <v>0</v>
      </c>
      <c r="AP34" s="111">
        <v>0</v>
      </c>
      <c r="AQ34" s="111">
        <v>0</v>
      </c>
      <c r="AR34" s="111">
        <v>0</v>
      </c>
    </row>
    <row r="35" spans="1:44" x14ac:dyDescent="0.15">
      <c r="A35" s="187" t="s">
        <v>225</v>
      </c>
      <c r="B35" s="111">
        <v>1</v>
      </c>
      <c r="C35" s="111">
        <v>1</v>
      </c>
      <c r="D35" s="111">
        <v>1</v>
      </c>
      <c r="E35" s="111">
        <v>0</v>
      </c>
      <c r="F35" s="111">
        <v>1</v>
      </c>
      <c r="G35" s="111">
        <v>1</v>
      </c>
      <c r="H35" s="111">
        <v>1</v>
      </c>
      <c r="I35" s="111">
        <v>1</v>
      </c>
      <c r="J35" s="111">
        <v>0</v>
      </c>
      <c r="K35" s="111">
        <v>0</v>
      </c>
      <c r="L35" s="111">
        <v>1</v>
      </c>
      <c r="M35" s="111">
        <v>0</v>
      </c>
      <c r="N35" s="111">
        <v>1</v>
      </c>
      <c r="O35" s="111">
        <v>1</v>
      </c>
      <c r="P35" s="111">
        <v>1</v>
      </c>
      <c r="Q35" s="111">
        <v>1</v>
      </c>
      <c r="R35" s="111">
        <v>1</v>
      </c>
      <c r="S35" s="111">
        <v>1</v>
      </c>
      <c r="T35" s="111">
        <v>1</v>
      </c>
      <c r="U35" s="111">
        <v>1</v>
      </c>
      <c r="V35" s="111">
        <v>1</v>
      </c>
      <c r="W35" s="111">
        <v>0</v>
      </c>
      <c r="X35" s="111">
        <v>1</v>
      </c>
      <c r="Y35" s="111">
        <v>1</v>
      </c>
      <c r="Z35" s="111">
        <v>1</v>
      </c>
      <c r="AA35" s="111">
        <v>1</v>
      </c>
      <c r="AB35" s="111">
        <v>1</v>
      </c>
      <c r="AC35" s="111">
        <v>0</v>
      </c>
      <c r="AD35" s="111">
        <v>1</v>
      </c>
      <c r="AE35" s="111">
        <v>1</v>
      </c>
      <c r="AF35" s="111">
        <v>1</v>
      </c>
      <c r="AG35" s="111">
        <v>1</v>
      </c>
      <c r="AH35" s="111">
        <v>1</v>
      </c>
      <c r="AI35" s="111">
        <v>1</v>
      </c>
      <c r="AJ35" s="111">
        <v>1</v>
      </c>
      <c r="AK35" s="111">
        <v>0</v>
      </c>
      <c r="AL35" s="111">
        <v>0</v>
      </c>
      <c r="AM35" s="111">
        <v>0</v>
      </c>
      <c r="AN35" s="111">
        <v>0</v>
      </c>
      <c r="AO35" s="111">
        <v>0</v>
      </c>
      <c r="AP35" s="111">
        <v>0</v>
      </c>
      <c r="AQ35" s="111">
        <v>0</v>
      </c>
      <c r="AR35" s="111">
        <v>0</v>
      </c>
    </row>
    <row r="36" spans="1:44" x14ac:dyDescent="0.15">
      <c r="A36" s="187" t="s">
        <v>226</v>
      </c>
      <c r="B36" s="111">
        <v>1</v>
      </c>
      <c r="C36" s="111">
        <v>1</v>
      </c>
      <c r="D36" s="111">
        <v>0</v>
      </c>
      <c r="E36" s="111">
        <v>1</v>
      </c>
      <c r="F36" s="111">
        <v>0</v>
      </c>
      <c r="G36" s="111">
        <v>0</v>
      </c>
      <c r="H36" s="111">
        <v>0</v>
      </c>
      <c r="I36" s="111">
        <v>1</v>
      </c>
      <c r="J36" s="111">
        <v>0</v>
      </c>
      <c r="K36" s="111">
        <v>1</v>
      </c>
      <c r="L36" s="111">
        <v>0</v>
      </c>
      <c r="M36" s="111">
        <v>1</v>
      </c>
      <c r="N36" s="111">
        <v>0</v>
      </c>
      <c r="O36" s="111">
        <v>1</v>
      </c>
      <c r="P36" s="111">
        <v>0</v>
      </c>
      <c r="Q36" s="111">
        <v>0</v>
      </c>
      <c r="R36" s="111">
        <v>0</v>
      </c>
      <c r="S36" s="111">
        <v>1</v>
      </c>
      <c r="T36" s="111">
        <v>1</v>
      </c>
      <c r="U36" s="111">
        <v>0</v>
      </c>
      <c r="V36" s="111">
        <v>0</v>
      </c>
      <c r="W36" s="111">
        <v>1</v>
      </c>
      <c r="X36" s="111">
        <v>1</v>
      </c>
      <c r="Y36" s="111">
        <v>1</v>
      </c>
      <c r="Z36" s="111">
        <v>0</v>
      </c>
      <c r="AA36" s="111">
        <v>1</v>
      </c>
      <c r="AB36" s="111">
        <v>0</v>
      </c>
      <c r="AC36" s="111">
        <v>0</v>
      </c>
      <c r="AD36" s="111">
        <v>1</v>
      </c>
      <c r="AE36" s="111">
        <v>0</v>
      </c>
      <c r="AF36" s="111">
        <v>0</v>
      </c>
      <c r="AG36" s="111">
        <v>1</v>
      </c>
      <c r="AH36" s="111">
        <v>0</v>
      </c>
      <c r="AI36" s="111">
        <v>0</v>
      </c>
      <c r="AJ36" s="111">
        <v>0</v>
      </c>
      <c r="AK36" s="111">
        <v>0</v>
      </c>
      <c r="AL36" s="111">
        <v>0</v>
      </c>
      <c r="AM36" s="111">
        <v>0</v>
      </c>
      <c r="AN36" s="111">
        <v>0</v>
      </c>
      <c r="AO36" s="111">
        <v>0</v>
      </c>
      <c r="AP36" s="111">
        <v>0</v>
      </c>
      <c r="AQ36" s="111">
        <v>0</v>
      </c>
      <c r="AR36" s="111">
        <v>0</v>
      </c>
    </row>
    <row r="37" spans="1:44" x14ac:dyDescent="0.15">
      <c r="A37" s="187" t="s">
        <v>227</v>
      </c>
      <c r="B37" s="111">
        <v>0</v>
      </c>
      <c r="C37" s="111">
        <v>0</v>
      </c>
      <c r="D37" s="111">
        <v>0</v>
      </c>
      <c r="E37" s="111">
        <v>0</v>
      </c>
      <c r="F37" s="111">
        <v>0</v>
      </c>
      <c r="G37" s="111">
        <v>0</v>
      </c>
      <c r="H37" s="111">
        <v>0</v>
      </c>
      <c r="I37" s="111">
        <v>0</v>
      </c>
      <c r="J37" s="111">
        <v>0</v>
      </c>
      <c r="K37" s="111">
        <v>0</v>
      </c>
      <c r="L37" s="111">
        <v>0</v>
      </c>
      <c r="M37" s="111">
        <v>0</v>
      </c>
      <c r="N37" s="111">
        <v>0</v>
      </c>
      <c r="O37" s="111">
        <v>0</v>
      </c>
      <c r="P37" s="111">
        <v>0</v>
      </c>
      <c r="Q37" s="111">
        <v>0</v>
      </c>
      <c r="R37" s="111">
        <v>0</v>
      </c>
      <c r="S37" s="111">
        <v>0</v>
      </c>
      <c r="T37" s="111">
        <v>0</v>
      </c>
      <c r="U37" s="111">
        <v>0</v>
      </c>
      <c r="V37" s="111">
        <v>0</v>
      </c>
      <c r="W37" s="111">
        <v>0</v>
      </c>
      <c r="X37" s="111">
        <v>0</v>
      </c>
      <c r="Y37" s="111">
        <v>0</v>
      </c>
      <c r="Z37" s="111">
        <v>0</v>
      </c>
      <c r="AA37" s="111">
        <v>0</v>
      </c>
      <c r="AB37" s="111">
        <v>0</v>
      </c>
      <c r="AC37" s="111">
        <v>0</v>
      </c>
      <c r="AD37" s="111">
        <v>0</v>
      </c>
      <c r="AE37" s="111">
        <v>0</v>
      </c>
      <c r="AF37" s="111">
        <v>0</v>
      </c>
      <c r="AG37" s="111">
        <v>0</v>
      </c>
      <c r="AH37" s="111">
        <v>0</v>
      </c>
      <c r="AI37" s="111">
        <v>0</v>
      </c>
      <c r="AJ37" s="111">
        <v>0</v>
      </c>
      <c r="AK37" s="111">
        <v>0</v>
      </c>
      <c r="AL37" s="111">
        <v>0</v>
      </c>
      <c r="AM37" s="111">
        <v>0</v>
      </c>
      <c r="AN37" s="111">
        <v>0</v>
      </c>
      <c r="AO37" s="111">
        <v>0</v>
      </c>
      <c r="AP37" s="111">
        <v>0</v>
      </c>
      <c r="AQ37" s="111">
        <v>0</v>
      </c>
      <c r="AR37" s="111">
        <v>0</v>
      </c>
    </row>
    <row r="38" spans="1:44" x14ac:dyDescent="0.15">
      <c r="A38" s="187" t="s">
        <v>228</v>
      </c>
      <c r="B38" s="111">
        <v>1</v>
      </c>
      <c r="C38" s="111">
        <v>0</v>
      </c>
      <c r="D38" s="111">
        <v>1</v>
      </c>
      <c r="E38" s="111">
        <v>1</v>
      </c>
      <c r="F38" s="111">
        <v>1</v>
      </c>
      <c r="G38" s="111">
        <v>0</v>
      </c>
      <c r="H38" s="111">
        <v>1</v>
      </c>
      <c r="I38" s="111">
        <v>1</v>
      </c>
      <c r="J38" s="111">
        <v>1</v>
      </c>
      <c r="K38" s="111">
        <v>0</v>
      </c>
      <c r="L38" s="111">
        <v>1</v>
      </c>
      <c r="M38" s="111">
        <v>0</v>
      </c>
      <c r="N38" s="111">
        <v>1</v>
      </c>
      <c r="O38" s="111">
        <v>1</v>
      </c>
      <c r="P38" s="111">
        <v>1</v>
      </c>
      <c r="Q38" s="111">
        <v>1</v>
      </c>
      <c r="R38" s="111">
        <v>1</v>
      </c>
      <c r="S38" s="111">
        <v>0</v>
      </c>
      <c r="T38" s="111">
        <v>0</v>
      </c>
      <c r="U38" s="111">
        <v>1</v>
      </c>
      <c r="V38" s="111">
        <v>1</v>
      </c>
      <c r="W38" s="111">
        <v>0</v>
      </c>
      <c r="X38" s="111">
        <v>1</v>
      </c>
      <c r="Y38" s="111">
        <v>0</v>
      </c>
      <c r="Z38" s="111">
        <v>1</v>
      </c>
      <c r="AA38" s="111">
        <v>1</v>
      </c>
      <c r="AB38" s="111">
        <v>1</v>
      </c>
      <c r="AC38" s="111">
        <v>1</v>
      </c>
      <c r="AD38" s="111">
        <v>0</v>
      </c>
      <c r="AE38" s="111">
        <v>0</v>
      </c>
      <c r="AF38" s="111">
        <v>1</v>
      </c>
      <c r="AG38" s="111">
        <v>0</v>
      </c>
      <c r="AH38" s="111">
        <v>1</v>
      </c>
      <c r="AI38" s="111">
        <v>1</v>
      </c>
      <c r="AJ38" s="111">
        <v>0</v>
      </c>
      <c r="AK38" s="111">
        <v>0</v>
      </c>
      <c r="AL38" s="111">
        <v>0</v>
      </c>
      <c r="AM38" s="111">
        <v>0</v>
      </c>
      <c r="AN38" s="111">
        <v>0</v>
      </c>
      <c r="AO38" s="111">
        <v>0</v>
      </c>
      <c r="AP38" s="111">
        <v>0</v>
      </c>
      <c r="AQ38" s="111">
        <v>0</v>
      </c>
      <c r="AR38" s="111">
        <v>0</v>
      </c>
    </row>
    <row r="39" spans="1:44" x14ac:dyDescent="0.15">
      <c r="A39" s="187" t="s">
        <v>229</v>
      </c>
      <c r="B39" s="111">
        <v>1</v>
      </c>
      <c r="C39" s="111">
        <v>1</v>
      </c>
      <c r="D39" s="111">
        <v>1</v>
      </c>
      <c r="E39" s="111">
        <v>0</v>
      </c>
      <c r="F39" s="111">
        <v>0</v>
      </c>
      <c r="G39" s="111">
        <v>0</v>
      </c>
      <c r="H39" s="111">
        <v>1</v>
      </c>
      <c r="I39" s="111">
        <v>0</v>
      </c>
      <c r="J39" s="111">
        <v>0</v>
      </c>
      <c r="K39" s="111">
        <v>0</v>
      </c>
      <c r="L39" s="111">
        <v>1</v>
      </c>
      <c r="M39" s="111">
        <v>0</v>
      </c>
      <c r="N39" s="111">
        <v>0</v>
      </c>
      <c r="O39" s="111">
        <v>1</v>
      </c>
      <c r="P39" s="111">
        <v>1</v>
      </c>
      <c r="Q39" s="111">
        <v>0</v>
      </c>
      <c r="R39" s="111">
        <v>0</v>
      </c>
      <c r="S39" s="111">
        <v>1</v>
      </c>
      <c r="T39" s="111">
        <v>1</v>
      </c>
      <c r="U39" s="111">
        <v>0</v>
      </c>
      <c r="V39" s="111">
        <v>0</v>
      </c>
      <c r="W39" s="111">
        <v>1</v>
      </c>
      <c r="X39" s="111">
        <v>1</v>
      </c>
      <c r="Y39" s="111">
        <v>1</v>
      </c>
      <c r="Z39" s="111">
        <v>0</v>
      </c>
      <c r="AA39" s="111">
        <v>0</v>
      </c>
      <c r="AB39" s="111">
        <v>1</v>
      </c>
      <c r="AC39" s="111">
        <v>0</v>
      </c>
      <c r="AD39" s="111">
        <v>0</v>
      </c>
      <c r="AE39" s="111">
        <v>1</v>
      </c>
      <c r="AF39" s="111">
        <v>1</v>
      </c>
      <c r="AG39" s="111">
        <v>1</v>
      </c>
      <c r="AH39" s="111">
        <v>0</v>
      </c>
      <c r="AI39" s="111">
        <v>1</v>
      </c>
      <c r="AJ39" s="111">
        <v>0</v>
      </c>
      <c r="AK39" s="111">
        <v>1</v>
      </c>
      <c r="AL39" s="111">
        <v>0</v>
      </c>
      <c r="AM39" s="111">
        <v>0</v>
      </c>
      <c r="AN39" s="111">
        <v>0</v>
      </c>
      <c r="AO39" s="111">
        <v>0</v>
      </c>
      <c r="AP39" s="111">
        <v>0</v>
      </c>
      <c r="AQ39" s="111">
        <v>0</v>
      </c>
      <c r="AR39" s="111">
        <v>0</v>
      </c>
    </row>
    <row r="40" spans="1:44" x14ac:dyDescent="0.15">
      <c r="A40" s="187" t="s">
        <v>230</v>
      </c>
      <c r="B40" s="111">
        <v>0</v>
      </c>
      <c r="C40" s="111">
        <v>0</v>
      </c>
      <c r="D40" s="111">
        <v>0</v>
      </c>
      <c r="E40" s="111">
        <v>0</v>
      </c>
      <c r="F40" s="111">
        <v>0</v>
      </c>
      <c r="G40" s="111">
        <v>0</v>
      </c>
      <c r="H40" s="111">
        <v>0</v>
      </c>
      <c r="I40" s="111">
        <v>1</v>
      </c>
      <c r="J40" s="111">
        <v>0</v>
      </c>
      <c r="K40" s="111">
        <v>0</v>
      </c>
      <c r="L40" s="111">
        <v>0</v>
      </c>
      <c r="M40" s="111">
        <v>0</v>
      </c>
      <c r="N40" s="111">
        <v>0</v>
      </c>
      <c r="O40" s="111">
        <v>1</v>
      </c>
      <c r="P40" s="111">
        <v>0</v>
      </c>
      <c r="Q40" s="111">
        <v>0</v>
      </c>
      <c r="R40" s="111">
        <v>1</v>
      </c>
      <c r="S40" s="111">
        <v>1</v>
      </c>
      <c r="T40" s="111">
        <v>1</v>
      </c>
      <c r="U40" s="111">
        <v>0</v>
      </c>
      <c r="V40" s="111">
        <v>0</v>
      </c>
      <c r="W40" s="111">
        <v>1</v>
      </c>
      <c r="X40" s="111">
        <v>1</v>
      </c>
      <c r="Y40" s="111">
        <v>1</v>
      </c>
      <c r="Z40" s="111">
        <v>0</v>
      </c>
      <c r="AA40" s="111">
        <v>1</v>
      </c>
      <c r="AB40" s="111">
        <v>0</v>
      </c>
      <c r="AC40" s="111">
        <v>0</v>
      </c>
      <c r="AD40" s="111">
        <v>1</v>
      </c>
      <c r="AE40" s="111">
        <v>1</v>
      </c>
      <c r="AF40" s="111">
        <v>0</v>
      </c>
      <c r="AG40" s="111">
        <v>1</v>
      </c>
      <c r="AH40" s="111">
        <v>1</v>
      </c>
      <c r="AI40" s="111">
        <v>1</v>
      </c>
      <c r="AJ40" s="111">
        <v>1</v>
      </c>
      <c r="AK40" s="111">
        <v>0</v>
      </c>
      <c r="AL40" s="111">
        <v>0</v>
      </c>
      <c r="AM40" s="111">
        <v>0</v>
      </c>
      <c r="AN40" s="111">
        <v>0</v>
      </c>
      <c r="AO40" s="111">
        <v>0</v>
      </c>
      <c r="AP40" s="111">
        <v>0</v>
      </c>
      <c r="AQ40" s="111">
        <v>0</v>
      </c>
      <c r="AR40" s="111">
        <v>0</v>
      </c>
    </row>
    <row r="41" spans="1:44" x14ac:dyDescent="0.15">
      <c r="A41" s="187" t="s">
        <v>231</v>
      </c>
      <c r="B41" s="111">
        <v>0</v>
      </c>
      <c r="C41" s="111">
        <v>0</v>
      </c>
      <c r="D41" s="111">
        <v>0</v>
      </c>
      <c r="E41" s="111">
        <v>0</v>
      </c>
      <c r="F41" s="111">
        <v>0</v>
      </c>
      <c r="G41" s="111">
        <v>0</v>
      </c>
      <c r="H41" s="111">
        <v>0</v>
      </c>
      <c r="I41" s="111">
        <v>0</v>
      </c>
      <c r="J41" s="111">
        <v>0</v>
      </c>
      <c r="K41" s="111">
        <v>0</v>
      </c>
      <c r="L41" s="111">
        <v>0</v>
      </c>
      <c r="M41" s="111">
        <v>0</v>
      </c>
      <c r="N41" s="111">
        <v>0</v>
      </c>
      <c r="O41" s="111">
        <v>0</v>
      </c>
      <c r="P41" s="111">
        <v>0</v>
      </c>
      <c r="Q41" s="111">
        <v>0</v>
      </c>
      <c r="R41" s="111">
        <v>0</v>
      </c>
      <c r="S41" s="111">
        <v>0</v>
      </c>
      <c r="T41" s="111">
        <v>0</v>
      </c>
      <c r="U41" s="111">
        <v>0</v>
      </c>
      <c r="V41" s="111">
        <v>0</v>
      </c>
      <c r="W41" s="111">
        <v>0</v>
      </c>
      <c r="X41" s="111">
        <v>1</v>
      </c>
      <c r="Y41" s="111">
        <v>0</v>
      </c>
      <c r="Z41" s="111">
        <v>1</v>
      </c>
      <c r="AA41" s="111">
        <v>1</v>
      </c>
      <c r="AB41" s="111">
        <v>1</v>
      </c>
      <c r="AC41" s="111">
        <v>1</v>
      </c>
      <c r="AD41" s="111">
        <v>0</v>
      </c>
      <c r="AE41" s="111">
        <v>0</v>
      </c>
      <c r="AF41" s="111">
        <v>0</v>
      </c>
      <c r="AG41" s="111">
        <v>1</v>
      </c>
      <c r="AH41" s="111">
        <v>1</v>
      </c>
      <c r="AI41" s="111">
        <v>1</v>
      </c>
      <c r="AJ41" s="111">
        <v>1</v>
      </c>
      <c r="AK41" s="111">
        <v>0</v>
      </c>
      <c r="AL41" s="111">
        <v>1</v>
      </c>
      <c r="AM41" s="111">
        <v>0</v>
      </c>
      <c r="AN41" s="111">
        <v>0</v>
      </c>
      <c r="AO41" s="111">
        <v>0</v>
      </c>
      <c r="AP41" s="111">
        <v>0</v>
      </c>
      <c r="AQ41" s="111">
        <v>0</v>
      </c>
      <c r="AR41" s="111">
        <v>0</v>
      </c>
    </row>
    <row r="42" spans="1:44" x14ac:dyDescent="0.15">
      <c r="A42" s="187" t="s">
        <v>232</v>
      </c>
      <c r="B42" s="111">
        <v>0</v>
      </c>
      <c r="C42" s="111">
        <v>0</v>
      </c>
      <c r="D42" s="111">
        <v>0</v>
      </c>
      <c r="E42" s="111">
        <v>0</v>
      </c>
      <c r="F42" s="111">
        <v>0</v>
      </c>
      <c r="G42" s="111">
        <v>0</v>
      </c>
      <c r="H42" s="111">
        <v>1</v>
      </c>
      <c r="I42" s="111">
        <v>0</v>
      </c>
      <c r="J42" s="111">
        <v>0</v>
      </c>
      <c r="K42" s="111">
        <v>0</v>
      </c>
      <c r="L42" s="111">
        <v>1</v>
      </c>
      <c r="M42" s="111">
        <v>0</v>
      </c>
      <c r="N42" s="111">
        <v>0</v>
      </c>
      <c r="O42" s="111">
        <v>1</v>
      </c>
      <c r="P42" s="111">
        <v>0</v>
      </c>
      <c r="Q42" s="111">
        <v>0</v>
      </c>
      <c r="R42" s="111">
        <v>0</v>
      </c>
      <c r="S42" s="111">
        <v>0</v>
      </c>
      <c r="T42" s="111">
        <v>0</v>
      </c>
      <c r="U42" s="111">
        <v>0</v>
      </c>
      <c r="V42" s="111">
        <v>0</v>
      </c>
      <c r="W42" s="111">
        <v>0</v>
      </c>
      <c r="X42" s="111">
        <v>1</v>
      </c>
      <c r="Y42" s="111">
        <v>0</v>
      </c>
      <c r="Z42" s="111">
        <v>1</v>
      </c>
      <c r="AA42" s="111">
        <v>1</v>
      </c>
      <c r="AB42" s="111">
        <v>1</v>
      </c>
      <c r="AC42" s="111">
        <v>0</v>
      </c>
      <c r="AD42" s="111">
        <v>0</v>
      </c>
      <c r="AE42" s="111">
        <v>0</v>
      </c>
      <c r="AF42" s="111">
        <v>1</v>
      </c>
      <c r="AG42" s="111">
        <v>1</v>
      </c>
      <c r="AH42" s="111">
        <v>0</v>
      </c>
      <c r="AI42" s="111">
        <v>1</v>
      </c>
      <c r="AJ42" s="111">
        <v>0</v>
      </c>
      <c r="AK42" s="111">
        <v>1</v>
      </c>
      <c r="AL42" s="111">
        <v>0</v>
      </c>
      <c r="AM42" s="111">
        <v>0</v>
      </c>
      <c r="AN42" s="111">
        <v>0</v>
      </c>
      <c r="AO42" s="111">
        <v>0</v>
      </c>
      <c r="AP42" s="111">
        <v>0</v>
      </c>
      <c r="AQ42" s="111">
        <v>0</v>
      </c>
      <c r="AR42" s="111">
        <v>0</v>
      </c>
    </row>
    <row r="43" spans="1:44" x14ac:dyDescent="0.15">
      <c r="A43" s="187" t="s">
        <v>233</v>
      </c>
      <c r="B43" s="111">
        <v>0</v>
      </c>
      <c r="C43" s="111">
        <v>0</v>
      </c>
      <c r="D43" s="111">
        <v>0</v>
      </c>
      <c r="E43" s="111">
        <v>1</v>
      </c>
      <c r="F43" s="111">
        <v>0</v>
      </c>
      <c r="G43" s="111">
        <v>0</v>
      </c>
      <c r="H43" s="111">
        <v>0</v>
      </c>
      <c r="I43" s="111">
        <v>1</v>
      </c>
      <c r="J43" s="111">
        <v>0</v>
      </c>
      <c r="K43" s="111">
        <v>0</v>
      </c>
      <c r="L43" s="111">
        <v>1</v>
      </c>
      <c r="M43" s="111">
        <v>1</v>
      </c>
      <c r="N43" s="111">
        <v>1</v>
      </c>
      <c r="O43" s="111">
        <v>1</v>
      </c>
      <c r="P43" s="111">
        <v>0</v>
      </c>
      <c r="Q43" s="111">
        <v>0</v>
      </c>
      <c r="R43" s="111">
        <v>1</v>
      </c>
      <c r="S43" s="111">
        <v>1</v>
      </c>
      <c r="T43" s="111">
        <v>1</v>
      </c>
      <c r="U43" s="111">
        <v>0</v>
      </c>
      <c r="V43" s="111">
        <v>0</v>
      </c>
      <c r="W43" s="111">
        <v>0</v>
      </c>
      <c r="X43" s="111">
        <v>1</v>
      </c>
      <c r="Y43" s="111">
        <v>1</v>
      </c>
      <c r="Z43" s="111">
        <v>0</v>
      </c>
      <c r="AA43" s="111">
        <v>1</v>
      </c>
      <c r="AB43" s="111">
        <v>1</v>
      </c>
      <c r="AC43" s="111">
        <v>1</v>
      </c>
      <c r="AD43" s="111">
        <v>1</v>
      </c>
      <c r="AE43" s="111">
        <v>1</v>
      </c>
      <c r="AF43" s="111">
        <v>1</v>
      </c>
      <c r="AG43" s="111">
        <v>1</v>
      </c>
      <c r="AH43" s="111">
        <v>1</v>
      </c>
      <c r="AI43" s="111">
        <v>1</v>
      </c>
      <c r="AJ43" s="111">
        <v>1</v>
      </c>
      <c r="AK43" s="111">
        <v>0</v>
      </c>
      <c r="AL43" s="111">
        <v>1</v>
      </c>
      <c r="AM43" s="111">
        <v>0</v>
      </c>
      <c r="AN43" s="111">
        <v>0</v>
      </c>
      <c r="AO43" s="111">
        <v>0</v>
      </c>
      <c r="AP43" s="111">
        <v>0</v>
      </c>
      <c r="AQ43" s="111">
        <v>0</v>
      </c>
      <c r="AR43" s="111">
        <v>0</v>
      </c>
    </row>
    <row r="44" spans="1:44" x14ac:dyDescent="0.15">
      <c r="A44" s="187" t="s">
        <v>234</v>
      </c>
      <c r="B44" s="111">
        <v>0</v>
      </c>
      <c r="C44" s="111">
        <v>0</v>
      </c>
      <c r="D44" s="111">
        <v>0</v>
      </c>
      <c r="E44" s="111">
        <v>0</v>
      </c>
      <c r="F44" s="111">
        <v>0</v>
      </c>
      <c r="G44" s="111">
        <v>0</v>
      </c>
      <c r="H44" s="111">
        <v>0</v>
      </c>
      <c r="I44" s="111">
        <v>0</v>
      </c>
      <c r="J44" s="111">
        <v>0</v>
      </c>
      <c r="K44" s="111">
        <v>0</v>
      </c>
      <c r="L44" s="111">
        <v>0</v>
      </c>
      <c r="M44" s="111">
        <v>0</v>
      </c>
      <c r="N44" s="111">
        <v>0</v>
      </c>
      <c r="O44" s="111">
        <v>0</v>
      </c>
      <c r="P44" s="111">
        <v>0</v>
      </c>
      <c r="Q44" s="111">
        <v>0</v>
      </c>
      <c r="R44" s="111">
        <v>0</v>
      </c>
      <c r="S44" s="111">
        <v>0</v>
      </c>
      <c r="T44" s="111">
        <v>0</v>
      </c>
      <c r="U44" s="111">
        <v>0</v>
      </c>
      <c r="V44" s="111">
        <v>0</v>
      </c>
      <c r="W44" s="111">
        <v>0</v>
      </c>
      <c r="X44" s="111">
        <v>0</v>
      </c>
      <c r="Y44" s="111">
        <v>0</v>
      </c>
      <c r="Z44" s="111">
        <v>0</v>
      </c>
      <c r="AA44" s="111">
        <v>0</v>
      </c>
      <c r="AB44" s="111">
        <v>0</v>
      </c>
      <c r="AC44" s="111">
        <v>0</v>
      </c>
      <c r="AD44" s="111">
        <v>0</v>
      </c>
      <c r="AE44" s="111">
        <v>0</v>
      </c>
      <c r="AF44" s="111">
        <v>0</v>
      </c>
      <c r="AG44" s="111">
        <v>0</v>
      </c>
      <c r="AH44" s="111">
        <v>0</v>
      </c>
      <c r="AI44" s="111">
        <v>0</v>
      </c>
      <c r="AJ44" s="111">
        <v>0</v>
      </c>
      <c r="AK44" s="111">
        <v>0</v>
      </c>
      <c r="AL44" s="111">
        <v>0</v>
      </c>
      <c r="AM44" s="111">
        <v>0</v>
      </c>
      <c r="AN44" s="111">
        <v>0</v>
      </c>
      <c r="AO44" s="111">
        <v>0</v>
      </c>
      <c r="AP44" s="111">
        <v>0</v>
      </c>
      <c r="AQ44" s="111">
        <v>0</v>
      </c>
      <c r="AR44" s="111">
        <v>0</v>
      </c>
    </row>
    <row r="45" spans="1:44" x14ac:dyDescent="0.15">
      <c r="A45" s="187" t="s">
        <v>244</v>
      </c>
      <c r="B45" s="111">
        <v>0</v>
      </c>
      <c r="C45" s="111">
        <v>0</v>
      </c>
      <c r="D45" s="111">
        <v>0</v>
      </c>
      <c r="E45" s="111">
        <v>0</v>
      </c>
      <c r="F45" s="111">
        <v>0</v>
      </c>
      <c r="G45" s="111">
        <v>0</v>
      </c>
      <c r="H45" s="111">
        <v>0</v>
      </c>
      <c r="I45" s="111">
        <v>0</v>
      </c>
      <c r="J45" s="111">
        <v>0</v>
      </c>
      <c r="K45" s="111">
        <v>0</v>
      </c>
      <c r="L45" s="111">
        <v>0</v>
      </c>
      <c r="M45" s="111">
        <v>0</v>
      </c>
      <c r="N45" s="111">
        <v>0</v>
      </c>
      <c r="O45" s="111">
        <v>0</v>
      </c>
      <c r="P45" s="111">
        <v>0</v>
      </c>
      <c r="Q45" s="111">
        <v>0</v>
      </c>
      <c r="R45" s="111">
        <v>0</v>
      </c>
      <c r="S45" s="111">
        <v>0</v>
      </c>
      <c r="T45" s="111">
        <v>0</v>
      </c>
      <c r="U45" s="111">
        <v>0</v>
      </c>
      <c r="V45" s="111">
        <v>0</v>
      </c>
      <c r="W45" s="111">
        <v>0</v>
      </c>
      <c r="X45" s="111">
        <v>0</v>
      </c>
      <c r="Y45" s="111">
        <v>0</v>
      </c>
      <c r="Z45" s="111">
        <v>0</v>
      </c>
      <c r="AA45" s="111">
        <v>0</v>
      </c>
      <c r="AB45" s="111">
        <v>0</v>
      </c>
      <c r="AC45" s="111">
        <v>0</v>
      </c>
      <c r="AD45" s="111">
        <v>0</v>
      </c>
      <c r="AE45" s="111">
        <v>0</v>
      </c>
      <c r="AF45" s="111">
        <v>0</v>
      </c>
      <c r="AG45" s="111">
        <v>0</v>
      </c>
      <c r="AH45" s="111">
        <v>0</v>
      </c>
      <c r="AI45" s="111">
        <v>0</v>
      </c>
      <c r="AJ45" s="111">
        <v>0</v>
      </c>
      <c r="AK45" s="111">
        <v>0</v>
      </c>
      <c r="AL45" s="111">
        <v>0</v>
      </c>
      <c r="AM45" s="111">
        <v>0</v>
      </c>
      <c r="AN45" s="111">
        <v>0</v>
      </c>
      <c r="AO45" s="111">
        <v>0</v>
      </c>
      <c r="AP45" s="111">
        <v>0</v>
      </c>
      <c r="AQ45" s="111">
        <v>0</v>
      </c>
      <c r="AR45" s="111">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K185"/>
  <sheetViews>
    <sheetView workbookViewId="0">
      <selection activeCell="A3" sqref="A3"/>
    </sheetView>
  </sheetViews>
  <sheetFormatPr baseColWidth="10" defaultRowHeight="13" x14ac:dyDescent="0.15"/>
  <cols>
    <col min="1" max="1" width="3.33203125" customWidth="1"/>
    <col min="2" max="2" width="31.5" bestFit="1" customWidth="1"/>
    <col min="3" max="4" width="3.83203125" bestFit="1" customWidth="1"/>
    <col min="5" max="11" width="3.83203125" customWidth="1"/>
  </cols>
  <sheetData>
    <row r="1" spans="1:11" ht="112" x14ac:dyDescent="0.15">
      <c r="A1" s="5" t="s">
        <v>83</v>
      </c>
      <c r="B1" s="3" t="s">
        <v>0</v>
      </c>
      <c r="C1" s="190" t="s">
        <v>235</v>
      </c>
      <c r="D1" s="190" t="s">
        <v>236</v>
      </c>
      <c r="E1" s="190" t="s">
        <v>237</v>
      </c>
      <c r="F1" s="190" t="s">
        <v>238</v>
      </c>
      <c r="G1" s="190" t="s">
        <v>239</v>
      </c>
      <c r="H1" s="190" t="s">
        <v>240</v>
      </c>
      <c r="I1" s="190" t="s">
        <v>241</v>
      </c>
      <c r="J1" s="190" t="s">
        <v>242</v>
      </c>
      <c r="K1" s="190" t="s">
        <v>243</v>
      </c>
    </row>
    <row r="2" spans="1:11" x14ac:dyDescent="0.15">
      <c r="A2">
        <v>1</v>
      </c>
      <c r="B2" s="189" t="s">
        <v>192</v>
      </c>
      <c r="C2">
        <v>0</v>
      </c>
      <c r="D2">
        <v>0</v>
      </c>
      <c r="E2">
        <v>0</v>
      </c>
      <c r="F2">
        <v>0</v>
      </c>
      <c r="G2">
        <v>0.8</v>
      </c>
      <c r="H2">
        <v>0</v>
      </c>
      <c r="I2">
        <v>0.8</v>
      </c>
      <c r="J2">
        <v>0</v>
      </c>
      <c r="K2">
        <v>0</v>
      </c>
    </row>
    <row r="3" spans="1:11" x14ac:dyDescent="0.15">
      <c r="A3">
        <v>2</v>
      </c>
      <c r="B3" s="189" t="s">
        <v>193</v>
      </c>
      <c r="C3">
        <v>0.8</v>
      </c>
      <c r="D3">
        <v>0</v>
      </c>
      <c r="E3">
        <v>0.8</v>
      </c>
      <c r="F3">
        <v>0</v>
      </c>
      <c r="G3">
        <v>0.8</v>
      </c>
      <c r="H3">
        <v>0.8</v>
      </c>
      <c r="I3">
        <v>0.8</v>
      </c>
      <c r="J3">
        <v>0</v>
      </c>
      <c r="K3">
        <v>0</v>
      </c>
    </row>
    <row r="4" spans="1:11" x14ac:dyDescent="0.15">
      <c r="A4">
        <v>3</v>
      </c>
      <c r="B4" s="189" t="s">
        <v>194</v>
      </c>
      <c r="C4">
        <v>0</v>
      </c>
      <c r="D4">
        <v>0</v>
      </c>
      <c r="E4">
        <v>0.8</v>
      </c>
      <c r="F4">
        <v>0</v>
      </c>
      <c r="G4">
        <v>0.8</v>
      </c>
      <c r="H4">
        <v>0</v>
      </c>
      <c r="I4">
        <v>0.8</v>
      </c>
      <c r="J4">
        <v>0</v>
      </c>
      <c r="K4">
        <v>0</v>
      </c>
    </row>
    <row r="5" spans="1:11" x14ac:dyDescent="0.15">
      <c r="A5">
        <v>4</v>
      </c>
      <c r="B5" s="189" t="s">
        <v>195</v>
      </c>
      <c r="C5">
        <v>0</v>
      </c>
      <c r="D5">
        <v>0</v>
      </c>
      <c r="E5">
        <v>0</v>
      </c>
      <c r="F5">
        <v>0</v>
      </c>
      <c r="G5">
        <v>0</v>
      </c>
      <c r="H5">
        <v>0</v>
      </c>
      <c r="I5">
        <v>0</v>
      </c>
      <c r="J5">
        <v>0</v>
      </c>
      <c r="K5">
        <v>0</v>
      </c>
    </row>
    <row r="6" spans="1:11" x14ac:dyDescent="0.15">
      <c r="A6">
        <v>5</v>
      </c>
      <c r="B6" s="189" t="s">
        <v>196</v>
      </c>
      <c r="C6">
        <v>0.8</v>
      </c>
      <c r="D6">
        <v>0</v>
      </c>
      <c r="E6">
        <v>0.8</v>
      </c>
      <c r="F6">
        <v>0</v>
      </c>
      <c r="G6">
        <v>0.8</v>
      </c>
      <c r="H6">
        <v>0.8</v>
      </c>
      <c r="I6">
        <v>0.8</v>
      </c>
      <c r="J6">
        <v>0</v>
      </c>
      <c r="K6">
        <v>0.8</v>
      </c>
    </row>
    <row r="7" spans="1:11" x14ac:dyDescent="0.15">
      <c r="A7">
        <v>6</v>
      </c>
      <c r="B7" s="189" t="s">
        <v>197</v>
      </c>
      <c r="C7">
        <v>0.8</v>
      </c>
      <c r="D7">
        <v>0</v>
      </c>
      <c r="E7">
        <v>0.8</v>
      </c>
      <c r="F7">
        <v>0.8</v>
      </c>
      <c r="G7">
        <v>0.8</v>
      </c>
      <c r="H7">
        <v>0</v>
      </c>
      <c r="I7">
        <v>0.8</v>
      </c>
      <c r="J7">
        <v>0</v>
      </c>
      <c r="K7">
        <v>0.8</v>
      </c>
    </row>
    <row r="8" spans="1:11" x14ac:dyDescent="0.15">
      <c r="A8">
        <v>7</v>
      </c>
      <c r="B8" s="189" t="s">
        <v>198</v>
      </c>
      <c r="C8">
        <v>0</v>
      </c>
      <c r="D8">
        <v>0</v>
      </c>
      <c r="E8">
        <v>0.8</v>
      </c>
      <c r="F8">
        <v>0</v>
      </c>
      <c r="G8">
        <v>0.8</v>
      </c>
      <c r="H8">
        <v>0</v>
      </c>
      <c r="I8">
        <v>0.8</v>
      </c>
      <c r="J8">
        <v>0</v>
      </c>
      <c r="K8">
        <v>0.8</v>
      </c>
    </row>
    <row r="9" spans="1:11" x14ac:dyDescent="0.15">
      <c r="A9">
        <v>8</v>
      </c>
      <c r="B9" s="189" t="s">
        <v>199</v>
      </c>
      <c r="C9">
        <v>0</v>
      </c>
      <c r="D9">
        <v>0</v>
      </c>
      <c r="E9">
        <v>0</v>
      </c>
      <c r="F9">
        <v>0</v>
      </c>
      <c r="G9">
        <v>0.8</v>
      </c>
      <c r="H9">
        <v>0</v>
      </c>
      <c r="I9">
        <v>0.8</v>
      </c>
      <c r="J9">
        <v>0</v>
      </c>
      <c r="K9">
        <v>0</v>
      </c>
    </row>
    <row r="10" spans="1:11" x14ac:dyDescent="0.15">
      <c r="A10">
        <v>9</v>
      </c>
      <c r="B10" s="189" t="s">
        <v>200</v>
      </c>
      <c r="C10">
        <v>0.8</v>
      </c>
      <c r="D10">
        <v>0</v>
      </c>
      <c r="E10">
        <v>0.8</v>
      </c>
      <c r="F10">
        <v>0</v>
      </c>
      <c r="G10">
        <v>0.8</v>
      </c>
      <c r="H10">
        <v>0.8</v>
      </c>
      <c r="I10">
        <v>0.8</v>
      </c>
      <c r="J10">
        <v>0</v>
      </c>
      <c r="K10">
        <v>0.8</v>
      </c>
    </row>
    <row r="11" spans="1:11" x14ac:dyDescent="0.15">
      <c r="A11">
        <v>10</v>
      </c>
      <c r="B11" s="189" t="s">
        <v>201</v>
      </c>
      <c r="C11">
        <v>0</v>
      </c>
      <c r="D11">
        <v>0</v>
      </c>
      <c r="E11">
        <v>0</v>
      </c>
      <c r="F11">
        <v>0</v>
      </c>
      <c r="G11">
        <v>0.8</v>
      </c>
      <c r="H11">
        <v>0</v>
      </c>
      <c r="I11">
        <v>0</v>
      </c>
      <c r="J11">
        <v>0</v>
      </c>
      <c r="K11">
        <v>0.8</v>
      </c>
    </row>
    <row r="12" spans="1:11" x14ac:dyDescent="0.15">
      <c r="A12">
        <v>11</v>
      </c>
      <c r="B12" s="189" t="s">
        <v>202</v>
      </c>
      <c r="C12">
        <v>0</v>
      </c>
      <c r="D12">
        <v>0</v>
      </c>
      <c r="E12">
        <v>0.8</v>
      </c>
      <c r="F12">
        <v>0</v>
      </c>
      <c r="G12">
        <v>0.8</v>
      </c>
      <c r="H12">
        <v>0.8</v>
      </c>
      <c r="I12">
        <v>0.8</v>
      </c>
      <c r="J12">
        <v>0</v>
      </c>
      <c r="K12">
        <v>0.8</v>
      </c>
    </row>
    <row r="13" spans="1:11" x14ac:dyDescent="0.15">
      <c r="A13">
        <v>12</v>
      </c>
      <c r="B13" s="189" t="s">
        <v>203</v>
      </c>
      <c r="C13">
        <v>0</v>
      </c>
      <c r="D13">
        <v>0</v>
      </c>
      <c r="E13">
        <v>0</v>
      </c>
      <c r="F13">
        <v>0</v>
      </c>
      <c r="G13">
        <v>0</v>
      </c>
      <c r="H13">
        <v>0</v>
      </c>
      <c r="I13">
        <v>0</v>
      </c>
      <c r="J13">
        <v>0</v>
      </c>
      <c r="K13">
        <v>0</v>
      </c>
    </row>
    <row r="14" spans="1:11" x14ac:dyDescent="0.15">
      <c r="A14">
        <v>13</v>
      </c>
      <c r="B14" s="189" t="s">
        <v>204</v>
      </c>
      <c r="C14">
        <v>0.8</v>
      </c>
      <c r="D14">
        <v>0.8</v>
      </c>
      <c r="E14">
        <v>0.8</v>
      </c>
      <c r="F14">
        <v>0</v>
      </c>
      <c r="G14">
        <v>0</v>
      </c>
      <c r="H14">
        <v>0</v>
      </c>
      <c r="I14">
        <v>0</v>
      </c>
      <c r="J14">
        <v>0</v>
      </c>
      <c r="K14">
        <v>0.8</v>
      </c>
    </row>
    <row r="15" spans="1:11" x14ac:dyDescent="0.15">
      <c r="A15">
        <v>14</v>
      </c>
      <c r="B15" s="189" t="s">
        <v>205</v>
      </c>
      <c r="C15">
        <v>0.8</v>
      </c>
      <c r="D15">
        <v>0</v>
      </c>
      <c r="E15">
        <v>0.8</v>
      </c>
      <c r="F15">
        <v>0</v>
      </c>
      <c r="G15">
        <v>0.8</v>
      </c>
      <c r="H15">
        <v>0.8</v>
      </c>
      <c r="I15">
        <v>0.8</v>
      </c>
      <c r="J15">
        <v>0</v>
      </c>
      <c r="K15">
        <v>0.8</v>
      </c>
    </row>
    <row r="16" spans="1:11" x14ac:dyDescent="0.15">
      <c r="A16">
        <v>15</v>
      </c>
      <c r="B16" s="189" t="s">
        <v>206</v>
      </c>
      <c r="C16">
        <v>0.8</v>
      </c>
      <c r="D16">
        <v>0</v>
      </c>
      <c r="E16">
        <v>0.8</v>
      </c>
      <c r="F16">
        <v>0</v>
      </c>
      <c r="G16">
        <v>0.8</v>
      </c>
      <c r="H16">
        <v>0</v>
      </c>
      <c r="I16">
        <v>0.8</v>
      </c>
      <c r="J16">
        <v>0</v>
      </c>
      <c r="K16">
        <v>0.8</v>
      </c>
    </row>
    <row r="17" spans="1:11" x14ac:dyDescent="0.15">
      <c r="A17">
        <v>16</v>
      </c>
      <c r="B17" s="189" t="s">
        <v>207</v>
      </c>
      <c r="C17">
        <v>0.8</v>
      </c>
      <c r="D17">
        <v>0</v>
      </c>
      <c r="E17">
        <v>0</v>
      </c>
      <c r="F17">
        <v>0</v>
      </c>
      <c r="G17">
        <v>0</v>
      </c>
      <c r="H17">
        <v>0</v>
      </c>
      <c r="I17">
        <v>0.8</v>
      </c>
      <c r="J17">
        <v>0</v>
      </c>
      <c r="K17">
        <v>0</v>
      </c>
    </row>
    <row r="18" spans="1:11" x14ac:dyDescent="0.15">
      <c r="A18">
        <v>17</v>
      </c>
      <c r="B18" s="189" t="s">
        <v>208</v>
      </c>
      <c r="C18">
        <v>0.8</v>
      </c>
      <c r="D18">
        <v>0</v>
      </c>
      <c r="E18">
        <v>0.8</v>
      </c>
      <c r="F18">
        <v>0</v>
      </c>
      <c r="G18">
        <v>0</v>
      </c>
      <c r="H18">
        <v>0</v>
      </c>
      <c r="I18">
        <v>0</v>
      </c>
      <c r="J18">
        <v>0</v>
      </c>
      <c r="K18">
        <v>0</v>
      </c>
    </row>
    <row r="19" spans="1:11" x14ac:dyDescent="0.15">
      <c r="A19">
        <v>18</v>
      </c>
      <c r="B19" s="189" t="s">
        <v>209</v>
      </c>
      <c r="C19">
        <v>0.8</v>
      </c>
      <c r="D19">
        <v>0</v>
      </c>
      <c r="E19">
        <v>0.8</v>
      </c>
      <c r="F19">
        <v>0</v>
      </c>
      <c r="G19">
        <v>0</v>
      </c>
      <c r="H19">
        <v>0</v>
      </c>
      <c r="I19">
        <v>0.8</v>
      </c>
      <c r="J19">
        <v>0</v>
      </c>
      <c r="K19">
        <v>0</v>
      </c>
    </row>
    <row r="20" spans="1:11" x14ac:dyDescent="0.15">
      <c r="A20">
        <v>19</v>
      </c>
      <c r="B20" s="189" t="s">
        <v>210</v>
      </c>
      <c r="C20">
        <v>0</v>
      </c>
      <c r="D20">
        <v>0</v>
      </c>
      <c r="E20">
        <v>0</v>
      </c>
      <c r="F20">
        <v>0</v>
      </c>
      <c r="G20">
        <v>0</v>
      </c>
      <c r="H20">
        <v>0</v>
      </c>
      <c r="I20">
        <v>0.8</v>
      </c>
      <c r="J20">
        <v>0</v>
      </c>
      <c r="K20">
        <v>0.8</v>
      </c>
    </row>
    <row r="21" spans="1:11" x14ac:dyDescent="0.15">
      <c r="A21">
        <v>20</v>
      </c>
      <c r="B21" s="189" t="s">
        <v>211</v>
      </c>
      <c r="C21">
        <v>0</v>
      </c>
      <c r="D21">
        <v>0</v>
      </c>
      <c r="E21">
        <v>0</v>
      </c>
      <c r="F21">
        <v>0</v>
      </c>
      <c r="G21">
        <v>0</v>
      </c>
      <c r="H21">
        <v>0</v>
      </c>
      <c r="I21">
        <v>0</v>
      </c>
      <c r="J21">
        <v>0</v>
      </c>
      <c r="K21">
        <v>0</v>
      </c>
    </row>
    <row r="22" spans="1:11" x14ac:dyDescent="0.15">
      <c r="A22">
        <v>21</v>
      </c>
      <c r="B22" s="189" t="s">
        <v>212</v>
      </c>
      <c r="C22">
        <v>0</v>
      </c>
      <c r="D22">
        <v>0</v>
      </c>
      <c r="E22">
        <v>0</v>
      </c>
      <c r="F22">
        <v>0</v>
      </c>
      <c r="G22">
        <v>0</v>
      </c>
      <c r="H22">
        <v>0</v>
      </c>
      <c r="I22">
        <v>0</v>
      </c>
      <c r="J22">
        <v>0</v>
      </c>
      <c r="K22">
        <v>0</v>
      </c>
    </row>
    <row r="23" spans="1:11" x14ac:dyDescent="0.15">
      <c r="A23">
        <v>22</v>
      </c>
      <c r="B23" s="189" t="s">
        <v>213</v>
      </c>
      <c r="C23">
        <v>0</v>
      </c>
      <c r="D23">
        <v>0</v>
      </c>
      <c r="E23">
        <v>0</v>
      </c>
      <c r="F23">
        <v>0</v>
      </c>
      <c r="G23">
        <v>0</v>
      </c>
      <c r="H23">
        <v>0</v>
      </c>
      <c r="I23">
        <v>0</v>
      </c>
      <c r="J23">
        <v>0</v>
      </c>
      <c r="K23">
        <v>0.8</v>
      </c>
    </row>
    <row r="24" spans="1:11" x14ac:dyDescent="0.15">
      <c r="A24">
        <v>23</v>
      </c>
      <c r="B24" s="189" t="s">
        <v>214</v>
      </c>
      <c r="C24">
        <v>0.8</v>
      </c>
      <c r="D24">
        <v>0</v>
      </c>
      <c r="E24">
        <v>0.8</v>
      </c>
      <c r="F24">
        <v>0.8</v>
      </c>
      <c r="G24">
        <v>0.8</v>
      </c>
      <c r="H24">
        <v>0.8</v>
      </c>
      <c r="I24">
        <v>0.8</v>
      </c>
      <c r="J24">
        <v>0</v>
      </c>
      <c r="K24">
        <v>0.8</v>
      </c>
    </row>
    <row r="25" spans="1:11" x14ac:dyDescent="0.15">
      <c r="A25">
        <v>24</v>
      </c>
      <c r="B25" s="189" t="s">
        <v>215</v>
      </c>
      <c r="C25">
        <v>0</v>
      </c>
      <c r="D25">
        <v>0</v>
      </c>
      <c r="E25">
        <v>0</v>
      </c>
      <c r="F25">
        <v>0</v>
      </c>
      <c r="G25">
        <v>0</v>
      </c>
      <c r="H25">
        <v>0</v>
      </c>
      <c r="I25">
        <v>0</v>
      </c>
      <c r="J25">
        <v>0</v>
      </c>
      <c r="K25">
        <v>0</v>
      </c>
    </row>
    <row r="26" spans="1:11" x14ac:dyDescent="0.15">
      <c r="A26">
        <v>25</v>
      </c>
      <c r="B26" s="189" t="s">
        <v>216</v>
      </c>
      <c r="C26">
        <v>0.8</v>
      </c>
      <c r="D26">
        <v>0</v>
      </c>
      <c r="E26">
        <v>0.8</v>
      </c>
      <c r="F26">
        <v>0</v>
      </c>
      <c r="G26">
        <v>0.8</v>
      </c>
      <c r="H26">
        <v>0.8</v>
      </c>
      <c r="I26">
        <v>0.8</v>
      </c>
      <c r="J26">
        <v>0.8</v>
      </c>
      <c r="K26">
        <v>0.8</v>
      </c>
    </row>
    <row r="27" spans="1:11" x14ac:dyDescent="0.15">
      <c r="A27">
        <v>26</v>
      </c>
      <c r="B27" s="189" t="s">
        <v>217</v>
      </c>
      <c r="C27">
        <v>0.8</v>
      </c>
      <c r="D27">
        <v>0.8</v>
      </c>
      <c r="E27">
        <v>0.8</v>
      </c>
      <c r="F27">
        <v>0.8</v>
      </c>
      <c r="G27">
        <v>0.8</v>
      </c>
      <c r="H27">
        <v>0.8</v>
      </c>
      <c r="I27">
        <v>0.8</v>
      </c>
      <c r="J27">
        <v>0.8</v>
      </c>
      <c r="K27">
        <v>0.8</v>
      </c>
    </row>
    <row r="28" spans="1:11" x14ac:dyDescent="0.15">
      <c r="A28">
        <v>27</v>
      </c>
      <c r="B28" s="189" t="s">
        <v>218</v>
      </c>
      <c r="C28">
        <v>0.8</v>
      </c>
      <c r="D28">
        <v>0</v>
      </c>
      <c r="E28">
        <v>0.8</v>
      </c>
      <c r="F28">
        <v>0</v>
      </c>
      <c r="G28">
        <v>0.8</v>
      </c>
      <c r="H28">
        <v>0.8</v>
      </c>
      <c r="I28">
        <v>0.8</v>
      </c>
      <c r="J28">
        <v>0.8</v>
      </c>
      <c r="K28">
        <v>0.8</v>
      </c>
    </row>
    <row r="29" spans="1:11" x14ac:dyDescent="0.15">
      <c r="A29">
        <v>28</v>
      </c>
      <c r="B29" s="189" t="s">
        <v>219</v>
      </c>
      <c r="C29">
        <v>0</v>
      </c>
      <c r="D29">
        <v>0</v>
      </c>
      <c r="E29">
        <v>0</v>
      </c>
      <c r="F29">
        <v>0</v>
      </c>
      <c r="G29">
        <v>0</v>
      </c>
      <c r="H29">
        <v>0</v>
      </c>
      <c r="I29">
        <v>0</v>
      </c>
      <c r="J29">
        <v>0</v>
      </c>
      <c r="K29">
        <v>0</v>
      </c>
    </row>
    <row r="30" spans="1:11" x14ac:dyDescent="0.15">
      <c r="A30">
        <v>29</v>
      </c>
      <c r="B30" s="189" t="s">
        <v>220</v>
      </c>
      <c r="C30">
        <v>0.8</v>
      </c>
      <c r="D30">
        <v>0.8</v>
      </c>
      <c r="E30">
        <v>0.8</v>
      </c>
      <c r="F30">
        <v>0</v>
      </c>
      <c r="G30">
        <v>0.8</v>
      </c>
      <c r="H30">
        <v>0</v>
      </c>
      <c r="I30">
        <v>0.8</v>
      </c>
      <c r="J30">
        <v>0</v>
      </c>
      <c r="K30">
        <v>0.8</v>
      </c>
    </row>
    <row r="31" spans="1:11" x14ac:dyDescent="0.15">
      <c r="A31">
        <v>30</v>
      </c>
      <c r="B31" s="189" t="s">
        <v>221</v>
      </c>
      <c r="C31">
        <v>0.8</v>
      </c>
      <c r="D31">
        <v>0</v>
      </c>
      <c r="E31">
        <v>0</v>
      </c>
      <c r="F31">
        <v>0</v>
      </c>
      <c r="G31">
        <v>0</v>
      </c>
      <c r="H31">
        <v>0.8</v>
      </c>
      <c r="I31">
        <v>0.8</v>
      </c>
      <c r="J31">
        <v>0</v>
      </c>
      <c r="K31">
        <v>0.8</v>
      </c>
    </row>
    <row r="32" spans="1:11" x14ac:dyDescent="0.15">
      <c r="A32">
        <v>31</v>
      </c>
      <c r="B32" s="189" t="s">
        <v>222</v>
      </c>
      <c r="C32">
        <v>0.8</v>
      </c>
      <c r="D32">
        <v>0</v>
      </c>
      <c r="E32">
        <v>0.8</v>
      </c>
      <c r="F32">
        <v>0</v>
      </c>
      <c r="G32">
        <v>0.8</v>
      </c>
      <c r="H32">
        <v>0.8</v>
      </c>
      <c r="I32">
        <v>0.8</v>
      </c>
      <c r="J32">
        <v>0</v>
      </c>
      <c r="K32">
        <v>0.8</v>
      </c>
    </row>
    <row r="33" spans="1:11" x14ac:dyDescent="0.15">
      <c r="A33">
        <v>32</v>
      </c>
      <c r="B33" s="189" t="s">
        <v>223</v>
      </c>
      <c r="C33">
        <v>0.8</v>
      </c>
      <c r="D33">
        <v>0.8</v>
      </c>
      <c r="E33">
        <v>0</v>
      </c>
      <c r="F33">
        <v>0</v>
      </c>
      <c r="G33">
        <v>0.8</v>
      </c>
      <c r="H33">
        <v>0</v>
      </c>
      <c r="I33">
        <v>0.8</v>
      </c>
      <c r="J33">
        <v>0</v>
      </c>
      <c r="K33">
        <v>0.8</v>
      </c>
    </row>
    <row r="34" spans="1:11" x14ac:dyDescent="0.15">
      <c r="A34">
        <v>33</v>
      </c>
      <c r="B34" s="189" t="s">
        <v>224</v>
      </c>
      <c r="C34">
        <v>0</v>
      </c>
      <c r="D34">
        <v>0.8</v>
      </c>
      <c r="E34">
        <v>0</v>
      </c>
      <c r="F34">
        <v>0</v>
      </c>
      <c r="G34">
        <v>0</v>
      </c>
      <c r="H34">
        <v>0</v>
      </c>
      <c r="I34">
        <v>0.8</v>
      </c>
      <c r="J34">
        <v>0</v>
      </c>
      <c r="K34">
        <v>0</v>
      </c>
    </row>
    <row r="35" spans="1:11" x14ac:dyDescent="0.15">
      <c r="A35">
        <v>34</v>
      </c>
      <c r="B35" s="189" t="s">
        <v>225</v>
      </c>
      <c r="C35">
        <v>0</v>
      </c>
      <c r="D35">
        <v>0</v>
      </c>
      <c r="E35">
        <v>0</v>
      </c>
      <c r="F35">
        <v>0</v>
      </c>
      <c r="G35">
        <v>0</v>
      </c>
      <c r="H35">
        <v>0</v>
      </c>
      <c r="I35">
        <v>0</v>
      </c>
      <c r="J35">
        <v>0</v>
      </c>
      <c r="K35">
        <v>0</v>
      </c>
    </row>
    <row r="36" spans="1:11" x14ac:dyDescent="0.15">
      <c r="A36">
        <v>35</v>
      </c>
      <c r="B36" s="189" t="s">
        <v>226</v>
      </c>
      <c r="C36">
        <v>0.8</v>
      </c>
      <c r="D36">
        <v>0.8</v>
      </c>
      <c r="E36">
        <v>0.8</v>
      </c>
      <c r="F36">
        <v>0</v>
      </c>
      <c r="G36">
        <v>0</v>
      </c>
      <c r="H36">
        <v>0</v>
      </c>
      <c r="I36">
        <v>0.8</v>
      </c>
      <c r="J36">
        <v>0</v>
      </c>
      <c r="K36">
        <v>0.8</v>
      </c>
    </row>
    <row r="37" spans="1:11" x14ac:dyDescent="0.15">
      <c r="A37">
        <v>36</v>
      </c>
      <c r="B37" s="189" t="s">
        <v>227</v>
      </c>
      <c r="C37">
        <v>0</v>
      </c>
      <c r="D37">
        <v>0</v>
      </c>
      <c r="E37">
        <v>0</v>
      </c>
      <c r="F37">
        <v>0</v>
      </c>
      <c r="G37">
        <v>0</v>
      </c>
      <c r="H37">
        <v>0</v>
      </c>
      <c r="I37">
        <v>0</v>
      </c>
      <c r="J37">
        <v>0</v>
      </c>
      <c r="K37">
        <v>0</v>
      </c>
    </row>
    <row r="38" spans="1:11" x14ac:dyDescent="0.15">
      <c r="A38">
        <v>37</v>
      </c>
      <c r="B38" s="189" t="s">
        <v>228</v>
      </c>
      <c r="C38">
        <v>0</v>
      </c>
      <c r="D38">
        <v>0</v>
      </c>
      <c r="E38">
        <v>0</v>
      </c>
      <c r="F38">
        <v>0</v>
      </c>
      <c r="G38">
        <v>0</v>
      </c>
      <c r="H38">
        <v>0</v>
      </c>
      <c r="I38">
        <v>0</v>
      </c>
      <c r="J38">
        <v>0</v>
      </c>
      <c r="K38">
        <v>0</v>
      </c>
    </row>
    <row r="39" spans="1:11" x14ac:dyDescent="0.15">
      <c r="A39">
        <v>38</v>
      </c>
      <c r="B39" s="189" t="s">
        <v>229</v>
      </c>
      <c r="C39">
        <v>0</v>
      </c>
      <c r="D39">
        <v>0</v>
      </c>
      <c r="E39">
        <v>0</v>
      </c>
      <c r="F39">
        <v>0</v>
      </c>
      <c r="G39">
        <v>0</v>
      </c>
      <c r="H39">
        <v>0</v>
      </c>
      <c r="I39">
        <v>0</v>
      </c>
      <c r="J39">
        <v>0</v>
      </c>
      <c r="K39">
        <v>0</v>
      </c>
    </row>
    <row r="40" spans="1:11" x14ac:dyDescent="0.15">
      <c r="A40">
        <v>39</v>
      </c>
      <c r="B40" s="189" t="s">
        <v>230</v>
      </c>
      <c r="C40">
        <v>0</v>
      </c>
      <c r="D40">
        <v>0</v>
      </c>
      <c r="E40">
        <v>0</v>
      </c>
      <c r="F40">
        <v>0</v>
      </c>
      <c r="G40">
        <v>0</v>
      </c>
      <c r="H40">
        <v>0</v>
      </c>
      <c r="I40">
        <v>0</v>
      </c>
      <c r="J40">
        <v>0</v>
      </c>
      <c r="K40">
        <v>0</v>
      </c>
    </row>
    <row r="41" spans="1:11" x14ac:dyDescent="0.15">
      <c r="A41">
        <v>40</v>
      </c>
      <c r="B41" s="189" t="s">
        <v>231</v>
      </c>
      <c r="C41">
        <v>0</v>
      </c>
      <c r="D41">
        <v>0</v>
      </c>
      <c r="E41">
        <v>0</v>
      </c>
      <c r="F41">
        <v>0</v>
      </c>
      <c r="G41">
        <v>0</v>
      </c>
      <c r="H41">
        <v>0</v>
      </c>
      <c r="I41">
        <v>0</v>
      </c>
      <c r="J41">
        <v>0</v>
      </c>
      <c r="K41">
        <v>0</v>
      </c>
    </row>
    <row r="42" spans="1:11" x14ac:dyDescent="0.15">
      <c r="A42">
        <v>41</v>
      </c>
      <c r="B42" s="189" t="s">
        <v>232</v>
      </c>
      <c r="C42">
        <v>0</v>
      </c>
      <c r="D42">
        <v>0</v>
      </c>
      <c r="E42">
        <v>0</v>
      </c>
      <c r="F42">
        <v>0</v>
      </c>
      <c r="G42">
        <v>0</v>
      </c>
      <c r="H42">
        <v>0</v>
      </c>
      <c r="I42">
        <v>0</v>
      </c>
      <c r="J42">
        <v>0</v>
      </c>
      <c r="K42">
        <v>0</v>
      </c>
    </row>
    <row r="43" spans="1:11" x14ac:dyDescent="0.15">
      <c r="A43">
        <v>42</v>
      </c>
      <c r="B43" s="189" t="s">
        <v>233</v>
      </c>
      <c r="C43">
        <v>0</v>
      </c>
      <c r="D43">
        <v>0</v>
      </c>
      <c r="E43">
        <v>0</v>
      </c>
      <c r="F43">
        <v>0</v>
      </c>
      <c r="G43">
        <v>0</v>
      </c>
      <c r="H43">
        <v>0</v>
      </c>
      <c r="I43">
        <v>0</v>
      </c>
      <c r="J43">
        <v>0</v>
      </c>
      <c r="K43">
        <v>0</v>
      </c>
    </row>
    <row r="44" spans="1:11" x14ac:dyDescent="0.15">
      <c r="A44">
        <v>43</v>
      </c>
      <c r="B44" s="189" t="s">
        <v>234</v>
      </c>
      <c r="C44">
        <v>0</v>
      </c>
      <c r="D44">
        <v>0</v>
      </c>
      <c r="E44">
        <v>0</v>
      </c>
      <c r="F44">
        <v>0</v>
      </c>
      <c r="G44">
        <v>0</v>
      </c>
      <c r="H44">
        <v>0</v>
      </c>
      <c r="I44">
        <v>0</v>
      </c>
      <c r="J44">
        <v>0</v>
      </c>
      <c r="K44">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K44"/>
  <sheetViews>
    <sheetView workbookViewId="0">
      <selection activeCell="A3" sqref="A3"/>
    </sheetView>
  </sheetViews>
  <sheetFormatPr baseColWidth="10" defaultRowHeight="13" x14ac:dyDescent="0.15"/>
  <cols>
    <col min="1" max="1" width="3.33203125" customWidth="1"/>
    <col min="2" max="2" width="31.5" bestFit="1" customWidth="1"/>
    <col min="3" max="4" width="3.83203125" bestFit="1" customWidth="1"/>
    <col min="5" max="11" width="3.83203125" customWidth="1"/>
  </cols>
  <sheetData>
    <row r="1" spans="1:11" ht="112" x14ac:dyDescent="0.15">
      <c r="A1" s="5" t="s">
        <v>82</v>
      </c>
      <c r="B1" s="3" t="s">
        <v>0</v>
      </c>
      <c r="C1" s="192" t="s">
        <v>235</v>
      </c>
      <c r="D1" s="192" t="s">
        <v>236</v>
      </c>
      <c r="E1" s="192" t="s">
        <v>237</v>
      </c>
      <c r="F1" s="192" t="s">
        <v>238</v>
      </c>
      <c r="G1" s="192" t="s">
        <v>239</v>
      </c>
      <c r="H1" s="192" t="s">
        <v>240</v>
      </c>
      <c r="I1" s="192" t="s">
        <v>241</v>
      </c>
      <c r="J1" s="192" t="s">
        <v>242</v>
      </c>
      <c r="K1" s="192" t="s">
        <v>243</v>
      </c>
    </row>
    <row r="2" spans="1:11" x14ac:dyDescent="0.15">
      <c r="A2">
        <v>1</v>
      </c>
      <c r="B2" s="191" t="s">
        <v>192</v>
      </c>
      <c r="C2">
        <v>0</v>
      </c>
      <c r="D2">
        <v>0</v>
      </c>
      <c r="E2">
        <v>0</v>
      </c>
      <c r="F2">
        <v>0</v>
      </c>
      <c r="G2">
        <v>0.8</v>
      </c>
      <c r="H2">
        <v>0</v>
      </c>
      <c r="I2">
        <v>0.8</v>
      </c>
      <c r="J2">
        <v>0</v>
      </c>
      <c r="K2">
        <v>0</v>
      </c>
    </row>
    <row r="3" spans="1:11" x14ac:dyDescent="0.15">
      <c r="A3">
        <v>2</v>
      </c>
      <c r="B3" s="191" t="s">
        <v>193</v>
      </c>
      <c r="C3">
        <v>0.8</v>
      </c>
      <c r="D3">
        <v>0</v>
      </c>
      <c r="E3">
        <v>0.8</v>
      </c>
      <c r="F3">
        <v>0</v>
      </c>
      <c r="G3">
        <v>0.8</v>
      </c>
      <c r="H3">
        <v>0.8</v>
      </c>
      <c r="I3">
        <v>0.8</v>
      </c>
      <c r="J3">
        <v>0</v>
      </c>
      <c r="K3">
        <v>0</v>
      </c>
    </row>
    <row r="4" spans="1:11" x14ac:dyDescent="0.15">
      <c r="A4">
        <v>3</v>
      </c>
      <c r="B4" s="191" t="s">
        <v>194</v>
      </c>
      <c r="C4">
        <v>0</v>
      </c>
      <c r="D4">
        <v>0</v>
      </c>
      <c r="E4">
        <v>0.8</v>
      </c>
      <c r="F4">
        <v>0</v>
      </c>
      <c r="G4">
        <v>0.8</v>
      </c>
      <c r="H4">
        <v>0</v>
      </c>
      <c r="I4">
        <v>0.8</v>
      </c>
      <c r="J4">
        <v>0</v>
      </c>
      <c r="K4">
        <v>0</v>
      </c>
    </row>
    <row r="5" spans="1:11" x14ac:dyDescent="0.15">
      <c r="A5">
        <v>4</v>
      </c>
      <c r="B5" s="191" t="s">
        <v>195</v>
      </c>
      <c r="C5">
        <v>0</v>
      </c>
      <c r="D5">
        <v>0</v>
      </c>
      <c r="E5">
        <v>0</v>
      </c>
      <c r="F5">
        <v>0</v>
      </c>
      <c r="G5">
        <v>0</v>
      </c>
      <c r="H5">
        <v>0</v>
      </c>
      <c r="I5">
        <v>0</v>
      </c>
      <c r="J5">
        <v>0</v>
      </c>
      <c r="K5">
        <v>0</v>
      </c>
    </row>
    <row r="6" spans="1:11" x14ac:dyDescent="0.15">
      <c r="A6">
        <v>5</v>
      </c>
      <c r="B6" s="191" t="s">
        <v>196</v>
      </c>
      <c r="C6">
        <v>0.8</v>
      </c>
      <c r="D6">
        <v>0</v>
      </c>
      <c r="E6">
        <v>0.8</v>
      </c>
      <c r="F6">
        <v>0</v>
      </c>
      <c r="G6">
        <v>0.8</v>
      </c>
      <c r="H6">
        <v>0.8</v>
      </c>
      <c r="I6">
        <v>0.8</v>
      </c>
      <c r="J6">
        <v>0</v>
      </c>
      <c r="K6">
        <v>0.8</v>
      </c>
    </row>
    <row r="7" spans="1:11" x14ac:dyDescent="0.15">
      <c r="A7">
        <v>6</v>
      </c>
      <c r="B7" s="191" t="s">
        <v>197</v>
      </c>
      <c r="C7">
        <v>0.8</v>
      </c>
      <c r="D7">
        <v>0</v>
      </c>
      <c r="E7">
        <v>0.8</v>
      </c>
      <c r="F7">
        <v>0.8</v>
      </c>
      <c r="G7">
        <v>0.8</v>
      </c>
      <c r="H7">
        <v>0</v>
      </c>
      <c r="I7">
        <v>0.8</v>
      </c>
      <c r="J7">
        <v>0</v>
      </c>
      <c r="K7">
        <v>0.8</v>
      </c>
    </row>
    <row r="8" spans="1:11" x14ac:dyDescent="0.15">
      <c r="A8">
        <v>7</v>
      </c>
      <c r="B8" s="191" t="s">
        <v>198</v>
      </c>
      <c r="C8">
        <v>0</v>
      </c>
      <c r="D8">
        <v>0</v>
      </c>
      <c r="E8">
        <v>0.8</v>
      </c>
      <c r="F8">
        <v>0</v>
      </c>
      <c r="G8">
        <v>0.8</v>
      </c>
      <c r="H8">
        <v>0</v>
      </c>
      <c r="I8">
        <v>0.8</v>
      </c>
      <c r="J8">
        <v>0</v>
      </c>
      <c r="K8">
        <v>0.8</v>
      </c>
    </row>
    <row r="9" spans="1:11" x14ac:dyDescent="0.15">
      <c r="A9">
        <v>8</v>
      </c>
      <c r="B9" s="191" t="s">
        <v>199</v>
      </c>
      <c r="C9">
        <v>0</v>
      </c>
      <c r="D9">
        <v>0</v>
      </c>
      <c r="E9">
        <v>0</v>
      </c>
      <c r="F9">
        <v>0</v>
      </c>
      <c r="G9">
        <v>0.8</v>
      </c>
      <c r="H9">
        <v>0</v>
      </c>
      <c r="I9">
        <v>0.8</v>
      </c>
      <c r="J9">
        <v>0</v>
      </c>
      <c r="K9">
        <v>0</v>
      </c>
    </row>
    <row r="10" spans="1:11" x14ac:dyDescent="0.15">
      <c r="A10">
        <v>9</v>
      </c>
      <c r="B10" s="191" t="s">
        <v>200</v>
      </c>
      <c r="C10">
        <v>0.8</v>
      </c>
      <c r="D10">
        <v>0</v>
      </c>
      <c r="E10">
        <v>0.8</v>
      </c>
      <c r="F10">
        <v>0</v>
      </c>
      <c r="G10">
        <v>0.8</v>
      </c>
      <c r="H10">
        <v>0.8</v>
      </c>
      <c r="I10">
        <v>0.8</v>
      </c>
      <c r="J10">
        <v>0</v>
      </c>
      <c r="K10">
        <v>0.8</v>
      </c>
    </row>
    <row r="11" spans="1:11" x14ac:dyDescent="0.15">
      <c r="A11">
        <v>10</v>
      </c>
      <c r="B11" s="191" t="s">
        <v>201</v>
      </c>
      <c r="C11">
        <v>0</v>
      </c>
      <c r="D11">
        <v>0</v>
      </c>
      <c r="E11">
        <v>0</v>
      </c>
      <c r="F11">
        <v>0</v>
      </c>
      <c r="G11">
        <v>0.8</v>
      </c>
      <c r="H11">
        <v>0</v>
      </c>
      <c r="I11">
        <v>0</v>
      </c>
      <c r="J11">
        <v>0</v>
      </c>
      <c r="K11">
        <v>0.8</v>
      </c>
    </row>
    <row r="12" spans="1:11" x14ac:dyDescent="0.15">
      <c r="A12">
        <v>11</v>
      </c>
      <c r="B12" s="191" t="s">
        <v>202</v>
      </c>
      <c r="C12">
        <v>0</v>
      </c>
      <c r="D12">
        <v>0</v>
      </c>
      <c r="E12">
        <v>0.8</v>
      </c>
      <c r="F12">
        <v>0</v>
      </c>
      <c r="G12">
        <v>0.8</v>
      </c>
      <c r="H12">
        <v>0.8</v>
      </c>
      <c r="I12">
        <v>0.8</v>
      </c>
      <c r="J12">
        <v>0</v>
      </c>
      <c r="K12">
        <v>0.8</v>
      </c>
    </row>
    <row r="13" spans="1:11" x14ac:dyDescent="0.15">
      <c r="A13">
        <v>12</v>
      </c>
      <c r="B13" s="191" t="s">
        <v>203</v>
      </c>
      <c r="C13">
        <v>0</v>
      </c>
      <c r="D13">
        <v>0</v>
      </c>
      <c r="E13">
        <v>0</v>
      </c>
      <c r="F13">
        <v>0</v>
      </c>
      <c r="G13">
        <v>0</v>
      </c>
      <c r="H13">
        <v>0</v>
      </c>
      <c r="I13">
        <v>0</v>
      </c>
      <c r="J13">
        <v>0</v>
      </c>
      <c r="K13">
        <v>0</v>
      </c>
    </row>
    <row r="14" spans="1:11" x14ac:dyDescent="0.15">
      <c r="A14">
        <v>13</v>
      </c>
      <c r="B14" s="191" t="s">
        <v>204</v>
      </c>
      <c r="C14">
        <v>0.8</v>
      </c>
      <c r="D14">
        <v>0.8</v>
      </c>
      <c r="E14">
        <v>0.8</v>
      </c>
      <c r="F14">
        <v>0</v>
      </c>
      <c r="G14">
        <v>0</v>
      </c>
      <c r="H14">
        <v>0</v>
      </c>
      <c r="I14">
        <v>0</v>
      </c>
      <c r="J14">
        <v>0</v>
      </c>
      <c r="K14">
        <v>0.8</v>
      </c>
    </row>
    <row r="15" spans="1:11" x14ac:dyDescent="0.15">
      <c r="A15">
        <v>14</v>
      </c>
      <c r="B15" s="191" t="s">
        <v>205</v>
      </c>
      <c r="C15">
        <v>0.8</v>
      </c>
      <c r="D15">
        <v>0</v>
      </c>
      <c r="E15">
        <v>0.8</v>
      </c>
      <c r="F15">
        <v>0</v>
      </c>
      <c r="G15">
        <v>0.8</v>
      </c>
      <c r="H15">
        <v>0.8</v>
      </c>
      <c r="I15">
        <v>0.8</v>
      </c>
      <c r="J15">
        <v>0</v>
      </c>
      <c r="K15">
        <v>0.8</v>
      </c>
    </row>
    <row r="16" spans="1:11" x14ac:dyDescent="0.15">
      <c r="A16">
        <v>15</v>
      </c>
      <c r="B16" s="191" t="s">
        <v>206</v>
      </c>
      <c r="C16">
        <v>0.8</v>
      </c>
      <c r="D16">
        <v>0</v>
      </c>
      <c r="E16">
        <v>0.8</v>
      </c>
      <c r="F16">
        <v>0</v>
      </c>
      <c r="G16">
        <v>0.8</v>
      </c>
      <c r="H16">
        <v>0</v>
      </c>
      <c r="I16">
        <v>0.8</v>
      </c>
      <c r="J16">
        <v>0</v>
      </c>
      <c r="K16">
        <v>0.8</v>
      </c>
    </row>
    <row r="17" spans="1:11" x14ac:dyDescent="0.15">
      <c r="A17">
        <v>16</v>
      </c>
      <c r="B17" s="191" t="s">
        <v>207</v>
      </c>
      <c r="C17">
        <v>0.8</v>
      </c>
      <c r="D17">
        <v>0</v>
      </c>
      <c r="E17">
        <v>0</v>
      </c>
      <c r="F17">
        <v>0</v>
      </c>
      <c r="G17">
        <v>0</v>
      </c>
      <c r="H17">
        <v>0</v>
      </c>
      <c r="I17">
        <v>0.8</v>
      </c>
      <c r="J17">
        <v>0</v>
      </c>
      <c r="K17">
        <v>0</v>
      </c>
    </row>
    <row r="18" spans="1:11" x14ac:dyDescent="0.15">
      <c r="A18">
        <v>17</v>
      </c>
      <c r="B18" s="191" t="s">
        <v>208</v>
      </c>
      <c r="C18">
        <v>0.8</v>
      </c>
      <c r="D18">
        <v>0</v>
      </c>
      <c r="E18">
        <v>0.8</v>
      </c>
      <c r="F18">
        <v>0</v>
      </c>
      <c r="G18">
        <v>0</v>
      </c>
      <c r="H18">
        <v>0</v>
      </c>
      <c r="I18">
        <v>0</v>
      </c>
      <c r="J18">
        <v>0</v>
      </c>
      <c r="K18">
        <v>0</v>
      </c>
    </row>
    <row r="19" spans="1:11" x14ac:dyDescent="0.15">
      <c r="A19">
        <v>18</v>
      </c>
      <c r="B19" s="191" t="s">
        <v>209</v>
      </c>
      <c r="C19">
        <v>0.8</v>
      </c>
      <c r="D19">
        <v>0</v>
      </c>
      <c r="E19">
        <v>0.8</v>
      </c>
      <c r="F19">
        <v>0</v>
      </c>
      <c r="G19">
        <v>0</v>
      </c>
      <c r="H19">
        <v>0</v>
      </c>
      <c r="I19">
        <v>0.8</v>
      </c>
      <c r="J19">
        <v>0</v>
      </c>
      <c r="K19">
        <v>0</v>
      </c>
    </row>
    <row r="20" spans="1:11" x14ac:dyDescent="0.15">
      <c r="A20">
        <v>19</v>
      </c>
      <c r="B20" s="191" t="s">
        <v>210</v>
      </c>
      <c r="C20">
        <v>0</v>
      </c>
      <c r="D20">
        <v>0</v>
      </c>
      <c r="E20">
        <v>0</v>
      </c>
      <c r="F20">
        <v>0</v>
      </c>
      <c r="G20">
        <v>0</v>
      </c>
      <c r="H20">
        <v>0</v>
      </c>
      <c r="I20">
        <v>0.8</v>
      </c>
      <c r="J20">
        <v>0</v>
      </c>
      <c r="K20">
        <v>0.8</v>
      </c>
    </row>
    <row r="21" spans="1:11" x14ac:dyDescent="0.15">
      <c r="A21">
        <v>20</v>
      </c>
      <c r="B21" s="191" t="s">
        <v>211</v>
      </c>
      <c r="C21">
        <v>0</v>
      </c>
      <c r="D21">
        <v>0</v>
      </c>
      <c r="E21">
        <v>0</v>
      </c>
      <c r="F21">
        <v>0</v>
      </c>
      <c r="G21">
        <v>0</v>
      </c>
      <c r="H21">
        <v>0</v>
      </c>
      <c r="I21">
        <v>0</v>
      </c>
      <c r="J21">
        <v>0</v>
      </c>
      <c r="K21">
        <v>0</v>
      </c>
    </row>
    <row r="22" spans="1:11" x14ac:dyDescent="0.15">
      <c r="A22">
        <v>21</v>
      </c>
      <c r="B22" s="191" t="s">
        <v>212</v>
      </c>
      <c r="C22">
        <v>0</v>
      </c>
      <c r="D22">
        <v>0</v>
      </c>
      <c r="E22">
        <v>0</v>
      </c>
      <c r="F22">
        <v>0</v>
      </c>
      <c r="G22">
        <v>0</v>
      </c>
      <c r="H22">
        <v>0</v>
      </c>
      <c r="I22">
        <v>0</v>
      </c>
      <c r="J22">
        <v>0</v>
      </c>
      <c r="K22">
        <v>0</v>
      </c>
    </row>
    <row r="23" spans="1:11" x14ac:dyDescent="0.15">
      <c r="A23">
        <v>22</v>
      </c>
      <c r="B23" s="191" t="s">
        <v>213</v>
      </c>
      <c r="C23">
        <v>0</v>
      </c>
      <c r="D23">
        <v>0</v>
      </c>
      <c r="E23">
        <v>0</v>
      </c>
      <c r="F23">
        <v>0</v>
      </c>
      <c r="G23">
        <v>0</v>
      </c>
      <c r="H23">
        <v>0</v>
      </c>
      <c r="I23">
        <v>0</v>
      </c>
      <c r="J23">
        <v>0</v>
      </c>
      <c r="K23">
        <v>0.8</v>
      </c>
    </row>
    <row r="24" spans="1:11" x14ac:dyDescent="0.15">
      <c r="A24">
        <v>23</v>
      </c>
      <c r="B24" s="191" t="s">
        <v>214</v>
      </c>
      <c r="C24">
        <v>0.8</v>
      </c>
      <c r="D24">
        <v>0</v>
      </c>
      <c r="E24">
        <v>0.8</v>
      </c>
      <c r="F24">
        <v>0.8</v>
      </c>
      <c r="G24">
        <v>0.8</v>
      </c>
      <c r="H24">
        <v>0.8</v>
      </c>
      <c r="I24">
        <v>0.8</v>
      </c>
      <c r="J24">
        <v>0</v>
      </c>
      <c r="K24">
        <v>0.8</v>
      </c>
    </row>
    <row r="25" spans="1:11" x14ac:dyDescent="0.15">
      <c r="A25">
        <v>24</v>
      </c>
      <c r="B25" s="191" t="s">
        <v>215</v>
      </c>
      <c r="C25">
        <v>0</v>
      </c>
      <c r="D25">
        <v>0</v>
      </c>
      <c r="E25">
        <v>0</v>
      </c>
      <c r="F25">
        <v>0</v>
      </c>
      <c r="G25">
        <v>0</v>
      </c>
      <c r="H25">
        <v>0</v>
      </c>
      <c r="I25">
        <v>0</v>
      </c>
      <c r="J25">
        <v>0</v>
      </c>
      <c r="K25">
        <v>0</v>
      </c>
    </row>
    <row r="26" spans="1:11" x14ac:dyDescent="0.15">
      <c r="A26">
        <v>25</v>
      </c>
      <c r="B26" s="191" t="s">
        <v>216</v>
      </c>
      <c r="C26">
        <v>0.8</v>
      </c>
      <c r="D26">
        <v>0</v>
      </c>
      <c r="E26">
        <v>0.8</v>
      </c>
      <c r="F26">
        <v>0</v>
      </c>
      <c r="G26">
        <v>0.8</v>
      </c>
      <c r="H26">
        <v>0.8</v>
      </c>
      <c r="I26">
        <v>0.8</v>
      </c>
      <c r="J26">
        <v>0.8</v>
      </c>
      <c r="K26">
        <v>0.8</v>
      </c>
    </row>
    <row r="27" spans="1:11" x14ac:dyDescent="0.15">
      <c r="A27">
        <v>26</v>
      </c>
      <c r="B27" s="191" t="s">
        <v>217</v>
      </c>
      <c r="C27">
        <v>0.8</v>
      </c>
      <c r="D27">
        <v>0.8</v>
      </c>
      <c r="E27">
        <v>0.8</v>
      </c>
      <c r="F27">
        <v>0.8</v>
      </c>
      <c r="G27">
        <v>0.8</v>
      </c>
      <c r="H27">
        <v>0.8</v>
      </c>
      <c r="I27">
        <v>0.8</v>
      </c>
      <c r="J27">
        <v>0.8</v>
      </c>
      <c r="K27">
        <v>0.8</v>
      </c>
    </row>
    <row r="28" spans="1:11" x14ac:dyDescent="0.15">
      <c r="A28">
        <v>27</v>
      </c>
      <c r="B28" s="191" t="s">
        <v>218</v>
      </c>
      <c r="C28">
        <v>0.8</v>
      </c>
      <c r="D28">
        <v>0</v>
      </c>
      <c r="E28">
        <v>0.8</v>
      </c>
      <c r="F28">
        <v>0</v>
      </c>
      <c r="G28">
        <v>0.8</v>
      </c>
      <c r="H28">
        <v>0.8</v>
      </c>
      <c r="I28">
        <v>0.8</v>
      </c>
      <c r="J28">
        <v>0.8</v>
      </c>
      <c r="K28">
        <v>0.8</v>
      </c>
    </row>
    <row r="29" spans="1:11" x14ac:dyDescent="0.15">
      <c r="A29">
        <v>28</v>
      </c>
      <c r="B29" s="191" t="s">
        <v>219</v>
      </c>
      <c r="C29">
        <v>0</v>
      </c>
      <c r="D29">
        <v>0</v>
      </c>
      <c r="E29">
        <v>0</v>
      </c>
      <c r="F29">
        <v>0</v>
      </c>
      <c r="G29">
        <v>0</v>
      </c>
      <c r="H29">
        <v>0</v>
      </c>
      <c r="I29">
        <v>0</v>
      </c>
      <c r="J29">
        <v>0</v>
      </c>
      <c r="K29">
        <v>0</v>
      </c>
    </row>
    <row r="30" spans="1:11" x14ac:dyDescent="0.15">
      <c r="A30">
        <v>29</v>
      </c>
      <c r="B30" s="191" t="s">
        <v>220</v>
      </c>
      <c r="C30">
        <v>0.8</v>
      </c>
      <c r="D30">
        <v>0.8</v>
      </c>
      <c r="E30">
        <v>0.8</v>
      </c>
      <c r="F30">
        <v>0</v>
      </c>
      <c r="G30">
        <v>0.8</v>
      </c>
      <c r="H30">
        <v>0</v>
      </c>
      <c r="I30">
        <v>0.8</v>
      </c>
      <c r="J30">
        <v>0</v>
      </c>
      <c r="K30">
        <v>0.8</v>
      </c>
    </row>
    <row r="31" spans="1:11" x14ac:dyDescent="0.15">
      <c r="A31">
        <v>30</v>
      </c>
      <c r="B31" s="191" t="s">
        <v>221</v>
      </c>
      <c r="C31">
        <v>0.8</v>
      </c>
      <c r="D31">
        <v>0</v>
      </c>
      <c r="E31">
        <v>0</v>
      </c>
      <c r="F31">
        <v>0</v>
      </c>
      <c r="G31">
        <v>0</v>
      </c>
      <c r="H31">
        <v>0.8</v>
      </c>
      <c r="I31">
        <v>0.8</v>
      </c>
      <c r="J31">
        <v>0</v>
      </c>
      <c r="K31">
        <v>0.8</v>
      </c>
    </row>
    <row r="32" spans="1:11" x14ac:dyDescent="0.15">
      <c r="A32">
        <v>31</v>
      </c>
      <c r="B32" s="191" t="s">
        <v>222</v>
      </c>
      <c r="C32">
        <v>0.8</v>
      </c>
      <c r="D32">
        <v>0</v>
      </c>
      <c r="E32">
        <v>0.8</v>
      </c>
      <c r="F32">
        <v>0</v>
      </c>
      <c r="G32">
        <v>0.8</v>
      </c>
      <c r="H32">
        <v>0.8</v>
      </c>
      <c r="I32">
        <v>0.8</v>
      </c>
      <c r="J32">
        <v>0</v>
      </c>
      <c r="K32">
        <v>0.8</v>
      </c>
    </row>
    <row r="33" spans="1:11" x14ac:dyDescent="0.15">
      <c r="A33">
        <v>32</v>
      </c>
      <c r="B33" s="191" t="s">
        <v>223</v>
      </c>
      <c r="C33">
        <v>0.8</v>
      </c>
      <c r="D33">
        <v>0.8</v>
      </c>
      <c r="E33">
        <v>0</v>
      </c>
      <c r="F33">
        <v>0</v>
      </c>
      <c r="G33">
        <v>0.8</v>
      </c>
      <c r="H33">
        <v>0</v>
      </c>
      <c r="I33">
        <v>0.8</v>
      </c>
      <c r="J33">
        <v>0</v>
      </c>
      <c r="K33">
        <v>0.8</v>
      </c>
    </row>
    <row r="34" spans="1:11" x14ac:dyDescent="0.15">
      <c r="A34">
        <v>33</v>
      </c>
      <c r="B34" s="191" t="s">
        <v>224</v>
      </c>
      <c r="C34">
        <v>0</v>
      </c>
      <c r="D34">
        <v>0.8</v>
      </c>
      <c r="E34">
        <v>0</v>
      </c>
      <c r="F34">
        <v>0</v>
      </c>
      <c r="G34">
        <v>0</v>
      </c>
      <c r="H34">
        <v>0</v>
      </c>
      <c r="I34">
        <v>0.8</v>
      </c>
      <c r="J34">
        <v>0</v>
      </c>
      <c r="K34">
        <v>0</v>
      </c>
    </row>
    <row r="35" spans="1:11" x14ac:dyDescent="0.15">
      <c r="A35">
        <v>34</v>
      </c>
      <c r="B35" s="191" t="s">
        <v>225</v>
      </c>
      <c r="C35">
        <v>0</v>
      </c>
      <c r="D35">
        <v>0</v>
      </c>
      <c r="E35">
        <v>0</v>
      </c>
      <c r="F35">
        <v>0</v>
      </c>
      <c r="G35">
        <v>0</v>
      </c>
      <c r="H35">
        <v>0</v>
      </c>
      <c r="I35">
        <v>0</v>
      </c>
      <c r="J35">
        <v>0</v>
      </c>
      <c r="K35">
        <v>0</v>
      </c>
    </row>
    <row r="36" spans="1:11" x14ac:dyDescent="0.15">
      <c r="A36">
        <v>35</v>
      </c>
      <c r="B36" s="191" t="s">
        <v>226</v>
      </c>
      <c r="C36">
        <v>0.8</v>
      </c>
      <c r="D36">
        <v>0.8</v>
      </c>
      <c r="E36">
        <v>0.8</v>
      </c>
      <c r="F36">
        <v>0</v>
      </c>
      <c r="G36">
        <v>0</v>
      </c>
      <c r="H36">
        <v>0</v>
      </c>
      <c r="I36">
        <v>0.8</v>
      </c>
      <c r="J36">
        <v>0</v>
      </c>
      <c r="K36">
        <v>0.8</v>
      </c>
    </row>
    <row r="37" spans="1:11" x14ac:dyDescent="0.15">
      <c r="A37">
        <v>36</v>
      </c>
      <c r="B37" s="191" t="s">
        <v>227</v>
      </c>
      <c r="C37">
        <v>0</v>
      </c>
      <c r="D37">
        <v>0</v>
      </c>
      <c r="E37">
        <v>0</v>
      </c>
      <c r="F37">
        <v>0</v>
      </c>
      <c r="G37">
        <v>0</v>
      </c>
      <c r="H37">
        <v>0</v>
      </c>
      <c r="I37">
        <v>0</v>
      </c>
      <c r="J37">
        <v>0</v>
      </c>
      <c r="K37">
        <v>0</v>
      </c>
    </row>
    <row r="38" spans="1:11" x14ac:dyDescent="0.15">
      <c r="A38">
        <v>37</v>
      </c>
      <c r="B38" s="191" t="s">
        <v>228</v>
      </c>
      <c r="C38">
        <v>0</v>
      </c>
      <c r="D38">
        <v>0</v>
      </c>
      <c r="E38">
        <v>0</v>
      </c>
      <c r="F38">
        <v>0</v>
      </c>
      <c r="G38">
        <v>0</v>
      </c>
      <c r="H38">
        <v>0</v>
      </c>
      <c r="I38">
        <v>0</v>
      </c>
      <c r="J38">
        <v>0</v>
      </c>
      <c r="K38">
        <v>0</v>
      </c>
    </row>
    <row r="39" spans="1:11" x14ac:dyDescent="0.15">
      <c r="A39">
        <v>38</v>
      </c>
      <c r="B39" s="191" t="s">
        <v>229</v>
      </c>
      <c r="C39">
        <v>0</v>
      </c>
      <c r="D39">
        <v>0</v>
      </c>
      <c r="E39">
        <v>0</v>
      </c>
      <c r="F39">
        <v>0</v>
      </c>
      <c r="G39">
        <v>0</v>
      </c>
      <c r="H39">
        <v>0</v>
      </c>
      <c r="I39">
        <v>0</v>
      </c>
      <c r="J39">
        <v>0</v>
      </c>
      <c r="K39">
        <v>0</v>
      </c>
    </row>
    <row r="40" spans="1:11" x14ac:dyDescent="0.15">
      <c r="A40">
        <v>39</v>
      </c>
      <c r="B40" s="191" t="s">
        <v>230</v>
      </c>
      <c r="C40">
        <v>0</v>
      </c>
      <c r="D40">
        <v>0</v>
      </c>
      <c r="E40">
        <v>0</v>
      </c>
      <c r="F40">
        <v>0</v>
      </c>
      <c r="G40">
        <v>0</v>
      </c>
      <c r="H40">
        <v>0</v>
      </c>
      <c r="I40">
        <v>0</v>
      </c>
      <c r="J40">
        <v>0</v>
      </c>
      <c r="K40">
        <v>0</v>
      </c>
    </row>
    <row r="41" spans="1:11" x14ac:dyDescent="0.15">
      <c r="A41">
        <v>40</v>
      </c>
      <c r="B41" s="191" t="s">
        <v>231</v>
      </c>
      <c r="C41">
        <v>0</v>
      </c>
      <c r="D41">
        <v>0</v>
      </c>
      <c r="E41">
        <v>0</v>
      </c>
      <c r="F41">
        <v>0</v>
      </c>
      <c r="G41">
        <v>0</v>
      </c>
      <c r="H41">
        <v>0</v>
      </c>
      <c r="I41">
        <v>0</v>
      </c>
      <c r="J41">
        <v>0</v>
      </c>
      <c r="K41">
        <v>0</v>
      </c>
    </row>
    <row r="42" spans="1:11" x14ac:dyDescent="0.15">
      <c r="A42">
        <v>41</v>
      </c>
      <c r="B42" s="191" t="s">
        <v>232</v>
      </c>
      <c r="C42">
        <v>0</v>
      </c>
      <c r="D42">
        <v>0</v>
      </c>
      <c r="E42">
        <v>0</v>
      </c>
      <c r="F42">
        <v>0</v>
      </c>
      <c r="G42">
        <v>0</v>
      </c>
      <c r="H42">
        <v>0</v>
      </c>
      <c r="I42">
        <v>0</v>
      </c>
      <c r="J42">
        <v>0</v>
      </c>
      <c r="K42">
        <v>0</v>
      </c>
    </row>
    <row r="43" spans="1:11" x14ac:dyDescent="0.15">
      <c r="A43">
        <v>42</v>
      </c>
      <c r="B43" s="191" t="s">
        <v>233</v>
      </c>
      <c r="C43">
        <v>0</v>
      </c>
      <c r="D43">
        <v>0</v>
      </c>
      <c r="E43">
        <v>0</v>
      </c>
      <c r="F43">
        <v>0</v>
      </c>
      <c r="G43">
        <v>0</v>
      </c>
      <c r="H43">
        <v>0</v>
      </c>
      <c r="I43">
        <v>0</v>
      </c>
      <c r="J43">
        <v>0</v>
      </c>
      <c r="K43">
        <v>0</v>
      </c>
    </row>
    <row r="44" spans="1:11" x14ac:dyDescent="0.15">
      <c r="A44">
        <v>43</v>
      </c>
      <c r="B44" s="191" t="s">
        <v>234</v>
      </c>
      <c r="C44">
        <v>0</v>
      </c>
      <c r="D44">
        <v>0</v>
      </c>
      <c r="E44">
        <v>0</v>
      </c>
      <c r="F44">
        <v>0</v>
      </c>
      <c r="G44">
        <v>0</v>
      </c>
      <c r="H44">
        <v>0</v>
      </c>
      <c r="I44">
        <v>0</v>
      </c>
      <c r="J44">
        <v>0</v>
      </c>
      <c r="K44">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workbookViewId="0">
      <pane xSplit="2" ySplit="1" topLeftCell="C2" activePane="bottomRight" state="frozen"/>
      <selection pane="topRight" activeCell="C1" sqref="C1"/>
      <selection pane="bottomLeft" activeCell="A3" sqref="A3"/>
      <selection pane="bottomRight" activeCell="K3" sqref="K3"/>
    </sheetView>
  </sheetViews>
  <sheetFormatPr baseColWidth="10" defaultColWidth="8.83203125" defaultRowHeight="15" customHeight="1" x14ac:dyDescent="0.15"/>
  <cols>
    <col min="1" max="1" width="8.83203125" style="84"/>
    <col min="2" max="2" width="41.83203125" style="84" bestFit="1" customWidth="1"/>
    <col min="3" max="3" width="9.33203125" style="84" bestFit="1" customWidth="1"/>
    <col min="4" max="4" width="13" style="84" bestFit="1" customWidth="1"/>
    <col min="5" max="6" width="9.33203125" style="84" bestFit="1" customWidth="1"/>
    <col min="7" max="7" width="9.33203125" style="99" bestFit="1" customWidth="1"/>
    <col min="8" max="8" width="9.33203125" style="84" bestFit="1" customWidth="1"/>
    <col min="9" max="9" width="11" style="84" customWidth="1"/>
    <col min="10" max="10" width="8.83203125" style="84"/>
    <col min="15" max="16384" width="8.83203125" style="84"/>
  </cols>
  <sheetData>
    <row r="1" spans="1:10" ht="15" customHeight="1" x14ac:dyDescent="0.15">
      <c r="A1" s="4" t="s">
        <v>25</v>
      </c>
      <c r="B1" s="1" t="s">
        <v>0</v>
      </c>
      <c r="C1" s="1" t="s">
        <v>12</v>
      </c>
      <c r="D1" s="1" t="s">
        <v>13</v>
      </c>
      <c r="E1" s="1" t="s">
        <v>1</v>
      </c>
      <c r="F1" s="1" t="s">
        <v>2</v>
      </c>
      <c r="G1" s="35" t="s">
        <v>14</v>
      </c>
      <c r="H1" s="1" t="s">
        <v>26</v>
      </c>
      <c r="I1" s="1" t="s">
        <v>24</v>
      </c>
    </row>
    <row r="2" spans="1:10" ht="15" customHeight="1" x14ac:dyDescent="0.15">
      <c r="A2" s="144">
        <v>1</v>
      </c>
      <c r="B2" s="144" t="s">
        <v>192</v>
      </c>
      <c r="C2" s="8">
        <v>4.3115634918212891</v>
      </c>
      <c r="D2" s="9">
        <v>4.999999888241291E-3</v>
      </c>
      <c r="E2" s="9">
        <v>0.43999999761581421</v>
      </c>
      <c r="F2" s="9">
        <v>5.2899999618530273</v>
      </c>
      <c r="G2" s="10"/>
      <c r="H2" s="9">
        <v>8.3175800740718842E-2</v>
      </c>
      <c r="I2">
        <v>4.6100001782178879E-3</v>
      </c>
      <c r="J2"/>
    </row>
    <row r="3" spans="1:10" ht="15" customHeight="1" x14ac:dyDescent="0.15">
      <c r="A3" s="145">
        <v>2</v>
      </c>
      <c r="B3" s="145" t="s">
        <v>193</v>
      </c>
      <c r="C3" s="8">
        <v>4.2712526321411133</v>
      </c>
      <c r="D3" s="9">
        <v>0.10429999977350235</v>
      </c>
      <c r="E3" s="9">
        <v>0.43000000715255737</v>
      </c>
      <c r="F3" s="9">
        <v>4.179999828338623</v>
      </c>
      <c r="G3" s="10"/>
      <c r="H3" s="9">
        <v>0.10287082195281982</v>
      </c>
      <c r="I3">
        <v>3.3980000764131546E-2</v>
      </c>
      <c r="J3"/>
    </row>
    <row r="4" spans="1:10" ht="15" customHeight="1" x14ac:dyDescent="0.15">
      <c r="A4" s="146">
        <v>3</v>
      </c>
      <c r="B4" s="146" t="s">
        <v>194</v>
      </c>
      <c r="C4" s="8">
        <v>4.237879753112793</v>
      </c>
      <c r="D4" s="9">
        <v>2.370000071823597E-2</v>
      </c>
      <c r="E4" s="9">
        <v>0.85000002384185791</v>
      </c>
      <c r="F4" s="9">
        <v>12</v>
      </c>
      <c r="G4" s="9">
        <v>0.80071216821670532</v>
      </c>
      <c r="H4" s="9">
        <v>7.083333283662796E-2</v>
      </c>
      <c r="I4">
        <v>4.4700000435113907E-3</v>
      </c>
      <c r="J4"/>
    </row>
    <row r="5" spans="1:10" ht="15" customHeight="1" x14ac:dyDescent="0.15">
      <c r="A5" s="147">
        <v>4</v>
      </c>
      <c r="B5" s="147" t="s">
        <v>195</v>
      </c>
      <c r="C5" s="8">
        <v>4.1375555992126465</v>
      </c>
      <c r="D5" s="9">
        <v>5.8400001376867294E-2</v>
      </c>
      <c r="E5" s="9">
        <v>0.10000000149011612</v>
      </c>
      <c r="F5" s="9">
        <v>27</v>
      </c>
      <c r="G5" s="7">
        <v>0</v>
      </c>
      <c r="H5" s="9">
        <v>3.7037038709968328E-3</v>
      </c>
      <c r="I5">
        <v>0</v>
      </c>
      <c r="J5"/>
    </row>
    <row r="6" spans="1:10" ht="15" customHeight="1" x14ac:dyDescent="0.15">
      <c r="A6" s="148">
        <v>5</v>
      </c>
      <c r="B6" s="148" t="s">
        <v>196</v>
      </c>
      <c r="C6" s="8">
        <v>4.0195474624633789</v>
      </c>
      <c r="D6" s="9">
        <v>0.2070000022649765</v>
      </c>
      <c r="E6" s="9">
        <v>0.37999999523162842</v>
      </c>
      <c r="F6" s="9">
        <v>8</v>
      </c>
      <c r="G6" s="9">
        <v>0.94091951847076416</v>
      </c>
      <c r="H6" s="9">
        <v>4.7499999403953552E-2</v>
      </c>
      <c r="I6">
        <v>1.9340001046657562E-2</v>
      </c>
      <c r="J6"/>
    </row>
    <row r="7" spans="1:10" ht="15" customHeight="1" x14ac:dyDescent="0.15">
      <c r="A7" s="149">
        <v>6</v>
      </c>
      <c r="B7" s="149" t="s">
        <v>197</v>
      </c>
      <c r="C7" s="8">
        <v>4.0027961730957031</v>
      </c>
      <c r="D7" s="9">
        <v>0.12464581429958344</v>
      </c>
      <c r="E7" s="9">
        <v>0.69999998807907104</v>
      </c>
      <c r="F7" s="9">
        <v>5</v>
      </c>
      <c r="G7" s="9">
        <v>0.94999992847442627</v>
      </c>
      <c r="H7" s="9">
        <v>0.14000000059604645</v>
      </c>
      <c r="I7">
        <v>8.4699997678399086E-3</v>
      </c>
      <c r="J7"/>
    </row>
    <row r="8" spans="1:10" ht="15" customHeight="1" x14ac:dyDescent="0.15">
      <c r="A8" s="150">
        <v>7</v>
      </c>
      <c r="B8" s="150" t="s">
        <v>198</v>
      </c>
      <c r="C8" s="8">
        <v>3.9243543148040771</v>
      </c>
      <c r="D8" s="9">
        <v>6.8000003695487976E-2</v>
      </c>
      <c r="E8" s="9">
        <v>0.56000000238418579</v>
      </c>
      <c r="F8" s="9">
        <v>9.1999998092651367</v>
      </c>
      <c r="G8" s="9">
        <v>0.85410302877426147</v>
      </c>
      <c r="H8" s="9">
        <v>6.0869567096233368E-2</v>
      </c>
      <c r="I8">
        <v>4.5799999497830868E-3</v>
      </c>
      <c r="J8"/>
    </row>
    <row r="9" spans="1:10" ht="15" customHeight="1" x14ac:dyDescent="0.15">
      <c r="A9" s="151">
        <v>8</v>
      </c>
      <c r="B9" s="151" t="s">
        <v>199</v>
      </c>
      <c r="C9" s="8">
        <v>3.9083182811737061</v>
      </c>
      <c r="D9" s="9">
        <v>0.12504053115844727</v>
      </c>
      <c r="E9" s="9">
        <v>0.56999999284744263</v>
      </c>
      <c r="F9" s="9">
        <v>5.4000000953674316</v>
      </c>
      <c r="G9" s="9">
        <v>0.94999998807907104</v>
      </c>
      <c r="H9" s="9">
        <v>0.10555554926395416</v>
      </c>
      <c r="I9">
        <v>3.499999875202775E-3</v>
      </c>
      <c r="J9"/>
    </row>
    <row r="10" spans="1:10" ht="15" customHeight="1" x14ac:dyDescent="0.15">
      <c r="A10" s="152">
        <v>9</v>
      </c>
      <c r="B10" s="152" t="s">
        <v>200</v>
      </c>
      <c r="C10" s="8">
        <v>3.8788671493530273</v>
      </c>
      <c r="D10" s="9">
        <v>0.23199999332427979</v>
      </c>
      <c r="E10" s="9">
        <v>0.86000001430511475</v>
      </c>
      <c r="F10" s="9">
        <v>13.5</v>
      </c>
      <c r="G10" s="9">
        <v>0.83724820613861084</v>
      </c>
      <c r="H10" s="9">
        <v>6.3703708350658417E-2</v>
      </c>
      <c r="I10">
        <v>1.5619999729096889E-2</v>
      </c>
      <c r="J10"/>
    </row>
    <row r="11" spans="1:10" ht="15" customHeight="1" x14ac:dyDescent="0.15">
      <c r="A11" s="153">
        <v>10</v>
      </c>
      <c r="B11" s="153" t="s">
        <v>201</v>
      </c>
      <c r="C11" s="8">
        <v>3.8690752983093262</v>
      </c>
      <c r="D11" s="9">
        <v>7.242845743894577E-2</v>
      </c>
      <c r="E11" s="9">
        <v>3.0999999046325684</v>
      </c>
      <c r="F11" s="9">
        <v>7.3000001907348633</v>
      </c>
      <c r="G11" s="9">
        <v>0.97999995946884155</v>
      </c>
      <c r="H11" s="9">
        <v>0.42465752363204956</v>
      </c>
      <c r="I11">
        <v>6.9999994593672454E-5</v>
      </c>
      <c r="J11"/>
    </row>
    <row r="12" spans="1:10" ht="15" customHeight="1" x14ac:dyDescent="0.15">
      <c r="A12" s="154">
        <v>11</v>
      </c>
      <c r="B12" s="154" t="s">
        <v>202</v>
      </c>
      <c r="C12" s="8">
        <v>3.831190824508667</v>
      </c>
      <c r="D12" s="9">
        <v>0.20289383828639984</v>
      </c>
      <c r="E12" s="9">
        <v>0.8399999737739563</v>
      </c>
      <c r="F12" s="9">
        <v>8.1000003814697266</v>
      </c>
      <c r="G12" s="9">
        <v>0.94999998807907104</v>
      </c>
      <c r="H12" s="9">
        <v>0.10370369255542755</v>
      </c>
      <c r="I12">
        <v>2.0800000056624413E-3</v>
      </c>
      <c r="J12"/>
    </row>
    <row r="13" spans="1:10" ht="15" customHeight="1" x14ac:dyDescent="0.15">
      <c r="A13" s="155">
        <v>12</v>
      </c>
      <c r="B13" s="155" t="s">
        <v>203</v>
      </c>
      <c r="C13" s="8">
        <v>3.8176617622375488</v>
      </c>
      <c r="D13" s="9">
        <v>1.0000000474974513E-3</v>
      </c>
      <c r="E13" s="9">
        <v>0.10000000149011612</v>
      </c>
      <c r="F13" s="9">
        <v>80</v>
      </c>
      <c r="G13" s="9">
        <v>0.80000001192092896</v>
      </c>
      <c r="H13" s="9">
        <v>1.2499999720603228E-3</v>
      </c>
      <c r="I13">
        <v>0</v>
      </c>
      <c r="J13"/>
    </row>
    <row r="14" spans="1:10" ht="15" customHeight="1" x14ac:dyDescent="0.15">
      <c r="A14" s="156">
        <v>13</v>
      </c>
      <c r="B14" s="156" t="s">
        <v>204</v>
      </c>
      <c r="C14" s="8">
        <v>3.7792294025421143</v>
      </c>
      <c r="D14" s="9">
        <v>0.14039675891399384</v>
      </c>
      <c r="E14" s="9">
        <v>0.38999998569488525</v>
      </c>
      <c r="F14" s="9">
        <v>8.7299995422363281</v>
      </c>
      <c r="G14" s="9">
        <v>0.9500001072883606</v>
      </c>
      <c r="H14" s="9">
        <v>4.4673539698123932E-2</v>
      </c>
      <c r="I14">
        <v>1.9099999917671084E-3</v>
      </c>
      <c r="J14"/>
    </row>
    <row r="15" spans="1:10" ht="15" customHeight="1" x14ac:dyDescent="0.15">
      <c r="A15" s="157">
        <v>14</v>
      </c>
      <c r="B15" s="157" t="s">
        <v>205</v>
      </c>
      <c r="C15" s="8">
        <v>3.4468936920166016</v>
      </c>
      <c r="D15" s="9">
        <v>0.72180002927780151</v>
      </c>
      <c r="E15" s="9">
        <v>0.4699999988079071</v>
      </c>
      <c r="F15" s="9">
        <v>7.3400001525878906</v>
      </c>
      <c r="G15" s="9">
        <v>0.91465288400650024</v>
      </c>
      <c r="H15" s="9">
        <v>6.4032696187496185E-2</v>
      </c>
      <c r="I15">
        <v>5.5180002003908157E-2</v>
      </c>
      <c r="J15"/>
    </row>
    <row r="16" spans="1:10" ht="15" customHeight="1" x14ac:dyDescent="0.15">
      <c r="A16" s="158">
        <v>15</v>
      </c>
      <c r="B16" s="158" t="s">
        <v>206</v>
      </c>
      <c r="C16" s="8">
        <v>3.4128954410552979</v>
      </c>
      <c r="D16" s="9">
        <v>0.60200268030166626</v>
      </c>
      <c r="E16" s="9">
        <v>1.7300000190734863</v>
      </c>
      <c r="F16" s="9">
        <v>13.569999694824219</v>
      </c>
      <c r="G16" s="9">
        <v>0.94999986886978149</v>
      </c>
      <c r="H16" s="9">
        <v>0.12748710811138153</v>
      </c>
      <c r="I16">
        <v>1.9499999471008778E-3</v>
      </c>
      <c r="J16"/>
    </row>
    <row r="17" spans="1:10" ht="15" customHeight="1" x14ac:dyDescent="0.15">
      <c r="A17" s="159">
        <v>16</v>
      </c>
      <c r="B17" s="159" t="s">
        <v>207</v>
      </c>
      <c r="C17" s="8">
        <v>3.3783886432647705</v>
      </c>
      <c r="D17" s="9">
        <v>1.8999999761581421</v>
      </c>
      <c r="E17" s="9">
        <v>2.4300000667572021</v>
      </c>
      <c r="F17" s="9">
        <v>33</v>
      </c>
      <c r="G17" s="9">
        <v>0.96572524309158325</v>
      </c>
      <c r="H17" s="9">
        <v>7.3636367917060852E-2</v>
      </c>
      <c r="I17">
        <v>2.090000081807375E-3</v>
      </c>
      <c r="J17"/>
    </row>
    <row r="18" spans="1:10" ht="15" customHeight="1" x14ac:dyDescent="0.15">
      <c r="A18" s="160">
        <v>17</v>
      </c>
      <c r="B18" s="160" t="s">
        <v>208</v>
      </c>
      <c r="C18" s="8">
        <v>3.3486123085021973</v>
      </c>
      <c r="D18" s="9">
        <v>0.34591004252433777</v>
      </c>
      <c r="E18" s="9">
        <v>0.30000001192092896</v>
      </c>
      <c r="F18" s="9">
        <v>9.4600000381469727</v>
      </c>
      <c r="G18" s="9">
        <v>0.95000004768371582</v>
      </c>
      <c r="H18" s="9">
        <v>3.1712476164102554E-2</v>
      </c>
      <c r="I18">
        <v>1.0409999638795853E-2</v>
      </c>
      <c r="J18"/>
    </row>
    <row r="19" spans="1:10" ht="15" customHeight="1" x14ac:dyDescent="0.15">
      <c r="A19" s="161">
        <v>18</v>
      </c>
      <c r="B19" s="161" t="s">
        <v>209</v>
      </c>
      <c r="C19" s="8">
        <v>3.2875263690948486</v>
      </c>
      <c r="D19" s="9">
        <v>0.46470001339912415</v>
      </c>
      <c r="E19" s="9">
        <v>0.40000000596046448</v>
      </c>
      <c r="F19" s="9">
        <v>8.9600000381469727</v>
      </c>
      <c r="G19" s="9">
        <v>0.76853471994400024</v>
      </c>
      <c r="H19" s="9">
        <v>4.46428582072258E-2</v>
      </c>
      <c r="I19">
        <v>7.9999997979030013E-5</v>
      </c>
      <c r="J19"/>
    </row>
    <row r="20" spans="1:10" ht="15" customHeight="1" x14ac:dyDescent="0.15">
      <c r="A20" s="162">
        <v>19</v>
      </c>
      <c r="B20" s="162" t="s">
        <v>210</v>
      </c>
      <c r="C20" s="8">
        <v>3.2329516410827637</v>
      </c>
      <c r="D20" s="9">
        <v>0.36394980549812317</v>
      </c>
      <c r="E20" s="9">
        <v>0.89999997615814209</v>
      </c>
      <c r="F20" s="9">
        <v>8.1999998092651367</v>
      </c>
      <c r="G20" s="9">
        <v>0.94999998807907104</v>
      </c>
      <c r="H20" s="9">
        <v>0.10975609719753265</v>
      </c>
      <c r="I20">
        <v>1.9799999427050352E-3</v>
      </c>
      <c r="J20"/>
    </row>
    <row r="21" spans="1:10" ht="15" customHeight="1" x14ac:dyDescent="0.15">
      <c r="A21" s="163">
        <v>20</v>
      </c>
      <c r="B21" s="163" t="s">
        <v>211</v>
      </c>
      <c r="C21" s="8">
        <v>3.2175333499908447</v>
      </c>
      <c r="D21" s="9">
        <v>0.14440000057220459</v>
      </c>
      <c r="E21" s="9">
        <v>5.000000074505806E-2</v>
      </c>
      <c r="F21" s="9">
        <v>10.899999618530273</v>
      </c>
      <c r="G21" s="7">
        <v>0</v>
      </c>
      <c r="H21" s="9">
        <v>4.5871562324464321E-3</v>
      </c>
      <c r="I21">
        <v>0</v>
      </c>
      <c r="J21"/>
    </row>
    <row r="22" spans="1:10" ht="15" customHeight="1" x14ac:dyDescent="0.15">
      <c r="A22" s="164">
        <v>21</v>
      </c>
      <c r="B22" s="164" t="s">
        <v>212</v>
      </c>
      <c r="C22" s="8">
        <v>3.1051263809204102</v>
      </c>
      <c r="D22" s="9">
        <v>0.11396098136901855</v>
      </c>
      <c r="E22" s="9">
        <v>2.5999999046325684</v>
      </c>
      <c r="F22" s="9">
        <v>10</v>
      </c>
      <c r="G22" s="9">
        <v>0.979999840259552</v>
      </c>
      <c r="H22" s="9">
        <v>0.25999999046325684</v>
      </c>
      <c r="I22">
        <v>0</v>
      </c>
      <c r="J22"/>
    </row>
    <row r="23" spans="1:10" ht="15" customHeight="1" x14ac:dyDescent="0.15">
      <c r="A23" s="165">
        <v>22</v>
      </c>
      <c r="B23" s="165" t="s">
        <v>213</v>
      </c>
      <c r="C23" s="8">
        <v>3.0835747718811035</v>
      </c>
      <c r="D23" s="9">
        <v>7.0000002160668373E-3</v>
      </c>
      <c r="E23" s="9">
        <v>0.19200000166893005</v>
      </c>
      <c r="F23" s="9">
        <v>3.5</v>
      </c>
      <c r="G23" s="9">
        <v>0.47115257382392883</v>
      </c>
      <c r="H23" s="9">
        <v>5.4857142269611359E-2</v>
      </c>
      <c r="I23">
        <v>9.9999997473787516E-6</v>
      </c>
      <c r="J23"/>
    </row>
    <row r="24" spans="1:10" ht="15" customHeight="1" x14ac:dyDescent="0.15">
      <c r="A24" s="166">
        <v>23</v>
      </c>
      <c r="B24" s="166" t="s">
        <v>214</v>
      </c>
      <c r="C24" s="8">
        <v>3.0711688995361328</v>
      </c>
      <c r="D24" s="9">
        <v>2.4163579940795898</v>
      </c>
      <c r="E24" s="9">
        <v>0.76999998092651367</v>
      </c>
      <c r="F24" s="9">
        <v>8.7100000381469727</v>
      </c>
      <c r="G24" s="9">
        <v>0.95000004768371582</v>
      </c>
      <c r="H24" s="9">
        <v>8.8404133915901184E-2</v>
      </c>
      <c r="I24">
        <v>1.8769998103380203E-2</v>
      </c>
      <c r="J24"/>
    </row>
    <row r="25" spans="1:10" ht="15" customHeight="1" x14ac:dyDescent="0.15">
      <c r="A25" s="167">
        <v>24</v>
      </c>
      <c r="B25" s="167" t="s">
        <v>215</v>
      </c>
      <c r="C25" s="8">
        <v>3.0201928615570068</v>
      </c>
      <c r="D25" s="9">
        <v>2.8448190689086914</v>
      </c>
      <c r="E25" s="9">
        <v>1.3350000381469727</v>
      </c>
      <c r="F25" s="9">
        <v>7.4320001602172852</v>
      </c>
      <c r="G25" s="9">
        <v>0.98000001907348633</v>
      </c>
      <c r="H25" s="9">
        <v>0.1796286404132843</v>
      </c>
      <c r="I25">
        <v>0</v>
      </c>
      <c r="J25"/>
    </row>
    <row r="26" spans="1:10" ht="15" customHeight="1" x14ac:dyDescent="0.15">
      <c r="A26" s="168">
        <v>25</v>
      </c>
      <c r="B26" s="168" t="s">
        <v>216</v>
      </c>
      <c r="C26" s="8">
        <v>3.0129880905151367</v>
      </c>
      <c r="D26" s="9">
        <v>9.4161376953125</v>
      </c>
      <c r="E26" s="9">
        <v>0.88999998569488525</v>
      </c>
      <c r="F26" s="9">
        <v>8.5399999618530273</v>
      </c>
      <c r="G26" s="9">
        <v>0.98000001907348633</v>
      </c>
      <c r="H26" s="9">
        <v>0.10421545803546906</v>
      </c>
      <c r="I26">
        <v>2.5599999353289604E-3</v>
      </c>
      <c r="J26"/>
    </row>
    <row r="27" spans="1:10" ht="15" customHeight="1" x14ac:dyDescent="0.15">
      <c r="A27" s="169">
        <v>26</v>
      </c>
      <c r="B27" s="169" t="s">
        <v>217</v>
      </c>
      <c r="C27" s="8">
        <v>2.9571115970611572</v>
      </c>
      <c r="D27" s="9">
        <v>22.239664077758789</v>
      </c>
      <c r="E27" s="9">
        <v>0.69999998807907104</v>
      </c>
      <c r="F27" s="9">
        <v>7.0399999618530273</v>
      </c>
      <c r="G27" s="9">
        <v>0.98000001907348633</v>
      </c>
      <c r="H27" s="9">
        <v>9.9431820213794708E-2</v>
      </c>
      <c r="I27">
        <v>3.7500001490116119E-2</v>
      </c>
      <c r="J27"/>
    </row>
    <row r="28" spans="1:10" ht="15" customHeight="1" x14ac:dyDescent="0.15">
      <c r="A28" s="170">
        <v>27</v>
      </c>
      <c r="B28" s="170" t="s">
        <v>218</v>
      </c>
      <c r="C28" s="8">
        <v>2.8809587955474854</v>
      </c>
      <c r="D28" s="9">
        <v>25.064664840698242</v>
      </c>
      <c r="E28" s="9">
        <v>0.93000000715255737</v>
      </c>
      <c r="F28" s="9">
        <v>13.880000114440918</v>
      </c>
      <c r="G28" s="9">
        <v>0.99000006914138794</v>
      </c>
      <c r="H28" s="9">
        <v>6.7002885043621063E-2</v>
      </c>
      <c r="I28">
        <v>0.21925999224185944</v>
      </c>
      <c r="J28"/>
    </row>
    <row r="29" spans="1:10" ht="15" customHeight="1" x14ac:dyDescent="0.15">
      <c r="A29" s="171">
        <v>28</v>
      </c>
      <c r="B29" s="171" t="s">
        <v>219</v>
      </c>
      <c r="C29" s="8">
        <v>2.8000001907348633</v>
      </c>
      <c r="D29" s="9">
        <v>0.27018436789512634</v>
      </c>
      <c r="E29" s="9">
        <v>40</v>
      </c>
      <c r="F29" s="9">
        <v>80</v>
      </c>
      <c r="G29" s="9">
        <v>0.9500001072883606</v>
      </c>
      <c r="H29" s="9">
        <v>0.5</v>
      </c>
      <c r="I29">
        <v>0</v>
      </c>
      <c r="J29"/>
    </row>
    <row r="30" spans="1:10" ht="15" customHeight="1" x14ac:dyDescent="0.15">
      <c r="A30" s="172">
        <v>29</v>
      </c>
      <c r="B30" s="172" t="s">
        <v>220</v>
      </c>
      <c r="C30" s="8">
        <v>2.7291836738586426</v>
      </c>
      <c r="D30" s="9">
        <v>9.26055908203125</v>
      </c>
      <c r="E30" s="9">
        <v>1.381600022315979</v>
      </c>
      <c r="F30" s="9">
        <v>8.5</v>
      </c>
      <c r="G30" s="9">
        <v>0.98000001907348633</v>
      </c>
      <c r="H30" s="9">
        <v>0.16254118084907532</v>
      </c>
      <c r="I30">
        <v>0.23952999711036682</v>
      </c>
      <c r="J30"/>
    </row>
    <row r="31" spans="1:10" ht="15" customHeight="1" x14ac:dyDescent="0.15">
      <c r="A31" s="173">
        <v>30</v>
      </c>
      <c r="B31" s="173" t="s">
        <v>221</v>
      </c>
      <c r="C31" s="8">
        <v>2.6778135299682617</v>
      </c>
      <c r="D31" s="9">
        <v>7.6392345428466797</v>
      </c>
      <c r="E31" s="9">
        <v>3.1600000858306885</v>
      </c>
      <c r="F31" s="9">
        <v>19.200000762939453</v>
      </c>
      <c r="G31" s="9">
        <v>0.97999995946884155</v>
      </c>
      <c r="H31" s="9">
        <v>0.16458332538604736</v>
      </c>
      <c r="I31">
        <v>8.2559995353221893E-2</v>
      </c>
      <c r="J31"/>
    </row>
    <row r="32" spans="1:10" ht="15" customHeight="1" x14ac:dyDescent="0.15">
      <c r="A32" s="201">
        <v>31</v>
      </c>
      <c r="B32" s="201" t="s">
        <v>222</v>
      </c>
      <c r="C32" s="8">
        <v>2.5873477458953857</v>
      </c>
      <c r="D32" s="9">
        <v>0.88977062702178955</v>
      </c>
      <c r="E32" s="9">
        <v>1.4700000286102295</v>
      </c>
      <c r="F32" s="9">
        <v>21.870000839233398</v>
      </c>
      <c r="G32" s="9">
        <v>0.94999992847442627</v>
      </c>
      <c r="H32" s="9">
        <v>6.7215360701084137E-2</v>
      </c>
      <c r="I32">
        <v>2.4300001095980406E-3</v>
      </c>
      <c r="J32"/>
    </row>
    <row r="33" spans="1:10" ht="15" customHeight="1" x14ac:dyDescent="0.15">
      <c r="A33" s="202">
        <v>32</v>
      </c>
      <c r="B33" s="202" t="s">
        <v>223</v>
      </c>
      <c r="C33" s="8">
        <v>2.2610855102539062</v>
      </c>
      <c r="D33" s="9">
        <v>25</v>
      </c>
      <c r="E33" s="9">
        <v>1.2000000476837158</v>
      </c>
      <c r="F33" s="9">
        <v>3.7000000476837158</v>
      </c>
      <c r="G33" s="9">
        <v>0.70896565914154053</v>
      </c>
      <c r="H33" s="9">
        <v>0.3243243396282196</v>
      </c>
      <c r="I33">
        <v>4.1300002485513687E-3</v>
      </c>
      <c r="J33"/>
    </row>
    <row r="34" spans="1:10" ht="15" customHeight="1" x14ac:dyDescent="0.15">
      <c r="A34" s="203">
        <v>33</v>
      </c>
      <c r="B34" s="203" t="s">
        <v>224</v>
      </c>
      <c r="C34" s="8">
        <v>2.1657388210296631</v>
      </c>
      <c r="D34" s="9">
        <v>78.604530334472656</v>
      </c>
      <c r="E34" s="9">
        <v>0.80000001192092896</v>
      </c>
      <c r="F34" s="9">
        <v>9</v>
      </c>
      <c r="G34" s="9">
        <v>0.85000008344650269</v>
      </c>
      <c r="H34" s="9">
        <v>8.8888891041278839E-2</v>
      </c>
      <c r="I34">
        <v>1.5899999998509884E-3</v>
      </c>
      <c r="J34"/>
    </row>
    <row r="35" spans="1:10" ht="15" customHeight="1" x14ac:dyDescent="0.15">
      <c r="A35" s="204">
        <v>34</v>
      </c>
      <c r="B35" s="204" t="s">
        <v>225</v>
      </c>
      <c r="C35" s="8">
        <v>2.0408163070678711</v>
      </c>
      <c r="D35" s="9">
        <v>67.314102172851562</v>
      </c>
      <c r="E35" s="9">
        <v>5.0799999237060547</v>
      </c>
      <c r="F35" s="9">
        <v>21.520000457763672</v>
      </c>
      <c r="G35" s="9">
        <v>0.99000000953674316</v>
      </c>
      <c r="H35" s="9">
        <v>0.23605947196483612</v>
      </c>
      <c r="I35">
        <v>0</v>
      </c>
      <c r="J35"/>
    </row>
    <row r="36" spans="1:10" ht="15" customHeight="1" x14ac:dyDescent="0.15">
      <c r="A36" s="205">
        <v>35</v>
      </c>
      <c r="B36" s="205" t="s">
        <v>226</v>
      </c>
      <c r="C36" s="8">
        <v>2.0104081630706787</v>
      </c>
      <c r="D36" s="9">
        <v>55</v>
      </c>
      <c r="E36" s="9">
        <v>1.218999981880188</v>
      </c>
      <c r="F36" s="9">
        <v>23</v>
      </c>
      <c r="G36" s="9">
        <v>0.81298291683197021</v>
      </c>
      <c r="H36" s="9">
        <v>5.299999937415123E-2</v>
      </c>
      <c r="I36">
        <v>8.0099999904632568E-3</v>
      </c>
      <c r="J36"/>
    </row>
    <row r="37" spans="1:10" ht="15" customHeight="1" x14ac:dyDescent="0.15">
      <c r="A37" s="206">
        <v>36</v>
      </c>
      <c r="B37" s="206" t="s">
        <v>227</v>
      </c>
      <c r="C37" s="8">
        <v>2</v>
      </c>
      <c r="D37" s="9">
        <v>6.0000002849847078E-4</v>
      </c>
      <c r="E37" s="9">
        <v>0.10000000149011612</v>
      </c>
      <c r="F37" s="9">
        <v>36.5</v>
      </c>
      <c r="G37" s="7">
        <v>0</v>
      </c>
      <c r="H37" s="9">
        <v>2.7397261001169682E-3</v>
      </c>
      <c r="I37">
        <v>0</v>
      </c>
      <c r="J37"/>
    </row>
    <row r="38" spans="1:10" ht="15" customHeight="1" x14ac:dyDescent="0.15">
      <c r="A38" s="207">
        <v>37</v>
      </c>
      <c r="B38" s="207" t="s">
        <v>228</v>
      </c>
      <c r="C38" s="8">
        <v>2</v>
      </c>
      <c r="D38" s="9">
        <v>36.5</v>
      </c>
      <c r="E38" s="9">
        <v>13</v>
      </c>
      <c r="F38" s="9">
        <v>43.299999237060547</v>
      </c>
      <c r="G38" s="9">
        <v>0.90962368249893188</v>
      </c>
      <c r="H38" s="9">
        <v>0.30023095011711121</v>
      </c>
      <c r="I38">
        <v>0</v>
      </c>
      <c r="J38"/>
    </row>
    <row r="39" spans="1:10" ht="15" customHeight="1" x14ac:dyDescent="0.15">
      <c r="A39" s="208">
        <v>38</v>
      </c>
      <c r="B39" s="208" t="s">
        <v>229</v>
      </c>
      <c r="C39" s="8">
        <v>1</v>
      </c>
      <c r="D39" s="9">
        <v>52.096321105957031</v>
      </c>
      <c r="E39" s="9">
        <v>4</v>
      </c>
      <c r="F39" s="10"/>
      <c r="G39" s="9">
        <v>0.79999995231628418</v>
      </c>
      <c r="H39" s="10"/>
      <c r="I39">
        <v>0</v>
      </c>
      <c r="J39"/>
    </row>
    <row r="40" spans="1:10" ht="15" customHeight="1" x14ac:dyDescent="0.15">
      <c r="A40" s="209">
        <v>39</v>
      </c>
      <c r="B40" s="209" t="s">
        <v>230</v>
      </c>
      <c r="C40" s="8">
        <v>1</v>
      </c>
      <c r="D40" s="9">
        <v>37</v>
      </c>
      <c r="E40" s="9">
        <v>55.573501586914062</v>
      </c>
      <c r="F40" s="10"/>
      <c r="G40" s="9">
        <v>0.3283219039440155</v>
      </c>
      <c r="H40" s="10"/>
      <c r="I40">
        <v>0</v>
      </c>
      <c r="J40"/>
    </row>
    <row r="41" spans="1:10" ht="15" customHeight="1" x14ac:dyDescent="0.15">
      <c r="A41" s="210">
        <v>40</v>
      </c>
      <c r="B41" s="210" t="s">
        <v>231</v>
      </c>
      <c r="C41" s="8">
        <v>1</v>
      </c>
      <c r="D41" s="9">
        <v>5.6448369026184082</v>
      </c>
      <c r="E41" s="9">
        <v>332.66668701171875</v>
      </c>
      <c r="F41" s="10"/>
      <c r="G41" s="9">
        <v>0.99000000953674316</v>
      </c>
      <c r="H41" s="10"/>
      <c r="I41">
        <v>0</v>
      </c>
      <c r="J41"/>
    </row>
    <row r="42" spans="1:10" ht="15" customHeight="1" x14ac:dyDescent="0.15">
      <c r="A42" s="211">
        <v>41</v>
      </c>
      <c r="B42" s="211" t="s">
        <v>232</v>
      </c>
      <c r="C42" s="8">
        <v>1</v>
      </c>
      <c r="D42" s="9">
        <v>26.506898880004883</v>
      </c>
      <c r="E42" s="9">
        <v>7.3000001907348633</v>
      </c>
      <c r="F42" s="10"/>
      <c r="G42" s="9">
        <v>0.5</v>
      </c>
      <c r="H42" s="10"/>
      <c r="I42">
        <v>0</v>
      </c>
      <c r="J42"/>
    </row>
    <row r="43" spans="1:10" ht="15" customHeight="1" x14ac:dyDescent="0.15">
      <c r="A43" s="212">
        <v>42</v>
      </c>
      <c r="B43" s="212" t="s">
        <v>233</v>
      </c>
      <c r="C43" s="8">
        <v>1</v>
      </c>
      <c r="D43" s="9">
        <v>518</v>
      </c>
      <c r="E43" s="10"/>
      <c r="F43" s="10"/>
      <c r="G43" s="7">
        <v>0.55862557888031006</v>
      </c>
      <c r="H43" s="10"/>
      <c r="I43">
        <v>0</v>
      </c>
      <c r="J43"/>
    </row>
    <row r="44" spans="1:10" ht="15" customHeight="1" x14ac:dyDescent="0.15">
      <c r="A44" s="213">
        <v>43</v>
      </c>
      <c r="B44" s="213" t="s">
        <v>234</v>
      </c>
      <c r="C44" s="8">
        <v>1</v>
      </c>
      <c r="D44" s="9">
        <v>5</v>
      </c>
      <c r="E44" s="10"/>
      <c r="F44" s="10"/>
      <c r="G44" s="7">
        <v>0</v>
      </c>
      <c r="H44" s="10"/>
      <c r="I44">
        <v>0</v>
      </c>
      <c r="J44"/>
    </row>
    <row r="45" spans="1:10" ht="15" customHeight="1" x14ac:dyDescent="0.15">
      <c r="A45" s="214">
        <v>44</v>
      </c>
      <c r="B45" s="214" t="s">
        <v>235</v>
      </c>
      <c r="C45" s="8">
        <v>3.8870711326599121</v>
      </c>
      <c r="D45" s="10"/>
      <c r="E45" s="10"/>
      <c r="F45" s="10"/>
      <c r="G45" s="10"/>
      <c r="H45" s="10"/>
      <c r="I45">
        <v>0.12426000833511353</v>
      </c>
      <c r="J45"/>
    </row>
    <row r="46" spans="1:10" ht="15" customHeight="1" x14ac:dyDescent="0.15">
      <c r="A46" s="215">
        <v>45</v>
      </c>
      <c r="B46" s="215" t="s">
        <v>236</v>
      </c>
      <c r="C46" s="8">
        <v>3.1676325798034668</v>
      </c>
      <c r="D46" s="10"/>
      <c r="E46" s="10"/>
      <c r="F46" s="10"/>
      <c r="G46" s="10"/>
      <c r="H46" s="10"/>
      <c r="I46">
        <v>1.0100000072270632E-3</v>
      </c>
      <c r="J46"/>
    </row>
    <row r="47" spans="1:10" ht="15" customHeight="1" x14ac:dyDescent="0.15">
      <c r="A47" s="216">
        <v>46</v>
      </c>
      <c r="B47" s="216" t="s">
        <v>237</v>
      </c>
      <c r="C47" s="8">
        <v>4.7380595207214355</v>
      </c>
      <c r="D47" s="10"/>
      <c r="E47" s="10"/>
      <c r="F47" s="10"/>
      <c r="G47" s="10"/>
      <c r="H47" s="10"/>
      <c r="I47">
        <v>8.6339995265007019E-2</v>
      </c>
      <c r="J47"/>
    </row>
    <row r="48" spans="1:10" ht="15" customHeight="1" x14ac:dyDescent="0.15">
      <c r="A48" s="217">
        <v>47</v>
      </c>
      <c r="B48" s="217" t="s">
        <v>238</v>
      </c>
      <c r="C48" s="8">
        <v>4.3436923027038574</v>
      </c>
      <c r="D48" s="10"/>
      <c r="E48" s="10"/>
      <c r="F48" s="10"/>
      <c r="G48" s="10"/>
      <c r="H48" s="10"/>
      <c r="I48">
        <v>2.9999999242136255E-5</v>
      </c>
      <c r="J48"/>
    </row>
    <row r="49" spans="1:10" ht="15" customHeight="1" x14ac:dyDescent="0.15">
      <c r="A49" s="218">
        <v>48</v>
      </c>
      <c r="B49" s="218" t="s">
        <v>239</v>
      </c>
      <c r="C49" s="8">
        <v>4.8287825584411621</v>
      </c>
      <c r="D49" s="10"/>
      <c r="E49" s="10"/>
      <c r="F49" s="10"/>
      <c r="G49" s="10"/>
      <c r="H49" s="10"/>
      <c r="I49">
        <v>3.872000053524971E-2</v>
      </c>
      <c r="J49"/>
    </row>
    <row r="50" spans="1:10" ht="15" customHeight="1" x14ac:dyDescent="0.15">
      <c r="A50" s="219">
        <v>49</v>
      </c>
      <c r="B50" s="219" t="s">
        <v>240</v>
      </c>
      <c r="C50" s="8">
        <v>4.3569278717041016</v>
      </c>
      <c r="D50" s="10"/>
      <c r="E50" s="10"/>
      <c r="F50" s="10"/>
      <c r="G50" s="10"/>
      <c r="H50" s="10"/>
      <c r="I50">
        <v>1.0259998962283134E-2</v>
      </c>
      <c r="J50"/>
    </row>
    <row r="51" spans="1:10" ht="15" customHeight="1" x14ac:dyDescent="0.15">
      <c r="A51" s="220">
        <v>50</v>
      </c>
      <c r="B51" s="220" t="s">
        <v>241</v>
      </c>
      <c r="C51" s="8">
        <v>4.1211428642272949</v>
      </c>
      <c r="D51" s="10"/>
      <c r="E51" s="10"/>
      <c r="F51" s="10"/>
      <c r="G51" s="10"/>
      <c r="H51" s="10"/>
      <c r="I51">
        <v>5.2480001002550125E-2</v>
      </c>
      <c r="J51"/>
    </row>
    <row r="52" spans="1:10" ht="15" customHeight="1" x14ac:dyDescent="0.15">
      <c r="A52" s="221">
        <v>51</v>
      </c>
      <c r="B52" s="221" t="s">
        <v>242</v>
      </c>
      <c r="C52" s="8">
        <v>3.889998197555542</v>
      </c>
      <c r="D52" s="10"/>
      <c r="E52" s="10"/>
      <c r="F52" s="10"/>
      <c r="G52" s="10"/>
      <c r="H52" s="10"/>
      <c r="I52">
        <v>0.23646000027656555</v>
      </c>
      <c r="J52"/>
    </row>
    <row r="53" spans="1:10" ht="15" customHeight="1" x14ac:dyDescent="0.15">
      <c r="A53" s="222">
        <v>52</v>
      </c>
      <c r="B53" s="222" t="s">
        <v>243</v>
      </c>
      <c r="C53" s="8">
        <v>3.754124641418457</v>
      </c>
      <c r="D53" s="10"/>
      <c r="E53" s="10"/>
      <c r="F53" s="10"/>
      <c r="G53" s="10"/>
      <c r="H53" s="10"/>
      <c r="I53">
        <v>0.23711001873016357</v>
      </c>
      <c r="J53"/>
    </row>
    <row r="54" spans="1:10" ht="15" customHeight="1" x14ac:dyDescent="0.15">
      <c r="A54"/>
      <c r="B54"/>
      <c r="C54"/>
      <c r="D54"/>
      <c r="E54"/>
      <c r="F54"/>
      <c r="G54"/>
      <c r="H54"/>
      <c r="I54"/>
      <c r="J54"/>
    </row>
    <row r="55" spans="1:10" ht="15" customHeight="1" x14ac:dyDescent="0.15">
      <c r="A55"/>
      <c r="B55"/>
      <c r="C55"/>
      <c r="D55"/>
      <c r="E55"/>
      <c r="F55"/>
      <c r="G55"/>
      <c r="H55"/>
      <c r="I55"/>
      <c r="J55"/>
    </row>
    <row r="56" spans="1:10" ht="15" customHeight="1" x14ac:dyDescent="0.15">
      <c r="A56"/>
      <c r="B56"/>
      <c r="C56"/>
      <c r="D56"/>
      <c r="E56"/>
      <c r="F56"/>
      <c r="G56"/>
      <c r="H56"/>
      <c r="I56"/>
      <c r="J56"/>
    </row>
    <row r="57" spans="1:10" ht="15" customHeight="1" x14ac:dyDescent="0.15">
      <c r="A57"/>
      <c r="B57"/>
      <c r="C57"/>
      <c r="D57"/>
      <c r="E57"/>
      <c r="F57"/>
      <c r="G57"/>
      <c r="H57"/>
      <c r="I57"/>
      <c r="J57"/>
    </row>
    <row r="58" spans="1:10" ht="15" customHeight="1" x14ac:dyDescent="0.15">
      <c r="A58"/>
      <c r="B58"/>
      <c r="C58"/>
      <c r="D58"/>
      <c r="E58"/>
      <c r="F58"/>
      <c r="G58"/>
      <c r="H58"/>
      <c r="I58"/>
      <c r="J58"/>
    </row>
    <row r="59" spans="1:10" ht="15" customHeight="1" x14ac:dyDescent="0.15">
      <c r="A59"/>
      <c r="B59"/>
      <c r="C59"/>
      <c r="D59"/>
      <c r="E59"/>
      <c r="F59"/>
      <c r="G59"/>
      <c r="H59"/>
      <c r="I59"/>
      <c r="J59"/>
    </row>
    <row r="60" spans="1:10" ht="15" customHeight="1" x14ac:dyDescent="0.15">
      <c r="A60"/>
      <c r="B60"/>
      <c r="C60"/>
      <c r="D60"/>
      <c r="E60"/>
      <c r="F60"/>
      <c r="G60"/>
      <c r="H60"/>
      <c r="I60"/>
      <c r="J60"/>
    </row>
    <row r="61" spans="1:10" ht="15" customHeight="1" x14ac:dyDescent="0.15">
      <c r="A61"/>
      <c r="B61"/>
      <c r="C61"/>
      <c r="D61"/>
      <c r="E61"/>
      <c r="F61"/>
      <c r="G61"/>
      <c r="H61"/>
      <c r="I61"/>
      <c r="J61"/>
    </row>
    <row r="62" spans="1:10" ht="15" customHeight="1" x14ac:dyDescent="0.15">
      <c r="A62"/>
      <c r="B62"/>
      <c r="C62"/>
      <c r="D62"/>
      <c r="E62"/>
      <c r="F62"/>
      <c r="G62"/>
      <c r="H62"/>
      <c r="I62"/>
      <c r="J62"/>
    </row>
    <row r="63" spans="1:10" ht="15" customHeight="1" x14ac:dyDescent="0.15">
      <c r="A63"/>
      <c r="B63"/>
      <c r="C63"/>
      <c r="D63"/>
      <c r="E63"/>
      <c r="F63"/>
      <c r="G63"/>
      <c r="H63"/>
      <c r="I63"/>
      <c r="J63"/>
    </row>
    <row r="64" spans="1:10" ht="15" customHeight="1" x14ac:dyDescent="0.15">
      <c r="A64"/>
      <c r="B64"/>
      <c r="C64"/>
      <c r="D64"/>
      <c r="E64"/>
      <c r="F64"/>
      <c r="G64"/>
      <c r="H64"/>
      <c r="I64"/>
      <c r="J64"/>
    </row>
    <row r="65" spans="1:10" ht="15" customHeight="1" x14ac:dyDescent="0.15">
      <c r="A65"/>
      <c r="B65"/>
      <c r="C65"/>
      <c r="D65"/>
      <c r="E65"/>
      <c r="F65"/>
      <c r="G65"/>
      <c r="H65"/>
      <c r="I65"/>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4" bestFit="1" customWidth="1"/>
    <col min="2" max="4" width="9.5" style="84" bestFit="1" customWidth="1"/>
    <col min="5" max="7" width="9" style="84" bestFit="1" customWidth="1"/>
    <col min="8" max="16" width="12.6640625" style="84" bestFit="1" customWidth="1"/>
    <col min="17" max="17" width="12.33203125" style="84" bestFit="1" customWidth="1"/>
    <col min="18" max="18" width="8.83203125" style="84"/>
    <col min="19" max="21" width="9.33203125" style="84" bestFit="1" customWidth="1"/>
    <col min="22" max="23" width="8.83203125" style="84"/>
    <col min="24" max="24" width="9.33203125" style="84" bestFit="1" customWidth="1"/>
    <col min="25" max="27" width="8.83203125" style="84"/>
    <col min="28" max="58" width="9" style="84" bestFit="1" customWidth="1"/>
    <col min="59" max="59" width="12.33203125" style="84" bestFit="1" customWidth="1"/>
    <col min="60" max="60" width="9" style="84" bestFit="1" customWidth="1"/>
    <col min="61" max="61" width="11.33203125" style="84" bestFit="1" customWidth="1"/>
    <col min="62" max="77" width="9" style="84" bestFit="1" customWidth="1"/>
    <col min="78" max="78" width="12.33203125" style="84" bestFit="1" customWidth="1"/>
    <col min="79" max="79" width="9" style="84" bestFit="1" customWidth="1"/>
    <col min="80" max="80" width="12.33203125" style="84" bestFit="1" customWidth="1"/>
    <col min="81" max="107" width="9" style="84" bestFit="1" customWidth="1"/>
    <col min="108" max="108" width="11.33203125" style="84" bestFit="1" customWidth="1"/>
    <col min="109" max="124" width="9" style="84" bestFit="1" customWidth="1"/>
    <col min="125" max="125" width="10.33203125" style="84" bestFit="1" customWidth="1"/>
    <col min="126" max="129" width="9.33203125" style="84" bestFit="1" customWidth="1"/>
    <col min="130" max="130" width="9" style="84" bestFit="1" customWidth="1"/>
    <col min="131" max="134" width="9.33203125" style="84" bestFit="1" customWidth="1"/>
    <col min="135" max="165" width="9" style="84" bestFit="1" customWidth="1"/>
    <col min="166" max="166" width="12.33203125" style="84" bestFit="1" customWidth="1"/>
    <col min="167" max="170" width="9" style="84" bestFit="1" customWidth="1"/>
    <col min="171" max="176" width="8.83203125" style="84"/>
    <col min="177" max="177" width="13.83203125" style="84" bestFit="1" customWidth="1"/>
    <col min="178" max="16384" width="8.83203125" style="84"/>
  </cols>
  <sheetData>
    <row r="1" spans="1:209" ht="15" customHeight="1" x14ac:dyDescent="0.15">
      <c r="A1" t="s">
        <v>15</v>
      </c>
      <c r="B1" t="s">
        <v>1</v>
      </c>
      <c r="C1" t="s">
        <v>16</v>
      </c>
      <c r="D1" t="s">
        <v>248</v>
      </c>
      <c r="E1" t="s">
        <v>249</v>
      </c>
      <c r="F1" t="s">
        <v>250</v>
      </c>
      <c r="G1" t="s">
        <v>251</v>
      </c>
      <c r="H1" t="s">
        <v>252</v>
      </c>
      <c r="I1" t="s">
        <v>253</v>
      </c>
      <c r="J1" t="s">
        <v>254</v>
      </c>
      <c r="K1" t="s">
        <v>255</v>
      </c>
      <c r="L1" t="s">
        <v>256</v>
      </c>
      <c r="M1" t="s">
        <v>192</v>
      </c>
      <c r="N1" t="s">
        <v>193</v>
      </c>
      <c r="O1" t="s">
        <v>194</v>
      </c>
      <c r="P1" t="s">
        <v>195</v>
      </c>
      <c r="Q1" t="s">
        <v>196</v>
      </c>
      <c r="R1" t="s">
        <v>197</v>
      </c>
      <c r="S1" t="s">
        <v>198</v>
      </c>
      <c r="T1" t="s">
        <v>199</v>
      </c>
      <c r="U1" t="s">
        <v>200</v>
      </c>
      <c r="V1" t="s">
        <v>201</v>
      </c>
      <c r="W1" t="s">
        <v>202</v>
      </c>
      <c r="X1" t="s">
        <v>203</v>
      </c>
      <c r="Y1" t="s">
        <v>204</v>
      </c>
      <c r="Z1" t="s">
        <v>205</v>
      </c>
      <c r="AA1" t="s">
        <v>206</v>
      </c>
      <c r="AB1" t="s">
        <v>207</v>
      </c>
      <c r="AC1" t="s">
        <v>208</v>
      </c>
      <c r="AD1" t="s">
        <v>209</v>
      </c>
      <c r="AE1" t="s">
        <v>210</v>
      </c>
      <c r="AF1" t="s">
        <v>211</v>
      </c>
      <c r="AG1" t="s">
        <v>212</v>
      </c>
      <c r="AH1" t="s">
        <v>213</v>
      </c>
      <c r="AI1" t="s">
        <v>214</v>
      </c>
      <c r="AJ1" t="s">
        <v>215</v>
      </c>
      <c r="AK1" t="s">
        <v>216</v>
      </c>
      <c r="AL1" t="s">
        <v>217</v>
      </c>
      <c r="AM1" t="s">
        <v>218</v>
      </c>
      <c r="AN1" t="s">
        <v>219</v>
      </c>
      <c r="AO1" t="s">
        <v>220</v>
      </c>
      <c r="AP1" t="s">
        <v>221</v>
      </c>
      <c r="AQ1" t="s">
        <v>222</v>
      </c>
      <c r="AR1" t="s">
        <v>223</v>
      </c>
      <c r="AS1" t="s">
        <v>224</v>
      </c>
      <c r="AT1" t="s">
        <v>225</v>
      </c>
      <c r="AU1" t="s">
        <v>226</v>
      </c>
      <c r="AV1" t="s">
        <v>227</v>
      </c>
      <c r="AW1" t="s">
        <v>228</v>
      </c>
      <c r="AX1" t="s">
        <v>229</v>
      </c>
      <c r="AY1" t="s">
        <v>230</v>
      </c>
      <c r="AZ1" t="s">
        <v>231</v>
      </c>
      <c r="BA1" t="s">
        <v>232</v>
      </c>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0.43999999761581421</v>
      </c>
      <c r="C2">
        <v>103.49685668945312</v>
      </c>
      <c r="D2"/>
      <c r="E2"/>
      <c r="F2"/>
      <c r="G2"/>
      <c r="H2" s="225">
        <v>0.55000001192092896</v>
      </c>
      <c r="I2"/>
      <c r="J2" s="229">
        <v>0.37200000882148743</v>
      </c>
      <c r="K2"/>
      <c r="L2"/>
      <c r="M2" s="232">
        <v>2.1155770868062973E-2</v>
      </c>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0.43000000715255737</v>
      </c>
      <c r="C3">
        <v>3.2062733173370361</v>
      </c>
      <c r="D3" s="22">
        <v>2.9721956234425306E-3</v>
      </c>
      <c r="E3"/>
      <c r="F3" s="223">
        <v>0.27794823050498962</v>
      </c>
      <c r="G3"/>
      <c r="H3" s="226">
        <v>2.9338447377085686E-2</v>
      </c>
      <c r="I3" s="11">
        <v>1.9175454508513212E-4</v>
      </c>
      <c r="J3" s="28">
        <v>1.5340364538133144E-2</v>
      </c>
      <c r="K3"/>
      <c r="L3"/>
      <c r="M3" s="21">
        <v>8.3669750019907951E-3</v>
      </c>
      <c r="N3" s="256">
        <v>0.20900000631809235</v>
      </c>
      <c r="O3" s="243">
        <v>8.1775985658168793E-2</v>
      </c>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0.85000002384185791</v>
      </c>
      <c r="C4">
        <v>0.16939465701580048</v>
      </c>
      <c r="D4"/>
      <c r="E4"/>
      <c r="F4" s="11">
        <v>4.219409020151943E-4</v>
      </c>
      <c r="G4"/>
      <c r="H4" s="227">
        <v>0.17721518874168396</v>
      </c>
      <c r="I4"/>
      <c r="J4" s="17">
        <v>1.0970463976264E-2</v>
      </c>
      <c r="K4"/>
      <c r="L4"/>
      <c r="M4" s="232">
        <v>4.2400803416967392E-2</v>
      </c>
      <c r="N4"/>
      <c r="O4" s="240">
        <v>0.23997028172016144</v>
      </c>
      <c r="P4"/>
      <c r="Q4" s="238">
        <v>0.20962667465209961</v>
      </c>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0.10000000149011612</v>
      </c>
      <c r="C5">
        <v>0.10000000149011612</v>
      </c>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0.37999999523162842</v>
      </c>
      <c r="C6">
        <v>2.2450583055615425E-2</v>
      </c>
      <c r="D6" s="11">
        <v>4.8309175326721743E-5</v>
      </c>
      <c r="E6"/>
      <c r="F6" s="77">
        <v>2.4637682363390923E-2</v>
      </c>
      <c r="G6"/>
      <c r="H6" s="228">
        <v>3.3864736557006836E-2</v>
      </c>
      <c r="I6" s="11">
        <v>1.9323670130688697E-4</v>
      </c>
      <c r="J6" s="230">
        <v>3.2995168119668961E-2</v>
      </c>
      <c r="K6"/>
      <c r="L6" s="12">
        <v>1.6908212564885616E-3</v>
      </c>
      <c r="M6" s="232">
        <v>1.852407306432724E-2</v>
      </c>
      <c r="N6" s="235">
        <v>1.2636927887797356E-2</v>
      </c>
      <c r="O6" s="262">
        <v>0.13738363981246948</v>
      </c>
      <c r="P6" s="248">
        <v>7.6173916459083557E-2</v>
      </c>
      <c r="Q6"/>
      <c r="R6" s="22">
        <v>3.0107684433460236E-3</v>
      </c>
      <c r="S6" s="11">
        <v>3.0234316363930702E-4</v>
      </c>
      <c r="T6"/>
      <c r="U6"/>
      <c r="V6"/>
      <c r="W6" s="20">
        <v>1.6087794676423073E-2</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0.69999998807907104</v>
      </c>
      <c r="C7">
        <v>3.5000048577785492E-2</v>
      </c>
      <c r="D7" s="23">
        <v>3.530002199113369E-3</v>
      </c>
      <c r="E7"/>
      <c r="F7" s="11">
        <v>8.0227320722769946E-5</v>
      </c>
      <c r="G7" s="11">
        <v>8.0227320722769946E-5</v>
      </c>
      <c r="H7" s="143">
        <v>4.1878663003444672E-2</v>
      </c>
      <c r="I7"/>
      <c r="J7" s="17">
        <v>9.9481884390115738E-3</v>
      </c>
      <c r="K7"/>
      <c r="L7" s="19">
        <v>1.243523508310318E-2</v>
      </c>
      <c r="M7"/>
      <c r="N7" s="253">
        <v>0.17488513886928558</v>
      </c>
      <c r="O7" s="234">
        <v>1.5966478735208511E-2</v>
      </c>
      <c r="P7"/>
      <c r="Q7"/>
      <c r="R7" s="246">
        <v>9.9999994039535522E-2</v>
      </c>
      <c r="S7"/>
      <c r="T7"/>
      <c r="U7"/>
      <c r="V7"/>
      <c r="W7" s="27">
        <v>5.3434178233146667E-2</v>
      </c>
      <c r="X7"/>
      <c r="Y7" s="263">
        <v>0.23587661981582642</v>
      </c>
      <c r="Z7"/>
      <c r="AA7"/>
      <c r="AB7"/>
      <c r="AC7"/>
      <c r="AD7"/>
      <c r="AE7"/>
      <c r="AF7"/>
      <c r="AG7"/>
      <c r="AH7"/>
      <c r="AI7" s="234">
        <v>1.6885025426745415E-2</v>
      </c>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0.56000000238418579</v>
      </c>
      <c r="C8">
        <v>8.1702306866645813E-2</v>
      </c>
      <c r="D8"/>
      <c r="E8"/>
      <c r="F8" s="23">
        <v>3.6764703691005707E-3</v>
      </c>
      <c r="G8"/>
      <c r="H8" s="64">
        <v>3.0882351100444794E-2</v>
      </c>
      <c r="I8"/>
      <c r="J8" s="64">
        <v>3.0294114723801613E-2</v>
      </c>
      <c r="K8"/>
      <c r="L8" s="12">
        <v>2.4999999441206455E-3</v>
      </c>
      <c r="M8" s="70">
        <v>2.8000280261039734E-2</v>
      </c>
      <c r="N8" s="236">
        <v>6.4113825559616089E-2</v>
      </c>
      <c r="O8" s="239">
        <v>8.3636701107025146E-2</v>
      </c>
      <c r="P8"/>
      <c r="Q8" s="242">
        <v>0.12206491082906723</v>
      </c>
      <c r="R8" s="236">
        <v>6.4155936241149902E-2</v>
      </c>
      <c r="S8"/>
      <c r="T8"/>
      <c r="U8"/>
      <c r="V8"/>
      <c r="W8" s="228">
        <v>4.8973135650157928E-2</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0.56999999284744263</v>
      </c>
      <c r="C9">
        <v>2.8500005602836609E-2</v>
      </c>
      <c r="D9"/>
      <c r="E9"/>
      <c r="F9"/>
      <c r="G9"/>
      <c r="H9" s="28">
        <v>1.999351754784584E-2</v>
      </c>
      <c r="I9"/>
      <c r="J9" s="17">
        <v>7.9974066466093063E-3</v>
      </c>
      <c r="K9"/>
      <c r="L9"/>
      <c r="M9"/>
      <c r="N9" s="241">
        <v>6.6246569156646729E-2</v>
      </c>
      <c r="O9" s="18">
        <v>6.8211751058697701E-3</v>
      </c>
      <c r="P9"/>
      <c r="Q9" s="249">
        <v>0.13283000886440277</v>
      </c>
      <c r="R9" s="258">
        <v>0.17444758117198944</v>
      </c>
      <c r="S9"/>
      <c r="T9"/>
      <c r="U9"/>
      <c r="V9"/>
      <c r="W9" s="249">
        <v>0.13316373527050018</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0.86000001430511475</v>
      </c>
      <c r="C10">
        <v>0.13996654748916626</v>
      </c>
      <c r="D10" s="12">
        <v>3.405172610655427E-3</v>
      </c>
      <c r="E10"/>
      <c r="F10" s="70">
        <v>4.3965522199869156E-2</v>
      </c>
      <c r="G10"/>
      <c r="H10" s="18">
        <v>1.0043103247880936E-2</v>
      </c>
      <c r="I10" s="12">
        <v>2.5431036483496428E-3</v>
      </c>
      <c r="J10" s="22">
        <v>7.0258621126413345E-3</v>
      </c>
      <c r="K10"/>
      <c r="L10" s="11">
        <v>3.4482759656384587E-4</v>
      </c>
      <c r="M10" s="15">
        <v>8.662923239171505E-3</v>
      </c>
      <c r="N10" s="20">
        <v>3.7583965808153152E-2</v>
      </c>
      <c r="O10" s="252">
        <v>8.2106195390224457E-2</v>
      </c>
      <c r="P10" s="261">
        <v>0.11554140597581863</v>
      </c>
      <c r="Q10" s="67">
        <v>5.0113759934902191E-2</v>
      </c>
      <c r="R10" s="16">
        <v>1.3431660830974579E-2</v>
      </c>
      <c r="S10" s="79">
        <v>0.14567206799983978</v>
      </c>
      <c r="T10"/>
      <c r="U10" s="108">
        <v>0.13499999046325684</v>
      </c>
      <c r="V10"/>
      <c r="W10" s="224">
        <v>6.4593881368637085E-2</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3.0999999046325684</v>
      </c>
      <c r="C11">
        <v>6.2000121921300888E-2</v>
      </c>
      <c r="D11"/>
      <c r="E11"/>
      <c r="F11"/>
      <c r="G11"/>
      <c r="H11" s="11">
        <v>1.3806727656628937E-4</v>
      </c>
      <c r="I11"/>
      <c r="J11"/>
      <c r="K11"/>
      <c r="L11" s="11">
        <v>8.2840363029390574E-4</v>
      </c>
      <c r="M11"/>
      <c r="N11" s="254">
        <v>0.3009687066078186</v>
      </c>
      <c r="O11"/>
      <c r="P11" s="22">
        <v>2.1770451217889786E-2</v>
      </c>
      <c r="Q11"/>
      <c r="R11" s="139">
        <v>0.30977115035057068</v>
      </c>
      <c r="S11"/>
      <c r="T11" s="236">
        <v>0.35445630550384521</v>
      </c>
      <c r="U11"/>
      <c r="V11"/>
      <c r="W11" s="251">
        <v>0.25288337469100952</v>
      </c>
      <c r="X11" s="65">
        <v>6.627228856086731E-2</v>
      </c>
      <c r="Y11"/>
      <c r="Z11"/>
      <c r="AA11"/>
      <c r="AB11"/>
      <c r="AC11"/>
      <c r="AD11" s="273">
        <v>1.1497447490692139</v>
      </c>
      <c r="AE11"/>
      <c r="AF11"/>
      <c r="AG11"/>
      <c r="AH11"/>
      <c r="AI11" s="266">
        <v>0.58116596937179565</v>
      </c>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0.8399999737739563</v>
      </c>
      <c r="C12">
        <v>4.2000006884336472E-2</v>
      </c>
      <c r="D12"/>
      <c r="E12"/>
      <c r="F12" s="12">
        <v>3.7458015140146017E-3</v>
      </c>
      <c r="G12"/>
      <c r="H12" s="14">
        <v>1.4786057872697711E-3</v>
      </c>
      <c r="I12" s="14">
        <v>1.675753272138536E-3</v>
      </c>
      <c r="J12" s="12">
        <v>3.0557853169739246E-3</v>
      </c>
      <c r="K12"/>
      <c r="L12" s="11">
        <v>2.9572113999165595E-4</v>
      </c>
      <c r="M12"/>
      <c r="N12" s="70">
        <v>4.2975574731826782E-2</v>
      </c>
      <c r="O12" s="21">
        <v>1.6815165057778358E-2</v>
      </c>
      <c r="P12" s="19">
        <v>1.5543106012046337E-2</v>
      </c>
      <c r="Q12"/>
      <c r="R12" s="26">
        <v>2.1501902490854263E-2</v>
      </c>
      <c r="S12" s="11">
        <v>3.0846198205836117E-4</v>
      </c>
      <c r="T12" s="110">
        <v>0.15317128598690033</v>
      </c>
      <c r="U12"/>
      <c r="V12"/>
      <c r="W12" s="228">
        <v>7.3860205709934235E-2</v>
      </c>
      <c r="X12"/>
      <c r="Y12" s="270">
        <v>0.30189263820648193</v>
      </c>
      <c r="Z12" s="260">
        <v>0.130560502409935</v>
      </c>
      <c r="AA12"/>
      <c r="AB12"/>
      <c r="AC12"/>
      <c r="AD12"/>
      <c r="AE12"/>
      <c r="AF12"/>
      <c r="AG12"/>
      <c r="AH12"/>
      <c r="AI12" s="13">
        <v>3.1119445338845253E-2</v>
      </c>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0.10000000149011612</v>
      </c>
      <c r="C13">
        <v>1.9999999552965164E-2</v>
      </c>
      <c r="D13"/>
      <c r="E13"/>
      <c r="F13"/>
      <c r="G13"/>
      <c r="H13"/>
      <c r="I13"/>
      <c r="J13"/>
      <c r="K13"/>
      <c r="L13"/>
      <c r="M13"/>
      <c r="N13"/>
      <c r="O13"/>
      <c r="P13"/>
      <c r="Q13"/>
      <c r="R13"/>
      <c r="S13"/>
      <c r="T13"/>
      <c r="U13"/>
      <c r="V13"/>
      <c r="W13"/>
      <c r="X13" s="231">
        <v>7.9999998211860657E-2</v>
      </c>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0.38999998569488525</v>
      </c>
      <c r="C14">
        <v>1.949995756149292E-2</v>
      </c>
      <c r="D14" s="22">
        <v>3.4188821446150541E-3</v>
      </c>
      <c r="E14" s="11">
        <v>2.8490685508586466E-4</v>
      </c>
      <c r="F14" s="26">
        <v>9.8292874172329903E-3</v>
      </c>
      <c r="G14"/>
      <c r="H14"/>
      <c r="I14"/>
      <c r="J14"/>
      <c r="K14"/>
      <c r="L14" s="11">
        <v>7.1226713771466166E-5</v>
      </c>
      <c r="M14"/>
      <c r="N14" s="237">
        <v>3.1052997335791588E-2</v>
      </c>
      <c r="O14" s="75">
        <v>3.6450579762458801E-2</v>
      </c>
      <c r="P14"/>
      <c r="Q14" s="143">
        <v>2.3590913042426109E-2</v>
      </c>
      <c r="R14" s="257">
        <v>0.15536695718765259</v>
      </c>
      <c r="S14"/>
      <c r="T14" s="26">
        <v>9.6187340095639229E-3</v>
      </c>
      <c r="U14"/>
      <c r="V14"/>
      <c r="W14"/>
      <c r="X14"/>
      <c r="Y14" s="65">
        <v>8.7286774069070816E-3</v>
      </c>
      <c r="Z14" s="244">
        <v>6.2962941825389862E-2</v>
      </c>
      <c r="AA14" s="16">
        <v>5.8163083158433437E-3</v>
      </c>
      <c r="AB14"/>
      <c r="AC14" s="67">
        <v>2.3307584226131439E-2</v>
      </c>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0.4699999988079071</v>
      </c>
      <c r="C15">
        <v>4.0113143622875214E-2</v>
      </c>
      <c r="D15" s="68">
        <v>2.9038514941930771E-2</v>
      </c>
      <c r="E15"/>
      <c r="F15" s="224">
        <v>3.5092823207378387E-2</v>
      </c>
      <c r="G15"/>
      <c r="H15" s="11">
        <v>2.2166804410517216E-4</v>
      </c>
      <c r="I15" s="21">
        <v>9.3100573867559433E-3</v>
      </c>
      <c r="J15" s="12">
        <v>1.8564698984846473E-3</v>
      </c>
      <c r="K15"/>
      <c r="L15" s="14">
        <v>9.2823494924232364E-4</v>
      </c>
      <c r="M15" s="11">
        <v>3.6637175071518868E-5</v>
      </c>
      <c r="N15"/>
      <c r="O15" s="11">
        <v>3.9388745790347457E-4</v>
      </c>
      <c r="P15" s="275">
        <v>0.17476306855678558</v>
      </c>
      <c r="Q15" s="247">
        <v>1.840856671333313E-2</v>
      </c>
      <c r="R15"/>
      <c r="S15"/>
      <c r="T15"/>
      <c r="U15"/>
      <c r="V15"/>
      <c r="W15" s="272">
        <v>9.2274114489555359E-2</v>
      </c>
      <c r="X15" s="250">
        <v>2.4826820939779282E-2</v>
      </c>
      <c r="Y15" s="142">
        <v>1.357764657586813E-2</v>
      </c>
      <c r="Z15"/>
      <c r="AA15"/>
      <c r="AB15"/>
      <c r="AC15"/>
      <c r="AD15"/>
      <c r="AE15"/>
      <c r="AF15"/>
      <c r="AG15"/>
      <c r="AH15"/>
      <c r="AI15" s="68">
        <v>2.9158322140574455E-2</v>
      </c>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1.7300000190734863</v>
      </c>
      <c r="C16">
        <v>8.6500227451324463E-2</v>
      </c>
      <c r="D16" s="11">
        <v>1.6611220416962169E-5</v>
      </c>
      <c r="E16"/>
      <c r="F16" s="11">
        <v>3.3222440833924338E-5</v>
      </c>
      <c r="G16"/>
      <c r="H16" s="14">
        <v>1.9102904479950666E-3</v>
      </c>
      <c r="I16"/>
      <c r="J16" s="11">
        <v>1.0631182231009007E-3</v>
      </c>
      <c r="K16"/>
      <c r="L16" s="11">
        <v>2.1594588179141283E-4</v>
      </c>
      <c r="M16"/>
      <c r="N16" s="18">
        <v>2.1726181730628014E-2</v>
      </c>
      <c r="O16" s="15">
        <v>1.7473999410867691E-2</v>
      </c>
      <c r="P16" s="14">
        <v>2.6192578952759504E-3</v>
      </c>
      <c r="Q16" s="78">
        <v>0.24279019236564636</v>
      </c>
      <c r="R16" s="19">
        <v>3.0022528022527695E-2</v>
      </c>
      <c r="S16"/>
      <c r="T16" s="27">
        <v>0.13354785740375519</v>
      </c>
      <c r="U16"/>
      <c r="V16" s="70">
        <v>8.7828144431114197E-2</v>
      </c>
      <c r="W16" s="143">
        <v>0.10510466247797012</v>
      </c>
      <c r="X16" s="22">
        <v>1.4617875218391418E-2</v>
      </c>
      <c r="Y16" s="277">
        <v>0.30539089441299438</v>
      </c>
      <c r="Z16" s="274">
        <v>0.19344159960746765</v>
      </c>
      <c r="AA16" s="11">
        <v>1.3564571272581816E-3</v>
      </c>
      <c r="AB16"/>
      <c r="AC16" s="250">
        <v>9.2406995594501495E-2</v>
      </c>
      <c r="AD16" s="237">
        <v>0.13832868635654449</v>
      </c>
      <c r="AE16" s="230">
        <v>0.14872300624847412</v>
      </c>
      <c r="AF16"/>
      <c r="AG16"/>
      <c r="AH16"/>
      <c r="AI16" s="143">
        <v>0.10488232225179672</v>
      </c>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2.4300000667572021</v>
      </c>
      <c r="C17">
        <v>8.3287663757801056E-2</v>
      </c>
      <c r="D17" s="11">
        <v>1.0947368573397398E-3</v>
      </c>
      <c r="E17"/>
      <c r="F17"/>
      <c r="G17"/>
      <c r="H17"/>
      <c r="I17"/>
      <c r="J17" s="11">
        <v>5.2631576181738637E-6</v>
      </c>
      <c r="K17"/>
      <c r="L17"/>
      <c r="M17" s="11">
        <v>1.4753363793715835E-3</v>
      </c>
      <c r="N17" s="15">
        <v>2.5240598246455193E-2</v>
      </c>
      <c r="O17" s="22">
        <v>1.7961105331778526E-2</v>
      </c>
      <c r="P17" s="282">
        <v>0.33693727850914001</v>
      </c>
      <c r="Q17" s="19">
        <v>4.3708227574825287E-2</v>
      </c>
      <c r="R17" s="12">
        <v>7.2163366712629795E-3</v>
      </c>
      <c r="S17" s="14">
        <v>6.2585039995610714E-3</v>
      </c>
      <c r="T17" s="11">
        <v>1.4223118778318167E-3</v>
      </c>
      <c r="U17" s="255">
        <v>0.50936204195022583</v>
      </c>
      <c r="V17"/>
      <c r="W17" s="14">
        <v>2.6290831156075001E-3</v>
      </c>
      <c r="X17"/>
      <c r="Y17" s="11">
        <v>6.4475956605747342E-4</v>
      </c>
      <c r="Z17" s="14">
        <v>5.571883637458086E-3</v>
      </c>
      <c r="AA17"/>
      <c r="AB17" s="17">
        <v>3.3000003546476364E-2</v>
      </c>
      <c r="AC17" s="11">
        <v>1.7222682945430279E-3</v>
      </c>
      <c r="AD17" s="15">
        <v>2.1914273500442505E-2</v>
      </c>
      <c r="AE17"/>
      <c r="AF17" s="235">
        <v>8.2840003073215485E-2</v>
      </c>
      <c r="AG17"/>
      <c r="AH17"/>
      <c r="AI17" s="19">
        <v>4.43083755671978E-2</v>
      </c>
      <c r="AJ17" s="283">
        <v>1.0014960765838623</v>
      </c>
      <c r="AK17" s="19">
        <v>4.2323064059019089E-2</v>
      </c>
      <c r="AL17" s="235">
        <v>8.2403816282749176E-2</v>
      </c>
      <c r="AM17"/>
      <c r="AN17"/>
      <c r="AO17"/>
      <c r="AP17" s="25">
        <v>7.7177174389362335E-2</v>
      </c>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0.30000001192092896</v>
      </c>
      <c r="C18">
        <v>1.4999986626207829E-2</v>
      </c>
      <c r="D18" s="139">
        <v>2.9978891834616661E-2</v>
      </c>
      <c r="E18"/>
      <c r="F18" s="11">
        <v>1.1563699808903039E-4</v>
      </c>
      <c r="G18"/>
      <c r="H18"/>
      <c r="I18"/>
      <c r="J18"/>
      <c r="K18"/>
      <c r="L18"/>
      <c r="M18"/>
      <c r="N18" s="255">
        <v>6.301841139793396E-2</v>
      </c>
      <c r="O18" s="14">
        <v>8.2191306864842772E-4</v>
      </c>
      <c r="P18"/>
      <c r="Q18"/>
      <c r="R18"/>
      <c r="S18"/>
      <c r="T18"/>
      <c r="U18"/>
      <c r="V18" s="268">
        <v>0.15285123884677887</v>
      </c>
      <c r="W18"/>
      <c r="X18" s="29">
        <v>1.3876439072191715E-2</v>
      </c>
      <c r="Y18"/>
      <c r="Z18"/>
      <c r="AA18"/>
      <c r="AB18"/>
      <c r="AC18"/>
      <c r="AD18"/>
      <c r="AE18"/>
      <c r="AF18"/>
      <c r="AG18"/>
      <c r="AH18"/>
      <c r="AI18" s="237">
        <v>2.4337515234947205E-2</v>
      </c>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0.40000000596046448</v>
      </c>
      <c r="C19">
        <v>9.2586115002632141E-2</v>
      </c>
      <c r="D19" s="11">
        <v>4.3038518924731761E-5</v>
      </c>
      <c r="E19"/>
      <c r="F19" s="11">
        <v>1.075962936738506E-4</v>
      </c>
      <c r="G19"/>
      <c r="H19"/>
      <c r="I19"/>
      <c r="J19" s="11">
        <v>2.1519259462365881E-5</v>
      </c>
      <c r="K19"/>
      <c r="L19"/>
      <c r="M19"/>
      <c r="N19" s="271">
        <v>0.14072754979133606</v>
      </c>
      <c r="O19" s="16">
        <v>6.1180964112281799E-3</v>
      </c>
      <c r="P19" s="264">
        <v>6.7863129079341888E-2</v>
      </c>
      <c r="Q19"/>
      <c r="R19" s="245">
        <v>2.2799428552389145E-2</v>
      </c>
      <c r="S19"/>
      <c r="T19"/>
      <c r="U19"/>
      <c r="V19" s="246">
        <v>5.6889146566390991E-2</v>
      </c>
      <c r="W19"/>
      <c r="X19"/>
      <c r="Y19"/>
      <c r="Z19"/>
      <c r="AA19"/>
      <c r="AB19"/>
      <c r="AC19"/>
      <c r="AD19"/>
      <c r="AE19" s="25">
        <v>1.2844366952776909E-2</v>
      </c>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0.89999997615814209</v>
      </c>
      <c r="C20">
        <v>4.500000923871994E-2</v>
      </c>
      <c r="D20"/>
      <c r="E20"/>
      <c r="F20"/>
      <c r="G20"/>
      <c r="H20"/>
      <c r="I20"/>
      <c r="J20" s="12">
        <v>3.5719210281968117E-3</v>
      </c>
      <c r="K20"/>
      <c r="L20" s="14">
        <v>1.8683894304558635E-3</v>
      </c>
      <c r="M20" s="11">
        <v>7.2660332079976797E-5</v>
      </c>
      <c r="N20" s="109">
        <v>5.9894796460866928E-2</v>
      </c>
      <c r="O20" s="11">
        <v>7.8117364319041371E-4</v>
      </c>
      <c r="P20" s="12">
        <v>4.3324660509824753E-3</v>
      </c>
      <c r="Q20"/>
      <c r="R20" s="267">
        <v>0.11986827850341797</v>
      </c>
      <c r="S20"/>
      <c r="T20" s="247">
        <v>3.5269595682621002E-2</v>
      </c>
      <c r="U20"/>
      <c r="V20" s="244">
        <v>0.14527490735054016</v>
      </c>
      <c r="W20" s="21">
        <v>1.830017939209938E-2</v>
      </c>
      <c r="X20"/>
      <c r="Y20"/>
      <c r="Z20"/>
      <c r="AA20" s="14">
        <v>2.2436908911913633E-3</v>
      </c>
      <c r="AB20"/>
      <c r="AC20"/>
      <c r="AD20" s="276">
        <v>0.44617354869842529</v>
      </c>
      <c r="AE20"/>
      <c r="AF20"/>
      <c r="AG20"/>
      <c r="AH20"/>
      <c r="AI20" s="21">
        <v>1.7348391935229301E-2</v>
      </c>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5.000000074505806E-2</v>
      </c>
      <c r="C21">
        <v>5.000000074505806E-2</v>
      </c>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2.5999999046325684</v>
      </c>
      <c r="C22">
        <v>5.2000414580106735E-2</v>
      </c>
      <c r="D22"/>
      <c r="E22"/>
      <c r="F22"/>
      <c r="G22"/>
      <c r="H22"/>
      <c r="I22"/>
      <c r="J22"/>
      <c r="K22"/>
      <c r="L22"/>
      <c r="M22"/>
      <c r="N22"/>
      <c r="O22"/>
      <c r="P22" s="280">
        <v>1.8125574588775635</v>
      </c>
      <c r="Q22" s="259">
        <v>0.21861599385738373</v>
      </c>
      <c r="R22" s="265">
        <v>0.33906519412994385</v>
      </c>
      <c r="S22"/>
      <c r="T22" s="226">
        <v>0.17776089906692505</v>
      </c>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0.19200000166893005</v>
      </c>
      <c r="C23">
        <v>0.10153871029615402</v>
      </c>
      <c r="D23"/>
      <c r="E23"/>
      <c r="F23"/>
      <c r="G23"/>
      <c r="H23"/>
      <c r="I23"/>
      <c r="J23"/>
      <c r="K23"/>
      <c r="L23" s="22">
        <v>1.4285712968558073E-3</v>
      </c>
      <c r="M23"/>
      <c r="N23"/>
      <c r="O23"/>
      <c r="P23"/>
      <c r="Q23"/>
      <c r="R23" s="233">
        <v>8.9032724499702454E-2</v>
      </c>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0.76999998092651367</v>
      </c>
      <c r="C24">
        <v>3.8499962538480759E-2</v>
      </c>
      <c r="D24" s="11">
        <v>5.3799976740265265E-5</v>
      </c>
      <c r="E24"/>
      <c r="F24" s="12">
        <v>2.7520754374563694E-3</v>
      </c>
      <c r="G24" s="11">
        <v>4.1384596443094779E-6</v>
      </c>
      <c r="H24" s="14">
        <v>1.3201686087995768E-3</v>
      </c>
      <c r="I24" s="11">
        <v>3.3935368992388248E-4</v>
      </c>
      <c r="J24" s="14">
        <v>1.6346914926543832E-3</v>
      </c>
      <c r="K24"/>
      <c r="L24" s="14">
        <v>1.6636607469990849E-3</v>
      </c>
      <c r="M24"/>
      <c r="N24" s="21">
        <v>1.4434086158871651E-2</v>
      </c>
      <c r="O24" s="12">
        <v>3.059150418266654E-3</v>
      </c>
      <c r="P24" s="21">
        <v>1.5008705668151379E-2</v>
      </c>
      <c r="Q24" s="278">
        <v>7.8359276056289673E-2</v>
      </c>
      <c r="R24" s="21">
        <v>1.5475250780582428E-2</v>
      </c>
      <c r="S24" s="252">
        <v>7.4593625962734222E-2</v>
      </c>
      <c r="T24" s="26">
        <v>1.9571546465158463E-2</v>
      </c>
      <c r="U24"/>
      <c r="V24" s="24">
        <v>2.1881185472011566E-2</v>
      </c>
      <c r="W24" s="252">
        <v>7.4421636760234833E-2</v>
      </c>
      <c r="X24"/>
      <c r="Y24" s="69">
        <v>7.0991277694702148E-2</v>
      </c>
      <c r="Z24" s="237">
        <v>6.1336975544691086E-2</v>
      </c>
      <c r="AA24" s="281">
        <v>9.8003432154655457E-2</v>
      </c>
      <c r="AB24"/>
      <c r="AC24" s="17">
        <v>1.0833857581019402E-2</v>
      </c>
      <c r="AD24"/>
      <c r="AE24" s="232">
        <v>3.7052314728498459E-2</v>
      </c>
      <c r="AF24"/>
      <c r="AG24"/>
      <c r="AH24"/>
      <c r="AI24" s="226">
        <v>5.2260003983974457E-2</v>
      </c>
      <c r="AJ24" s="245">
        <v>4.3749101459980011E-2</v>
      </c>
      <c r="AK24"/>
      <c r="AL24"/>
      <c r="AM24"/>
      <c r="AN24"/>
      <c r="AO24" s="20">
        <v>3.270069882273674E-2</v>
      </c>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1.3350000381469727</v>
      </c>
      <c r="C25">
        <v>2.66999751329422E-2</v>
      </c>
      <c r="D25"/>
      <c r="E25"/>
      <c r="F25"/>
      <c r="G25"/>
      <c r="H25"/>
      <c r="I25"/>
      <c r="J25"/>
      <c r="K25"/>
      <c r="L25"/>
      <c r="M25"/>
      <c r="N25"/>
      <c r="O25"/>
      <c r="P25"/>
      <c r="Q25"/>
      <c r="R25" s="23">
        <v>7.8867040574550629E-3</v>
      </c>
      <c r="S25" s="14">
        <v>1.539975986815989E-3</v>
      </c>
      <c r="T25" s="12">
        <v>4.6309311874210835E-3</v>
      </c>
      <c r="U25"/>
      <c r="V25" s="23">
        <v>7.4342549778521061E-3</v>
      </c>
      <c r="W25" s="12">
        <v>6.438354030251503E-3</v>
      </c>
      <c r="X25"/>
      <c r="Y25"/>
      <c r="Z25" s="19">
        <v>2.270025759935379E-2</v>
      </c>
      <c r="AA25" s="230">
        <v>0.11481799185276031</v>
      </c>
      <c r="AB25" s="286">
        <v>1.1020033359527588</v>
      </c>
      <c r="AC25"/>
      <c r="AD25" s="22">
        <v>1.1708898469805717E-2</v>
      </c>
      <c r="AE25"/>
      <c r="AF25"/>
      <c r="AG25"/>
      <c r="AH25"/>
      <c r="AI25"/>
      <c r="AJ25"/>
      <c r="AK25"/>
      <c r="AL25"/>
      <c r="AM25"/>
      <c r="AN25"/>
      <c r="AO25"/>
      <c r="AP25" s="18">
        <v>1.5458909794688225E-2</v>
      </c>
      <c r="AQ25" s="15">
        <v>1.3680507428944111E-2</v>
      </c>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0.88999998569488525</v>
      </c>
      <c r="C26">
        <v>1.779998280107975E-2</v>
      </c>
      <c r="D26" s="11">
        <v>5.097631219541654E-5</v>
      </c>
      <c r="E26"/>
      <c r="F26" s="11">
        <v>3.1860199669608846E-5</v>
      </c>
      <c r="G26"/>
      <c r="H26" s="11">
        <v>2.1240130081423558E-6</v>
      </c>
      <c r="I26" s="11">
        <v>2.548815609770827E-5</v>
      </c>
      <c r="J26" s="11">
        <v>4.991430978407152E-5</v>
      </c>
      <c r="K26" s="11">
        <v>5.3100327932043001E-5</v>
      </c>
      <c r="L26" s="11">
        <v>5.8410361816640943E-5</v>
      </c>
      <c r="M26" s="11">
        <v>5.4203002946451306E-4</v>
      </c>
      <c r="N26"/>
      <c r="O26" s="22">
        <v>6.4027789048850536E-3</v>
      </c>
      <c r="P26" s="12">
        <v>2.6793156284838915E-3</v>
      </c>
      <c r="Q26" s="235">
        <v>2.9457142576575279E-2</v>
      </c>
      <c r="R26" s="11">
        <v>3.309366584289819E-4</v>
      </c>
      <c r="S26" s="14">
        <v>2.126903273165226E-3</v>
      </c>
      <c r="T26" s="11">
        <v>8.6098763858899474E-4</v>
      </c>
      <c r="U26" s="230">
        <v>7.6835326850414276E-2</v>
      </c>
      <c r="V26"/>
      <c r="W26" s="14">
        <v>1.4146664179861546E-3</v>
      </c>
      <c r="X26"/>
      <c r="Y26"/>
      <c r="Z26"/>
      <c r="AA26"/>
      <c r="AB26" s="288">
        <v>0.66587811708450317</v>
      </c>
      <c r="AC26"/>
      <c r="AD26"/>
      <c r="AE26"/>
      <c r="AF26"/>
      <c r="AG26"/>
      <c r="AH26"/>
      <c r="AI26"/>
      <c r="AJ26"/>
      <c r="AK26" s="252">
        <v>8.5399992763996124E-2</v>
      </c>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0.69999998807907104</v>
      </c>
      <c r="C27">
        <v>1.3999986462295055E-2</v>
      </c>
      <c r="D27" s="11">
        <v>7.8238590504042804E-5</v>
      </c>
      <c r="E27" s="11">
        <v>4.4964707512917812E-7</v>
      </c>
      <c r="F27" s="11">
        <v>6.6547770984470844E-5</v>
      </c>
      <c r="G27" s="11">
        <v>4.4964707512917812E-7</v>
      </c>
      <c r="H27" s="11">
        <v>2.0054259221069515E-4</v>
      </c>
      <c r="I27" s="11">
        <v>2.1133411792106926E-5</v>
      </c>
      <c r="J27" s="11">
        <v>3.8669648347422481E-5</v>
      </c>
      <c r="K27" s="14">
        <v>1.2230400461703539E-3</v>
      </c>
      <c r="L27" s="11">
        <v>5.7105182349914685E-5</v>
      </c>
      <c r="M27" s="11">
        <v>4.1617757233325392E-5</v>
      </c>
      <c r="N27" s="14">
        <v>1.9603443797677755E-3</v>
      </c>
      <c r="O27" s="11">
        <v>4.4743384933099151E-4</v>
      </c>
      <c r="P27" s="22">
        <v>5.4593277163803577E-3</v>
      </c>
      <c r="Q27"/>
      <c r="R27" s="11">
        <v>1.1209325020899996E-4</v>
      </c>
      <c r="S27"/>
      <c r="T27" s="14">
        <v>8.5058598779141903E-4</v>
      </c>
      <c r="U27" s="65">
        <v>1.5491241589188576E-2</v>
      </c>
      <c r="V27"/>
      <c r="W27" s="18">
        <v>7.561881560832262E-3</v>
      </c>
      <c r="X27"/>
      <c r="Y27" s="12">
        <v>3.3056829124689102E-3</v>
      </c>
      <c r="Z27" s="25">
        <v>2.1659016609191895E-2</v>
      </c>
      <c r="AA27" s="21">
        <v>1.3218398205935955E-2</v>
      </c>
      <c r="AB27"/>
      <c r="AC27" s="23">
        <v>3.5313216503709555E-3</v>
      </c>
      <c r="AD27" s="12">
        <v>2.8083014767616987E-3</v>
      </c>
      <c r="AE27" s="22">
        <v>5.3676865063607693E-3</v>
      </c>
      <c r="AF27"/>
      <c r="AG27" s="14">
        <v>1.0248444741591811E-3</v>
      </c>
      <c r="AH27"/>
      <c r="AI27" s="142">
        <v>2.081967331469059E-2</v>
      </c>
      <c r="AJ27"/>
      <c r="AK27" s="244">
        <v>0.11208929121494293</v>
      </c>
      <c r="AL27" s="15">
        <v>7.0400005206465721E-3</v>
      </c>
      <c r="AM27" s="292">
        <v>0.45365020632743835</v>
      </c>
      <c r="AN27"/>
      <c r="AO27"/>
      <c r="AP27"/>
      <c r="AQ27" s="18">
        <v>7.8748287633061409E-3</v>
      </c>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0.93000000715255737</v>
      </c>
      <c r="C28">
        <v>9.2999357730150223E-3</v>
      </c>
      <c r="D28" s="11">
        <v>2.4736018531257287E-5</v>
      </c>
      <c r="E28"/>
      <c r="F28" s="11">
        <v>1.7953560745809227E-4</v>
      </c>
      <c r="G28"/>
      <c r="H28" s="11">
        <v>2.7927760584134376E-6</v>
      </c>
      <c r="I28" s="11">
        <v>2.3140144548960961E-5</v>
      </c>
      <c r="J28" s="11">
        <v>5.226481516729109E-5</v>
      </c>
      <c r="K28" s="15">
        <v>8.3288569003343582E-3</v>
      </c>
      <c r="L28" s="11">
        <v>1.36447066324763E-4</v>
      </c>
      <c r="M28" s="11">
        <v>1.2871724902652204E-4</v>
      </c>
      <c r="N28" s="14">
        <v>1.0088502895087004E-3</v>
      </c>
      <c r="O28" s="14">
        <v>1.2363841524347663E-3</v>
      </c>
      <c r="P28" s="12">
        <v>4.2778318747878075E-3</v>
      </c>
      <c r="Q28" s="28">
        <v>3.3596426248550415E-2</v>
      </c>
      <c r="R28" s="14">
        <v>2.138376934453845E-3</v>
      </c>
      <c r="S28" s="15">
        <v>9.7380774095654488E-3</v>
      </c>
      <c r="T28" s="23">
        <v>4.7439401969313622E-3</v>
      </c>
      <c r="U28" s="17">
        <v>1.2495678849518299E-2</v>
      </c>
      <c r="V28" s="14">
        <v>1.0547273559495807E-3</v>
      </c>
      <c r="W28" s="17">
        <v>1.2622006237506866E-2</v>
      </c>
      <c r="X28" s="11">
        <v>7.1814242983236909E-4</v>
      </c>
      <c r="Y28" s="12">
        <v>3.2257700804620981E-3</v>
      </c>
      <c r="Z28" s="25">
        <v>2.9143568128347397E-2</v>
      </c>
      <c r="AA28" s="11">
        <v>3.2579366234131157E-5</v>
      </c>
      <c r="AB28" s="295">
        <v>0.57535183429718018</v>
      </c>
      <c r="AC28" s="14">
        <v>2.4805390276014805E-3</v>
      </c>
      <c r="AD28" s="14">
        <v>1.661187969148159E-3</v>
      </c>
      <c r="AE28" s="14">
        <v>2.3813513107597828E-3</v>
      </c>
      <c r="AF28" s="23">
        <v>5.6516374461352825E-3</v>
      </c>
      <c r="AG28"/>
      <c r="AH28" s="11">
        <v>1.3684604709851556E-5</v>
      </c>
      <c r="AI28" s="284">
        <v>8.3129025995731354E-2</v>
      </c>
      <c r="AJ28"/>
      <c r="AK28" s="261">
        <v>0.12512192130088806</v>
      </c>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40</v>
      </c>
      <c r="C29">
        <v>1.9999957084655762</v>
      </c>
      <c r="D29"/>
      <c r="E29"/>
      <c r="F29"/>
      <c r="G29"/>
      <c r="H29"/>
      <c r="I29"/>
      <c r="J29"/>
      <c r="K29"/>
      <c r="L29"/>
      <c r="M29"/>
      <c r="N29"/>
      <c r="O29"/>
      <c r="P29"/>
      <c r="Q29"/>
      <c r="R29"/>
      <c r="S29"/>
      <c r="T29"/>
      <c r="U29"/>
      <c r="V29"/>
      <c r="W29"/>
      <c r="X29"/>
      <c r="Y29"/>
      <c r="Z29"/>
      <c r="AA29"/>
      <c r="AB29" s="241">
        <v>4.6412749290466309</v>
      </c>
      <c r="AC29"/>
      <c r="AD29"/>
      <c r="AE29"/>
      <c r="AF29"/>
      <c r="AG29"/>
      <c r="AH29" s="11">
        <v>9.067881852388382E-3</v>
      </c>
      <c r="AI29" s="11">
        <v>1.55793447047472E-2</v>
      </c>
      <c r="AJ29"/>
      <c r="AK29" s="289">
        <v>33.334079742431641</v>
      </c>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v>1.381600022315979</v>
      </c>
      <c r="C30">
        <v>2.7631973847746849E-2</v>
      </c>
      <c r="D30" s="11">
        <v>1.0539320064708591E-3</v>
      </c>
      <c r="E30" s="11">
        <v>1.0798484026963706E-6</v>
      </c>
      <c r="F30" s="11">
        <v>3.1315601518144831E-5</v>
      </c>
      <c r="G30"/>
      <c r="H30" s="11">
        <v>2.1596968053927412E-6</v>
      </c>
      <c r="I30"/>
      <c r="J30" s="11">
        <v>8.6387875489890575E-4</v>
      </c>
      <c r="K30"/>
      <c r="L30" s="19">
        <v>2.3913243785500526E-2</v>
      </c>
      <c r="M30" s="11">
        <v>8.8524451712146401E-5</v>
      </c>
      <c r="N30" s="14">
        <v>2.353929216042161E-3</v>
      </c>
      <c r="O30" s="11">
        <v>9.5172907458618283E-4</v>
      </c>
      <c r="P30" s="11">
        <v>1.7027051944751292E-4</v>
      </c>
      <c r="Q30" s="11">
        <v>1.7935339201358147E-5</v>
      </c>
      <c r="R30" s="18">
        <v>1.6151830554008484E-2</v>
      </c>
      <c r="S30" s="11">
        <v>3.3791174064390361E-4</v>
      </c>
      <c r="T30" s="18">
        <v>1.5174505300819874E-2</v>
      </c>
      <c r="U30"/>
      <c r="V30" s="12">
        <v>5.7094586081802845E-3</v>
      </c>
      <c r="W30" s="16">
        <v>2.103707566857338E-2</v>
      </c>
      <c r="X30" s="11">
        <v>5.1832722965627909E-4</v>
      </c>
      <c r="Y30" s="18">
        <v>1.7203295603394508E-2</v>
      </c>
      <c r="Z30" s="24">
        <v>3.8868457078933716E-2</v>
      </c>
      <c r="AA30" s="285">
        <v>0.22838477790355682</v>
      </c>
      <c r="AB30"/>
      <c r="AC30" s="20">
        <v>5.9364445507526398E-2</v>
      </c>
      <c r="AD30" s="224">
        <v>0.10296247154474258</v>
      </c>
      <c r="AE30" s="247">
        <v>5.4785687476396561E-2</v>
      </c>
      <c r="AF30"/>
      <c r="AG30" s="14">
        <v>2.8303933795541525E-3</v>
      </c>
      <c r="AH30" s="11">
        <v>6.0849462170153856E-4</v>
      </c>
      <c r="AI30" s="285">
        <v>0.22727006673812866</v>
      </c>
      <c r="AJ30" s="239">
        <v>0.20547816157341003</v>
      </c>
      <c r="AK30"/>
      <c r="AL30" s="18">
        <v>1.6906889155507088E-2</v>
      </c>
      <c r="AM30" s="64">
        <v>7.5135327875614166E-2</v>
      </c>
      <c r="AN30"/>
      <c r="AO30" s="107">
        <v>0.1706518828868866</v>
      </c>
      <c r="AP30"/>
      <c r="AQ30" s="29">
        <v>6.5140537917613983E-2</v>
      </c>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v>3.1600000858306885</v>
      </c>
      <c r="C31">
        <v>6.3200131058692932E-2</v>
      </c>
      <c r="D31" s="14">
        <v>9.2836525291204453E-3</v>
      </c>
      <c r="E31"/>
      <c r="F31"/>
      <c r="G31"/>
      <c r="H31"/>
      <c r="I31" s="11">
        <v>1.3090316315356176E-6</v>
      </c>
      <c r="J31" s="11">
        <v>1.2187084648758173E-3</v>
      </c>
      <c r="K31"/>
      <c r="L31" s="11">
        <v>3.0369535670615733E-4</v>
      </c>
      <c r="M31" s="11">
        <v>7.9619014286436141E-5</v>
      </c>
      <c r="N31" s="11">
        <v>2.7393780183047056E-3</v>
      </c>
      <c r="O31" s="11">
        <v>8.5598666919395328E-4</v>
      </c>
      <c r="P31"/>
      <c r="Q31" s="11">
        <v>1.5219314955174923E-3</v>
      </c>
      <c r="R31" s="14">
        <v>5.0581246614456177E-3</v>
      </c>
      <c r="S31" s="14">
        <v>3.1951060518622398E-3</v>
      </c>
      <c r="T31" s="14">
        <v>4.5987721532583237E-3</v>
      </c>
      <c r="U31" s="14">
        <v>4.0998868644237518E-3</v>
      </c>
      <c r="V31" s="14">
        <v>6.9212140515446663E-3</v>
      </c>
      <c r="W31" s="15">
        <v>3.1822904944419861E-2</v>
      </c>
      <c r="X31" s="11">
        <v>6.2833516858518124E-4</v>
      </c>
      <c r="Y31" s="14">
        <v>5.4523097351193428E-3</v>
      </c>
      <c r="Z31" s="235">
        <v>0.10601496696472168</v>
      </c>
      <c r="AA31" s="29">
        <v>0.14644522964954376</v>
      </c>
      <c r="AB31"/>
      <c r="AC31" s="65">
        <v>6.9393619894981384E-2</v>
      </c>
      <c r="AD31" s="18">
        <v>3.8698062300682068E-2</v>
      </c>
      <c r="AE31"/>
      <c r="AF31"/>
      <c r="AG31" s="12">
        <v>1.2829354964196682E-2</v>
      </c>
      <c r="AH31"/>
      <c r="AI31" s="230">
        <v>0.27274999022483826</v>
      </c>
      <c r="AJ31" s="287">
        <v>0.58120566606521606</v>
      </c>
      <c r="AK31" s="12">
        <v>1.0526423342525959E-2</v>
      </c>
      <c r="AL31"/>
      <c r="AM31" s="293">
        <v>1.3662266731262207</v>
      </c>
      <c r="AN31"/>
      <c r="AO31" s="75">
        <v>0.29996216297149658</v>
      </c>
      <c r="AP31" s="234">
        <v>7.6757781207561493E-2</v>
      </c>
      <c r="AQ31" s="18">
        <v>3.8209225982427597E-2</v>
      </c>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222</v>
      </c>
      <c r="B32">
        <v>1.4700000286102295</v>
      </c>
      <c r="C32">
        <v>7.3500104248523712E-2</v>
      </c>
      <c r="D32" s="11">
        <v>3.5964325070381165E-4</v>
      </c>
      <c r="E32"/>
      <c r="F32" s="11">
        <v>1.0901686036959291E-3</v>
      </c>
      <c r="G32"/>
      <c r="H32" s="11">
        <v>1.7982162535190582E-4</v>
      </c>
      <c r="I32" s="11">
        <v>4.832706181332469E-4</v>
      </c>
      <c r="J32" s="11">
        <v>4.045986570417881E-4</v>
      </c>
      <c r="K32"/>
      <c r="L32" s="11">
        <v>2.1353818010538816E-4</v>
      </c>
      <c r="M32" s="14">
        <v>2.2587822750210762E-3</v>
      </c>
      <c r="N32" s="14">
        <v>3.4298931714147329E-3</v>
      </c>
      <c r="O32" s="16">
        <v>2.1728012710809708E-2</v>
      </c>
      <c r="P32" s="246">
        <v>0.21088489890098572</v>
      </c>
      <c r="Q32"/>
      <c r="R32" s="245">
        <v>8.4052547812461853E-2</v>
      </c>
      <c r="S32" s="143">
        <v>8.7922990322113037E-2</v>
      </c>
      <c r="T32" s="247">
        <v>5.7706389576196671E-2</v>
      </c>
      <c r="U32"/>
      <c r="V32" s="66">
        <v>5.9422928839921951E-2</v>
      </c>
      <c r="W32" s="245">
        <v>8.4211476147174835E-2</v>
      </c>
      <c r="X32"/>
      <c r="Y32" s="26">
        <v>3.7173803895711899E-2</v>
      </c>
      <c r="Z32" s="143">
        <v>8.9235730469226837E-2</v>
      </c>
      <c r="AA32"/>
      <c r="AB32"/>
      <c r="AC32" s="251">
        <v>0.12136410176753998</v>
      </c>
      <c r="AD32" s="25">
        <v>4.679533839225769E-2</v>
      </c>
      <c r="AE32" s="269">
        <v>6.7082196474075317E-2</v>
      </c>
      <c r="AF32"/>
      <c r="AG32"/>
      <c r="AH32"/>
      <c r="AI32" s="279">
        <v>0.21288442611694336</v>
      </c>
      <c r="AJ32" s="237">
        <v>0.11880981922149658</v>
      </c>
      <c r="AK32"/>
      <c r="AL32"/>
      <c r="AM32"/>
      <c r="AN32"/>
      <c r="AO32" s="143">
        <v>8.8805578649044037E-2</v>
      </c>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223</v>
      </c>
      <c r="B33">
        <v>1.2000000476837158</v>
      </c>
      <c r="C33">
        <v>0.3492412269115448</v>
      </c>
      <c r="D33" s="11">
        <v>1.2799999967683107E-4</v>
      </c>
      <c r="E33" s="11">
        <v>1.0400000064691994E-5</v>
      </c>
      <c r="F33"/>
      <c r="G33"/>
      <c r="H33" s="11">
        <v>3.9999997625272954E-7</v>
      </c>
      <c r="I33"/>
      <c r="J33" s="11">
        <v>2.2399999579647556E-5</v>
      </c>
      <c r="K33"/>
      <c r="L33" s="11">
        <v>3.9999999899009708E-6</v>
      </c>
      <c r="M33"/>
      <c r="N33" s="11">
        <v>1.7438959912396967E-4</v>
      </c>
      <c r="O33"/>
      <c r="P33" s="11">
        <v>6.3072009652387351E-5</v>
      </c>
      <c r="Q33"/>
      <c r="R33" s="11">
        <v>2.7422080165706575E-4</v>
      </c>
      <c r="S33"/>
      <c r="T33" s="11">
        <v>4.8643062473274767E-4</v>
      </c>
      <c r="U33"/>
      <c r="V33" s="11">
        <v>6.344732828438282E-4</v>
      </c>
      <c r="W33" s="11">
        <v>4.6622415538877249E-4</v>
      </c>
      <c r="X33"/>
      <c r="Y33" s="11">
        <v>3.4301204141229391E-4</v>
      </c>
      <c r="Z33"/>
      <c r="AA33" s="26">
        <v>3.1683731824159622E-2</v>
      </c>
      <c r="AB33"/>
      <c r="AC33" s="11">
        <v>1.3089238200336695E-4</v>
      </c>
      <c r="AD33" s="65">
        <v>2.6314660906791687E-2</v>
      </c>
      <c r="AE33" s="234">
        <v>2.793387696146965E-2</v>
      </c>
      <c r="AF33"/>
      <c r="AG33" s="11">
        <v>1.8233757873531431E-4</v>
      </c>
      <c r="AH33"/>
      <c r="AI33" s="28">
        <v>4.2092956602573395E-2</v>
      </c>
      <c r="AJ33" s="22">
        <v>8.4570785984396935E-3</v>
      </c>
      <c r="AK33" s="25">
        <v>3.8598634302616119E-2</v>
      </c>
      <c r="AL33" s="290">
        <v>0.37576133012771606</v>
      </c>
      <c r="AM33"/>
      <c r="AN33"/>
      <c r="AO33" s="265">
        <v>0.15803317725658417</v>
      </c>
      <c r="AP33" s="142">
        <v>3.5182200372219086E-2</v>
      </c>
      <c r="AQ33" s="16">
        <v>1.8680913373827934E-2</v>
      </c>
      <c r="AR33" s="72">
        <v>8.5100002586841583E-2</v>
      </c>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224</v>
      </c>
      <c r="B34">
        <v>0.80000001192092896</v>
      </c>
      <c r="C34">
        <v>0.11999993771314621</v>
      </c>
      <c r="D34"/>
      <c r="E34" s="11">
        <v>5.0887649649666855E-7</v>
      </c>
      <c r="F34"/>
      <c r="G34"/>
      <c r="H34"/>
      <c r="I34"/>
      <c r="J34" s="11">
        <v>1.9718965631909668E-5</v>
      </c>
      <c r="K34"/>
      <c r="L34"/>
      <c r="M34" s="11">
        <v>3.3642734820205078E-7</v>
      </c>
      <c r="N34"/>
      <c r="O34" s="11">
        <v>3.6169415125186788E-6</v>
      </c>
      <c r="P34"/>
      <c r="Q34"/>
      <c r="R34" s="11">
        <v>1.5064465696923435E-4</v>
      </c>
      <c r="S34"/>
      <c r="T34"/>
      <c r="U34"/>
      <c r="V34" s="11">
        <v>2.0179284911137074E-4</v>
      </c>
      <c r="W34"/>
      <c r="X34"/>
      <c r="Y34"/>
      <c r="Z34" s="23">
        <v>4.3771490454673767E-3</v>
      </c>
      <c r="AA34" s="12">
        <v>3.2204657327383757E-3</v>
      </c>
      <c r="AB34"/>
      <c r="AC34" s="14">
        <v>2.0815012976527214E-3</v>
      </c>
      <c r="AD34" s="14">
        <v>2.2247559390962124E-3</v>
      </c>
      <c r="AE34" s="12">
        <v>2.6576991658657789E-3</v>
      </c>
      <c r="AF34"/>
      <c r="AG34" s="11">
        <v>2.3196828260552138E-4</v>
      </c>
      <c r="AH34" s="11">
        <v>7.0129550294950604E-5</v>
      </c>
      <c r="AI34" s="65">
        <v>1.7403844743967056E-2</v>
      </c>
      <c r="AJ34"/>
      <c r="AK34"/>
      <c r="AL34"/>
      <c r="AM34" s="232">
        <v>3.9833299815654755E-2</v>
      </c>
      <c r="AN34"/>
      <c r="AO34" s="294">
        <v>0.18094362318515778</v>
      </c>
      <c r="AP34" s="243">
        <v>0.15292501449584961</v>
      </c>
      <c r="AQ34" s="237">
        <v>6.3622750341892242E-2</v>
      </c>
      <c r="AR34" s="291">
        <v>0.12003125250339508</v>
      </c>
      <c r="AS34" s="274">
        <v>8.999999612569809E-2</v>
      </c>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225</v>
      </c>
      <c r="B35">
        <v>5.0799999237060547</v>
      </c>
      <c r="C35">
        <v>5.0799950957298279E-2</v>
      </c>
      <c r="D35"/>
      <c r="E35"/>
      <c r="F35"/>
      <c r="G35"/>
      <c r="H35"/>
      <c r="I35"/>
      <c r="J35"/>
      <c r="K35"/>
      <c r="L35"/>
      <c r="M35" s="11">
        <v>3.1428437523572939E-6</v>
      </c>
      <c r="N35" s="11">
        <v>6.4767127696541138E-6</v>
      </c>
      <c r="O35" s="11">
        <v>3.3788815926527604E-5</v>
      </c>
      <c r="P35"/>
      <c r="Q35" s="11">
        <v>1.7221287998836488E-4</v>
      </c>
      <c r="R35" s="11">
        <v>9.2585214588325471E-5</v>
      </c>
      <c r="S35" s="11">
        <v>2.7892386424355209E-4</v>
      </c>
      <c r="T35" s="11">
        <v>3.9121217560023069E-4</v>
      </c>
      <c r="U35"/>
      <c r="V35"/>
      <c r="W35" s="11">
        <v>1.9541499204933643E-3</v>
      </c>
      <c r="X35"/>
      <c r="Y35" s="14">
        <v>5.4805437102913857E-3</v>
      </c>
      <c r="Z35" s="12">
        <v>2.3590698838233948E-2</v>
      </c>
      <c r="AA35" s="23">
        <v>3.2753843814134598E-2</v>
      </c>
      <c r="AB35" s="24">
        <v>0.1387866735458374</v>
      </c>
      <c r="AC35" s="12">
        <v>2.3722914978861809E-2</v>
      </c>
      <c r="AD35" s="14">
        <v>8.5359858348965645E-3</v>
      </c>
      <c r="AE35" s="11">
        <v>3.9901738055050373E-3</v>
      </c>
      <c r="AF35" s="11">
        <v>2.3382320068776608E-4</v>
      </c>
      <c r="AG35" s="11">
        <v>2.9965629801154137E-3</v>
      </c>
      <c r="AH35"/>
      <c r="AI35" s="16">
        <v>8.0979138612747192E-2</v>
      </c>
      <c r="AJ35" s="15">
        <v>4.7113526612520218E-2</v>
      </c>
      <c r="AK35" s="234">
        <v>0.11826597154140472</v>
      </c>
      <c r="AL35" s="298">
        <v>0.94664955139160156</v>
      </c>
      <c r="AM35" s="254">
        <v>0.4961540699005127</v>
      </c>
      <c r="AN35"/>
      <c r="AO35" s="17">
        <v>7.1604788303375244E-2</v>
      </c>
      <c r="AP35" s="249">
        <v>1.1828678846359253</v>
      </c>
      <c r="AQ35" s="22">
        <v>3.5846147686243057E-2</v>
      </c>
      <c r="AR35" s="24">
        <v>0.13741548359394073</v>
      </c>
      <c r="AS35" s="227">
        <v>1.0509548187255859</v>
      </c>
      <c r="AT35" s="259">
        <v>0.43039998412132263</v>
      </c>
      <c r="AU35" s="13">
        <v>0.18792495131492615</v>
      </c>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226</v>
      </c>
      <c r="B36">
        <v>1.218999981880188</v>
      </c>
      <c r="C36">
        <v>0.2279738187789917</v>
      </c>
      <c r="D36" s="11">
        <v>2.9454546165652573E-5</v>
      </c>
      <c r="E36" s="11">
        <v>1.1818181519629434E-5</v>
      </c>
      <c r="F36" s="11">
        <v>1.8181818006723915E-7</v>
      </c>
      <c r="G36"/>
      <c r="H36"/>
      <c r="I36"/>
      <c r="J36" s="11">
        <v>1.0381817992310971E-4</v>
      </c>
      <c r="K36"/>
      <c r="L36" s="11">
        <v>3.6363636013447831E-7</v>
      </c>
      <c r="M36" s="11">
        <v>4.8081295744850649E-7</v>
      </c>
      <c r="N36" s="11">
        <v>7.9268020272138529E-6</v>
      </c>
      <c r="O36"/>
      <c r="P36" s="11">
        <v>2.8669095627265051E-5</v>
      </c>
      <c r="Q36"/>
      <c r="R36"/>
      <c r="S36"/>
      <c r="T36" s="11">
        <v>6.1383587308228016E-5</v>
      </c>
      <c r="U36"/>
      <c r="V36" s="11">
        <v>9.6132321050390601E-4</v>
      </c>
      <c r="W36"/>
      <c r="X36" s="11">
        <v>8.7272725068032742E-5</v>
      </c>
      <c r="Y36"/>
      <c r="Z36" s="11">
        <v>9.6282036975026131E-4</v>
      </c>
      <c r="AA36"/>
      <c r="AB36"/>
      <c r="AC36"/>
      <c r="AD36" s="23">
        <v>6.2834196723997593E-3</v>
      </c>
      <c r="AE36" s="22">
        <v>9.7670899704098701E-3</v>
      </c>
      <c r="AF36"/>
      <c r="AG36"/>
      <c r="AH36" s="11">
        <v>9.5772731583565474E-5</v>
      </c>
      <c r="AI36" s="11">
        <v>2.67864263150841E-4</v>
      </c>
      <c r="AJ36" s="28">
        <v>4.2285390198230743E-2</v>
      </c>
      <c r="AK36"/>
      <c r="AL36" s="297">
        <v>0.48393508791923523</v>
      </c>
      <c r="AM36"/>
      <c r="AN36"/>
      <c r="AO36" s="296">
        <v>0.43099966645240784</v>
      </c>
      <c r="AP36"/>
      <c r="AQ36"/>
      <c r="AR36" s="18">
        <v>1.5136362984776497E-2</v>
      </c>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227</v>
      </c>
      <c r="B37">
        <v>0.10000000149011612</v>
      </c>
      <c r="C37">
        <v>0.10000000149011612</v>
      </c>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228</v>
      </c>
      <c r="B38">
        <v>13</v>
      </c>
      <c r="C38">
        <v>1.1748921871185303</v>
      </c>
      <c r="D38"/>
      <c r="E38"/>
      <c r="F38"/>
      <c r="G38"/>
      <c r="H38"/>
      <c r="I38"/>
      <c r="J38"/>
      <c r="K38"/>
      <c r="L38"/>
      <c r="M38" s="11">
        <v>2.4633432985865511E-5</v>
      </c>
      <c r="N38"/>
      <c r="O38" s="11">
        <v>3.115703584626317E-4</v>
      </c>
      <c r="P38" s="11">
        <v>4.7520006773993373E-4</v>
      </c>
      <c r="Q38" s="11">
        <v>3.1759744160808623E-4</v>
      </c>
      <c r="R38"/>
      <c r="S38" s="11">
        <v>1.7146585742011666E-4</v>
      </c>
      <c r="T38" s="11">
        <v>5.5497488938271999E-4</v>
      </c>
      <c r="U38" s="14">
        <v>1.9735889509320259E-2</v>
      </c>
      <c r="V38"/>
      <c r="W38" s="11">
        <v>1.7791335703805089E-3</v>
      </c>
      <c r="X38"/>
      <c r="Y38" s="11">
        <v>3.3562828321009874E-5</v>
      </c>
      <c r="Z38" s="11">
        <v>7.9761883243918419E-3</v>
      </c>
      <c r="AA38" s="14">
        <v>1.8792778253555298E-2</v>
      </c>
      <c r="AB38" s="67">
        <v>0.7730136513710022</v>
      </c>
      <c r="AC38" s="11">
        <v>1.8826983869075775E-3</v>
      </c>
      <c r="AD38"/>
      <c r="AE38"/>
      <c r="AF38" s="14">
        <v>3.4497752785682678E-2</v>
      </c>
      <c r="AG38" s="14">
        <v>2.1043755114078522E-2</v>
      </c>
      <c r="AH38"/>
      <c r="AI38" s="14">
        <v>2.2488018497824669E-2</v>
      </c>
      <c r="AJ38"/>
      <c r="AK38" s="284">
        <v>1.1786682605743408</v>
      </c>
      <c r="AL38" s="69">
        <v>1.2010637521743774</v>
      </c>
      <c r="AM38" s="300">
        <v>6.2907505035400391</v>
      </c>
      <c r="AN38" s="13">
        <v>0.47374793887138367</v>
      </c>
      <c r="AO38"/>
      <c r="AP38"/>
      <c r="AQ38" s="14">
        <v>1.4927671290934086E-2</v>
      </c>
      <c r="AR38"/>
      <c r="AS38" s="224">
        <v>0.96909695863723755</v>
      </c>
      <c r="AT38" s="143">
        <v>0.79375308752059937</v>
      </c>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229</v>
      </c>
      <c r="B39">
        <v>4</v>
      </c>
      <c r="C39">
        <v>0.80000019073486328</v>
      </c>
      <c r="D39"/>
      <c r="E39"/>
      <c r="F39"/>
      <c r="G39"/>
      <c r="H39"/>
      <c r="I39"/>
      <c r="J39"/>
      <c r="K39"/>
      <c r="L39"/>
      <c r="M39" s="11">
        <v>1.0152236740168519E-7</v>
      </c>
      <c r="N39" s="11">
        <v>1.6737227269914001E-4</v>
      </c>
      <c r="O39" s="11">
        <v>1.0914696986219496E-6</v>
      </c>
      <c r="P39"/>
      <c r="Q39"/>
      <c r="R39"/>
      <c r="S39" s="11">
        <v>1.20133313430415E-6</v>
      </c>
      <c r="T39"/>
      <c r="U39"/>
      <c r="V39"/>
      <c r="W39" s="11">
        <v>6.3923391280695796E-5</v>
      </c>
      <c r="X39"/>
      <c r="Y39"/>
      <c r="Z39" s="11">
        <v>2.0321163174230605E-4</v>
      </c>
      <c r="AA39" s="11">
        <v>2.6646885089576244E-3</v>
      </c>
      <c r="AB39"/>
      <c r="AC39"/>
      <c r="AD39" s="11">
        <v>1.35869684163481E-3</v>
      </c>
      <c r="AE39" s="11">
        <v>2.2341532167047262E-3</v>
      </c>
      <c r="AF39"/>
      <c r="AG39"/>
      <c r="AH39" s="11">
        <v>5.0790538807632402E-5</v>
      </c>
      <c r="AI39" s="15">
        <v>4.0399163961410522E-2</v>
      </c>
      <c r="AJ39" s="14">
        <v>4.0583857335150242E-3</v>
      </c>
      <c r="AK39"/>
      <c r="AL39"/>
      <c r="AM39" s="14">
        <v>6.6779679618775845E-3</v>
      </c>
      <c r="AN39"/>
      <c r="AO39"/>
      <c r="AP39" s="14">
        <v>8.441622368991375E-3</v>
      </c>
      <c r="AQ39" s="235">
        <v>0.13633666932582855</v>
      </c>
      <c r="AR39" s="64">
        <v>0.21661798655986786</v>
      </c>
      <c r="AS39"/>
      <c r="AT39" s="299">
        <v>2.7806177139282227</v>
      </c>
      <c r="AU39"/>
      <c r="AV39" s="11">
        <v>1.0509380081202835E-4</v>
      </c>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230</v>
      </c>
      <c r="B40">
        <v>55.573501586914062</v>
      </c>
      <c r="C40">
        <v>37.327503204345703</v>
      </c>
      <c r="D40"/>
      <c r="E40"/>
      <c r="F40"/>
      <c r="G40"/>
      <c r="H40"/>
      <c r="I40"/>
      <c r="J40"/>
      <c r="K40"/>
      <c r="L40"/>
      <c r="M40"/>
      <c r="N40"/>
      <c r="O40"/>
      <c r="P40"/>
      <c r="Q40"/>
      <c r="R40"/>
      <c r="S40"/>
      <c r="T40" s="11">
        <v>5.474752833833918E-5</v>
      </c>
      <c r="U40"/>
      <c r="V40"/>
      <c r="W40"/>
      <c r="X40"/>
      <c r="Y40"/>
      <c r="Z40" s="11">
        <v>8.5913261864334345E-4</v>
      </c>
      <c r="AA40"/>
      <c r="AB40"/>
      <c r="AC40" s="11">
        <v>2.6532233459874988E-4</v>
      </c>
      <c r="AD40" s="11">
        <v>9.0026203542947769E-3</v>
      </c>
      <c r="AE40" s="11">
        <v>2.0164786837995052E-3</v>
      </c>
      <c r="AF40"/>
      <c r="AG40"/>
      <c r="AH40" s="11">
        <v>7.1513517468702048E-5</v>
      </c>
      <c r="AI40" s="11">
        <v>1.5358238480985165E-2</v>
      </c>
      <c r="AJ40" s="14">
        <v>6.8570904433727264E-2</v>
      </c>
      <c r="AK40"/>
      <c r="AL40" s="11">
        <v>1.2694641016423702E-2</v>
      </c>
      <c r="AM40"/>
      <c r="AN40"/>
      <c r="AO40" s="22">
        <v>0.43604344129562378</v>
      </c>
      <c r="AP40" s="65">
        <v>1.1493141651153564</v>
      </c>
      <c r="AQ40"/>
      <c r="AR40" s="12">
        <v>0.24750000238418579</v>
      </c>
      <c r="AS40" s="21">
        <v>1.0516010522842407</v>
      </c>
      <c r="AT40" s="281">
        <v>7.0472412109375</v>
      </c>
      <c r="AU40" s="301">
        <v>8.2054052352905273</v>
      </c>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231</v>
      </c>
      <c r="B41">
        <v>332.66668701171875</v>
      </c>
      <c r="C41">
        <v>3.3266637325286865</v>
      </c>
      <c r="D41"/>
      <c r="E41"/>
      <c r="F41"/>
      <c r="G41"/>
      <c r="H41"/>
      <c r="I41"/>
      <c r="J41"/>
      <c r="K41"/>
      <c r="L41"/>
      <c r="M41"/>
      <c r="N41"/>
      <c r="O41"/>
      <c r="P41"/>
      <c r="Q41"/>
      <c r="R41"/>
      <c r="S41"/>
      <c r="T41"/>
      <c r="U41"/>
      <c r="V41"/>
      <c r="W41"/>
      <c r="X41"/>
      <c r="Y41"/>
      <c r="Z41"/>
      <c r="AA41"/>
      <c r="AB41"/>
      <c r="AC41"/>
      <c r="AD41"/>
      <c r="AE41"/>
      <c r="AF41"/>
      <c r="AG41"/>
      <c r="AH41"/>
      <c r="AI41" s="11">
        <v>2.9827579855918884E-2</v>
      </c>
      <c r="AJ41"/>
      <c r="AK41" s="14">
        <v>0.56982201337814331</v>
      </c>
      <c r="AL41" s="11">
        <v>0.3050999641418457</v>
      </c>
      <c r="AM41" s="18">
        <v>3.6978662014007568</v>
      </c>
      <c r="AN41" s="14">
        <v>0.38291186094284058</v>
      </c>
      <c r="AO41"/>
      <c r="AP41"/>
      <c r="AQ41"/>
      <c r="AR41" s="14">
        <v>0.45882639288902283</v>
      </c>
      <c r="AS41" s="27">
        <v>25.691682815551758</v>
      </c>
      <c r="AT41" s="282">
        <v>46.192287445068359</v>
      </c>
      <c r="AU41" s="79">
        <v>56.024646759033203</v>
      </c>
      <c r="AV41"/>
      <c r="AW41" s="302">
        <v>195.98704528808594</v>
      </c>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232</v>
      </c>
      <c r="B42">
        <v>7.3000001907348633</v>
      </c>
      <c r="C42">
        <v>3.6500000953674316</v>
      </c>
      <c r="D42"/>
      <c r="E42"/>
      <c r="F42"/>
      <c r="G42"/>
      <c r="H42"/>
      <c r="I42"/>
      <c r="J42"/>
      <c r="K42"/>
      <c r="L42"/>
      <c r="M42"/>
      <c r="N42"/>
      <c r="O42"/>
      <c r="P42"/>
      <c r="Q42"/>
      <c r="R42"/>
      <c r="S42" s="11">
        <v>7.0832556957611814E-6</v>
      </c>
      <c r="T42"/>
      <c r="U42"/>
      <c r="V42"/>
      <c r="W42" s="11">
        <v>6.2817111029289663E-5</v>
      </c>
      <c r="X42"/>
      <c r="Y42"/>
      <c r="Z42" s="11">
        <v>1.3978633796796203E-3</v>
      </c>
      <c r="AA42"/>
      <c r="AB42"/>
      <c r="AC42"/>
      <c r="AD42"/>
      <c r="AE42"/>
      <c r="AF42"/>
      <c r="AG42"/>
      <c r="AH42"/>
      <c r="AI42" s="11">
        <v>1.5880001010373235E-3</v>
      </c>
      <c r="AJ42"/>
      <c r="AK42" s="232">
        <v>0.36404323577880859</v>
      </c>
      <c r="AL42" s="65">
        <v>0.1535731703042984</v>
      </c>
      <c r="AM42" s="26">
        <v>0.18374709784984589</v>
      </c>
      <c r="AN42"/>
      <c r="AO42"/>
      <c r="AP42"/>
      <c r="AQ42" s="23">
        <v>4.8452015966176987E-2</v>
      </c>
      <c r="AR42" s="65">
        <v>0.16401389241218567</v>
      </c>
      <c r="AS42"/>
      <c r="AT42" s="112">
        <v>2.7324953079223633</v>
      </c>
      <c r="AU42"/>
      <c r="AV42" s="11">
        <v>6.1965000350028276E-4</v>
      </c>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233</v>
      </c>
      <c r="B43"/>
      <c r="C43">
        <v>0.55862557888031006</v>
      </c>
      <c r="D43"/>
      <c r="E43"/>
      <c r="F43"/>
      <c r="G43"/>
      <c r="H43"/>
      <c r="I43"/>
      <c r="J43"/>
      <c r="K43"/>
      <c r="L43"/>
      <c r="M43"/>
      <c r="N43"/>
      <c r="O43"/>
      <c r="P43" s="9">
        <v>2.2075202316045761E-2</v>
      </c>
      <c r="Q43"/>
      <c r="R43"/>
      <c r="S43"/>
      <c r="T43" s="9">
        <v>3.376097185537219E-3</v>
      </c>
      <c r="U43"/>
      <c r="V43"/>
      <c r="W43" s="9">
        <v>1.6650867182761431E-3</v>
      </c>
      <c r="X43" s="9">
        <v>1.1200000531971455E-2</v>
      </c>
      <c r="Y43" s="9">
        <v>2.4500858853571117E-4</v>
      </c>
      <c r="Z43" s="9">
        <v>0.10591024160385132</v>
      </c>
      <c r="AA43"/>
      <c r="AB43"/>
      <c r="AC43" s="9">
        <v>1.3089236803352833E-2</v>
      </c>
      <c r="AD43" s="9">
        <v>0.20818561315536499</v>
      </c>
      <c r="AE43" s="9">
        <v>0.14921942353248596</v>
      </c>
      <c r="AF43"/>
      <c r="AG43"/>
      <c r="AH43"/>
      <c r="AI43" s="9">
        <v>2.1677873134613037</v>
      </c>
      <c r="AJ43" s="9">
        <v>4.228538990020752</v>
      </c>
      <c r="AK43"/>
      <c r="AL43" s="9">
        <v>6.2626891136169434</v>
      </c>
      <c r="AM43" s="9">
        <v>34.441856384277344</v>
      </c>
      <c r="AN43" s="9">
        <v>2.1614749431610107</v>
      </c>
      <c r="AO43" s="9">
        <v>11.852490425109863</v>
      </c>
      <c r="AP43" s="9">
        <v>10.408080101013184</v>
      </c>
      <c r="AQ43" s="9">
        <v>1.5372835397720337</v>
      </c>
      <c r="AR43" s="9">
        <v>43.475002288818359</v>
      </c>
      <c r="AS43" s="9">
        <v>410.31564331054688</v>
      </c>
      <c r="AT43" s="9">
        <v>651.8697509765625</v>
      </c>
      <c r="AU43" s="9">
        <v>632.5</v>
      </c>
      <c r="AV43"/>
      <c r="AW43" s="9">
        <v>474.135009765625</v>
      </c>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234</v>
      </c>
      <c r="B44"/>
      <c r="C44">
        <v>0</v>
      </c>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topLeftCell="A24"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31.5" bestFit="1" customWidth="1"/>
    <col min="5" max="5" width="3.33203125" bestFit="1" customWidth="1"/>
    <col min="6" max="6" width="4.83203125" bestFit="1" customWidth="1"/>
    <col min="7" max="7" width="3.33203125" bestFit="1" customWidth="1"/>
    <col min="8" max="8" width="31.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4"/>
      <c r="D1" s="1" t="s">
        <v>32</v>
      </c>
      <c r="E1" s="1" t="s">
        <v>33</v>
      </c>
      <c r="F1" s="1" t="s">
        <v>34</v>
      </c>
      <c r="G1" s="1" t="s">
        <v>35</v>
      </c>
      <c r="H1" s="1" t="s">
        <v>36</v>
      </c>
      <c r="J1" s="1" t="s">
        <v>130</v>
      </c>
      <c r="K1" s="1" t="s">
        <v>131</v>
      </c>
      <c r="L1" s="62" t="s">
        <v>166</v>
      </c>
    </row>
    <row r="2" spans="1:12" x14ac:dyDescent="0.15">
      <c r="A2" s="1" t="s">
        <v>37</v>
      </c>
      <c r="B2" s="39">
        <v>3</v>
      </c>
      <c r="C2" s="37"/>
      <c r="D2" t="s">
        <v>38</v>
      </c>
      <c r="E2">
        <v>1</v>
      </c>
      <c r="F2">
        <v>1</v>
      </c>
      <c r="G2">
        <v>1</v>
      </c>
      <c r="H2" t="s">
        <v>38</v>
      </c>
      <c r="J2" s="55"/>
      <c r="K2" s="56"/>
      <c r="L2" s="62" t="s">
        <v>167</v>
      </c>
    </row>
    <row r="3" spans="1:12" ht="14" thickBot="1" x14ac:dyDescent="0.2">
      <c r="A3" s="1" t="s">
        <v>39</v>
      </c>
      <c r="B3" s="40">
        <v>0</v>
      </c>
      <c r="C3" s="37"/>
      <c r="D3" t="s">
        <v>40</v>
      </c>
      <c r="E3">
        <v>2</v>
      </c>
      <c r="F3">
        <v>1.1000000000000001</v>
      </c>
      <c r="G3">
        <v>2</v>
      </c>
      <c r="H3" t="s">
        <v>40</v>
      </c>
      <c r="J3" s="57"/>
      <c r="K3" s="58"/>
    </row>
    <row r="4" spans="1:12" x14ac:dyDescent="0.15">
      <c r="D4" t="s">
        <v>41</v>
      </c>
      <c r="E4">
        <v>3</v>
      </c>
      <c r="F4">
        <v>1.2</v>
      </c>
      <c r="G4">
        <v>3</v>
      </c>
      <c r="H4" t="s">
        <v>41</v>
      </c>
      <c r="J4" s="57"/>
      <c r="K4" s="58"/>
    </row>
    <row r="5" spans="1:12" x14ac:dyDescent="0.15">
      <c r="D5" s="193" t="s">
        <v>192</v>
      </c>
      <c r="E5">
        <v>4</v>
      </c>
      <c r="F5">
        <v>3.12</v>
      </c>
      <c r="G5">
        <v>4</v>
      </c>
      <c r="H5" s="194" t="s">
        <v>192</v>
      </c>
      <c r="J5" s="57"/>
      <c r="K5" s="58"/>
    </row>
    <row r="6" spans="1:12" ht="14" thickBot="1" x14ac:dyDescent="0.2">
      <c r="A6" s="41" t="s">
        <v>121</v>
      </c>
      <c r="D6" s="193" t="s">
        <v>193</v>
      </c>
      <c r="E6">
        <v>5</v>
      </c>
      <c r="F6">
        <v>3.12</v>
      </c>
      <c r="G6">
        <v>5</v>
      </c>
      <c r="H6" s="194" t="s">
        <v>193</v>
      </c>
      <c r="J6" s="57"/>
      <c r="K6" s="58"/>
    </row>
    <row r="7" spans="1:12" x14ac:dyDescent="0.15">
      <c r="A7" s="36" t="s">
        <v>126</v>
      </c>
      <c r="B7" s="43">
        <v>1</v>
      </c>
      <c r="C7" s="38"/>
      <c r="D7" s="193" t="s">
        <v>194</v>
      </c>
      <c r="E7">
        <v>6</v>
      </c>
      <c r="F7">
        <v>3.12</v>
      </c>
      <c r="G7">
        <v>6</v>
      </c>
      <c r="H7" s="194" t="s">
        <v>194</v>
      </c>
      <c r="J7" s="57"/>
      <c r="K7" s="58"/>
    </row>
    <row r="8" spans="1:12" x14ac:dyDescent="0.15">
      <c r="A8" s="36" t="s">
        <v>38</v>
      </c>
      <c r="B8" s="44">
        <v>1</v>
      </c>
      <c r="C8" s="38"/>
      <c r="D8" s="193" t="s">
        <v>195</v>
      </c>
      <c r="E8">
        <v>7</v>
      </c>
      <c r="F8">
        <v>3.13</v>
      </c>
      <c r="G8">
        <v>7</v>
      </c>
      <c r="H8" s="194" t="s">
        <v>195</v>
      </c>
      <c r="J8" s="57"/>
      <c r="K8" s="58"/>
    </row>
    <row r="9" spans="1:12" x14ac:dyDescent="0.15">
      <c r="A9" s="36" t="s">
        <v>40</v>
      </c>
      <c r="B9" s="44">
        <v>1.1000000000000001</v>
      </c>
      <c r="C9" s="38"/>
      <c r="D9" s="193" t="s">
        <v>196</v>
      </c>
      <c r="E9">
        <v>8</v>
      </c>
      <c r="F9">
        <v>3.12</v>
      </c>
      <c r="G9">
        <v>8</v>
      </c>
      <c r="H9" s="194" t="s">
        <v>196</v>
      </c>
      <c r="J9" s="57"/>
      <c r="K9" s="58"/>
    </row>
    <row r="10" spans="1:12" x14ac:dyDescent="0.15">
      <c r="A10" s="36" t="s">
        <v>41</v>
      </c>
      <c r="B10" s="44">
        <v>1.2</v>
      </c>
      <c r="C10" s="38"/>
      <c r="D10" s="193" t="s">
        <v>197</v>
      </c>
      <c r="E10">
        <v>9</v>
      </c>
      <c r="F10">
        <v>3.22</v>
      </c>
      <c r="G10">
        <v>9</v>
      </c>
      <c r="H10" s="194" t="s">
        <v>197</v>
      </c>
      <c r="J10" s="57"/>
      <c r="K10" s="58"/>
    </row>
    <row r="11" spans="1:12" ht="12" customHeight="1" x14ac:dyDescent="0.15">
      <c r="A11" s="42" t="s">
        <v>127</v>
      </c>
      <c r="B11" s="44">
        <v>2</v>
      </c>
      <c r="C11" s="38"/>
      <c r="D11" s="193" t="s">
        <v>198</v>
      </c>
      <c r="E11">
        <v>10</v>
      </c>
      <c r="F11">
        <v>3.12</v>
      </c>
      <c r="G11">
        <v>10</v>
      </c>
      <c r="H11" s="194" t="s">
        <v>198</v>
      </c>
      <c r="J11" s="57"/>
      <c r="K11" s="58"/>
    </row>
    <row r="12" spans="1:12" x14ac:dyDescent="0.15">
      <c r="A12" s="36" t="s">
        <v>42</v>
      </c>
      <c r="B12" s="44">
        <v>2.1</v>
      </c>
      <c r="C12" s="38"/>
      <c r="D12" s="193" t="s">
        <v>199</v>
      </c>
      <c r="E12">
        <v>11</v>
      </c>
      <c r="F12">
        <v>3.22</v>
      </c>
      <c r="G12">
        <v>11</v>
      </c>
      <c r="H12" s="194" t="s">
        <v>199</v>
      </c>
      <c r="J12" s="57"/>
      <c r="K12" s="58"/>
    </row>
    <row r="13" spans="1:12" x14ac:dyDescent="0.15">
      <c r="A13" s="36" t="s">
        <v>43</v>
      </c>
      <c r="B13" s="44">
        <v>2.2000000000000002</v>
      </c>
      <c r="C13" s="38"/>
      <c r="D13" s="193" t="s">
        <v>200</v>
      </c>
      <c r="E13">
        <v>12</v>
      </c>
      <c r="F13">
        <v>3.1</v>
      </c>
      <c r="G13">
        <v>12</v>
      </c>
      <c r="H13" s="194" t="s">
        <v>200</v>
      </c>
      <c r="J13" s="57"/>
      <c r="K13" s="58"/>
    </row>
    <row r="14" spans="1:12" x14ac:dyDescent="0.15">
      <c r="A14" s="36" t="s">
        <v>67</v>
      </c>
      <c r="B14" s="44">
        <v>2.2999999999999998</v>
      </c>
      <c r="C14" s="38"/>
      <c r="D14" s="193" t="s">
        <v>201</v>
      </c>
      <c r="E14">
        <v>13</v>
      </c>
      <c r="F14">
        <v>3.21</v>
      </c>
      <c r="G14">
        <v>13</v>
      </c>
      <c r="H14" s="194" t="s">
        <v>201</v>
      </c>
      <c r="J14" s="57"/>
      <c r="K14" s="58"/>
    </row>
    <row r="15" spans="1:12" x14ac:dyDescent="0.15">
      <c r="A15" s="42" t="s">
        <v>128</v>
      </c>
      <c r="B15" s="44">
        <v>3</v>
      </c>
      <c r="C15" s="38"/>
      <c r="D15" s="193" t="s">
        <v>202</v>
      </c>
      <c r="E15">
        <v>14</v>
      </c>
      <c r="F15">
        <v>3.2</v>
      </c>
      <c r="G15">
        <v>14</v>
      </c>
      <c r="H15" s="194" t="s">
        <v>202</v>
      </c>
      <c r="J15" s="57"/>
      <c r="K15" s="58"/>
    </row>
    <row r="16" spans="1:12" x14ac:dyDescent="0.15">
      <c r="A16" s="36" t="s">
        <v>62</v>
      </c>
      <c r="B16" s="44">
        <v>3.11</v>
      </c>
      <c r="C16" s="38"/>
      <c r="D16" s="193" t="s">
        <v>203</v>
      </c>
      <c r="E16">
        <v>15</v>
      </c>
      <c r="F16">
        <v>3.13</v>
      </c>
      <c r="G16">
        <v>15</v>
      </c>
      <c r="H16" s="194" t="s">
        <v>203</v>
      </c>
      <c r="J16" s="57"/>
      <c r="K16" s="58"/>
    </row>
    <row r="17" spans="1:12" x14ac:dyDescent="0.15">
      <c r="A17" s="36" t="s">
        <v>61</v>
      </c>
      <c r="B17" s="44">
        <v>3.12</v>
      </c>
      <c r="C17" s="38"/>
      <c r="D17" s="193" t="s">
        <v>204</v>
      </c>
      <c r="E17">
        <v>16</v>
      </c>
      <c r="F17">
        <v>3.2</v>
      </c>
      <c r="G17">
        <v>16</v>
      </c>
      <c r="H17" s="194" t="s">
        <v>204</v>
      </c>
      <c r="J17" s="57"/>
      <c r="K17" s="58"/>
    </row>
    <row r="18" spans="1:12" x14ac:dyDescent="0.15">
      <c r="A18" s="36" t="s">
        <v>68</v>
      </c>
      <c r="B18" s="44">
        <v>3.13</v>
      </c>
      <c r="C18" s="38"/>
      <c r="D18" s="193" t="s">
        <v>205</v>
      </c>
      <c r="E18">
        <v>17</v>
      </c>
      <c r="F18">
        <v>3.22</v>
      </c>
      <c r="G18">
        <v>17</v>
      </c>
      <c r="H18" s="194" t="s">
        <v>205</v>
      </c>
      <c r="J18" s="57"/>
      <c r="K18" s="58"/>
    </row>
    <row r="19" spans="1:12" x14ac:dyDescent="0.15">
      <c r="A19" s="36" t="s">
        <v>66</v>
      </c>
      <c r="B19" s="44">
        <v>3.21</v>
      </c>
      <c r="C19" s="38"/>
      <c r="D19" s="193" t="s">
        <v>206</v>
      </c>
      <c r="E19">
        <v>18</v>
      </c>
      <c r="F19">
        <v>3.2</v>
      </c>
      <c r="G19">
        <v>18</v>
      </c>
      <c r="H19" s="194" t="s">
        <v>206</v>
      </c>
      <c r="J19" s="57"/>
      <c r="K19" s="58"/>
    </row>
    <row r="20" spans="1:12" x14ac:dyDescent="0.15">
      <c r="A20" s="36" t="s">
        <v>63</v>
      </c>
      <c r="B20" s="44">
        <v>3.22</v>
      </c>
      <c r="C20" s="38"/>
      <c r="D20" s="193" t="s">
        <v>207</v>
      </c>
      <c r="E20">
        <v>19</v>
      </c>
      <c r="F20">
        <v>3.12</v>
      </c>
      <c r="G20">
        <v>19</v>
      </c>
      <c r="H20" s="194" t="s">
        <v>207</v>
      </c>
      <c r="J20" s="57"/>
      <c r="K20" s="58"/>
    </row>
    <row r="21" spans="1:12" ht="14" thickBot="1" x14ac:dyDescent="0.2">
      <c r="A21" s="36" t="s">
        <v>69</v>
      </c>
      <c r="B21" s="44">
        <v>3.23</v>
      </c>
      <c r="C21" s="38"/>
      <c r="D21" s="193" t="s">
        <v>208</v>
      </c>
      <c r="E21">
        <v>20</v>
      </c>
      <c r="F21">
        <v>3.22</v>
      </c>
      <c r="G21">
        <v>20</v>
      </c>
      <c r="H21" s="194" t="s">
        <v>208</v>
      </c>
      <c r="J21" s="59"/>
      <c r="K21" s="60"/>
      <c r="L21" s="62" t="s">
        <v>152</v>
      </c>
    </row>
    <row r="22" spans="1:12" x14ac:dyDescent="0.15">
      <c r="A22" s="36" t="s">
        <v>64</v>
      </c>
      <c r="B22" s="44">
        <v>8</v>
      </c>
      <c r="C22" s="38"/>
      <c r="D22" s="193" t="s">
        <v>209</v>
      </c>
      <c r="E22">
        <v>21</v>
      </c>
      <c r="F22">
        <v>3.22</v>
      </c>
      <c r="G22">
        <v>21</v>
      </c>
      <c r="H22" s="194" t="s">
        <v>209</v>
      </c>
    </row>
    <row r="23" spans="1:12" x14ac:dyDescent="0.15">
      <c r="A23" s="36" t="s">
        <v>129</v>
      </c>
      <c r="B23" s="44">
        <v>4</v>
      </c>
      <c r="C23" s="38"/>
      <c r="D23" s="193" t="s">
        <v>210</v>
      </c>
      <c r="E23">
        <v>22</v>
      </c>
      <c r="F23">
        <v>3.21</v>
      </c>
      <c r="G23">
        <v>22</v>
      </c>
      <c r="H23" s="194" t="s">
        <v>210</v>
      </c>
    </row>
    <row r="24" spans="1:12" x14ac:dyDescent="0.15">
      <c r="A24" s="36" t="s">
        <v>122</v>
      </c>
      <c r="B24" s="44">
        <v>4.0999999999999996</v>
      </c>
      <c r="C24" s="38"/>
      <c r="D24" s="193" t="s">
        <v>211</v>
      </c>
      <c r="E24">
        <v>23</v>
      </c>
      <c r="F24">
        <v>3.13</v>
      </c>
      <c r="G24">
        <v>23</v>
      </c>
      <c r="H24" s="194" t="s">
        <v>211</v>
      </c>
    </row>
    <row r="25" spans="1:12" x14ac:dyDescent="0.15">
      <c r="A25" s="36" t="s">
        <v>70</v>
      </c>
      <c r="B25" s="44">
        <v>4.2</v>
      </c>
      <c r="C25" s="38"/>
      <c r="D25" s="193" t="s">
        <v>212</v>
      </c>
      <c r="E25">
        <v>24</v>
      </c>
      <c r="F25">
        <v>3.2</v>
      </c>
      <c r="G25">
        <v>24</v>
      </c>
      <c r="H25" s="194" t="s">
        <v>212</v>
      </c>
    </row>
    <row r="26" spans="1:12" x14ac:dyDescent="0.15">
      <c r="A26" s="36" t="s">
        <v>123</v>
      </c>
      <c r="B26" s="44">
        <v>4.3</v>
      </c>
      <c r="C26" s="38"/>
      <c r="D26" s="193" t="s">
        <v>213</v>
      </c>
      <c r="E26">
        <v>25</v>
      </c>
      <c r="F26">
        <v>3.12</v>
      </c>
      <c r="G26">
        <v>25</v>
      </c>
      <c r="H26" s="194" t="s">
        <v>213</v>
      </c>
    </row>
    <row r="27" spans="1:12" x14ac:dyDescent="0.15">
      <c r="A27" s="36" t="s">
        <v>125</v>
      </c>
      <c r="B27" s="44">
        <v>6.1</v>
      </c>
      <c r="D27" s="193" t="s">
        <v>214</v>
      </c>
      <c r="E27">
        <v>26</v>
      </c>
      <c r="F27">
        <v>3.2</v>
      </c>
      <c r="G27">
        <v>26</v>
      </c>
      <c r="H27" s="194" t="s">
        <v>214</v>
      </c>
    </row>
    <row r="28" spans="1:12" x14ac:dyDescent="0.15">
      <c r="A28" s="36" t="s">
        <v>124</v>
      </c>
      <c r="B28" s="44">
        <v>6.2</v>
      </c>
      <c r="D28" s="193" t="s">
        <v>215</v>
      </c>
      <c r="E28">
        <v>27</v>
      </c>
      <c r="F28">
        <v>3.21</v>
      </c>
      <c r="G28">
        <v>27</v>
      </c>
      <c r="H28" s="194" t="s">
        <v>215</v>
      </c>
    </row>
    <row r="29" spans="1:12" x14ac:dyDescent="0.15">
      <c r="A29" s="36" t="s">
        <v>44</v>
      </c>
      <c r="B29" s="44">
        <v>5</v>
      </c>
      <c r="D29" s="193" t="s">
        <v>216</v>
      </c>
      <c r="E29">
        <v>28</v>
      </c>
      <c r="F29">
        <v>3.1</v>
      </c>
      <c r="G29">
        <v>28</v>
      </c>
      <c r="H29" s="194" t="s">
        <v>216</v>
      </c>
    </row>
    <row r="30" spans="1:12" x14ac:dyDescent="0.15">
      <c r="A30" s="36" t="s">
        <v>73</v>
      </c>
      <c r="B30" s="44">
        <v>7</v>
      </c>
      <c r="D30" s="193" t="s">
        <v>217</v>
      </c>
      <c r="E30">
        <v>29</v>
      </c>
      <c r="F30">
        <v>3</v>
      </c>
      <c r="G30">
        <v>29</v>
      </c>
      <c r="H30" s="194" t="s">
        <v>217</v>
      </c>
    </row>
    <row r="31" spans="1:12" x14ac:dyDescent="0.15">
      <c r="A31" s="36" t="s">
        <v>169</v>
      </c>
      <c r="B31" s="44">
        <v>3.14</v>
      </c>
      <c r="D31" s="193" t="s">
        <v>218</v>
      </c>
      <c r="E31">
        <v>30</v>
      </c>
      <c r="F31">
        <v>3.12</v>
      </c>
      <c r="G31">
        <v>30</v>
      </c>
      <c r="H31" s="194" t="s">
        <v>218</v>
      </c>
    </row>
    <row r="32" spans="1:12" ht="12" customHeight="1" thickBot="1" x14ac:dyDescent="0.2">
      <c r="A32" s="42" t="s">
        <v>170</v>
      </c>
      <c r="B32" s="45">
        <v>9</v>
      </c>
      <c r="D32" s="193" t="s">
        <v>219</v>
      </c>
      <c r="E32">
        <v>31</v>
      </c>
      <c r="F32">
        <v>3.11</v>
      </c>
      <c r="G32">
        <v>31</v>
      </c>
      <c r="H32" s="194" t="s">
        <v>219</v>
      </c>
    </row>
    <row r="33" spans="4:8" customFormat="1" ht="12" customHeight="1" x14ac:dyDescent="0.15">
      <c r="D33" s="193" t="s">
        <v>220</v>
      </c>
      <c r="E33">
        <v>32</v>
      </c>
      <c r="F33">
        <v>3.21</v>
      </c>
      <c r="G33">
        <v>32</v>
      </c>
      <c r="H33" s="194" t="s">
        <v>220</v>
      </c>
    </row>
    <row r="34" spans="4:8" customFormat="1" ht="12" customHeight="1" x14ac:dyDescent="0.15">
      <c r="D34" s="193" t="s">
        <v>221</v>
      </c>
      <c r="E34">
        <v>33</v>
      </c>
      <c r="F34">
        <v>3</v>
      </c>
      <c r="G34">
        <v>33</v>
      </c>
      <c r="H34" s="194" t="s">
        <v>221</v>
      </c>
    </row>
    <row r="35" spans="4:8" customFormat="1" x14ac:dyDescent="0.15">
      <c r="D35" s="193" t="s">
        <v>222</v>
      </c>
      <c r="E35">
        <v>34</v>
      </c>
      <c r="F35">
        <v>3.2</v>
      </c>
      <c r="G35">
        <v>34</v>
      </c>
      <c r="H35" s="194" t="s">
        <v>222</v>
      </c>
    </row>
    <row r="36" spans="4:8" customFormat="1" x14ac:dyDescent="0.15">
      <c r="D36" s="193" t="s">
        <v>223</v>
      </c>
      <c r="E36">
        <v>35</v>
      </c>
      <c r="F36">
        <v>3.21</v>
      </c>
      <c r="G36">
        <v>35</v>
      </c>
      <c r="H36" s="194" t="s">
        <v>223</v>
      </c>
    </row>
    <row r="37" spans="4:8" customFormat="1" ht="12" customHeight="1" x14ac:dyDescent="0.15">
      <c r="D37" s="193" t="s">
        <v>224</v>
      </c>
      <c r="E37">
        <v>36</v>
      </c>
      <c r="F37">
        <v>3.21</v>
      </c>
      <c r="G37">
        <v>36</v>
      </c>
      <c r="H37" s="194" t="s">
        <v>224</v>
      </c>
    </row>
    <row r="38" spans="4:8" customFormat="1" x14ac:dyDescent="0.15">
      <c r="D38" s="193" t="s">
        <v>225</v>
      </c>
      <c r="E38">
        <v>37</v>
      </c>
      <c r="F38">
        <v>3.21</v>
      </c>
      <c r="G38">
        <v>37</v>
      </c>
      <c r="H38" s="194" t="s">
        <v>225</v>
      </c>
    </row>
    <row r="39" spans="4:8" customFormat="1" x14ac:dyDescent="0.15">
      <c r="D39" s="193" t="s">
        <v>226</v>
      </c>
      <c r="E39">
        <v>38</v>
      </c>
      <c r="F39">
        <v>3.21</v>
      </c>
      <c r="G39">
        <v>38</v>
      </c>
      <c r="H39" s="194" t="s">
        <v>226</v>
      </c>
    </row>
    <row r="40" spans="4:8" customFormat="1" x14ac:dyDescent="0.15">
      <c r="D40" s="193" t="s">
        <v>227</v>
      </c>
      <c r="E40">
        <v>39</v>
      </c>
      <c r="F40">
        <v>3.13</v>
      </c>
      <c r="G40">
        <v>39</v>
      </c>
      <c r="H40" s="194" t="s">
        <v>227</v>
      </c>
    </row>
    <row r="41" spans="4:8" customFormat="1" x14ac:dyDescent="0.15">
      <c r="D41" s="193" t="s">
        <v>228</v>
      </c>
      <c r="E41">
        <v>40</v>
      </c>
      <c r="F41">
        <v>3.11</v>
      </c>
      <c r="G41">
        <v>40</v>
      </c>
      <c r="H41" s="194" t="s">
        <v>228</v>
      </c>
    </row>
    <row r="42" spans="4:8" customFormat="1" x14ac:dyDescent="0.15">
      <c r="D42" s="193" t="s">
        <v>229</v>
      </c>
      <c r="E42">
        <v>41</v>
      </c>
      <c r="F42">
        <v>2.2999999999999998</v>
      </c>
      <c r="G42">
        <v>41</v>
      </c>
      <c r="H42" s="194" t="s">
        <v>229</v>
      </c>
    </row>
    <row r="43" spans="4:8" customFormat="1" x14ac:dyDescent="0.15">
      <c r="D43" s="193" t="s">
        <v>230</v>
      </c>
      <c r="E43">
        <v>42</v>
      </c>
      <c r="F43">
        <v>2</v>
      </c>
      <c r="G43">
        <v>42</v>
      </c>
      <c r="H43" s="194" t="s">
        <v>230</v>
      </c>
    </row>
    <row r="44" spans="4:8" customFormat="1" x14ac:dyDescent="0.15">
      <c r="D44" s="193" t="s">
        <v>231</v>
      </c>
      <c r="E44">
        <v>43</v>
      </c>
      <c r="F44">
        <v>2</v>
      </c>
      <c r="G44">
        <v>43</v>
      </c>
      <c r="H44" s="194" t="s">
        <v>231</v>
      </c>
    </row>
    <row r="45" spans="4:8" customFormat="1" x14ac:dyDescent="0.15">
      <c r="D45" s="193" t="s">
        <v>232</v>
      </c>
      <c r="E45">
        <v>44</v>
      </c>
      <c r="F45">
        <v>2.2999999999999998</v>
      </c>
      <c r="G45">
        <v>44</v>
      </c>
      <c r="H45" s="194" t="s">
        <v>232</v>
      </c>
    </row>
    <row r="46" spans="4:8" customFormat="1" x14ac:dyDescent="0.15">
      <c r="D46" s="193" t="s">
        <v>233</v>
      </c>
      <c r="E46">
        <v>45</v>
      </c>
      <c r="F46">
        <v>4.0999999999999996</v>
      </c>
      <c r="G46">
        <v>45</v>
      </c>
      <c r="H46" s="194" t="s">
        <v>233</v>
      </c>
    </row>
    <row r="47" spans="4:8" customFormat="1" x14ac:dyDescent="0.15">
      <c r="D47" s="193" t="s">
        <v>234</v>
      </c>
      <c r="E47">
        <v>46</v>
      </c>
      <c r="F47">
        <v>4.3</v>
      </c>
      <c r="G47">
        <v>46</v>
      </c>
      <c r="H47" s="194" t="s">
        <v>234</v>
      </c>
    </row>
    <row r="48" spans="4:8" customFormat="1" x14ac:dyDescent="0.15">
      <c r="D48" s="193" t="s">
        <v>235</v>
      </c>
      <c r="E48">
        <v>47</v>
      </c>
      <c r="F48">
        <v>5</v>
      </c>
      <c r="G48">
        <v>47</v>
      </c>
      <c r="H48" s="194" t="s">
        <v>235</v>
      </c>
    </row>
    <row r="49" spans="4:8" customFormat="1" x14ac:dyDescent="0.15">
      <c r="D49" s="193" t="s">
        <v>236</v>
      </c>
      <c r="E49">
        <v>48</v>
      </c>
      <c r="F49">
        <v>5</v>
      </c>
      <c r="G49">
        <v>48</v>
      </c>
      <c r="H49" s="194" t="s">
        <v>236</v>
      </c>
    </row>
    <row r="50" spans="4:8" customFormat="1" ht="12" customHeight="1" x14ac:dyDescent="0.15">
      <c r="D50" s="193" t="s">
        <v>237</v>
      </c>
      <c r="E50">
        <v>49</v>
      </c>
      <c r="F50">
        <v>5</v>
      </c>
      <c r="G50">
        <v>49</v>
      </c>
      <c r="H50" s="194" t="s">
        <v>237</v>
      </c>
    </row>
    <row r="51" spans="4:8" customFormat="1" x14ac:dyDescent="0.15">
      <c r="D51" s="193" t="s">
        <v>238</v>
      </c>
      <c r="E51">
        <v>50</v>
      </c>
      <c r="F51">
        <v>5</v>
      </c>
      <c r="G51">
        <v>50</v>
      </c>
      <c r="H51" s="194" t="s">
        <v>238</v>
      </c>
    </row>
    <row r="52" spans="4:8" customFormat="1" ht="12" customHeight="1" x14ac:dyDescent="0.15">
      <c r="D52" s="193" t="s">
        <v>239</v>
      </c>
      <c r="E52">
        <v>51</v>
      </c>
      <c r="F52">
        <v>5</v>
      </c>
      <c r="G52">
        <v>51</v>
      </c>
      <c r="H52" s="194" t="s">
        <v>239</v>
      </c>
    </row>
    <row r="53" spans="4:8" customFormat="1" x14ac:dyDescent="0.15">
      <c r="D53" s="193" t="s">
        <v>240</v>
      </c>
      <c r="E53">
        <v>52</v>
      </c>
      <c r="F53">
        <v>5</v>
      </c>
      <c r="G53">
        <v>52</v>
      </c>
      <c r="H53" s="194" t="s">
        <v>240</v>
      </c>
    </row>
    <row r="54" spans="4:8" customFormat="1" ht="12" customHeight="1" x14ac:dyDescent="0.15">
      <c r="D54" s="193" t="s">
        <v>241</v>
      </c>
      <c r="E54">
        <v>53</v>
      </c>
      <c r="F54">
        <v>5</v>
      </c>
      <c r="G54">
        <v>53</v>
      </c>
      <c r="H54" s="194" t="s">
        <v>241</v>
      </c>
    </row>
    <row r="55" spans="4:8" customFormat="1" ht="12" customHeight="1" x14ac:dyDescent="0.15">
      <c r="D55" s="193" t="s">
        <v>242</v>
      </c>
      <c r="E55">
        <v>54</v>
      </c>
      <c r="F55">
        <v>5</v>
      </c>
      <c r="G55">
        <v>54</v>
      </c>
      <c r="H55" s="194" t="s">
        <v>242</v>
      </c>
    </row>
    <row r="56" spans="4:8" customFormat="1" x14ac:dyDescent="0.15">
      <c r="D56" s="193" t="s">
        <v>243</v>
      </c>
      <c r="E56">
        <v>55</v>
      </c>
      <c r="F56">
        <v>5</v>
      </c>
      <c r="G56">
        <v>55</v>
      </c>
      <c r="H56" s="194" t="s">
        <v>243</v>
      </c>
    </row>
    <row r="57" spans="4:8" customFormat="1" x14ac:dyDescent="0.15">
      <c r="D57" s="193" t="s">
        <v>138</v>
      </c>
      <c r="E57">
        <v>56</v>
      </c>
      <c r="F57">
        <v>6.1</v>
      </c>
      <c r="G57">
        <v>56</v>
      </c>
      <c r="H57" s="194" t="s">
        <v>138</v>
      </c>
    </row>
    <row r="58" spans="4:8" customFormat="1" x14ac:dyDescent="0.15">
      <c r="D58" s="193" t="s">
        <v>45</v>
      </c>
      <c r="E58">
        <v>57</v>
      </c>
      <c r="F58">
        <v>6.2</v>
      </c>
      <c r="G58">
        <v>57</v>
      </c>
      <c r="H58" s="194" t="s">
        <v>45</v>
      </c>
    </row>
    <row r="59" spans="4:8" customFormat="1" x14ac:dyDescent="0.15"/>
    <row r="60" spans="4:8" customFormat="1" x14ac:dyDescent="0.15"/>
    <row r="61" spans="4:8" customFormat="1" x14ac:dyDescent="0.15"/>
    <row r="62" spans="4:8" customFormat="1" x14ac:dyDescent="0.15"/>
    <row r="63" spans="4:8" customFormat="1" x14ac:dyDescent="0.15"/>
    <row r="64" spans="4:8" customFormat="1" x14ac:dyDescent="0.15"/>
    <row r="65" customFormat="1" x14ac:dyDescent="0.15"/>
    <row r="66" customFormat="1" x14ac:dyDescent="0.15"/>
    <row r="67" customFormat="1" x14ac:dyDescent="0.15"/>
    <row r="68" customFormat="1" x14ac:dyDescent="0.15"/>
    <row r="69" customFormat="1" x14ac:dyDescent="0.15"/>
    <row r="70" customFormat="1" x14ac:dyDescent="0.15"/>
    <row r="71" customFormat="1" x14ac:dyDescent="0.15"/>
    <row r="72" customFormat="1" x14ac:dyDescent="0.15"/>
    <row r="73" customFormat="1" x14ac:dyDescent="0.15"/>
    <row r="74" customFormat="1" x14ac:dyDescent="0.15"/>
    <row r="75" customFormat="1" x14ac:dyDescent="0.15"/>
    <row r="76" customFormat="1" x14ac:dyDescent="0.15"/>
    <row r="77" customFormat="1" x14ac:dyDescent="0.15"/>
    <row r="78" customFormat="1" x14ac:dyDescent="0.15"/>
    <row r="79" customFormat="1" x14ac:dyDescent="0.15"/>
    <row r="80"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7" style="85" bestFit="1" customWidth="1"/>
    <col min="2" max="2" width="13.83203125" style="84" customWidth="1"/>
    <col min="3" max="3" width="17" style="84" customWidth="1"/>
    <col min="4" max="4" width="11.83203125" style="84" customWidth="1"/>
    <col min="5" max="5" width="13.83203125" style="84" customWidth="1"/>
    <col min="6" max="6" width="31.5" style="84" bestFit="1" customWidth="1"/>
    <col min="7" max="9" width="2.33203125" style="84" customWidth="1"/>
    <col min="10" max="10" width="2.33203125" style="84" bestFit="1" customWidth="1"/>
    <col min="11" max="15" width="2.33203125" style="84" customWidth="1"/>
    <col min="16" max="16" width="2.33203125" style="73" customWidth="1"/>
    <col min="17" max="17" width="2.33203125" style="84" customWidth="1"/>
    <col min="18" max="18" width="2.33203125" style="74" customWidth="1"/>
    <col min="19" max="16384" width="11.5" style="84"/>
  </cols>
  <sheetData>
    <row r="1" spans="1:23" ht="15" customHeight="1" thickBot="1" x14ac:dyDescent="0.2">
      <c r="F1" s="1"/>
      <c r="G1" s="71" t="s">
        <v>46</v>
      </c>
      <c r="H1" s="71" t="s">
        <v>47</v>
      </c>
      <c r="I1" s="71" t="s">
        <v>120</v>
      </c>
      <c r="J1" s="71" t="s">
        <v>132</v>
      </c>
      <c r="K1" s="86" t="s">
        <v>48</v>
      </c>
      <c r="L1" s="74"/>
      <c r="M1" s="86" t="s">
        <v>119</v>
      </c>
      <c r="N1" s="74"/>
      <c r="O1" s="86" t="s">
        <v>49</v>
      </c>
      <c r="P1" s="76"/>
      <c r="Q1" s="86" t="s">
        <v>50</v>
      </c>
      <c r="R1" s="71" t="s">
        <v>154</v>
      </c>
    </row>
    <row r="2" spans="1:23" ht="15" customHeight="1" x14ac:dyDescent="0.15">
      <c r="A2" s="86" t="s">
        <v>51</v>
      </c>
      <c r="B2" s="87">
        <v>0.5</v>
      </c>
      <c r="C2" s="85" t="s">
        <v>52</v>
      </c>
      <c r="D2" s="88"/>
      <c r="F2" s="1"/>
      <c r="G2" s="89"/>
      <c r="H2" s="89"/>
      <c r="I2" s="89" t="s">
        <v>133</v>
      </c>
      <c r="J2" s="89" t="s">
        <v>133</v>
      </c>
      <c r="K2" s="89" t="s">
        <v>52</v>
      </c>
      <c r="L2" s="89" t="s">
        <v>53</v>
      </c>
      <c r="M2" s="89" t="s">
        <v>52</v>
      </c>
      <c r="N2" s="89" t="s">
        <v>53</v>
      </c>
      <c r="O2" s="89" t="s">
        <v>52</v>
      </c>
      <c r="P2" s="90" t="s">
        <v>53</v>
      </c>
      <c r="Q2" s="89"/>
      <c r="R2" s="91" t="s">
        <v>155</v>
      </c>
    </row>
    <row r="3" spans="1:23" ht="15" customHeight="1" thickBot="1" x14ac:dyDescent="0.2">
      <c r="A3" s="86" t="s">
        <v>54</v>
      </c>
      <c r="B3" s="92">
        <v>0.5</v>
      </c>
      <c r="C3" s="85" t="s">
        <v>53</v>
      </c>
      <c r="D3" s="88"/>
      <c r="F3" t="s">
        <v>38</v>
      </c>
      <c r="G3">
        <v>0</v>
      </c>
      <c r="H3">
        <v>0</v>
      </c>
      <c r="I3">
        <v>0</v>
      </c>
      <c r="J3">
        <v>0</v>
      </c>
      <c r="K3">
        <v>0</v>
      </c>
      <c r="L3">
        <v>0</v>
      </c>
      <c r="M3">
        <v>0</v>
      </c>
      <c r="N3">
        <v>0</v>
      </c>
      <c r="O3">
        <v>0</v>
      </c>
      <c r="P3">
        <v>0</v>
      </c>
      <c r="Q3" s="138">
        <v>0</v>
      </c>
      <c r="R3" s="38">
        <v>0</v>
      </c>
    </row>
    <row r="4" spans="1:23" ht="15" customHeight="1" thickBot="1" x14ac:dyDescent="0.2">
      <c r="F4" t="s">
        <v>40</v>
      </c>
      <c r="G4">
        <v>0</v>
      </c>
      <c r="H4">
        <v>0</v>
      </c>
      <c r="I4">
        <v>0</v>
      </c>
      <c r="J4">
        <v>0</v>
      </c>
      <c r="K4">
        <v>0</v>
      </c>
      <c r="L4">
        <v>0</v>
      </c>
      <c r="M4">
        <v>0</v>
      </c>
      <c r="N4">
        <v>0</v>
      </c>
      <c r="O4">
        <v>0</v>
      </c>
      <c r="P4">
        <v>0</v>
      </c>
      <c r="Q4" s="138">
        <v>0</v>
      </c>
      <c r="R4" s="113">
        <v>0</v>
      </c>
    </row>
    <row r="5" spans="1:23" ht="15" customHeight="1" x14ac:dyDescent="0.15">
      <c r="A5" s="86" t="s">
        <v>55</v>
      </c>
      <c r="B5" s="93">
        <v>0.5</v>
      </c>
      <c r="C5" s="85" t="s">
        <v>52</v>
      </c>
      <c r="D5" s="88"/>
      <c r="F5" t="s">
        <v>41</v>
      </c>
      <c r="G5">
        <v>0</v>
      </c>
      <c r="H5">
        <v>0</v>
      </c>
      <c r="I5">
        <v>0</v>
      </c>
      <c r="J5">
        <v>0</v>
      </c>
      <c r="K5">
        <v>0</v>
      </c>
      <c r="L5">
        <v>0</v>
      </c>
      <c r="M5">
        <v>0</v>
      </c>
      <c r="N5">
        <v>0</v>
      </c>
      <c r="O5">
        <v>0</v>
      </c>
      <c r="P5">
        <v>0</v>
      </c>
      <c r="Q5" s="138">
        <v>0</v>
      </c>
      <c r="R5" s="113">
        <v>0</v>
      </c>
    </row>
    <row r="6" spans="1:23" ht="15" customHeight="1" thickBot="1" x14ac:dyDescent="0.2">
      <c r="A6" s="86"/>
      <c r="B6" s="94">
        <v>0.5</v>
      </c>
      <c r="C6" s="85" t="s">
        <v>53</v>
      </c>
      <c r="D6" s="88"/>
      <c r="F6" s="195" t="s">
        <v>192</v>
      </c>
      <c r="G6" s="84">
        <v>0</v>
      </c>
      <c r="H6" s="84">
        <v>0</v>
      </c>
      <c r="I6" s="84">
        <v>0</v>
      </c>
      <c r="J6" s="84">
        <v>0</v>
      </c>
      <c r="K6" s="84">
        <v>1</v>
      </c>
      <c r="L6" s="84">
        <v>0</v>
      </c>
      <c r="M6" s="84">
        <v>1</v>
      </c>
      <c r="N6" s="84">
        <v>0</v>
      </c>
      <c r="O6" s="84">
        <v>1</v>
      </c>
      <c r="P6" s="73">
        <v>0</v>
      </c>
      <c r="Q6" s="84">
        <v>0</v>
      </c>
      <c r="R6" s="74">
        <v>1</v>
      </c>
      <c r="S6"/>
      <c r="T6"/>
    </row>
    <row r="7" spans="1:23" ht="15" customHeight="1" thickBot="1" x14ac:dyDescent="0.2">
      <c r="F7" s="195" t="s">
        <v>193</v>
      </c>
      <c r="G7" s="84">
        <v>0</v>
      </c>
      <c r="H7" s="84">
        <v>0</v>
      </c>
      <c r="I7" s="84">
        <v>0</v>
      </c>
      <c r="J7" s="84">
        <v>0</v>
      </c>
      <c r="K7" s="84">
        <v>1</v>
      </c>
      <c r="L7" s="84">
        <v>0</v>
      </c>
      <c r="M7" s="84">
        <v>1</v>
      </c>
      <c r="N7" s="84">
        <v>0</v>
      </c>
      <c r="O7" s="84">
        <v>1</v>
      </c>
      <c r="P7" s="73">
        <v>0</v>
      </c>
      <c r="Q7" s="84">
        <v>0</v>
      </c>
      <c r="R7" s="74">
        <v>1</v>
      </c>
      <c r="S7"/>
      <c r="T7"/>
    </row>
    <row r="8" spans="1:23" ht="15" customHeight="1" x14ac:dyDescent="0.15">
      <c r="A8" s="86" t="s">
        <v>56</v>
      </c>
      <c r="B8" s="93">
        <v>4.8059840789695364E-2</v>
      </c>
      <c r="C8" s="196" t="s">
        <v>229</v>
      </c>
      <c r="D8" s="88" t="s">
        <v>160</v>
      </c>
      <c r="F8" s="195" t="s">
        <v>194</v>
      </c>
      <c r="G8" s="84">
        <v>0</v>
      </c>
      <c r="H8" s="84">
        <v>0</v>
      </c>
      <c r="I8" s="84">
        <v>0</v>
      </c>
      <c r="J8" s="84">
        <v>0</v>
      </c>
      <c r="K8" s="84">
        <v>1</v>
      </c>
      <c r="L8" s="84">
        <v>0</v>
      </c>
      <c r="M8" s="84">
        <v>1</v>
      </c>
      <c r="N8" s="84">
        <v>0</v>
      </c>
      <c r="O8" s="84">
        <v>1</v>
      </c>
      <c r="P8" s="73">
        <v>0</v>
      </c>
      <c r="Q8" s="84">
        <v>0</v>
      </c>
      <c r="R8" s="74">
        <v>1</v>
      </c>
      <c r="S8"/>
      <c r="T8"/>
      <c r="W8"/>
    </row>
    <row r="9" spans="1:23" ht="15" customHeight="1" x14ac:dyDescent="0.15">
      <c r="A9" s="127" t="s">
        <v>168</v>
      </c>
      <c r="B9" s="95">
        <v>0.47422534738858241</v>
      </c>
      <c r="C9" s="196" t="s">
        <v>230</v>
      </c>
      <c r="D9" s="88" t="s">
        <v>160</v>
      </c>
      <c r="F9" s="195" t="s">
        <v>195</v>
      </c>
      <c r="G9" s="84">
        <v>0</v>
      </c>
      <c r="H9" s="84">
        <v>0</v>
      </c>
      <c r="I9" s="84">
        <v>0</v>
      </c>
      <c r="J9" s="84">
        <v>0</v>
      </c>
      <c r="K9" s="84">
        <v>1</v>
      </c>
      <c r="L9" s="84">
        <v>0</v>
      </c>
      <c r="M9" s="84">
        <v>1</v>
      </c>
      <c r="N9" s="84">
        <v>0</v>
      </c>
      <c r="O9" s="84">
        <v>1</v>
      </c>
      <c r="P9" s="73">
        <v>0</v>
      </c>
      <c r="Q9" s="84">
        <v>0</v>
      </c>
      <c r="R9" s="74">
        <v>1</v>
      </c>
      <c r="S9"/>
      <c r="T9"/>
      <c r="W9"/>
    </row>
    <row r="10" spans="1:23" ht="15" customHeight="1" x14ac:dyDescent="0.15">
      <c r="B10" s="95">
        <v>0.43308787565316637</v>
      </c>
      <c r="C10" s="196" t="s">
        <v>231</v>
      </c>
      <c r="D10" s="88" t="s">
        <v>160</v>
      </c>
      <c r="F10" s="195" t="s">
        <v>196</v>
      </c>
      <c r="G10" s="84">
        <v>0</v>
      </c>
      <c r="H10" s="84">
        <v>0</v>
      </c>
      <c r="I10" s="84">
        <v>0</v>
      </c>
      <c r="J10" s="84">
        <v>0</v>
      </c>
      <c r="K10" s="84">
        <v>1</v>
      </c>
      <c r="L10" s="84">
        <v>0</v>
      </c>
      <c r="M10" s="84">
        <v>1</v>
      </c>
      <c r="N10" s="84">
        <v>0</v>
      </c>
      <c r="O10" s="84">
        <v>1</v>
      </c>
      <c r="P10" s="73">
        <v>0</v>
      </c>
      <c r="Q10" s="84">
        <v>0</v>
      </c>
      <c r="R10" s="74">
        <v>1</v>
      </c>
      <c r="S10"/>
      <c r="T10"/>
      <c r="W10"/>
    </row>
    <row r="11" spans="1:23" ht="15" customHeight="1" x14ac:dyDescent="0.15">
      <c r="A11" s="86"/>
      <c r="B11" s="95">
        <v>4.4626936168555779E-2</v>
      </c>
      <c r="C11" s="196" t="s">
        <v>232</v>
      </c>
      <c r="D11" s="88" t="s">
        <v>160</v>
      </c>
      <c r="F11" s="195" t="s">
        <v>197</v>
      </c>
      <c r="G11" s="84">
        <v>0</v>
      </c>
      <c r="H11" s="84">
        <v>0</v>
      </c>
      <c r="I11" s="84">
        <v>0</v>
      </c>
      <c r="J11" s="84">
        <v>0</v>
      </c>
      <c r="K11" s="84">
        <v>1</v>
      </c>
      <c r="L11" s="84">
        <v>0</v>
      </c>
      <c r="M11" s="84">
        <v>1</v>
      </c>
      <c r="N11" s="84">
        <v>0</v>
      </c>
      <c r="O11" s="84">
        <v>1</v>
      </c>
      <c r="P11" s="73">
        <v>0</v>
      </c>
      <c r="Q11" s="84">
        <v>0</v>
      </c>
      <c r="R11" s="74">
        <v>1</v>
      </c>
      <c r="S11"/>
      <c r="T11"/>
      <c r="W11"/>
    </row>
    <row r="12" spans="1:23" ht="15" customHeight="1" x14ac:dyDescent="0.15">
      <c r="B12" s="95"/>
      <c r="C12" s="98"/>
      <c r="D12" s="88" t="s">
        <v>160</v>
      </c>
      <c r="F12" s="195" t="s">
        <v>198</v>
      </c>
      <c r="G12" s="84">
        <v>0</v>
      </c>
      <c r="H12" s="84">
        <v>0</v>
      </c>
      <c r="I12" s="84">
        <v>0</v>
      </c>
      <c r="J12" s="84">
        <v>0</v>
      </c>
      <c r="K12" s="84">
        <v>1</v>
      </c>
      <c r="L12" s="84">
        <v>0</v>
      </c>
      <c r="M12" s="84">
        <v>1</v>
      </c>
      <c r="N12" s="84">
        <v>0</v>
      </c>
      <c r="O12" s="84">
        <v>1</v>
      </c>
      <c r="P12" s="73">
        <v>0</v>
      </c>
      <c r="Q12" s="84">
        <v>0</v>
      </c>
      <c r="R12" s="74">
        <v>1</v>
      </c>
      <c r="S12"/>
      <c r="T12"/>
      <c r="W12"/>
    </row>
    <row r="13" spans="1:23" ht="15" customHeight="1" x14ac:dyDescent="0.15">
      <c r="B13" s="95"/>
      <c r="C13" s="98"/>
      <c r="D13" s="88" t="s">
        <v>160</v>
      </c>
      <c r="F13" s="195" t="s">
        <v>199</v>
      </c>
      <c r="G13" s="84">
        <v>0</v>
      </c>
      <c r="H13" s="84">
        <v>0</v>
      </c>
      <c r="I13" s="84">
        <v>0</v>
      </c>
      <c r="J13" s="84">
        <v>0</v>
      </c>
      <c r="K13" s="84">
        <v>1</v>
      </c>
      <c r="L13" s="84">
        <v>0</v>
      </c>
      <c r="M13" s="84">
        <v>1</v>
      </c>
      <c r="N13" s="84">
        <v>0</v>
      </c>
      <c r="O13" s="84">
        <v>1</v>
      </c>
      <c r="P13" s="73">
        <v>0</v>
      </c>
      <c r="Q13" s="84">
        <v>0</v>
      </c>
      <c r="R13" s="74">
        <v>1</v>
      </c>
      <c r="S13"/>
      <c r="T13"/>
      <c r="W13"/>
    </row>
    <row r="14" spans="1:23" ht="15" customHeight="1" x14ac:dyDescent="0.15">
      <c r="B14" s="95"/>
      <c r="C14" s="83"/>
      <c r="D14" s="88" t="s">
        <v>160</v>
      </c>
      <c r="F14" s="195" t="s">
        <v>200</v>
      </c>
      <c r="G14" s="84">
        <v>0</v>
      </c>
      <c r="H14" s="84">
        <v>0</v>
      </c>
      <c r="I14" s="84">
        <v>0</v>
      </c>
      <c r="J14" s="84">
        <v>0</v>
      </c>
      <c r="K14" s="84">
        <v>1</v>
      </c>
      <c r="L14" s="84">
        <v>0</v>
      </c>
      <c r="M14" s="84">
        <v>1</v>
      </c>
      <c r="N14" s="84">
        <v>0</v>
      </c>
      <c r="O14" s="84">
        <v>1</v>
      </c>
      <c r="P14" s="73">
        <v>0</v>
      </c>
      <c r="Q14" s="84">
        <v>0</v>
      </c>
      <c r="R14" s="74">
        <v>1</v>
      </c>
      <c r="S14"/>
      <c r="T14"/>
      <c r="W14"/>
    </row>
    <row r="15" spans="1:23" ht="15" customHeight="1" x14ac:dyDescent="0.15">
      <c r="B15" s="95"/>
      <c r="C15" s="83"/>
      <c r="D15" s="88" t="s">
        <v>160</v>
      </c>
      <c r="F15" s="195" t="s">
        <v>201</v>
      </c>
      <c r="G15" s="84">
        <v>0</v>
      </c>
      <c r="H15" s="84">
        <v>0</v>
      </c>
      <c r="I15" s="84">
        <v>0</v>
      </c>
      <c r="J15" s="84">
        <v>0</v>
      </c>
      <c r="K15" s="84">
        <v>1</v>
      </c>
      <c r="L15" s="84">
        <v>0</v>
      </c>
      <c r="M15" s="84">
        <v>1</v>
      </c>
      <c r="N15" s="84">
        <v>0</v>
      </c>
      <c r="O15" s="84">
        <v>1</v>
      </c>
      <c r="P15" s="73">
        <v>0</v>
      </c>
      <c r="Q15" s="84">
        <v>0</v>
      </c>
      <c r="R15" s="74">
        <v>1</v>
      </c>
      <c r="S15"/>
      <c r="T15"/>
      <c r="W15"/>
    </row>
    <row r="16" spans="1:23" ht="15" customHeight="1" x14ac:dyDescent="0.15">
      <c r="B16" s="95"/>
      <c r="C16" s="83"/>
      <c r="D16" s="88" t="s">
        <v>160</v>
      </c>
      <c r="F16" s="195" t="s">
        <v>202</v>
      </c>
      <c r="G16" s="84">
        <v>0</v>
      </c>
      <c r="H16" s="84">
        <v>0</v>
      </c>
      <c r="I16" s="84">
        <v>0</v>
      </c>
      <c r="J16" s="84">
        <v>0</v>
      </c>
      <c r="K16" s="84">
        <v>1</v>
      </c>
      <c r="L16" s="84">
        <v>0</v>
      </c>
      <c r="M16" s="84">
        <v>1</v>
      </c>
      <c r="N16" s="84">
        <v>0</v>
      </c>
      <c r="O16" s="84">
        <v>1</v>
      </c>
      <c r="P16" s="73">
        <v>0</v>
      </c>
      <c r="Q16" s="84">
        <v>0</v>
      </c>
      <c r="R16" s="74">
        <v>1</v>
      </c>
      <c r="S16"/>
      <c r="T16"/>
    </row>
    <row r="17" spans="1:20" ht="15" customHeight="1" thickBot="1" x14ac:dyDescent="0.2">
      <c r="B17" s="94"/>
      <c r="C17" s="83"/>
      <c r="D17" s="88" t="s">
        <v>160</v>
      </c>
      <c r="F17" s="195" t="s">
        <v>203</v>
      </c>
      <c r="G17" s="84">
        <v>0</v>
      </c>
      <c r="H17" s="84">
        <v>0</v>
      </c>
      <c r="I17" s="84">
        <v>0</v>
      </c>
      <c r="J17" s="84">
        <v>0</v>
      </c>
      <c r="K17" s="84">
        <v>1</v>
      </c>
      <c r="L17" s="84">
        <v>0</v>
      </c>
      <c r="M17" s="84">
        <v>1</v>
      </c>
      <c r="N17" s="84">
        <v>0</v>
      </c>
      <c r="O17" s="84">
        <v>1</v>
      </c>
      <c r="P17" s="73">
        <v>0</v>
      </c>
      <c r="Q17" s="84">
        <v>0</v>
      </c>
      <c r="R17" s="74">
        <v>1</v>
      </c>
      <c r="S17"/>
      <c r="T17"/>
    </row>
    <row r="18" spans="1:20" ht="15" customHeight="1" thickBot="1" x14ac:dyDescent="0.2">
      <c r="B18" s="96"/>
      <c r="F18" s="195" t="s">
        <v>204</v>
      </c>
      <c r="G18" s="84">
        <v>0</v>
      </c>
      <c r="H18" s="84">
        <v>0</v>
      </c>
      <c r="I18" s="84">
        <v>0</v>
      </c>
      <c r="J18" s="84">
        <v>0</v>
      </c>
      <c r="K18" s="84">
        <v>1</v>
      </c>
      <c r="L18" s="84">
        <v>0</v>
      </c>
      <c r="M18" s="84">
        <v>1</v>
      </c>
      <c r="N18" s="84">
        <v>0</v>
      </c>
      <c r="O18" s="84">
        <v>1</v>
      </c>
      <c r="P18" s="73">
        <v>0</v>
      </c>
      <c r="Q18" s="84">
        <v>0</v>
      </c>
      <c r="R18" s="74">
        <v>1</v>
      </c>
      <c r="S18"/>
      <c r="T18"/>
    </row>
    <row r="19" spans="1:20" ht="15" customHeight="1" x14ac:dyDescent="0.15">
      <c r="A19" s="86" t="s">
        <v>57</v>
      </c>
      <c r="B19" s="93">
        <v>4.8059840789695364E-2</v>
      </c>
      <c r="C19" s="197" t="s">
        <v>229</v>
      </c>
      <c r="D19" s="88" t="s">
        <v>160</v>
      </c>
      <c r="F19" s="195" t="s">
        <v>205</v>
      </c>
      <c r="G19" s="84">
        <v>0</v>
      </c>
      <c r="H19" s="84">
        <v>0</v>
      </c>
      <c r="I19" s="84">
        <v>0</v>
      </c>
      <c r="J19" s="84">
        <v>0</v>
      </c>
      <c r="K19" s="84">
        <v>1</v>
      </c>
      <c r="L19" s="84">
        <v>0</v>
      </c>
      <c r="M19" s="84">
        <v>1</v>
      </c>
      <c r="N19" s="84">
        <v>0</v>
      </c>
      <c r="O19" s="84">
        <v>1</v>
      </c>
      <c r="P19" s="73">
        <v>0</v>
      </c>
      <c r="Q19" s="84">
        <v>0</v>
      </c>
      <c r="R19" s="74">
        <v>1</v>
      </c>
      <c r="S19"/>
      <c r="T19"/>
    </row>
    <row r="20" spans="1:20" ht="15" customHeight="1" x14ac:dyDescent="0.15">
      <c r="A20" s="127" t="s">
        <v>168</v>
      </c>
      <c r="B20" s="95">
        <v>0.47422534738858241</v>
      </c>
      <c r="C20" s="197" t="s">
        <v>230</v>
      </c>
      <c r="D20" s="88" t="s">
        <v>160</v>
      </c>
      <c r="F20" s="195" t="s">
        <v>206</v>
      </c>
      <c r="G20" s="84">
        <v>0</v>
      </c>
      <c r="H20" s="84">
        <v>0</v>
      </c>
      <c r="I20" s="84">
        <v>0</v>
      </c>
      <c r="J20" s="84">
        <v>0</v>
      </c>
      <c r="K20" s="84">
        <v>1</v>
      </c>
      <c r="L20" s="84">
        <v>0</v>
      </c>
      <c r="M20" s="84">
        <v>1</v>
      </c>
      <c r="N20" s="84">
        <v>0</v>
      </c>
      <c r="O20" s="84">
        <v>1</v>
      </c>
      <c r="P20" s="73">
        <v>0</v>
      </c>
      <c r="Q20" s="84">
        <v>0</v>
      </c>
      <c r="R20" s="74">
        <v>1</v>
      </c>
      <c r="S20"/>
      <c r="T20"/>
    </row>
    <row r="21" spans="1:20" ht="15" customHeight="1" x14ac:dyDescent="0.15">
      <c r="B21" s="95">
        <v>0.43308787565316637</v>
      </c>
      <c r="C21" s="197" t="s">
        <v>231</v>
      </c>
      <c r="D21" s="88" t="s">
        <v>160</v>
      </c>
      <c r="F21" s="195" t="s">
        <v>207</v>
      </c>
      <c r="G21" s="84">
        <v>0</v>
      </c>
      <c r="H21" s="84">
        <v>0</v>
      </c>
      <c r="I21" s="84">
        <v>0</v>
      </c>
      <c r="J21" s="84">
        <v>0</v>
      </c>
      <c r="K21" s="84">
        <v>1</v>
      </c>
      <c r="L21" s="84">
        <v>0</v>
      </c>
      <c r="M21" s="84">
        <v>1</v>
      </c>
      <c r="N21" s="84">
        <v>0</v>
      </c>
      <c r="O21" s="84">
        <v>1</v>
      </c>
      <c r="P21" s="73">
        <v>0</v>
      </c>
      <c r="Q21" s="84">
        <v>0</v>
      </c>
      <c r="R21" s="74">
        <v>1</v>
      </c>
      <c r="S21"/>
      <c r="T21"/>
    </row>
    <row r="22" spans="1:20" ht="15" customHeight="1" x14ac:dyDescent="0.15">
      <c r="A22" s="84"/>
      <c r="B22" s="95">
        <v>4.4626936168555779E-2</v>
      </c>
      <c r="C22" s="197" t="s">
        <v>232</v>
      </c>
      <c r="D22" s="88" t="s">
        <v>160</v>
      </c>
      <c r="F22" s="195" t="s">
        <v>208</v>
      </c>
      <c r="G22" s="84">
        <v>0</v>
      </c>
      <c r="H22" s="84">
        <v>0</v>
      </c>
      <c r="I22" s="84">
        <v>0</v>
      </c>
      <c r="J22" s="84">
        <v>0</v>
      </c>
      <c r="K22" s="84">
        <v>1</v>
      </c>
      <c r="L22" s="84">
        <v>0</v>
      </c>
      <c r="M22" s="84">
        <v>1</v>
      </c>
      <c r="N22" s="84">
        <v>0</v>
      </c>
      <c r="O22" s="84">
        <v>1</v>
      </c>
      <c r="P22" s="73">
        <v>0</v>
      </c>
      <c r="Q22" s="84">
        <v>0</v>
      </c>
      <c r="R22" s="74">
        <v>1</v>
      </c>
      <c r="S22"/>
      <c r="T22"/>
    </row>
    <row r="23" spans="1:20" ht="15" customHeight="1" x14ac:dyDescent="0.15">
      <c r="A23" s="84"/>
      <c r="B23" s="95"/>
      <c r="C23" s="98"/>
      <c r="D23" s="88" t="s">
        <v>160</v>
      </c>
      <c r="F23" s="195" t="s">
        <v>209</v>
      </c>
      <c r="G23" s="84">
        <v>0</v>
      </c>
      <c r="H23" s="84">
        <v>0</v>
      </c>
      <c r="I23" s="84">
        <v>0</v>
      </c>
      <c r="J23" s="84">
        <v>0</v>
      </c>
      <c r="K23" s="84">
        <v>1</v>
      </c>
      <c r="L23" s="84">
        <v>0</v>
      </c>
      <c r="M23" s="84">
        <v>1</v>
      </c>
      <c r="N23" s="84">
        <v>0</v>
      </c>
      <c r="O23" s="84">
        <v>1</v>
      </c>
      <c r="P23" s="73">
        <v>0</v>
      </c>
      <c r="Q23" s="84">
        <v>0</v>
      </c>
      <c r="R23" s="74">
        <v>1</v>
      </c>
      <c r="S23"/>
      <c r="T23"/>
    </row>
    <row r="24" spans="1:20" ht="15" customHeight="1" x14ac:dyDescent="0.15">
      <c r="A24" s="84"/>
      <c r="B24" s="95"/>
      <c r="C24" s="98"/>
      <c r="D24" s="88" t="s">
        <v>160</v>
      </c>
      <c r="F24" s="195" t="s">
        <v>210</v>
      </c>
      <c r="G24" s="84">
        <v>0</v>
      </c>
      <c r="H24" s="84">
        <v>0</v>
      </c>
      <c r="I24" s="84">
        <v>0</v>
      </c>
      <c r="J24" s="84">
        <v>0</v>
      </c>
      <c r="K24" s="84">
        <v>1</v>
      </c>
      <c r="L24" s="84">
        <v>0</v>
      </c>
      <c r="M24" s="84">
        <v>1</v>
      </c>
      <c r="N24" s="84">
        <v>0</v>
      </c>
      <c r="O24" s="84">
        <v>1</v>
      </c>
      <c r="P24" s="73">
        <v>0</v>
      </c>
      <c r="Q24" s="84">
        <v>0</v>
      </c>
      <c r="R24" s="74">
        <v>1</v>
      </c>
      <c r="S24"/>
      <c r="T24"/>
    </row>
    <row r="25" spans="1:20" ht="15" customHeight="1" x14ac:dyDescent="0.15">
      <c r="A25" s="84"/>
      <c r="B25" s="95"/>
      <c r="C25" s="83"/>
      <c r="D25" s="88" t="s">
        <v>160</v>
      </c>
      <c r="F25" s="195" t="s">
        <v>211</v>
      </c>
      <c r="G25" s="84">
        <v>0</v>
      </c>
      <c r="H25" s="84">
        <v>0</v>
      </c>
      <c r="I25" s="84">
        <v>0</v>
      </c>
      <c r="J25" s="84">
        <v>0</v>
      </c>
      <c r="K25" s="84">
        <v>1</v>
      </c>
      <c r="L25" s="84">
        <v>0</v>
      </c>
      <c r="M25" s="84">
        <v>1</v>
      </c>
      <c r="N25" s="84">
        <v>0</v>
      </c>
      <c r="O25" s="84">
        <v>1</v>
      </c>
      <c r="P25" s="73">
        <v>0</v>
      </c>
      <c r="Q25" s="84">
        <v>0</v>
      </c>
      <c r="R25" s="74">
        <v>1</v>
      </c>
      <c r="S25"/>
      <c r="T25"/>
    </row>
    <row r="26" spans="1:20" ht="15" customHeight="1" x14ac:dyDescent="0.15">
      <c r="B26" s="95"/>
      <c r="C26" s="83"/>
      <c r="D26" s="88" t="s">
        <v>160</v>
      </c>
      <c r="F26" s="195" t="s">
        <v>212</v>
      </c>
      <c r="G26" s="84">
        <v>0</v>
      </c>
      <c r="H26" s="84">
        <v>0</v>
      </c>
      <c r="I26" s="84">
        <v>0</v>
      </c>
      <c r="J26" s="84">
        <v>0</v>
      </c>
      <c r="K26" s="84">
        <v>1</v>
      </c>
      <c r="L26" s="84">
        <v>0</v>
      </c>
      <c r="M26" s="84">
        <v>1</v>
      </c>
      <c r="N26" s="84">
        <v>0</v>
      </c>
      <c r="O26" s="84">
        <v>1</v>
      </c>
      <c r="P26" s="73">
        <v>0</v>
      </c>
      <c r="Q26" s="84">
        <v>0</v>
      </c>
      <c r="R26" s="74">
        <v>1</v>
      </c>
      <c r="S26"/>
      <c r="T26"/>
    </row>
    <row r="27" spans="1:20" ht="15" customHeight="1" x14ac:dyDescent="0.15">
      <c r="B27" s="95"/>
      <c r="C27" s="83"/>
      <c r="D27" s="88" t="s">
        <v>160</v>
      </c>
      <c r="F27" s="195" t="s">
        <v>213</v>
      </c>
      <c r="G27" s="84">
        <v>0</v>
      </c>
      <c r="H27" s="84">
        <v>0</v>
      </c>
      <c r="I27" s="84">
        <v>0</v>
      </c>
      <c r="J27" s="84">
        <v>0</v>
      </c>
      <c r="K27" s="84">
        <v>1</v>
      </c>
      <c r="L27" s="84">
        <v>0</v>
      </c>
      <c r="M27" s="84">
        <v>1</v>
      </c>
      <c r="N27" s="84">
        <v>0</v>
      </c>
      <c r="O27" s="84">
        <v>1</v>
      </c>
      <c r="P27" s="73">
        <v>0</v>
      </c>
      <c r="Q27" s="84">
        <v>0</v>
      </c>
      <c r="R27" s="74">
        <v>1</v>
      </c>
      <c r="S27"/>
      <c r="T27"/>
    </row>
    <row r="28" spans="1:20" ht="15" customHeight="1" thickBot="1" x14ac:dyDescent="0.2">
      <c r="B28" s="94"/>
      <c r="C28" s="83"/>
      <c r="D28" s="88" t="s">
        <v>160</v>
      </c>
      <c r="F28" s="195" t="s">
        <v>214</v>
      </c>
      <c r="G28" s="84">
        <v>0</v>
      </c>
      <c r="H28" s="84">
        <v>0</v>
      </c>
      <c r="I28" s="84">
        <v>0</v>
      </c>
      <c r="J28" s="84">
        <v>0</v>
      </c>
      <c r="K28" s="84">
        <v>1</v>
      </c>
      <c r="L28" s="84">
        <v>0</v>
      </c>
      <c r="M28" s="84">
        <v>1</v>
      </c>
      <c r="N28" s="84">
        <v>0</v>
      </c>
      <c r="O28" s="84">
        <v>1</v>
      </c>
      <c r="P28" s="73">
        <v>0</v>
      </c>
      <c r="Q28" s="84">
        <v>0</v>
      </c>
      <c r="R28" s="74">
        <v>1</v>
      </c>
      <c r="S28"/>
      <c r="T28"/>
    </row>
    <row r="29" spans="1:20" ht="15" customHeight="1" x14ac:dyDescent="0.15">
      <c r="F29" s="195" t="s">
        <v>215</v>
      </c>
      <c r="G29" s="84">
        <v>0</v>
      </c>
      <c r="H29" s="84">
        <v>0</v>
      </c>
      <c r="I29" s="84">
        <v>0</v>
      </c>
      <c r="J29" s="84">
        <v>0</v>
      </c>
      <c r="K29" s="84">
        <v>1</v>
      </c>
      <c r="L29" s="84">
        <v>0</v>
      </c>
      <c r="M29" s="84">
        <v>1</v>
      </c>
      <c r="N29" s="84">
        <v>0</v>
      </c>
      <c r="O29" s="84">
        <v>1</v>
      </c>
      <c r="P29" s="73">
        <v>0</v>
      </c>
      <c r="Q29" s="84">
        <v>0</v>
      </c>
      <c r="R29" s="74">
        <v>1</v>
      </c>
      <c r="S29"/>
      <c r="T29"/>
    </row>
    <row r="30" spans="1:20" ht="15" customHeight="1" x14ac:dyDescent="0.15">
      <c r="F30" s="195" t="s">
        <v>216</v>
      </c>
      <c r="G30" s="84">
        <v>0</v>
      </c>
      <c r="H30" s="84">
        <v>0</v>
      </c>
      <c r="I30" s="84">
        <v>0</v>
      </c>
      <c r="J30" s="84">
        <v>0</v>
      </c>
      <c r="K30" s="84">
        <v>1</v>
      </c>
      <c r="L30" s="84">
        <v>0</v>
      </c>
      <c r="M30" s="84">
        <v>1</v>
      </c>
      <c r="N30" s="84">
        <v>0</v>
      </c>
      <c r="O30" s="84">
        <v>1</v>
      </c>
      <c r="P30" s="73">
        <v>0</v>
      </c>
      <c r="Q30" s="84">
        <v>0</v>
      </c>
      <c r="R30" s="74">
        <v>1</v>
      </c>
      <c r="S30"/>
      <c r="T30"/>
    </row>
    <row r="31" spans="1:20" ht="15" customHeight="1" x14ac:dyDescent="0.15">
      <c r="A31" s="128"/>
      <c r="B31" s="136" t="s">
        <v>17</v>
      </c>
      <c r="C31" s="136" t="s">
        <v>1</v>
      </c>
      <c r="D31" s="136" t="s">
        <v>161</v>
      </c>
      <c r="E31" s="137" t="s">
        <v>163</v>
      </c>
      <c r="F31" s="195" t="s">
        <v>217</v>
      </c>
      <c r="G31" s="84">
        <v>0</v>
      </c>
      <c r="H31" s="84">
        <v>0</v>
      </c>
      <c r="I31" s="84">
        <v>0</v>
      </c>
      <c r="J31" s="84">
        <v>0</v>
      </c>
      <c r="K31" s="84">
        <v>1</v>
      </c>
      <c r="L31" s="84">
        <v>0</v>
      </c>
      <c r="M31" s="84">
        <v>1</v>
      </c>
      <c r="N31" s="84">
        <v>0</v>
      </c>
      <c r="O31" s="84">
        <v>1</v>
      </c>
      <c r="P31" s="73">
        <v>0</v>
      </c>
      <c r="Q31" s="84">
        <v>0</v>
      </c>
      <c r="R31" s="74">
        <v>1</v>
      </c>
      <c r="S31"/>
      <c r="T31"/>
    </row>
    <row r="32" spans="1:20" ht="15" customHeight="1" x14ac:dyDescent="0.15">
      <c r="A32" s="198" t="s">
        <v>229</v>
      </c>
      <c r="B32" s="96">
        <v>52.096319999999999</v>
      </c>
      <c r="C32" s="96">
        <v>4</v>
      </c>
      <c r="D32" s="96">
        <v>208.38527999999999</v>
      </c>
      <c r="E32" s="129">
        <v>4.8059840789695364E-2</v>
      </c>
      <c r="F32" s="195" t="s">
        <v>218</v>
      </c>
      <c r="G32" s="84">
        <v>0</v>
      </c>
      <c r="H32" s="84">
        <v>0</v>
      </c>
      <c r="I32" s="84">
        <v>0</v>
      </c>
      <c r="J32" s="84">
        <v>0</v>
      </c>
      <c r="K32" s="84">
        <v>1</v>
      </c>
      <c r="L32" s="84">
        <v>0</v>
      </c>
      <c r="M32" s="84">
        <v>1</v>
      </c>
      <c r="N32" s="84">
        <v>0</v>
      </c>
      <c r="O32" s="84">
        <v>1</v>
      </c>
      <c r="P32" s="73">
        <v>0</v>
      </c>
      <c r="Q32" s="84">
        <v>0</v>
      </c>
      <c r="R32" s="74">
        <v>1</v>
      </c>
      <c r="S32"/>
      <c r="T32"/>
    </row>
    <row r="33" spans="1:20" ht="15" customHeight="1" x14ac:dyDescent="0.15">
      <c r="A33" s="198" t="s">
        <v>230</v>
      </c>
      <c r="B33" s="96">
        <v>37</v>
      </c>
      <c r="C33" s="96">
        <v>55.573500000000003</v>
      </c>
      <c r="D33" s="96">
        <v>2056.2195000000002</v>
      </c>
      <c r="E33" s="129">
        <v>0.47422534738858241</v>
      </c>
      <c r="F33" s="195" t="s">
        <v>219</v>
      </c>
      <c r="G33" s="84">
        <v>0</v>
      </c>
      <c r="H33" s="84">
        <v>0</v>
      </c>
      <c r="I33" s="84">
        <v>0</v>
      </c>
      <c r="J33" s="84">
        <v>0</v>
      </c>
      <c r="K33" s="84">
        <v>1</v>
      </c>
      <c r="L33" s="84">
        <v>0</v>
      </c>
      <c r="M33" s="84">
        <v>1</v>
      </c>
      <c r="N33" s="84">
        <v>0</v>
      </c>
      <c r="O33" s="84">
        <v>1</v>
      </c>
      <c r="P33" s="73">
        <v>0</v>
      </c>
      <c r="Q33" s="84">
        <v>0</v>
      </c>
      <c r="R33" s="74">
        <v>1</v>
      </c>
      <c r="S33"/>
      <c r="T33"/>
    </row>
    <row r="34" spans="1:20" ht="15" customHeight="1" x14ac:dyDescent="0.15">
      <c r="A34" s="198" t="s">
        <v>231</v>
      </c>
      <c r="B34" s="96">
        <v>5.6448369999999999</v>
      </c>
      <c r="C34" s="96">
        <v>332.66669999999999</v>
      </c>
      <c r="D34" s="96">
        <v>1877.8492968278999</v>
      </c>
      <c r="E34" s="129">
        <v>0.43308787565316637</v>
      </c>
      <c r="F34" s="195" t="s">
        <v>220</v>
      </c>
      <c r="G34" s="84">
        <v>0</v>
      </c>
      <c r="H34" s="84">
        <v>0</v>
      </c>
      <c r="I34" s="84">
        <v>0</v>
      </c>
      <c r="J34" s="84">
        <v>0</v>
      </c>
      <c r="K34" s="84">
        <v>1</v>
      </c>
      <c r="L34" s="84">
        <v>0</v>
      </c>
      <c r="M34" s="84">
        <v>1</v>
      </c>
      <c r="N34" s="84">
        <v>0</v>
      </c>
      <c r="O34" s="84">
        <v>1</v>
      </c>
      <c r="P34" s="73">
        <v>0</v>
      </c>
      <c r="Q34" s="84">
        <v>0</v>
      </c>
      <c r="R34" s="74">
        <v>1</v>
      </c>
      <c r="S34"/>
      <c r="T34"/>
    </row>
    <row r="35" spans="1:20" ht="15" customHeight="1" x14ac:dyDescent="0.15">
      <c r="A35" s="198" t="s">
        <v>232</v>
      </c>
      <c r="B35" s="96">
        <v>26.506898899999999</v>
      </c>
      <c r="C35" s="96">
        <v>7.3</v>
      </c>
      <c r="D35" s="96">
        <v>193.50036197</v>
      </c>
      <c r="E35" s="129">
        <v>4.4626936168555779E-2</v>
      </c>
      <c r="F35" s="195" t="s">
        <v>221</v>
      </c>
      <c r="G35" s="84">
        <v>0</v>
      </c>
      <c r="H35" s="84">
        <v>0</v>
      </c>
      <c r="I35" s="84">
        <v>0</v>
      </c>
      <c r="J35" s="84">
        <v>0</v>
      </c>
      <c r="K35" s="84">
        <v>1</v>
      </c>
      <c r="L35" s="84">
        <v>0</v>
      </c>
      <c r="M35" s="84">
        <v>1</v>
      </c>
      <c r="N35" s="84">
        <v>0</v>
      </c>
      <c r="O35" s="84">
        <v>1</v>
      </c>
      <c r="P35" s="73">
        <v>0</v>
      </c>
      <c r="Q35" s="84">
        <v>0</v>
      </c>
      <c r="R35" s="74">
        <v>1</v>
      </c>
      <c r="S35"/>
      <c r="T35"/>
    </row>
    <row r="36" spans="1:20" ht="15" customHeight="1" x14ac:dyDescent="0.15">
      <c r="A36" s="130"/>
      <c r="B36" s="96"/>
      <c r="C36" s="96"/>
      <c r="D36" s="96"/>
      <c r="E36" s="129"/>
      <c r="F36" s="195" t="s">
        <v>222</v>
      </c>
      <c r="G36" s="84">
        <v>0</v>
      </c>
      <c r="H36" s="84">
        <v>0</v>
      </c>
      <c r="I36" s="84">
        <v>0</v>
      </c>
      <c r="J36" s="84">
        <v>0</v>
      </c>
      <c r="K36" s="84">
        <v>1</v>
      </c>
      <c r="L36" s="84">
        <v>0</v>
      </c>
      <c r="M36" s="84">
        <v>1</v>
      </c>
      <c r="N36" s="84">
        <v>0</v>
      </c>
      <c r="O36" s="84">
        <v>1</v>
      </c>
      <c r="P36" s="73">
        <v>0</v>
      </c>
      <c r="Q36" s="84">
        <v>0</v>
      </c>
      <c r="R36" s="74">
        <v>1</v>
      </c>
      <c r="S36"/>
      <c r="T36"/>
    </row>
    <row r="37" spans="1:20" ht="15" customHeight="1" x14ac:dyDescent="0.15">
      <c r="A37" s="130"/>
      <c r="B37" s="96"/>
      <c r="C37" s="96"/>
      <c r="D37" s="96"/>
      <c r="E37" s="129"/>
      <c r="F37" s="195" t="s">
        <v>223</v>
      </c>
      <c r="G37" s="84">
        <v>0</v>
      </c>
      <c r="H37" s="84">
        <v>0</v>
      </c>
      <c r="I37" s="84">
        <v>0</v>
      </c>
      <c r="J37" s="84">
        <v>0</v>
      </c>
      <c r="K37" s="84">
        <v>1</v>
      </c>
      <c r="L37" s="84">
        <v>0</v>
      </c>
      <c r="M37" s="84">
        <v>1</v>
      </c>
      <c r="N37" s="84">
        <v>0</v>
      </c>
      <c r="O37" s="84">
        <v>1</v>
      </c>
      <c r="P37" s="73">
        <v>0</v>
      </c>
      <c r="Q37" s="84">
        <v>0</v>
      </c>
      <c r="R37" s="74">
        <v>1</v>
      </c>
      <c r="S37"/>
      <c r="T37"/>
    </row>
    <row r="38" spans="1:20" ht="15" customHeight="1" x14ac:dyDescent="0.15">
      <c r="A38" s="131"/>
      <c r="B38" s="96"/>
      <c r="C38" s="96"/>
      <c r="D38" s="96"/>
      <c r="E38" s="129"/>
      <c r="F38" s="195" t="s">
        <v>224</v>
      </c>
      <c r="G38" s="84">
        <v>0</v>
      </c>
      <c r="H38" s="84">
        <v>0</v>
      </c>
      <c r="I38" s="84">
        <v>0</v>
      </c>
      <c r="J38" s="84">
        <v>0</v>
      </c>
      <c r="K38" s="84">
        <v>1</v>
      </c>
      <c r="L38" s="84">
        <v>0</v>
      </c>
      <c r="M38" s="84">
        <v>1</v>
      </c>
      <c r="N38" s="84">
        <v>0</v>
      </c>
      <c r="O38" s="84">
        <v>1</v>
      </c>
      <c r="P38" s="73">
        <v>0</v>
      </c>
      <c r="Q38" s="84">
        <v>0</v>
      </c>
      <c r="R38" s="74">
        <v>1</v>
      </c>
      <c r="S38"/>
      <c r="T38"/>
    </row>
    <row r="39" spans="1:20" ht="15" customHeight="1" x14ac:dyDescent="0.15">
      <c r="A39" s="131"/>
      <c r="B39" s="96"/>
      <c r="C39" s="96"/>
      <c r="D39" s="96"/>
      <c r="E39" s="129"/>
      <c r="F39" s="195" t="s">
        <v>225</v>
      </c>
      <c r="G39" s="84">
        <v>0</v>
      </c>
      <c r="H39" s="84">
        <v>0</v>
      </c>
      <c r="I39" s="84">
        <v>0</v>
      </c>
      <c r="J39" s="84">
        <v>0</v>
      </c>
      <c r="K39" s="84">
        <v>1</v>
      </c>
      <c r="L39" s="84">
        <v>0</v>
      </c>
      <c r="M39" s="84">
        <v>1</v>
      </c>
      <c r="N39" s="84">
        <v>0</v>
      </c>
      <c r="O39" s="84">
        <v>1</v>
      </c>
      <c r="P39" s="73">
        <v>0</v>
      </c>
      <c r="Q39" s="84">
        <v>0</v>
      </c>
      <c r="R39" s="74">
        <v>1</v>
      </c>
      <c r="S39"/>
      <c r="T39"/>
    </row>
    <row r="40" spans="1:20" ht="15" customHeight="1" x14ac:dyDescent="0.15">
      <c r="A40" s="131"/>
      <c r="B40" s="96"/>
      <c r="C40" s="96"/>
      <c r="D40" s="96"/>
      <c r="E40" s="129"/>
      <c r="F40" s="195" t="s">
        <v>226</v>
      </c>
      <c r="G40" s="84">
        <v>0</v>
      </c>
      <c r="H40" s="84">
        <v>0</v>
      </c>
      <c r="I40" s="84">
        <v>0</v>
      </c>
      <c r="J40" s="84">
        <v>0</v>
      </c>
      <c r="K40" s="84">
        <v>1</v>
      </c>
      <c r="L40" s="84">
        <v>0</v>
      </c>
      <c r="M40" s="84">
        <v>1</v>
      </c>
      <c r="N40" s="84">
        <v>0</v>
      </c>
      <c r="O40" s="84">
        <v>1</v>
      </c>
      <c r="P40" s="73">
        <v>0</v>
      </c>
      <c r="Q40" s="84">
        <v>0</v>
      </c>
      <c r="R40" s="74">
        <v>1</v>
      </c>
      <c r="S40"/>
      <c r="T40"/>
    </row>
    <row r="41" spans="1:20" ht="15" customHeight="1" thickBot="1" x14ac:dyDescent="0.2">
      <c r="A41" s="131"/>
      <c r="B41" s="96"/>
      <c r="C41" s="96"/>
      <c r="D41" s="97"/>
      <c r="E41" s="132"/>
      <c r="F41" s="195" t="s">
        <v>227</v>
      </c>
      <c r="G41" s="84">
        <v>0</v>
      </c>
      <c r="H41" s="84">
        <v>0</v>
      </c>
      <c r="I41" s="84">
        <v>0</v>
      </c>
      <c r="J41" s="84">
        <v>0</v>
      </c>
      <c r="K41" s="84">
        <v>1</v>
      </c>
      <c r="L41" s="84">
        <v>0</v>
      </c>
      <c r="M41" s="84">
        <v>1</v>
      </c>
      <c r="N41" s="84">
        <v>0</v>
      </c>
      <c r="O41" s="84">
        <v>1</v>
      </c>
      <c r="P41" s="73">
        <v>0</v>
      </c>
      <c r="Q41" s="84">
        <v>0</v>
      </c>
      <c r="R41" s="74">
        <v>1</v>
      </c>
      <c r="S41"/>
      <c r="T41"/>
    </row>
    <row r="42" spans="1:20" ht="15" customHeight="1" x14ac:dyDescent="0.15">
      <c r="A42" s="133"/>
      <c r="B42" s="134"/>
      <c r="C42" s="134" t="s">
        <v>162</v>
      </c>
      <c r="D42" s="134">
        <f>SUM(D32:D41)</f>
        <v>4335.9544387979004</v>
      </c>
      <c r="E42" s="135">
        <f>SUM(E32:E41)</f>
        <v>0.99999999999999989</v>
      </c>
      <c r="F42" s="195" t="s">
        <v>228</v>
      </c>
      <c r="G42" s="84">
        <v>0</v>
      </c>
      <c r="H42" s="84">
        <v>0</v>
      </c>
      <c r="I42" s="84">
        <v>0</v>
      </c>
      <c r="J42" s="84">
        <v>0</v>
      </c>
      <c r="K42" s="84">
        <v>1</v>
      </c>
      <c r="L42" s="84">
        <v>0</v>
      </c>
      <c r="M42" s="84">
        <v>1</v>
      </c>
      <c r="N42" s="84">
        <v>0</v>
      </c>
      <c r="O42" s="84">
        <v>1</v>
      </c>
      <c r="P42" s="73">
        <v>0</v>
      </c>
      <c r="Q42" s="84">
        <v>0</v>
      </c>
      <c r="R42" s="74">
        <v>1</v>
      </c>
      <c r="S42"/>
      <c r="T42"/>
    </row>
    <row r="43" spans="1:20" ht="15" customHeight="1" x14ac:dyDescent="0.15">
      <c r="A43" s="84"/>
      <c r="F43" s="195" t="s">
        <v>229</v>
      </c>
      <c r="G43" s="84">
        <v>0</v>
      </c>
      <c r="H43" s="84">
        <v>0</v>
      </c>
      <c r="I43" s="84">
        <v>0</v>
      </c>
      <c r="J43" s="84">
        <v>0</v>
      </c>
      <c r="K43" s="84">
        <v>0</v>
      </c>
      <c r="L43" s="84">
        <v>0</v>
      </c>
      <c r="M43" s="84">
        <v>1</v>
      </c>
      <c r="N43" s="84">
        <v>0</v>
      </c>
      <c r="O43" s="84">
        <v>0</v>
      </c>
      <c r="P43" s="73">
        <v>0</v>
      </c>
      <c r="Q43" s="84">
        <v>0</v>
      </c>
      <c r="R43" s="74">
        <v>1</v>
      </c>
      <c r="S43"/>
      <c r="T43"/>
    </row>
    <row r="44" spans="1:20" ht="15" customHeight="1" x14ac:dyDescent="0.15">
      <c r="A44" s="84"/>
      <c r="F44" s="195" t="s">
        <v>230</v>
      </c>
      <c r="G44" s="84">
        <v>0</v>
      </c>
      <c r="H44" s="84">
        <v>0</v>
      </c>
      <c r="I44" s="84">
        <v>0</v>
      </c>
      <c r="J44" s="84">
        <v>0</v>
      </c>
      <c r="K44" s="84">
        <v>0</v>
      </c>
      <c r="L44" s="84">
        <v>0</v>
      </c>
      <c r="M44" s="84">
        <v>1</v>
      </c>
      <c r="N44" s="84">
        <v>0</v>
      </c>
      <c r="O44" s="84">
        <v>0</v>
      </c>
      <c r="P44" s="73">
        <v>0</v>
      </c>
      <c r="Q44" s="84">
        <v>0</v>
      </c>
      <c r="R44" s="74">
        <v>1</v>
      </c>
    </row>
    <row r="45" spans="1:20" ht="15" customHeight="1" x14ac:dyDescent="0.15">
      <c r="A45" s="84"/>
      <c r="F45" s="195" t="s">
        <v>231</v>
      </c>
      <c r="G45" s="84">
        <v>0</v>
      </c>
      <c r="H45" s="84">
        <v>0</v>
      </c>
      <c r="I45" s="84">
        <v>0</v>
      </c>
      <c r="J45" s="84">
        <v>0</v>
      </c>
      <c r="K45" s="84">
        <v>0</v>
      </c>
      <c r="L45" s="84">
        <v>0</v>
      </c>
      <c r="M45" s="84">
        <v>1</v>
      </c>
      <c r="N45" s="84">
        <v>0</v>
      </c>
      <c r="O45" s="84">
        <v>0</v>
      </c>
      <c r="P45" s="73">
        <v>0</v>
      </c>
      <c r="Q45" s="84">
        <v>0</v>
      </c>
      <c r="R45" s="74">
        <v>1</v>
      </c>
    </row>
    <row r="46" spans="1:20" ht="15" customHeight="1" x14ac:dyDescent="0.15">
      <c r="A46" s="84"/>
      <c r="F46" s="195" t="s">
        <v>232</v>
      </c>
      <c r="G46" s="84">
        <v>0</v>
      </c>
      <c r="H46" s="84">
        <v>0</v>
      </c>
      <c r="I46" s="84">
        <v>0</v>
      </c>
      <c r="J46" s="84">
        <v>0</v>
      </c>
      <c r="K46" s="84">
        <v>0</v>
      </c>
      <c r="L46" s="84">
        <v>0</v>
      </c>
      <c r="M46" s="84">
        <v>1</v>
      </c>
      <c r="N46" s="84">
        <v>0</v>
      </c>
      <c r="O46" s="84">
        <v>0</v>
      </c>
      <c r="P46" s="73">
        <v>0</v>
      </c>
      <c r="Q46" s="84">
        <v>0</v>
      </c>
      <c r="R46" s="74">
        <v>1</v>
      </c>
    </row>
    <row r="47" spans="1:20" ht="15" customHeight="1" x14ac:dyDescent="0.15">
      <c r="A47" s="84"/>
      <c r="F47" s="195" t="s">
        <v>233</v>
      </c>
      <c r="G47" s="84">
        <v>0</v>
      </c>
      <c r="H47" s="84">
        <v>0</v>
      </c>
      <c r="I47" s="84">
        <v>0</v>
      </c>
      <c r="J47" s="84">
        <v>0</v>
      </c>
      <c r="K47" s="84">
        <v>0</v>
      </c>
      <c r="L47" s="84">
        <v>1</v>
      </c>
      <c r="M47" s="84">
        <v>0</v>
      </c>
      <c r="N47" s="84">
        <v>1</v>
      </c>
      <c r="O47" s="84">
        <v>0</v>
      </c>
      <c r="P47" s="73">
        <v>1</v>
      </c>
      <c r="Q47" s="84">
        <v>0</v>
      </c>
      <c r="R47" s="74">
        <v>1</v>
      </c>
    </row>
    <row r="48" spans="1:20" ht="15" customHeight="1" x14ac:dyDescent="0.15">
      <c r="A48" s="84"/>
      <c r="F48" s="195" t="s">
        <v>234</v>
      </c>
      <c r="G48" s="84">
        <v>0</v>
      </c>
      <c r="H48" s="84">
        <v>0</v>
      </c>
      <c r="I48" s="84">
        <v>0</v>
      </c>
      <c r="J48" s="84">
        <v>0</v>
      </c>
      <c r="K48" s="84">
        <v>0</v>
      </c>
      <c r="L48" s="84">
        <v>1</v>
      </c>
      <c r="M48" s="84">
        <v>0</v>
      </c>
      <c r="N48" s="84">
        <v>1</v>
      </c>
      <c r="O48" s="84">
        <v>0</v>
      </c>
      <c r="P48" s="73">
        <v>1</v>
      </c>
      <c r="Q48" s="84">
        <v>0</v>
      </c>
      <c r="R48" s="74">
        <v>1</v>
      </c>
    </row>
    <row r="49" spans="6:18" s="84" customFormat="1" ht="15" customHeight="1" x14ac:dyDescent="0.15">
      <c r="F49" s="195" t="s">
        <v>235</v>
      </c>
      <c r="G49" s="84">
        <v>0</v>
      </c>
      <c r="H49" s="84">
        <v>0</v>
      </c>
      <c r="I49" s="84">
        <v>0</v>
      </c>
      <c r="J49" s="84">
        <v>0</v>
      </c>
      <c r="K49" s="84">
        <v>0</v>
      </c>
      <c r="L49" s="84">
        <v>1</v>
      </c>
      <c r="M49" s="84">
        <v>0</v>
      </c>
      <c r="N49" s="84">
        <v>0</v>
      </c>
      <c r="O49" s="84">
        <v>0</v>
      </c>
      <c r="P49" s="73">
        <v>0</v>
      </c>
      <c r="Q49" s="84">
        <v>0</v>
      </c>
      <c r="R49" s="74">
        <v>1</v>
      </c>
    </row>
    <row r="50" spans="6:18" s="84" customFormat="1" ht="15" customHeight="1" x14ac:dyDescent="0.15">
      <c r="F50" s="195" t="s">
        <v>236</v>
      </c>
      <c r="G50" s="84">
        <v>0</v>
      </c>
      <c r="H50" s="84">
        <v>0</v>
      </c>
      <c r="I50" s="84">
        <v>0</v>
      </c>
      <c r="J50" s="84">
        <v>0</v>
      </c>
      <c r="K50" s="84">
        <v>0</v>
      </c>
      <c r="L50" s="84">
        <v>1</v>
      </c>
      <c r="M50" s="84">
        <v>0</v>
      </c>
      <c r="N50" s="84">
        <v>0</v>
      </c>
      <c r="O50" s="84">
        <v>0</v>
      </c>
      <c r="P50" s="73">
        <v>0</v>
      </c>
      <c r="Q50" s="84">
        <v>0</v>
      </c>
      <c r="R50" s="74">
        <v>1</v>
      </c>
    </row>
    <row r="51" spans="6:18" s="84" customFormat="1" ht="15" customHeight="1" x14ac:dyDescent="0.15">
      <c r="F51" s="195" t="s">
        <v>237</v>
      </c>
      <c r="G51" s="84">
        <v>0</v>
      </c>
      <c r="H51" s="84">
        <v>0</v>
      </c>
      <c r="I51" s="84">
        <v>0</v>
      </c>
      <c r="J51" s="84">
        <v>0</v>
      </c>
      <c r="K51" s="84">
        <v>0</v>
      </c>
      <c r="L51" s="84">
        <v>1</v>
      </c>
      <c r="M51" s="84">
        <v>0</v>
      </c>
      <c r="N51" s="84">
        <v>0</v>
      </c>
      <c r="O51" s="84">
        <v>0</v>
      </c>
      <c r="P51" s="73">
        <v>0</v>
      </c>
      <c r="Q51" s="84">
        <v>0</v>
      </c>
      <c r="R51" s="74">
        <v>1</v>
      </c>
    </row>
    <row r="52" spans="6:18" s="84" customFormat="1" ht="15" customHeight="1" x14ac:dyDescent="0.15">
      <c r="F52" s="195" t="s">
        <v>238</v>
      </c>
      <c r="G52" s="84">
        <v>0</v>
      </c>
      <c r="H52" s="84">
        <v>0</v>
      </c>
      <c r="I52" s="84">
        <v>0</v>
      </c>
      <c r="J52" s="84">
        <v>0</v>
      </c>
      <c r="K52" s="84">
        <v>0</v>
      </c>
      <c r="L52" s="84">
        <v>1</v>
      </c>
      <c r="M52" s="84">
        <v>0</v>
      </c>
      <c r="N52" s="84">
        <v>0</v>
      </c>
      <c r="O52" s="84">
        <v>0</v>
      </c>
      <c r="P52" s="73">
        <v>0</v>
      </c>
      <c r="Q52" s="84">
        <v>0</v>
      </c>
      <c r="R52" s="74">
        <v>1</v>
      </c>
    </row>
    <row r="53" spans="6:18" s="84" customFormat="1" ht="15" customHeight="1" x14ac:dyDescent="0.15">
      <c r="F53" s="195" t="s">
        <v>239</v>
      </c>
      <c r="G53" s="84">
        <v>0</v>
      </c>
      <c r="H53" s="84">
        <v>0</v>
      </c>
      <c r="I53" s="84">
        <v>0</v>
      </c>
      <c r="J53" s="84">
        <v>0</v>
      </c>
      <c r="K53" s="84">
        <v>0</v>
      </c>
      <c r="L53" s="84">
        <v>1</v>
      </c>
      <c r="M53" s="84">
        <v>0</v>
      </c>
      <c r="N53" s="84">
        <v>0</v>
      </c>
      <c r="O53" s="84">
        <v>0</v>
      </c>
      <c r="P53" s="73">
        <v>0</v>
      </c>
      <c r="Q53" s="84">
        <v>0</v>
      </c>
      <c r="R53" s="74">
        <v>1</v>
      </c>
    </row>
    <row r="54" spans="6:18" s="84" customFormat="1" ht="15" customHeight="1" x14ac:dyDescent="0.15">
      <c r="F54" s="195" t="s">
        <v>240</v>
      </c>
      <c r="G54" s="84">
        <v>0</v>
      </c>
      <c r="H54" s="84">
        <v>0</v>
      </c>
      <c r="I54" s="84">
        <v>0</v>
      </c>
      <c r="J54" s="84">
        <v>0</v>
      </c>
      <c r="K54" s="84">
        <v>0</v>
      </c>
      <c r="L54" s="84">
        <v>1</v>
      </c>
      <c r="M54" s="84">
        <v>0</v>
      </c>
      <c r="N54" s="84">
        <v>0</v>
      </c>
      <c r="O54" s="84">
        <v>0</v>
      </c>
      <c r="P54" s="73">
        <v>0</v>
      </c>
      <c r="Q54" s="84">
        <v>0</v>
      </c>
      <c r="R54" s="74">
        <v>1</v>
      </c>
    </row>
    <row r="55" spans="6:18" s="84" customFormat="1" ht="15" customHeight="1" x14ac:dyDescent="0.15">
      <c r="F55" s="195" t="s">
        <v>241</v>
      </c>
      <c r="G55" s="84">
        <v>0</v>
      </c>
      <c r="H55" s="84">
        <v>0</v>
      </c>
      <c r="I55" s="84">
        <v>0</v>
      </c>
      <c r="J55" s="84">
        <v>0</v>
      </c>
      <c r="K55" s="84">
        <v>0</v>
      </c>
      <c r="L55" s="84">
        <v>1</v>
      </c>
      <c r="M55" s="84">
        <v>0</v>
      </c>
      <c r="N55" s="84">
        <v>0</v>
      </c>
      <c r="O55" s="84">
        <v>0</v>
      </c>
      <c r="P55" s="73">
        <v>0</v>
      </c>
      <c r="Q55" s="84">
        <v>0</v>
      </c>
      <c r="R55" s="74">
        <v>1</v>
      </c>
    </row>
    <row r="56" spans="6:18" s="84" customFormat="1" ht="15" customHeight="1" x14ac:dyDescent="0.15">
      <c r="F56" s="195" t="s">
        <v>242</v>
      </c>
      <c r="G56" s="84">
        <v>0</v>
      </c>
      <c r="H56" s="84">
        <v>0</v>
      </c>
      <c r="I56" s="84">
        <v>0</v>
      </c>
      <c r="J56" s="84">
        <v>0</v>
      </c>
      <c r="K56" s="84">
        <v>0</v>
      </c>
      <c r="L56" s="84">
        <v>1</v>
      </c>
      <c r="M56" s="84">
        <v>0</v>
      </c>
      <c r="N56" s="84">
        <v>0</v>
      </c>
      <c r="O56" s="84">
        <v>0</v>
      </c>
      <c r="P56" s="73">
        <v>0</v>
      </c>
      <c r="Q56" s="84">
        <v>0</v>
      </c>
      <c r="R56" s="74">
        <v>1</v>
      </c>
    </row>
    <row r="57" spans="6:18" s="84" customFormat="1" ht="15" customHeight="1" x14ac:dyDescent="0.15">
      <c r="F57" s="195" t="s">
        <v>243</v>
      </c>
      <c r="G57" s="84">
        <v>0</v>
      </c>
      <c r="H57" s="84">
        <v>0</v>
      </c>
      <c r="I57" s="84">
        <v>0</v>
      </c>
      <c r="J57" s="84">
        <v>0</v>
      </c>
      <c r="K57" s="84">
        <v>0</v>
      </c>
      <c r="L57" s="84">
        <v>1</v>
      </c>
      <c r="M57" s="84">
        <v>0</v>
      </c>
      <c r="N57" s="84">
        <v>0</v>
      </c>
      <c r="O57" s="84">
        <v>0</v>
      </c>
      <c r="P57" s="73">
        <v>0</v>
      </c>
      <c r="Q57" s="84">
        <v>0</v>
      </c>
      <c r="R57" s="74">
        <v>1</v>
      </c>
    </row>
    <row r="58" spans="6:18" s="84" customFormat="1" ht="15" customHeight="1" x14ac:dyDescent="0.15">
      <c r="F58"/>
      <c r="G58"/>
      <c r="H58"/>
      <c r="I58"/>
      <c r="J58"/>
      <c r="K58"/>
      <c r="L58"/>
      <c r="M58"/>
      <c r="N58"/>
      <c r="O58"/>
      <c r="P58"/>
      <c r="Q58"/>
      <c r="R58"/>
    </row>
    <row r="59" spans="6:18" s="84" customFormat="1" ht="15" customHeight="1" x14ac:dyDescent="0.15">
      <c r="F59"/>
      <c r="G59"/>
      <c r="H59"/>
      <c r="I59"/>
      <c r="J59"/>
      <c r="K59"/>
      <c r="L59"/>
      <c r="M59"/>
      <c r="N59"/>
      <c r="O59"/>
      <c r="P59"/>
      <c r="Q59"/>
      <c r="R59"/>
    </row>
    <row r="60" spans="6:18" s="84" customFormat="1" ht="15" customHeight="1" x14ac:dyDescent="0.15">
      <c r="F60"/>
      <c r="G60"/>
      <c r="H60"/>
      <c r="I60"/>
      <c r="J60"/>
      <c r="K60"/>
      <c r="L60"/>
      <c r="M60"/>
      <c r="N60"/>
      <c r="O60"/>
      <c r="P60"/>
      <c r="Q60"/>
      <c r="R60"/>
    </row>
    <row r="61" spans="6:18" s="84" customFormat="1" ht="15" customHeight="1" x14ac:dyDescent="0.15">
      <c r="F61"/>
      <c r="G61"/>
      <c r="H61"/>
      <c r="I61"/>
      <c r="J61"/>
      <c r="K61"/>
      <c r="L61"/>
      <c r="M61"/>
      <c r="N61"/>
      <c r="O61"/>
      <c r="P61"/>
      <c r="Q61"/>
      <c r="R61"/>
    </row>
    <row r="62" spans="6:18" s="84" customFormat="1" ht="15" customHeight="1" x14ac:dyDescent="0.15">
      <c r="F62"/>
      <c r="G62"/>
      <c r="H62"/>
      <c r="I62"/>
      <c r="J62"/>
      <c r="K62"/>
      <c r="L62"/>
      <c r="M62"/>
      <c r="N62"/>
      <c r="O62"/>
      <c r="P62"/>
      <c r="Q62"/>
      <c r="R62"/>
    </row>
    <row r="63" spans="6:18" s="84" customFormat="1" ht="15" customHeight="1" x14ac:dyDescent="0.15">
      <c r="F63"/>
      <c r="G63"/>
      <c r="H63"/>
      <c r="I63"/>
      <c r="J63"/>
      <c r="K63"/>
      <c r="L63"/>
      <c r="M63"/>
      <c r="N63"/>
      <c r="O63"/>
      <c r="P63"/>
      <c r="Q63"/>
      <c r="R63"/>
    </row>
    <row r="64" spans="6:18" s="84" customFormat="1" ht="15" customHeight="1" x14ac:dyDescent="0.15">
      <c r="F64"/>
      <c r="G64"/>
      <c r="H64"/>
      <c r="I64"/>
      <c r="J64"/>
      <c r="K64"/>
      <c r="L64"/>
      <c r="M64"/>
      <c r="N64"/>
      <c r="O64"/>
      <c r="P64"/>
      <c r="Q64"/>
      <c r="R64"/>
    </row>
    <row r="65" spans="1:18" ht="15" customHeight="1" x14ac:dyDescent="0.15">
      <c r="F65"/>
      <c r="G65"/>
      <c r="H65"/>
      <c r="I65"/>
      <c r="J65"/>
      <c r="K65"/>
      <c r="L65"/>
      <c r="M65"/>
      <c r="N65"/>
      <c r="O65"/>
      <c r="P65"/>
      <c r="Q65"/>
      <c r="R65"/>
    </row>
    <row r="66" spans="1:18" ht="15" customHeight="1" x14ac:dyDescent="0.15">
      <c r="F66"/>
      <c r="G66"/>
      <c r="H66"/>
      <c r="I66"/>
      <c r="J66"/>
      <c r="K66"/>
      <c r="L66"/>
      <c r="M66"/>
      <c r="N66"/>
      <c r="O66"/>
      <c r="P66"/>
      <c r="Q66"/>
      <c r="R66"/>
    </row>
    <row r="67" spans="1:18" ht="15" customHeight="1" x14ac:dyDescent="0.15">
      <c r="F67"/>
      <c r="G67"/>
      <c r="H67"/>
      <c r="I67"/>
      <c r="J67"/>
      <c r="K67"/>
      <c r="L67"/>
      <c r="M67"/>
      <c r="N67"/>
      <c r="O67"/>
      <c r="P67"/>
      <c r="Q67"/>
      <c r="R67"/>
    </row>
    <row r="68" spans="1:18" ht="15" customHeight="1" x14ac:dyDescent="0.15">
      <c r="F68"/>
      <c r="G68"/>
      <c r="H68"/>
      <c r="I68"/>
      <c r="J68"/>
      <c r="K68"/>
      <c r="L68"/>
      <c r="M68"/>
      <c r="N68"/>
      <c r="O68"/>
      <c r="P68"/>
      <c r="Q68"/>
      <c r="R68"/>
    </row>
    <row r="69" spans="1:18" ht="15" customHeight="1" x14ac:dyDescent="0.15">
      <c r="F69"/>
      <c r="G69"/>
      <c r="H69"/>
      <c r="I69"/>
      <c r="J69"/>
      <c r="K69"/>
      <c r="L69"/>
      <c r="M69"/>
      <c r="N69"/>
      <c r="O69"/>
      <c r="P69"/>
      <c r="Q69"/>
      <c r="R69"/>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4"/>
      <c r="F76"/>
      <c r="G76"/>
      <c r="H76"/>
      <c r="I76"/>
      <c r="J76"/>
      <c r="K76"/>
      <c r="L76"/>
      <c r="M76"/>
      <c r="N76"/>
      <c r="O76"/>
      <c r="P76"/>
      <c r="Q76"/>
      <c r="R76"/>
    </row>
    <row r="77" spans="1:18" ht="15" customHeight="1" x14ac:dyDescent="0.15">
      <c r="A77" s="84"/>
      <c r="F77"/>
      <c r="G77"/>
      <c r="H77"/>
      <c r="I77"/>
      <c r="J77"/>
      <c r="K77"/>
      <c r="L77"/>
      <c r="M77"/>
      <c r="N77"/>
      <c r="O77"/>
      <c r="P77"/>
      <c r="Q77"/>
      <c r="R77"/>
    </row>
    <row r="78" spans="1:18" ht="15" customHeight="1" x14ac:dyDescent="0.15">
      <c r="A78" s="84"/>
      <c r="F78"/>
      <c r="G78"/>
      <c r="H78"/>
      <c r="I78"/>
      <c r="J78"/>
      <c r="K78"/>
      <c r="L78"/>
      <c r="M78"/>
      <c r="N78"/>
      <c r="O78"/>
      <c r="P78"/>
      <c r="Q78"/>
      <c r="R78"/>
    </row>
    <row r="79" spans="1:18" ht="15" customHeight="1" x14ac:dyDescent="0.15">
      <c r="A79" s="84"/>
      <c r="F79"/>
      <c r="G79"/>
      <c r="H79"/>
      <c r="I79"/>
      <c r="J79"/>
      <c r="K79"/>
      <c r="L79"/>
      <c r="M79"/>
      <c r="N79"/>
      <c r="O79"/>
      <c r="P79"/>
      <c r="Q79"/>
      <c r="R79"/>
    </row>
    <row r="80" spans="1:18" ht="15" customHeight="1" x14ac:dyDescent="0.15">
      <c r="A80" s="84"/>
      <c r="F80"/>
      <c r="G80"/>
      <c r="H80"/>
      <c r="I80"/>
      <c r="J80"/>
      <c r="K80"/>
      <c r="L80"/>
      <c r="M80"/>
      <c r="N80"/>
      <c r="O80"/>
      <c r="P80"/>
      <c r="Q80"/>
      <c r="R80"/>
    </row>
    <row r="81" spans="1:18" ht="15" customHeight="1" x14ac:dyDescent="0.15">
      <c r="A81" s="84"/>
      <c r="F81"/>
      <c r="G81"/>
      <c r="H81"/>
      <c r="I81"/>
      <c r="J81"/>
      <c r="K81"/>
      <c r="L81"/>
      <c r="M81"/>
      <c r="N81"/>
      <c r="O81"/>
      <c r="P81"/>
      <c r="Q81"/>
      <c r="R81"/>
    </row>
    <row r="82" spans="1:18" ht="15" customHeight="1" x14ac:dyDescent="0.15">
      <c r="A82" s="84"/>
      <c r="F82"/>
      <c r="G82"/>
      <c r="H82"/>
      <c r="I82"/>
      <c r="J82"/>
      <c r="K82"/>
      <c r="L82"/>
      <c r="M82"/>
      <c r="N82"/>
      <c r="O82"/>
      <c r="P82"/>
      <c r="Q82"/>
      <c r="R82"/>
    </row>
    <row r="83" spans="1:18" ht="15" customHeight="1" x14ac:dyDescent="0.15">
      <c r="A83" s="84"/>
      <c r="F83"/>
      <c r="G83"/>
      <c r="H83"/>
      <c r="I83"/>
      <c r="J83"/>
      <c r="K83"/>
      <c r="L83"/>
      <c r="M83"/>
      <c r="N83"/>
      <c r="O83"/>
      <c r="P83"/>
      <c r="Q83"/>
      <c r="R83"/>
    </row>
    <row r="84" spans="1:18" ht="15" customHeight="1" x14ac:dyDescent="0.15">
      <c r="A84" s="84"/>
      <c r="F84"/>
      <c r="G84"/>
      <c r="H84"/>
      <c r="I84"/>
      <c r="J84"/>
      <c r="K84"/>
      <c r="L84"/>
      <c r="M84"/>
      <c r="N84"/>
      <c r="O84"/>
      <c r="P84"/>
      <c r="Q84"/>
      <c r="R84"/>
    </row>
    <row r="85" spans="1:18" ht="15" customHeight="1" x14ac:dyDescent="0.15">
      <c r="A85" s="84"/>
      <c r="F85"/>
      <c r="G85"/>
      <c r="H85"/>
      <c r="I85"/>
      <c r="J85"/>
      <c r="K85"/>
      <c r="L85"/>
      <c r="M85"/>
      <c r="N85"/>
      <c r="O85"/>
      <c r="P85"/>
      <c r="Q85"/>
      <c r="R85"/>
    </row>
    <row r="86" spans="1:18" ht="15" customHeight="1" x14ac:dyDescent="0.15">
      <c r="A86" s="84"/>
      <c r="F86"/>
      <c r="G86"/>
      <c r="H86"/>
      <c r="I86"/>
      <c r="J86"/>
      <c r="K86"/>
      <c r="L86"/>
      <c r="M86"/>
      <c r="N86"/>
      <c r="O86"/>
      <c r="P86"/>
      <c r="Q86"/>
      <c r="R86"/>
    </row>
    <row r="87" spans="1:18" ht="15" customHeight="1" x14ac:dyDescent="0.15">
      <c r="A87" s="84"/>
      <c r="F87"/>
      <c r="G87"/>
      <c r="H87"/>
      <c r="I87"/>
      <c r="J87"/>
      <c r="K87"/>
      <c r="L87"/>
      <c r="M87"/>
      <c r="N87"/>
      <c r="O87"/>
      <c r="P87"/>
      <c r="Q87"/>
      <c r="R87"/>
    </row>
    <row r="88" spans="1:18" ht="15" customHeight="1" x14ac:dyDescent="0.15">
      <c r="A88" s="84"/>
      <c r="F88"/>
      <c r="G88"/>
      <c r="H88"/>
      <c r="I88"/>
      <c r="J88"/>
      <c r="K88"/>
      <c r="L88"/>
      <c r="M88"/>
      <c r="N88"/>
      <c r="O88"/>
      <c r="P88"/>
      <c r="Q88"/>
      <c r="R88"/>
    </row>
    <row r="89" spans="1:18" ht="15" customHeight="1" x14ac:dyDescent="0.15">
      <c r="A89" s="84"/>
      <c r="F89"/>
      <c r="G89"/>
      <c r="H89"/>
      <c r="I89"/>
      <c r="J89"/>
      <c r="K89"/>
      <c r="L89"/>
      <c r="M89"/>
      <c r="N89"/>
      <c r="O89"/>
      <c r="P89"/>
      <c r="Q89"/>
      <c r="R89"/>
    </row>
    <row r="90" spans="1:18" ht="15" customHeight="1" x14ac:dyDescent="0.15">
      <c r="A90" s="84"/>
      <c r="F90"/>
      <c r="G90"/>
      <c r="H90"/>
      <c r="I90"/>
      <c r="J90"/>
      <c r="K90"/>
      <c r="L90"/>
      <c r="M90"/>
      <c r="N90"/>
      <c r="O90"/>
      <c r="P90"/>
      <c r="Q90"/>
      <c r="R90"/>
    </row>
    <row r="91" spans="1:18" ht="15" customHeight="1" x14ac:dyDescent="0.15">
      <c r="A91" s="84"/>
      <c r="F91"/>
      <c r="G91"/>
      <c r="H91"/>
      <c r="I91"/>
      <c r="J91"/>
      <c r="K91"/>
      <c r="L91"/>
      <c r="M91"/>
      <c r="N91"/>
      <c r="O91"/>
      <c r="P91"/>
      <c r="Q91"/>
      <c r="R91"/>
    </row>
    <row r="92" spans="1:18" ht="15" customHeight="1" x14ac:dyDescent="0.15">
      <c r="A92" s="84"/>
      <c r="F92"/>
      <c r="G92"/>
      <c r="H92"/>
      <c r="I92"/>
      <c r="J92"/>
      <c r="K92"/>
      <c r="L92"/>
      <c r="M92"/>
      <c r="N92"/>
      <c r="O92"/>
      <c r="P92"/>
      <c r="Q92"/>
      <c r="R92"/>
    </row>
    <row r="93" spans="1:18" ht="15" customHeight="1" x14ac:dyDescent="0.15">
      <c r="A93" s="84"/>
      <c r="F93"/>
      <c r="G93"/>
      <c r="H93"/>
      <c r="I93"/>
      <c r="J93"/>
      <c r="K93"/>
      <c r="L93"/>
      <c r="M93"/>
      <c r="N93"/>
      <c r="O93"/>
      <c r="P93"/>
      <c r="Q93"/>
      <c r="R93"/>
    </row>
    <row r="94" spans="1:18" ht="15" customHeight="1" x14ac:dyDescent="0.15">
      <c r="A94" s="84"/>
      <c r="F94"/>
      <c r="G94"/>
      <c r="H94"/>
      <c r="I94"/>
      <c r="J94"/>
      <c r="K94"/>
      <c r="L94"/>
      <c r="M94"/>
      <c r="N94"/>
      <c r="O94"/>
      <c r="P94"/>
      <c r="Q94"/>
      <c r="R94"/>
    </row>
    <row r="95" spans="1:18" ht="15" customHeight="1" x14ac:dyDescent="0.15">
      <c r="A95" s="84"/>
      <c r="F95"/>
      <c r="G95"/>
      <c r="H95"/>
      <c r="I95"/>
      <c r="J95"/>
      <c r="K95"/>
      <c r="L95"/>
      <c r="M95"/>
      <c r="N95"/>
      <c r="O95"/>
      <c r="P95"/>
      <c r="Q95"/>
      <c r="R95"/>
    </row>
    <row r="96" spans="1:18" ht="15" customHeight="1" x14ac:dyDescent="0.15">
      <c r="A96" s="84"/>
      <c r="F96"/>
      <c r="G96"/>
      <c r="H96"/>
      <c r="I96"/>
      <c r="J96"/>
      <c r="K96"/>
      <c r="L96"/>
      <c r="M96"/>
      <c r="N96"/>
      <c r="O96"/>
      <c r="P96"/>
      <c r="Q96"/>
      <c r="R96"/>
    </row>
    <row r="97" spans="1:18" ht="15" customHeight="1" x14ac:dyDescent="0.15">
      <c r="A97" s="84"/>
      <c r="F97"/>
      <c r="G97"/>
      <c r="H97"/>
      <c r="I97"/>
      <c r="J97"/>
      <c r="K97"/>
      <c r="L97"/>
      <c r="M97"/>
      <c r="N97"/>
      <c r="O97"/>
      <c r="P97"/>
      <c r="Q97"/>
      <c r="R97"/>
    </row>
    <row r="98" spans="1:18" ht="15" customHeight="1" x14ac:dyDescent="0.15">
      <c r="A98" s="84"/>
      <c r="F98"/>
      <c r="G98"/>
      <c r="H98"/>
      <c r="I98"/>
      <c r="J98"/>
      <c r="K98"/>
      <c r="L98"/>
      <c r="M98"/>
      <c r="N98"/>
      <c r="O98"/>
      <c r="P98"/>
      <c r="Q98"/>
      <c r="R98"/>
    </row>
    <row r="99" spans="1:18" ht="15" customHeight="1" x14ac:dyDescent="0.15">
      <c r="A99" s="84"/>
      <c r="F99"/>
      <c r="G99"/>
      <c r="H99"/>
      <c r="I99"/>
      <c r="J99"/>
      <c r="K99"/>
      <c r="L99"/>
      <c r="M99"/>
      <c r="N99"/>
      <c r="O99"/>
      <c r="P99"/>
      <c r="Q99"/>
      <c r="R99"/>
    </row>
    <row r="100" spans="1:18" ht="15" customHeight="1" x14ac:dyDescent="0.15">
      <c r="A100" s="84"/>
      <c r="F100"/>
      <c r="G100"/>
      <c r="H100"/>
      <c r="I100"/>
      <c r="J100"/>
      <c r="K100"/>
      <c r="L100"/>
      <c r="M100"/>
      <c r="N100"/>
      <c r="O100"/>
      <c r="P100"/>
      <c r="Q100"/>
      <c r="R100"/>
    </row>
    <row r="101" spans="1:18" ht="15" customHeight="1" x14ac:dyDescent="0.15">
      <c r="A101" s="84"/>
      <c r="F101"/>
      <c r="G101"/>
      <c r="H101"/>
      <c r="I101"/>
      <c r="J101"/>
      <c r="K101"/>
      <c r="L101"/>
      <c r="M101"/>
      <c r="N101"/>
      <c r="O101"/>
      <c r="P101"/>
      <c r="Q101"/>
      <c r="R101"/>
    </row>
    <row r="102" spans="1:18" ht="15" customHeight="1" x14ac:dyDescent="0.15">
      <c r="A102" s="84"/>
      <c r="F102"/>
      <c r="G102"/>
      <c r="H102"/>
      <c r="I102"/>
      <c r="J102"/>
      <c r="K102"/>
      <c r="L102"/>
      <c r="M102"/>
      <c r="N102"/>
      <c r="O102"/>
      <c r="P102"/>
      <c r="Q102"/>
      <c r="R102"/>
    </row>
    <row r="103" spans="1:18" ht="15" customHeight="1" x14ac:dyDescent="0.15">
      <c r="A103" s="84"/>
      <c r="F103"/>
      <c r="G103"/>
      <c r="H103"/>
      <c r="I103"/>
      <c r="J103"/>
      <c r="K103"/>
      <c r="L103"/>
      <c r="M103"/>
      <c r="N103"/>
      <c r="O103"/>
      <c r="P103"/>
      <c r="Q103"/>
      <c r="R103"/>
    </row>
    <row r="104" spans="1:18" ht="15" customHeight="1" x14ac:dyDescent="0.15">
      <c r="A104" s="84"/>
      <c r="F104"/>
      <c r="G104"/>
      <c r="H104"/>
      <c r="I104"/>
      <c r="J104"/>
      <c r="K104"/>
      <c r="L104"/>
      <c r="M104"/>
      <c r="N104"/>
      <c r="O104"/>
      <c r="P104"/>
      <c r="Q104"/>
      <c r="R104"/>
    </row>
    <row r="105" spans="1:18" ht="15" customHeight="1" x14ac:dyDescent="0.15">
      <c r="A105" s="84"/>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4" customFormat="1" ht="15" customHeight="1" x14ac:dyDescent="0.15">
      <c r="F113"/>
      <c r="G113"/>
      <c r="H113"/>
      <c r="I113"/>
      <c r="J113"/>
      <c r="K113"/>
      <c r="L113"/>
      <c r="M113"/>
      <c r="N113"/>
      <c r="O113"/>
      <c r="P113"/>
      <c r="Q113"/>
      <c r="R113"/>
    </row>
    <row r="114" spans="6:18" s="84" customFormat="1" ht="15" customHeight="1" x14ac:dyDescent="0.15">
      <c r="F114"/>
      <c r="G114"/>
      <c r="H114"/>
      <c r="I114"/>
      <c r="J114"/>
      <c r="K114"/>
      <c r="L114"/>
      <c r="M114"/>
      <c r="N114"/>
      <c r="O114"/>
      <c r="P114"/>
      <c r="Q114"/>
      <c r="R114"/>
    </row>
    <row r="115" spans="6:18" s="84" customFormat="1" ht="15" customHeight="1" x14ac:dyDescent="0.15">
      <c r="F115"/>
      <c r="G115"/>
      <c r="H115"/>
      <c r="I115"/>
      <c r="J115"/>
      <c r="K115"/>
      <c r="L115"/>
      <c r="M115"/>
      <c r="N115"/>
      <c r="O115"/>
      <c r="P115"/>
      <c r="Q115"/>
      <c r="R115"/>
    </row>
    <row r="116" spans="6:18" s="84" customFormat="1" ht="15" customHeight="1" x14ac:dyDescent="0.15">
      <c r="F116"/>
      <c r="G116"/>
      <c r="H116"/>
      <c r="I116"/>
      <c r="J116"/>
      <c r="K116"/>
      <c r="L116"/>
      <c r="M116"/>
      <c r="N116"/>
      <c r="O116"/>
      <c r="P116"/>
      <c r="Q116"/>
      <c r="R116"/>
    </row>
    <row r="117" spans="6:18" s="84" customFormat="1" ht="15" customHeight="1" x14ac:dyDescent="0.15">
      <c r="F117"/>
      <c r="G117"/>
      <c r="H117"/>
      <c r="I117"/>
      <c r="J117"/>
      <c r="K117"/>
      <c r="L117"/>
      <c r="M117"/>
      <c r="N117"/>
      <c r="O117"/>
      <c r="P117"/>
      <c r="Q117"/>
      <c r="R117"/>
    </row>
    <row r="118" spans="6:18" s="84" customFormat="1" ht="15" customHeight="1" x14ac:dyDescent="0.15">
      <c r="F118"/>
      <c r="G118"/>
      <c r="H118"/>
      <c r="I118"/>
      <c r="J118"/>
      <c r="K118"/>
      <c r="L118"/>
      <c r="M118"/>
      <c r="N118"/>
      <c r="O118"/>
      <c r="P118"/>
      <c r="Q118"/>
      <c r="R118"/>
    </row>
    <row r="119" spans="6:18" s="84" customFormat="1" ht="15" customHeight="1" x14ac:dyDescent="0.15">
      <c r="F119"/>
      <c r="G119"/>
      <c r="H119"/>
      <c r="I119"/>
      <c r="J119"/>
      <c r="K119"/>
      <c r="L119"/>
      <c r="M119"/>
      <c r="N119"/>
      <c r="O119"/>
      <c r="P119"/>
      <c r="Q119"/>
      <c r="R119"/>
    </row>
    <row r="120" spans="6:18" s="84" customFormat="1" ht="15" customHeight="1" x14ac:dyDescent="0.15">
      <c r="F120"/>
      <c r="G120"/>
      <c r="H120"/>
      <c r="I120"/>
      <c r="J120"/>
      <c r="K120"/>
      <c r="L120"/>
      <c r="M120"/>
      <c r="N120"/>
      <c r="O120"/>
      <c r="P120"/>
      <c r="Q120"/>
      <c r="R120"/>
    </row>
    <row r="121" spans="6:18" s="84" customFormat="1" ht="15" customHeight="1" x14ac:dyDescent="0.15">
      <c r="F121"/>
      <c r="G121"/>
      <c r="H121"/>
      <c r="I121"/>
      <c r="J121"/>
      <c r="K121"/>
      <c r="L121"/>
      <c r="M121"/>
      <c r="N121"/>
      <c r="O121"/>
      <c r="P121"/>
      <c r="Q121"/>
      <c r="R121"/>
    </row>
    <row r="122" spans="6:18" s="84" customFormat="1" ht="15" customHeight="1" x14ac:dyDescent="0.15">
      <c r="F122"/>
      <c r="G122"/>
      <c r="H122"/>
      <c r="I122"/>
      <c r="J122"/>
      <c r="K122"/>
      <c r="L122"/>
      <c r="M122"/>
      <c r="N122"/>
      <c r="O122"/>
      <c r="P122"/>
      <c r="Q122"/>
      <c r="R122"/>
    </row>
    <row r="123" spans="6:18" s="84" customFormat="1" ht="15" customHeight="1" x14ac:dyDescent="0.15">
      <c r="F123"/>
      <c r="G123"/>
      <c r="H123"/>
      <c r="I123"/>
      <c r="J123"/>
      <c r="K123"/>
      <c r="L123"/>
      <c r="M123"/>
      <c r="N123"/>
      <c r="O123"/>
      <c r="P123"/>
      <c r="Q123"/>
      <c r="R123"/>
    </row>
    <row r="124" spans="6:18" s="84" customFormat="1" ht="15" customHeight="1" x14ac:dyDescent="0.15">
      <c r="F124"/>
      <c r="G124"/>
      <c r="H124"/>
      <c r="I124"/>
      <c r="J124"/>
      <c r="K124"/>
      <c r="L124"/>
      <c r="M124"/>
      <c r="N124"/>
      <c r="O124"/>
      <c r="P124"/>
      <c r="Q124"/>
      <c r="R124"/>
    </row>
    <row r="125" spans="6:18" s="84" customFormat="1" ht="15" customHeight="1" x14ac:dyDescent="0.15">
      <c r="F125"/>
      <c r="G125"/>
      <c r="H125"/>
      <c r="I125"/>
      <c r="J125"/>
      <c r="K125"/>
      <c r="L125"/>
      <c r="M125"/>
      <c r="N125"/>
      <c r="O125"/>
      <c r="P125"/>
      <c r="Q125"/>
      <c r="R125"/>
    </row>
    <row r="126" spans="6:18" s="84" customFormat="1" ht="15" customHeight="1" x14ac:dyDescent="0.15">
      <c r="F126"/>
      <c r="G126"/>
      <c r="H126"/>
      <c r="I126"/>
      <c r="J126"/>
      <c r="K126"/>
      <c r="L126"/>
      <c r="M126"/>
      <c r="N126"/>
      <c r="O126"/>
      <c r="P126"/>
      <c r="Q126"/>
      <c r="R126"/>
    </row>
    <row r="127" spans="6:18" s="84" customFormat="1" ht="15" customHeight="1" x14ac:dyDescent="0.15">
      <c r="F127"/>
      <c r="G127"/>
      <c r="H127"/>
      <c r="I127"/>
      <c r="J127"/>
      <c r="K127"/>
      <c r="L127"/>
      <c r="M127"/>
      <c r="N127"/>
      <c r="O127"/>
      <c r="P127"/>
      <c r="Q127"/>
      <c r="R127"/>
    </row>
    <row r="128" spans="6:18" s="84" customFormat="1" ht="15" customHeight="1" x14ac:dyDescent="0.15">
      <c r="F128"/>
      <c r="G128"/>
      <c r="H128"/>
      <c r="I128"/>
      <c r="J128"/>
      <c r="K128"/>
      <c r="L128"/>
      <c r="M128"/>
      <c r="N128"/>
      <c r="O128"/>
      <c r="P128"/>
      <c r="Q128"/>
      <c r="R128"/>
    </row>
    <row r="129" spans="6:18" s="84" customFormat="1" ht="15" customHeight="1" x14ac:dyDescent="0.15">
      <c r="F129"/>
      <c r="G129"/>
      <c r="H129"/>
      <c r="I129"/>
      <c r="J129"/>
      <c r="K129"/>
      <c r="L129"/>
      <c r="M129"/>
      <c r="N129"/>
      <c r="O129"/>
      <c r="P129"/>
      <c r="Q129"/>
      <c r="R129"/>
    </row>
    <row r="130" spans="6:18" s="84" customFormat="1" ht="15" customHeight="1" x14ac:dyDescent="0.15">
      <c r="F130"/>
      <c r="G130"/>
      <c r="H130"/>
      <c r="I130"/>
      <c r="J130"/>
      <c r="K130"/>
      <c r="L130"/>
      <c r="M130"/>
      <c r="N130"/>
      <c r="O130"/>
      <c r="P130"/>
      <c r="Q130"/>
      <c r="R130"/>
    </row>
    <row r="131" spans="6:18" s="84" customFormat="1" ht="15" customHeight="1" x14ac:dyDescent="0.15">
      <c r="F131"/>
      <c r="G131"/>
      <c r="H131"/>
      <c r="I131"/>
      <c r="J131"/>
      <c r="K131"/>
      <c r="L131"/>
      <c r="M131"/>
      <c r="N131"/>
      <c r="O131"/>
      <c r="P131"/>
      <c r="Q131"/>
      <c r="R131"/>
    </row>
    <row r="132" spans="6:18" s="84" customFormat="1" ht="15" customHeight="1" x14ac:dyDescent="0.15">
      <c r="F132"/>
      <c r="G132"/>
      <c r="H132"/>
      <c r="I132"/>
      <c r="J132"/>
      <c r="K132"/>
      <c r="L132"/>
      <c r="M132"/>
      <c r="N132"/>
      <c r="O132"/>
      <c r="P132"/>
      <c r="Q132"/>
      <c r="R132"/>
    </row>
    <row r="133" spans="6:18" s="84" customFormat="1" ht="15" customHeight="1" x14ac:dyDescent="0.15">
      <c r="F133"/>
      <c r="G133"/>
      <c r="H133"/>
      <c r="I133"/>
      <c r="J133"/>
      <c r="K133"/>
      <c r="L133"/>
      <c r="M133"/>
      <c r="N133"/>
      <c r="O133"/>
      <c r="P133"/>
      <c r="Q133"/>
      <c r="R133"/>
    </row>
    <row r="134" spans="6:18" s="84" customFormat="1" ht="15" customHeight="1" x14ac:dyDescent="0.15">
      <c r="F134"/>
      <c r="G134"/>
      <c r="H134"/>
      <c r="I134"/>
      <c r="J134"/>
      <c r="K134"/>
      <c r="L134"/>
      <c r="M134"/>
      <c r="N134"/>
      <c r="O134"/>
      <c r="P134"/>
      <c r="Q134"/>
      <c r="R134"/>
    </row>
    <row r="135" spans="6:18" s="84" customFormat="1" ht="15" customHeight="1" x14ac:dyDescent="0.15">
      <c r="F135"/>
      <c r="G135"/>
      <c r="H135"/>
      <c r="I135"/>
      <c r="J135"/>
      <c r="K135"/>
      <c r="L135"/>
      <c r="M135"/>
      <c r="N135"/>
      <c r="O135"/>
      <c r="P135"/>
      <c r="Q135"/>
      <c r="R135"/>
    </row>
    <row r="136" spans="6:18" s="84" customFormat="1" ht="15" customHeight="1" x14ac:dyDescent="0.15">
      <c r="F136"/>
      <c r="G136"/>
      <c r="H136"/>
      <c r="I136"/>
      <c r="J136"/>
      <c r="K136"/>
      <c r="L136"/>
      <c r="M136"/>
      <c r="N136"/>
      <c r="O136"/>
      <c r="P136"/>
      <c r="Q136"/>
      <c r="R136"/>
    </row>
    <row r="137" spans="6:18" s="84" customFormat="1" ht="15" customHeight="1" x14ac:dyDescent="0.15">
      <c r="F137"/>
      <c r="G137"/>
      <c r="H137"/>
      <c r="I137"/>
      <c r="J137"/>
      <c r="K137"/>
      <c r="L137"/>
      <c r="M137"/>
      <c r="N137"/>
      <c r="O137"/>
      <c r="P137"/>
      <c r="Q137"/>
      <c r="R137"/>
    </row>
    <row r="138" spans="6:18" s="84" customFormat="1" ht="15" customHeight="1" x14ac:dyDescent="0.15">
      <c r="F138"/>
      <c r="G138"/>
      <c r="H138"/>
      <c r="I138"/>
      <c r="J138"/>
      <c r="K138"/>
      <c r="L138"/>
      <c r="M138"/>
      <c r="N138"/>
      <c r="O138"/>
      <c r="P138"/>
      <c r="Q138"/>
      <c r="R138"/>
    </row>
    <row r="139" spans="6:18" s="84" customFormat="1" ht="15" customHeight="1" x14ac:dyDescent="0.15">
      <c r="F139"/>
      <c r="G139"/>
      <c r="H139"/>
      <c r="I139"/>
      <c r="J139"/>
      <c r="K139"/>
      <c r="L139"/>
      <c r="M139"/>
      <c r="N139"/>
      <c r="O139"/>
      <c r="P139"/>
      <c r="Q139"/>
      <c r="R139"/>
    </row>
    <row r="140" spans="6:18" s="84" customFormat="1" ht="15" customHeight="1" x14ac:dyDescent="0.15">
      <c r="F140"/>
      <c r="G140"/>
      <c r="H140"/>
      <c r="I140"/>
      <c r="J140"/>
      <c r="K140"/>
      <c r="L140"/>
      <c r="M140"/>
      <c r="N140"/>
      <c r="O140"/>
      <c r="P140"/>
      <c r="Q140"/>
      <c r="R140"/>
    </row>
    <row r="141" spans="6:18" s="84" customFormat="1" ht="15" customHeight="1" x14ac:dyDescent="0.15">
      <c r="F141"/>
      <c r="G141"/>
      <c r="H141"/>
      <c r="I141"/>
      <c r="J141"/>
      <c r="K141"/>
      <c r="L141"/>
      <c r="M141"/>
      <c r="N141"/>
      <c r="O141"/>
      <c r="P141"/>
      <c r="Q141"/>
      <c r="R141"/>
    </row>
    <row r="142" spans="6:18" s="84" customFormat="1" ht="15" customHeight="1" x14ac:dyDescent="0.15">
      <c r="F142"/>
      <c r="G142"/>
      <c r="H142"/>
      <c r="I142"/>
      <c r="J142"/>
      <c r="K142"/>
      <c r="L142"/>
      <c r="M142"/>
      <c r="N142"/>
      <c r="O142"/>
      <c r="P142"/>
      <c r="Q142"/>
      <c r="R142"/>
    </row>
    <row r="143" spans="6:18" s="84" customFormat="1" ht="15" customHeight="1" x14ac:dyDescent="0.15">
      <c r="F143"/>
      <c r="G143"/>
      <c r="H143"/>
      <c r="I143"/>
      <c r="J143"/>
      <c r="K143"/>
      <c r="L143"/>
      <c r="M143"/>
      <c r="N143"/>
      <c r="O143"/>
      <c r="P143"/>
      <c r="Q143"/>
      <c r="R143"/>
    </row>
    <row r="144" spans="6:18" s="84" customFormat="1" ht="15" customHeight="1" x14ac:dyDescent="0.15">
      <c r="F144"/>
      <c r="G144"/>
      <c r="H144"/>
      <c r="I144"/>
      <c r="J144"/>
      <c r="K144"/>
      <c r="L144"/>
      <c r="M144"/>
      <c r="N144"/>
      <c r="O144"/>
      <c r="P144"/>
      <c r="Q144"/>
      <c r="R144"/>
    </row>
    <row r="145" spans="6:18" s="84" customFormat="1" ht="15" customHeight="1" x14ac:dyDescent="0.15">
      <c r="F145"/>
      <c r="G145"/>
      <c r="H145"/>
      <c r="I145"/>
      <c r="J145"/>
      <c r="K145"/>
      <c r="L145"/>
      <c r="M145"/>
      <c r="N145"/>
      <c r="O145"/>
      <c r="P145"/>
      <c r="Q145"/>
      <c r="R145"/>
    </row>
    <row r="146" spans="6:18" s="84" customFormat="1" ht="15" customHeight="1" x14ac:dyDescent="0.15">
      <c r="F146"/>
      <c r="G146"/>
      <c r="H146"/>
      <c r="I146"/>
      <c r="J146"/>
      <c r="K146"/>
      <c r="L146"/>
      <c r="M146"/>
      <c r="N146"/>
      <c r="O146"/>
      <c r="P146"/>
      <c r="Q146"/>
      <c r="R146"/>
    </row>
    <row r="147" spans="6:18" s="84" customFormat="1" ht="15" customHeight="1" x14ac:dyDescent="0.15">
      <c r="F147"/>
      <c r="G147"/>
      <c r="H147"/>
      <c r="I147"/>
      <c r="J147"/>
      <c r="K147"/>
      <c r="L147"/>
      <c r="M147"/>
      <c r="N147"/>
      <c r="O147"/>
      <c r="P147"/>
      <c r="Q147"/>
      <c r="R147"/>
    </row>
    <row r="148" spans="6:18" s="84" customFormat="1" ht="15" customHeight="1" x14ac:dyDescent="0.15">
      <c r="F148"/>
      <c r="G148"/>
      <c r="H148"/>
      <c r="I148"/>
      <c r="J148"/>
      <c r="K148"/>
      <c r="L148"/>
      <c r="M148"/>
      <c r="N148"/>
      <c r="O148"/>
      <c r="P148"/>
      <c r="Q148"/>
      <c r="R148"/>
    </row>
    <row r="149" spans="6:18" s="84" customFormat="1" ht="15" customHeight="1" x14ac:dyDescent="0.15">
      <c r="F149"/>
      <c r="G149"/>
      <c r="H149"/>
      <c r="I149"/>
      <c r="J149"/>
      <c r="K149"/>
      <c r="L149"/>
      <c r="M149"/>
      <c r="N149"/>
      <c r="O149"/>
      <c r="P149"/>
      <c r="Q149"/>
      <c r="R149"/>
    </row>
    <row r="150" spans="6:18" s="84" customFormat="1" ht="15" customHeight="1" x14ac:dyDescent="0.15">
      <c r="F150"/>
      <c r="G150"/>
      <c r="H150"/>
      <c r="I150"/>
      <c r="J150"/>
      <c r="K150"/>
      <c r="L150"/>
      <c r="M150"/>
      <c r="N150"/>
      <c r="O150"/>
      <c r="P150"/>
      <c r="Q150"/>
      <c r="R150"/>
    </row>
    <row r="151" spans="6:18" s="84" customFormat="1" ht="15" customHeight="1" x14ac:dyDescent="0.15">
      <c r="F151"/>
      <c r="G151"/>
      <c r="H151"/>
      <c r="I151"/>
      <c r="J151"/>
      <c r="K151"/>
      <c r="L151"/>
      <c r="M151"/>
      <c r="N151"/>
      <c r="O151"/>
      <c r="P151"/>
      <c r="Q151"/>
      <c r="R151"/>
    </row>
    <row r="152" spans="6:18" s="84" customFormat="1" ht="15" customHeight="1" x14ac:dyDescent="0.15">
      <c r="F152"/>
      <c r="G152"/>
      <c r="H152"/>
      <c r="I152"/>
      <c r="J152"/>
      <c r="K152"/>
      <c r="L152"/>
      <c r="M152"/>
      <c r="N152"/>
      <c r="O152"/>
      <c r="P152"/>
      <c r="Q152"/>
      <c r="R152"/>
    </row>
    <row r="153" spans="6:18" s="84" customFormat="1" ht="15" customHeight="1" x14ac:dyDescent="0.15">
      <c r="F153"/>
      <c r="G153"/>
      <c r="H153"/>
      <c r="I153"/>
      <c r="J153"/>
      <c r="K153"/>
      <c r="L153"/>
      <c r="M153"/>
      <c r="N153"/>
      <c r="O153"/>
      <c r="P153"/>
      <c r="Q153"/>
      <c r="R153"/>
    </row>
    <row r="154" spans="6:18" s="84" customFormat="1" ht="15" customHeight="1" x14ac:dyDescent="0.15">
      <c r="F154"/>
      <c r="G154"/>
      <c r="H154"/>
      <c r="I154"/>
      <c r="J154"/>
      <c r="K154"/>
      <c r="L154"/>
      <c r="M154"/>
      <c r="N154"/>
      <c r="O154"/>
      <c r="P154"/>
      <c r="Q154"/>
      <c r="R154"/>
    </row>
    <row r="155" spans="6:18" s="84" customFormat="1" ht="15" customHeight="1" x14ac:dyDescent="0.15">
      <c r="F155"/>
      <c r="G155"/>
      <c r="H155"/>
      <c r="I155"/>
      <c r="J155"/>
      <c r="K155"/>
      <c r="L155"/>
      <c r="M155"/>
      <c r="N155"/>
      <c r="O155"/>
      <c r="P155"/>
      <c r="Q155"/>
      <c r="R155"/>
    </row>
    <row r="156" spans="6:18" s="84" customFormat="1" ht="15" customHeight="1" x14ac:dyDescent="0.15">
      <c r="F156"/>
      <c r="G156"/>
      <c r="H156"/>
      <c r="I156"/>
      <c r="J156"/>
      <c r="K156"/>
      <c r="L156"/>
      <c r="M156"/>
      <c r="N156"/>
      <c r="O156"/>
      <c r="P156"/>
      <c r="Q156"/>
      <c r="R156"/>
    </row>
    <row r="157" spans="6:18" s="84" customFormat="1" ht="15" customHeight="1" x14ac:dyDescent="0.15">
      <c r="F157"/>
      <c r="G157"/>
      <c r="H157"/>
      <c r="I157"/>
      <c r="J157"/>
      <c r="K157"/>
      <c r="L157"/>
      <c r="M157"/>
      <c r="N157"/>
      <c r="O157"/>
      <c r="P157"/>
      <c r="Q157"/>
      <c r="R157"/>
    </row>
    <row r="158" spans="6:18" s="84" customFormat="1" ht="15" customHeight="1" x14ac:dyDescent="0.15">
      <c r="F158"/>
      <c r="G158"/>
      <c r="H158"/>
      <c r="I158"/>
      <c r="J158"/>
      <c r="K158"/>
      <c r="L158"/>
      <c r="M158"/>
      <c r="N158"/>
      <c r="O158"/>
      <c r="P158"/>
      <c r="Q158"/>
      <c r="R158"/>
    </row>
    <row r="159" spans="6:18" s="84" customFormat="1" ht="15" customHeight="1" x14ac:dyDescent="0.15">
      <c r="F159"/>
      <c r="G159"/>
      <c r="H159"/>
      <c r="I159"/>
      <c r="J159"/>
      <c r="K159"/>
      <c r="L159"/>
      <c r="M159"/>
      <c r="N159"/>
      <c r="O159"/>
      <c r="P159"/>
      <c r="Q159"/>
      <c r="R159"/>
    </row>
    <row r="160" spans="6:18" s="84" customFormat="1" ht="15" customHeight="1" x14ac:dyDescent="0.15">
      <c r="F160"/>
      <c r="G160"/>
      <c r="H160"/>
      <c r="I160"/>
      <c r="J160"/>
      <c r="K160"/>
      <c r="L160"/>
      <c r="M160"/>
      <c r="N160"/>
      <c r="O160"/>
      <c r="P160"/>
      <c r="Q160"/>
      <c r="R160"/>
    </row>
    <row r="161" spans="6:18" s="84" customFormat="1" ht="15" customHeight="1" x14ac:dyDescent="0.15">
      <c r="F161"/>
      <c r="G161"/>
      <c r="H161"/>
      <c r="I161"/>
      <c r="J161"/>
      <c r="K161"/>
      <c r="L161"/>
      <c r="M161"/>
      <c r="N161"/>
      <c r="O161"/>
      <c r="P161"/>
      <c r="Q161"/>
      <c r="R161"/>
    </row>
    <row r="162" spans="6:18" s="84" customFormat="1" ht="15" customHeight="1" x14ac:dyDescent="0.15">
      <c r="F162"/>
      <c r="G162"/>
      <c r="H162"/>
      <c r="I162"/>
      <c r="J162"/>
      <c r="K162"/>
      <c r="L162"/>
      <c r="M162"/>
      <c r="N162"/>
      <c r="O162"/>
      <c r="P162"/>
      <c r="Q162"/>
      <c r="R162"/>
    </row>
    <row r="163" spans="6:18" s="84" customFormat="1" ht="15" customHeight="1" x14ac:dyDescent="0.15">
      <c r="F163"/>
      <c r="G163"/>
      <c r="H163"/>
      <c r="I163"/>
      <c r="J163"/>
      <c r="K163"/>
      <c r="L163"/>
      <c r="M163"/>
      <c r="N163"/>
      <c r="O163"/>
      <c r="P163"/>
      <c r="Q163"/>
      <c r="R163"/>
    </row>
    <row r="164" spans="6:18" s="84" customFormat="1" ht="15" customHeight="1" x14ac:dyDescent="0.15">
      <c r="F164"/>
      <c r="G164"/>
      <c r="H164"/>
      <c r="I164"/>
      <c r="J164"/>
      <c r="K164"/>
      <c r="L164"/>
      <c r="M164"/>
      <c r="N164"/>
      <c r="O164"/>
      <c r="P164"/>
      <c r="Q164"/>
      <c r="R164"/>
    </row>
    <row r="165" spans="6:18" s="84" customFormat="1" ht="15" customHeight="1" x14ac:dyDescent="0.15">
      <c r="F165"/>
      <c r="G165"/>
      <c r="H165"/>
      <c r="I165"/>
      <c r="J165"/>
      <c r="K165"/>
      <c r="L165"/>
      <c r="M165"/>
      <c r="N165"/>
      <c r="O165"/>
      <c r="P165"/>
      <c r="Q165"/>
      <c r="R165"/>
    </row>
    <row r="166" spans="6:18" s="84" customFormat="1" ht="15" customHeight="1" x14ac:dyDescent="0.15">
      <c r="F166"/>
      <c r="G166"/>
      <c r="H166"/>
      <c r="I166"/>
      <c r="J166"/>
      <c r="K166"/>
      <c r="L166"/>
      <c r="M166"/>
      <c r="N166"/>
      <c r="O166"/>
      <c r="P166"/>
      <c r="Q166"/>
      <c r="R166"/>
    </row>
    <row r="167" spans="6:18" s="84" customFormat="1" ht="15" customHeight="1" x14ac:dyDescent="0.15">
      <c r="F167"/>
      <c r="G167"/>
      <c r="H167"/>
      <c r="I167"/>
      <c r="J167"/>
      <c r="K167"/>
      <c r="L167"/>
      <c r="M167"/>
      <c r="N167"/>
      <c r="O167"/>
      <c r="P167"/>
      <c r="Q167"/>
      <c r="R167"/>
    </row>
    <row r="168" spans="6:18" s="84" customFormat="1" ht="15" customHeight="1" x14ac:dyDescent="0.15">
      <c r="F168"/>
      <c r="G168"/>
      <c r="H168"/>
      <c r="I168"/>
      <c r="J168"/>
      <c r="K168"/>
      <c r="L168"/>
      <c r="M168"/>
      <c r="N168"/>
      <c r="O168"/>
      <c r="P168"/>
      <c r="Q168"/>
      <c r="R168"/>
    </row>
    <row r="169" spans="6:18" s="84" customFormat="1" ht="15" customHeight="1" x14ac:dyDescent="0.15">
      <c r="F169"/>
      <c r="G169"/>
      <c r="H169"/>
      <c r="I169"/>
      <c r="J169"/>
      <c r="K169"/>
      <c r="L169"/>
      <c r="M169"/>
      <c r="N169"/>
      <c r="O169"/>
      <c r="P169"/>
      <c r="Q169"/>
      <c r="R169"/>
    </row>
    <row r="170" spans="6:18" s="84" customFormat="1" ht="15" customHeight="1" x14ac:dyDescent="0.15">
      <c r="F170"/>
      <c r="G170"/>
      <c r="H170"/>
      <c r="I170"/>
      <c r="J170"/>
      <c r="K170"/>
      <c r="L170"/>
      <c r="M170"/>
      <c r="N170"/>
      <c r="O170"/>
      <c r="P170"/>
      <c r="Q170"/>
      <c r="R170"/>
    </row>
    <row r="171" spans="6:18" s="84" customFormat="1" ht="15" customHeight="1" x14ac:dyDescent="0.15">
      <c r="F171"/>
      <c r="G171"/>
      <c r="H171"/>
      <c r="I171"/>
      <c r="J171"/>
      <c r="K171"/>
      <c r="L171"/>
      <c r="M171"/>
      <c r="N171"/>
      <c r="O171"/>
      <c r="P171"/>
      <c r="Q171"/>
      <c r="R171"/>
    </row>
    <row r="172" spans="6:18" s="84" customFormat="1" ht="15" customHeight="1" x14ac:dyDescent="0.15">
      <c r="F172"/>
      <c r="G172"/>
      <c r="H172"/>
      <c r="I172"/>
      <c r="J172"/>
      <c r="K172"/>
      <c r="L172"/>
      <c r="M172"/>
      <c r="N172"/>
      <c r="O172"/>
      <c r="P172"/>
      <c r="Q172"/>
      <c r="R172"/>
    </row>
    <row r="173" spans="6:18" s="84" customFormat="1" ht="15" customHeight="1" x14ac:dyDescent="0.15">
      <c r="F173"/>
      <c r="G173"/>
      <c r="H173"/>
      <c r="I173"/>
      <c r="J173"/>
      <c r="K173"/>
      <c r="L173"/>
      <c r="M173"/>
      <c r="N173"/>
      <c r="O173"/>
      <c r="P173"/>
      <c r="Q173"/>
      <c r="R173"/>
    </row>
    <row r="174" spans="6:18" s="84" customFormat="1" ht="15" customHeight="1" x14ac:dyDescent="0.15">
      <c r="F174"/>
      <c r="G174"/>
      <c r="H174"/>
      <c r="I174"/>
      <c r="J174"/>
      <c r="K174"/>
      <c r="L174"/>
      <c r="M174"/>
      <c r="N174"/>
      <c r="O174"/>
      <c r="P174"/>
      <c r="Q174"/>
      <c r="R174"/>
    </row>
    <row r="175" spans="6:18" s="84" customFormat="1" ht="15" customHeight="1" x14ac:dyDescent="0.15">
      <c r="F175"/>
      <c r="G175"/>
      <c r="H175"/>
      <c r="I175"/>
      <c r="J175"/>
      <c r="K175"/>
      <c r="L175"/>
      <c r="M175"/>
      <c r="N175"/>
      <c r="O175"/>
      <c r="P175"/>
      <c r="Q175"/>
      <c r="R175"/>
    </row>
    <row r="176" spans="6:18" s="84" customFormat="1" ht="15" customHeight="1" x14ac:dyDescent="0.15">
      <c r="F176"/>
      <c r="G176"/>
      <c r="H176"/>
      <c r="I176"/>
      <c r="J176"/>
      <c r="K176"/>
      <c r="L176"/>
      <c r="M176"/>
      <c r="N176"/>
      <c r="O176"/>
      <c r="P176"/>
      <c r="Q176"/>
      <c r="R176"/>
    </row>
    <row r="177" spans="6:18" s="84" customFormat="1" ht="15" customHeight="1" x14ac:dyDescent="0.15">
      <c r="F177"/>
      <c r="G177"/>
      <c r="H177"/>
      <c r="I177"/>
      <c r="J177"/>
      <c r="K177"/>
      <c r="L177"/>
      <c r="M177"/>
      <c r="N177"/>
      <c r="O177"/>
      <c r="P177"/>
      <c r="Q177"/>
      <c r="R177"/>
    </row>
    <row r="178" spans="6:18" s="84" customFormat="1" ht="15" customHeight="1" x14ac:dyDescent="0.15">
      <c r="F178"/>
      <c r="G178"/>
      <c r="H178"/>
      <c r="I178"/>
      <c r="J178"/>
      <c r="K178"/>
      <c r="L178"/>
      <c r="M178"/>
      <c r="N178"/>
      <c r="O178"/>
      <c r="P178"/>
      <c r="Q178"/>
      <c r="R178"/>
    </row>
    <row r="179" spans="6:18" s="84" customFormat="1" ht="15" customHeight="1" x14ac:dyDescent="0.15">
      <c r="F179"/>
      <c r="G179"/>
      <c r="H179"/>
      <c r="I179"/>
      <c r="J179"/>
      <c r="K179"/>
      <c r="L179"/>
      <c r="M179"/>
      <c r="N179"/>
      <c r="O179"/>
      <c r="P179"/>
      <c r="Q179"/>
      <c r="R179"/>
    </row>
    <row r="180" spans="6:18" s="84" customFormat="1" ht="15" customHeight="1" x14ac:dyDescent="0.15">
      <c r="F180"/>
      <c r="G180"/>
      <c r="H180"/>
      <c r="I180"/>
      <c r="J180"/>
      <c r="K180"/>
      <c r="L180"/>
      <c r="M180"/>
      <c r="N180"/>
      <c r="O180"/>
      <c r="P180"/>
      <c r="Q180"/>
      <c r="R180"/>
    </row>
    <row r="181" spans="6:18" s="84" customFormat="1" ht="15" customHeight="1" x14ac:dyDescent="0.15">
      <c r="F181"/>
      <c r="G181"/>
      <c r="H181"/>
      <c r="I181"/>
      <c r="J181"/>
      <c r="K181"/>
      <c r="L181"/>
      <c r="M181"/>
      <c r="N181"/>
      <c r="O181"/>
      <c r="P181"/>
      <c r="Q181"/>
      <c r="R181"/>
    </row>
    <row r="182" spans="6:18" s="84" customFormat="1" ht="15" customHeight="1" x14ac:dyDescent="0.15">
      <c r="F182"/>
      <c r="G182"/>
      <c r="H182"/>
      <c r="I182"/>
      <c r="J182"/>
      <c r="K182"/>
      <c r="L182"/>
      <c r="M182"/>
      <c r="N182"/>
      <c r="O182"/>
      <c r="P182"/>
      <c r="Q182"/>
      <c r="R182"/>
    </row>
    <row r="183" spans="6:18" s="84" customFormat="1" ht="15" customHeight="1" x14ac:dyDescent="0.15">
      <c r="F183"/>
      <c r="G183"/>
      <c r="H183"/>
      <c r="I183"/>
      <c r="J183"/>
      <c r="K183"/>
      <c r="L183"/>
      <c r="M183"/>
      <c r="N183"/>
      <c r="O183"/>
      <c r="P183"/>
      <c r="Q183"/>
      <c r="R183"/>
    </row>
    <row r="184" spans="6:18" s="84" customFormat="1" ht="15" customHeight="1" x14ac:dyDescent="0.15">
      <c r="F184"/>
      <c r="G184"/>
      <c r="H184"/>
      <c r="I184"/>
      <c r="J184"/>
      <c r="K184"/>
      <c r="L184"/>
      <c r="M184"/>
      <c r="N184"/>
      <c r="O184"/>
      <c r="P184"/>
      <c r="Q184"/>
      <c r="R184"/>
    </row>
    <row r="185" spans="6:18" s="84" customFormat="1" ht="15" customHeight="1" x14ac:dyDescent="0.15">
      <c r="F185"/>
      <c r="G185"/>
      <c r="H185"/>
      <c r="I185"/>
      <c r="J185"/>
      <c r="K185"/>
      <c r="L185"/>
      <c r="M185"/>
      <c r="N185"/>
      <c r="O185"/>
      <c r="P185"/>
      <c r="Q185"/>
      <c r="R185"/>
    </row>
    <row r="186" spans="6:18" s="84" customFormat="1" ht="15" customHeight="1" x14ac:dyDescent="0.15">
      <c r="F186"/>
      <c r="G186"/>
      <c r="H186"/>
      <c r="I186"/>
      <c r="J186"/>
      <c r="K186"/>
      <c r="L186"/>
      <c r="M186"/>
      <c r="N186"/>
      <c r="O186"/>
      <c r="P186"/>
      <c r="Q186"/>
      <c r="R186"/>
    </row>
    <row r="187" spans="6:18" s="84" customFormat="1" ht="15" customHeight="1" x14ac:dyDescent="0.15">
      <c r="F187"/>
      <c r="G187"/>
      <c r="H187"/>
      <c r="I187"/>
      <c r="J187"/>
      <c r="K187"/>
      <c r="L187"/>
      <c r="M187"/>
      <c r="N187"/>
      <c r="O187"/>
      <c r="P187"/>
      <c r="Q187"/>
      <c r="R187"/>
    </row>
    <row r="188" spans="6:18" s="84"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H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31.5" bestFit="1" customWidth="1"/>
    <col min="2" max="2" width="2.33203125" style="113" customWidth="1"/>
    <col min="3" max="5" width="7.83203125" style="113" customWidth="1"/>
    <col min="6" max="8" width="8.83203125" style="6"/>
    <col min="9" max="9" width="8.6640625" style="6" customWidth="1"/>
    <col min="10" max="10" width="20.5" style="6" customWidth="1"/>
    <col min="11" max="11" width="5.33203125" style="6" customWidth="1"/>
    <col min="12" max="12" width="17" style="6" customWidth="1"/>
    <col min="13" max="14" width="8.83203125" style="6" customWidth="1"/>
    <col min="15" max="15" width="6.1640625" style="6" customWidth="1"/>
    <col min="16" max="16" width="9.1640625" style="6" customWidth="1"/>
    <col min="17" max="17" width="16.1640625" style="6" customWidth="1"/>
    <col min="18" max="18" width="9.33203125" style="6" customWidth="1"/>
    <col min="19" max="19" width="17.83203125" style="6" customWidth="1"/>
    <col min="20" max="20" width="11.5" style="6" customWidth="1"/>
    <col min="21" max="21" width="16.33203125" style="6" customWidth="1"/>
    <col min="22" max="22" width="16" style="6" customWidth="1"/>
    <col min="23" max="23" width="23.33203125" style="6" customWidth="1"/>
    <col min="24" max="24" width="6" style="6" customWidth="1"/>
    <col min="25" max="25" width="8.5" style="6" customWidth="1"/>
    <col min="26" max="26" width="17.83203125" style="6" customWidth="1"/>
    <col min="27" max="27" width="8.5" style="6" customWidth="1"/>
    <col min="28" max="28" width="13.33203125" style="6" customWidth="1"/>
    <col min="29" max="29" width="19.5" style="6" customWidth="1"/>
    <col min="30" max="30" width="10.33203125" style="6" customWidth="1"/>
    <col min="31" max="31" width="24.83203125" style="6" customWidth="1"/>
    <col min="32" max="32" width="12.33203125" style="6" customWidth="1"/>
    <col min="33" max="33" width="17.6640625" style="6" customWidth="1"/>
    <col min="34" max="34" width="11.33203125" style="6" customWidth="1"/>
    <col min="35" max="35" width="12.5" style="6" customWidth="1"/>
    <col min="36" max="36" width="6.5" style="6" customWidth="1"/>
    <col min="37" max="37" width="6.1640625" style="6" customWidth="1"/>
    <col min="38" max="38" width="7.1640625" style="6" customWidth="1"/>
    <col min="39" max="39" width="18" customWidth="1"/>
    <col min="40" max="40" width="25.5" customWidth="1"/>
    <col min="41" max="41" width="17" customWidth="1"/>
    <col min="42" max="42" width="31.5" customWidth="1"/>
    <col min="43" max="43" width="7.83203125" customWidth="1"/>
    <col min="44" max="44" width="9.5" customWidth="1"/>
    <col min="45" max="45" width="11.33203125" customWidth="1"/>
    <col min="46" max="46" width="10.83203125" customWidth="1"/>
    <col min="47" max="47" width="17" customWidth="1"/>
    <col min="48" max="48" width="13.1640625" customWidth="1"/>
    <col min="49" max="49" width="11.6640625" customWidth="1"/>
    <col min="50" max="50" width="7.6640625" customWidth="1"/>
    <col min="51" max="51" width="21.6640625" customWidth="1"/>
    <col min="52" max="52" width="12.6640625" customWidth="1"/>
    <col min="53" max="53" width="8.1640625" customWidth="1"/>
    <col min="54" max="54" width="21.83203125" customWidth="1"/>
    <col min="55" max="55" width="18.5" customWidth="1"/>
    <col min="56" max="56" width="14.5" customWidth="1"/>
    <col min="57" max="57" width="11.6640625" customWidth="1"/>
    <col min="58" max="58" width="10" customWidth="1"/>
    <col min="59" max="59" width="15.33203125" customWidth="1"/>
    <col min="60" max="60" width="16" customWidth="1"/>
    <col min="81" max="81" width="22.1640625" bestFit="1" customWidth="1"/>
  </cols>
  <sheetData>
    <row r="1" spans="1:60" x14ac:dyDescent="0.15">
      <c r="A1" s="4" t="s">
        <v>156</v>
      </c>
      <c r="B1" s="37" t="s">
        <v>157</v>
      </c>
      <c r="C1" s="37" t="s">
        <v>17</v>
      </c>
      <c r="D1" s="37" t="s">
        <v>158</v>
      </c>
      <c r="E1" s="37" t="s">
        <v>159</v>
      </c>
      <c r="F1" t="s">
        <v>38</v>
      </c>
      <c r="G1" t="s">
        <v>40</v>
      </c>
      <c r="H1" t="s">
        <v>41</v>
      </c>
      <c r="I1" s="200" t="s">
        <v>192</v>
      </c>
      <c r="J1" s="200" t="s">
        <v>193</v>
      </c>
      <c r="K1" s="200" t="s">
        <v>194</v>
      </c>
      <c r="L1" s="200" t="s">
        <v>195</v>
      </c>
      <c r="M1" s="200" t="s">
        <v>196</v>
      </c>
      <c r="N1" s="200" t="s">
        <v>197</v>
      </c>
      <c r="O1" s="200" t="s">
        <v>198</v>
      </c>
      <c r="P1" s="200" t="s">
        <v>199</v>
      </c>
      <c r="Q1" s="200" t="s">
        <v>200</v>
      </c>
      <c r="R1" s="200" t="s">
        <v>201</v>
      </c>
      <c r="S1" s="200" t="s">
        <v>202</v>
      </c>
      <c r="T1" s="200" t="s">
        <v>203</v>
      </c>
      <c r="U1" s="200" t="s">
        <v>204</v>
      </c>
      <c r="V1" s="200" t="s">
        <v>205</v>
      </c>
      <c r="W1" s="200" t="s">
        <v>206</v>
      </c>
      <c r="X1" s="200" t="s">
        <v>207</v>
      </c>
      <c r="Y1" s="200" t="s">
        <v>208</v>
      </c>
      <c r="Z1" s="200" t="s">
        <v>209</v>
      </c>
      <c r="AA1" s="200" t="s">
        <v>210</v>
      </c>
      <c r="AB1" s="200" t="s">
        <v>211</v>
      </c>
      <c r="AC1" s="200" t="s">
        <v>212</v>
      </c>
      <c r="AD1" s="200" t="s">
        <v>213</v>
      </c>
      <c r="AE1" s="200" t="s">
        <v>214</v>
      </c>
      <c r="AF1" s="200" t="s">
        <v>215</v>
      </c>
      <c r="AG1" s="200" t="s">
        <v>216</v>
      </c>
      <c r="AH1" s="200" t="s">
        <v>217</v>
      </c>
      <c r="AI1" s="200" t="s">
        <v>218</v>
      </c>
      <c r="AJ1" s="200" t="s">
        <v>219</v>
      </c>
      <c r="AK1" s="200" t="s">
        <v>220</v>
      </c>
      <c r="AL1" s="200" t="s">
        <v>221</v>
      </c>
      <c r="AM1" s="200" t="s">
        <v>222</v>
      </c>
      <c r="AN1" s="200" t="s">
        <v>223</v>
      </c>
      <c r="AO1" s="200" t="s">
        <v>224</v>
      </c>
      <c r="AP1" s="200" t="s">
        <v>225</v>
      </c>
      <c r="AQ1" s="200" t="s">
        <v>226</v>
      </c>
      <c r="AR1" s="200" t="s">
        <v>227</v>
      </c>
      <c r="AS1" s="200" t="s">
        <v>228</v>
      </c>
      <c r="AT1" s="200" t="s">
        <v>229</v>
      </c>
      <c r="AU1" s="200" t="s">
        <v>230</v>
      </c>
      <c r="AV1" s="200" t="s">
        <v>231</v>
      </c>
      <c r="AW1" s="200" t="s">
        <v>232</v>
      </c>
      <c r="AX1" s="200" t="s">
        <v>233</v>
      </c>
      <c r="AY1" s="200" t="s">
        <v>234</v>
      </c>
      <c r="AZ1" s="200" t="s">
        <v>235</v>
      </c>
      <c r="BA1" s="200" t="s">
        <v>236</v>
      </c>
      <c r="BB1" s="200" t="s">
        <v>237</v>
      </c>
      <c r="BC1" s="200" t="s">
        <v>238</v>
      </c>
      <c r="BD1" s="200" t="s">
        <v>239</v>
      </c>
      <c r="BE1" s="200" t="s">
        <v>240</v>
      </c>
      <c r="BF1" s="200" t="s">
        <v>241</v>
      </c>
      <c r="BG1" s="200" t="s">
        <v>242</v>
      </c>
      <c r="BH1" s="200" t="s">
        <v>243</v>
      </c>
    </row>
    <row r="2" spans="1:60" x14ac:dyDescent="0.15">
      <c r="A2" t="s">
        <v>38</v>
      </c>
      <c r="B2" s="113">
        <v>0</v>
      </c>
      <c r="C2"/>
      <c r="D2"/>
      <c r="E2"/>
      <c r="F2"/>
      <c r="G2"/>
      <c r="H2"/>
      <c r="I2"/>
      <c r="J2"/>
      <c r="K2"/>
      <c r="L2"/>
      <c r="M2"/>
      <c r="N2"/>
      <c r="O2"/>
      <c r="P2"/>
      <c r="Q2"/>
      <c r="R2"/>
      <c r="S2"/>
      <c r="T2"/>
      <c r="U2"/>
      <c r="V2"/>
      <c r="W2"/>
      <c r="X2"/>
      <c r="Y2"/>
      <c r="Z2"/>
      <c r="AA2"/>
      <c r="AB2"/>
      <c r="AC2"/>
      <c r="AD2"/>
      <c r="AE2"/>
      <c r="AF2"/>
      <c r="AG2"/>
      <c r="AH2"/>
      <c r="AI2"/>
      <c r="AJ2"/>
      <c r="AK2"/>
      <c r="AL2"/>
    </row>
    <row r="3" spans="1:60" x14ac:dyDescent="0.15">
      <c r="A3" t="s">
        <v>40</v>
      </c>
      <c r="B3" s="113">
        <v>0</v>
      </c>
      <c r="C3"/>
      <c r="D3"/>
      <c r="E3"/>
      <c r="F3"/>
      <c r="G3"/>
      <c r="H3"/>
      <c r="I3"/>
      <c r="J3"/>
      <c r="K3"/>
      <c r="L3"/>
      <c r="M3"/>
      <c r="N3"/>
      <c r="O3"/>
      <c r="P3"/>
      <c r="Q3"/>
      <c r="R3"/>
      <c r="S3"/>
      <c r="T3"/>
      <c r="U3"/>
      <c r="V3"/>
      <c r="W3"/>
      <c r="X3"/>
      <c r="Y3"/>
      <c r="Z3"/>
      <c r="AA3"/>
      <c r="AB3"/>
      <c r="AC3"/>
      <c r="AD3"/>
      <c r="AE3"/>
      <c r="AF3"/>
      <c r="AG3"/>
      <c r="AH3"/>
      <c r="AI3"/>
      <c r="AJ3"/>
      <c r="AK3"/>
      <c r="AL3"/>
    </row>
    <row r="4" spans="1:60" x14ac:dyDescent="0.15">
      <c r="A4" t="s">
        <v>41</v>
      </c>
      <c r="B4" s="113">
        <v>0</v>
      </c>
      <c r="C4"/>
      <c r="D4"/>
      <c r="E4"/>
      <c r="F4"/>
      <c r="G4"/>
      <c r="H4"/>
      <c r="I4"/>
      <c r="J4"/>
      <c r="K4"/>
      <c r="L4"/>
      <c r="M4"/>
      <c r="N4"/>
      <c r="O4"/>
      <c r="P4"/>
      <c r="Q4"/>
      <c r="R4"/>
      <c r="S4"/>
      <c r="T4"/>
      <c r="U4"/>
      <c r="V4"/>
      <c r="W4"/>
      <c r="X4"/>
      <c r="Y4"/>
      <c r="Z4"/>
      <c r="AA4"/>
      <c r="AB4"/>
      <c r="AC4"/>
      <c r="AD4"/>
      <c r="AE4"/>
      <c r="AF4"/>
      <c r="AG4"/>
      <c r="AH4"/>
      <c r="AI4"/>
      <c r="AJ4"/>
      <c r="AK4"/>
      <c r="AL4"/>
    </row>
    <row r="5" spans="1:60" x14ac:dyDescent="0.15">
      <c r="A5" s="199" t="s">
        <v>192</v>
      </c>
      <c r="B5" s="113">
        <v>0</v>
      </c>
      <c r="C5"/>
      <c r="D5"/>
      <c r="E5"/>
      <c r="F5"/>
      <c r="G5"/>
      <c r="H5"/>
      <c r="I5"/>
      <c r="J5"/>
      <c r="K5"/>
      <c r="L5"/>
      <c r="M5"/>
      <c r="N5"/>
      <c r="O5"/>
      <c r="P5"/>
      <c r="Q5"/>
      <c r="R5"/>
      <c r="S5"/>
      <c r="T5"/>
      <c r="U5"/>
      <c r="V5"/>
      <c r="W5"/>
      <c r="X5"/>
      <c r="Y5"/>
      <c r="Z5"/>
      <c r="AA5"/>
      <c r="AB5"/>
      <c r="AC5"/>
      <c r="AD5"/>
      <c r="AE5"/>
      <c r="AF5"/>
      <c r="AG5"/>
      <c r="AH5"/>
      <c r="AI5"/>
      <c r="AJ5"/>
      <c r="AK5"/>
      <c r="AL5"/>
    </row>
    <row r="6" spans="1:60" x14ac:dyDescent="0.15">
      <c r="A6" s="199" t="s">
        <v>193</v>
      </c>
      <c r="B6" s="113">
        <v>0</v>
      </c>
      <c r="C6"/>
      <c r="D6"/>
      <c r="E6"/>
      <c r="F6"/>
      <c r="G6"/>
      <c r="H6"/>
      <c r="I6"/>
      <c r="J6"/>
      <c r="K6"/>
      <c r="L6"/>
      <c r="M6"/>
      <c r="N6"/>
      <c r="O6"/>
      <c r="P6"/>
      <c r="Q6"/>
      <c r="R6"/>
      <c r="S6"/>
      <c r="T6"/>
      <c r="U6"/>
      <c r="V6"/>
      <c r="W6"/>
      <c r="X6"/>
      <c r="Y6"/>
      <c r="Z6"/>
      <c r="AA6"/>
      <c r="AB6"/>
      <c r="AC6"/>
      <c r="AD6"/>
      <c r="AE6"/>
      <c r="AF6"/>
      <c r="AG6"/>
      <c r="AH6"/>
      <c r="AI6"/>
      <c r="AJ6"/>
      <c r="AK6"/>
      <c r="AL6"/>
    </row>
    <row r="7" spans="1:60" x14ac:dyDescent="0.15">
      <c r="A7" s="199" t="s">
        <v>194</v>
      </c>
      <c r="B7" s="113">
        <v>0</v>
      </c>
      <c r="C7"/>
      <c r="D7"/>
      <c r="E7"/>
      <c r="F7"/>
      <c r="G7"/>
      <c r="H7"/>
      <c r="I7"/>
      <c r="J7"/>
      <c r="K7"/>
      <c r="L7"/>
      <c r="M7"/>
      <c r="N7"/>
      <c r="O7"/>
      <c r="P7"/>
      <c r="Q7"/>
      <c r="R7"/>
      <c r="S7"/>
      <c r="T7"/>
      <c r="U7"/>
      <c r="V7"/>
      <c r="W7"/>
      <c r="X7"/>
      <c r="Y7"/>
      <c r="Z7"/>
      <c r="AA7"/>
      <c r="AB7"/>
      <c r="AC7"/>
      <c r="AD7"/>
      <c r="AE7"/>
      <c r="AF7"/>
      <c r="AG7"/>
      <c r="AH7"/>
      <c r="AI7"/>
      <c r="AJ7"/>
      <c r="AK7"/>
      <c r="AL7"/>
    </row>
    <row r="8" spans="1:60" x14ac:dyDescent="0.15">
      <c r="A8" s="199" t="s">
        <v>195</v>
      </c>
      <c r="B8" s="113">
        <v>0</v>
      </c>
      <c r="C8"/>
      <c r="D8"/>
      <c r="E8"/>
      <c r="F8"/>
      <c r="G8"/>
      <c r="H8"/>
      <c r="I8"/>
      <c r="J8"/>
      <c r="K8"/>
      <c r="L8"/>
      <c r="M8"/>
      <c r="N8"/>
      <c r="O8"/>
      <c r="P8"/>
      <c r="Q8"/>
      <c r="R8"/>
      <c r="S8"/>
      <c r="T8"/>
      <c r="U8"/>
      <c r="V8"/>
      <c r="W8"/>
      <c r="X8"/>
      <c r="Y8"/>
      <c r="Z8"/>
      <c r="AA8"/>
      <c r="AB8"/>
      <c r="AC8"/>
      <c r="AD8"/>
      <c r="AE8"/>
      <c r="AF8"/>
      <c r="AG8"/>
      <c r="AH8"/>
      <c r="AI8"/>
      <c r="AJ8"/>
      <c r="AK8"/>
      <c r="AL8"/>
    </row>
    <row r="9" spans="1:60" x14ac:dyDescent="0.15">
      <c r="A9" s="199" t="s">
        <v>196</v>
      </c>
      <c r="B9" s="113">
        <v>0</v>
      </c>
      <c r="C9"/>
      <c r="D9"/>
      <c r="E9"/>
      <c r="F9"/>
      <c r="G9"/>
      <c r="H9"/>
      <c r="I9"/>
      <c r="J9"/>
      <c r="K9"/>
      <c r="L9"/>
      <c r="M9"/>
      <c r="N9"/>
      <c r="O9"/>
      <c r="P9"/>
      <c r="Q9"/>
      <c r="R9"/>
      <c r="S9"/>
      <c r="T9"/>
      <c r="U9"/>
      <c r="V9"/>
      <c r="W9"/>
      <c r="X9"/>
      <c r="Y9"/>
      <c r="Z9"/>
      <c r="AA9"/>
      <c r="AB9"/>
      <c r="AC9"/>
      <c r="AD9"/>
      <c r="AE9"/>
      <c r="AF9"/>
      <c r="AG9"/>
      <c r="AH9"/>
      <c r="AI9"/>
      <c r="AJ9"/>
      <c r="AK9"/>
      <c r="AL9"/>
    </row>
    <row r="10" spans="1:60" x14ac:dyDescent="0.15">
      <c r="A10" s="199" t="s">
        <v>197</v>
      </c>
      <c r="B10" s="113">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60" x14ac:dyDescent="0.15">
      <c r="A11" s="199" t="s">
        <v>198</v>
      </c>
      <c r="B11" s="113">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60" x14ac:dyDescent="0.15">
      <c r="A12" s="199" t="s">
        <v>199</v>
      </c>
      <c r="B12" s="113">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60" x14ac:dyDescent="0.15">
      <c r="A13" s="199" t="s">
        <v>200</v>
      </c>
      <c r="B13" s="113">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60" x14ac:dyDescent="0.15">
      <c r="A14" s="199" t="s">
        <v>201</v>
      </c>
      <c r="B14" s="113">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60" x14ac:dyDescent="0.15">
      <c r="A15" s="199" t="s">
        <v>202</v>
      </c>
      <c r="B15" s="113">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60" x14ac:dyDescent="0.15">
      <c r="A16" s="199" t="s">
        <v>203</v>
      </c>
      <c r="B16" s="113">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99" t="s">
        <v>204</v>
      </c>
      <c r="B17" s="113">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99" t="s">
        <v>205</v>
      </c>
      <c r="B18" s="113">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99" t="s">
        <v>206</v>
      </c>
      <c r="B19" s="113">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99" t="s">
        <v>207</v>
      </c>
      <c r="B20" s="113">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99" t="s">
        <v>208</v>
      </c>
      <c r="B21" s="113">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99" t="s">
        <v>209</v>
      </c>
      <c r="B22" s="113">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99" t="s">
        <v>210</v>
      </c>
      <c r="B23" s="113">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99" t="s">
        <v>211</v>
      </c>
      <c r="B24" s="113">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99" t="s">
        <v>212</v>
      </c>
      <c r="B25" s="113">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99" t="s">
        <v>213</v>
      </c>
      <c r="B26" s="113">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99" t="s">
        <v>214</v>
      </c>
      <c r="B27" s="113">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99" t="s">
        <v>215</v>
      </c>
      <c r="B28" s="113">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99" t="s">
        <v>216</v>
      </c>
      <c r="B29" s="113">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99" t="s">
        <v>217</v>
      </c>
      <c r="B30" s="113">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99" t="s">
        <v>218</v>
      </c>
      <c r="B31" s="113">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99" t="s">
        <v>219</v>
      </c>
      <c r="B32" s="113">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99" t="s">
        <v>220</v>
      </c>
      <c r="B33" s="113">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99" t="s">
        <v>221</v>
      </c>
      <c r="B34" s="113">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99" t="s">
        <v>222</v>
      </c>
      <c r="B35" s="113">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99" t="s">
        <v>223</v>
      </c>
      <c r="B36" s="113">
        <v>0</v>
      </c>
      <c r="C36"/>
      <c r="D36"/>
    </row>
    <row r="37" spans="1:38" ht="15" customHeight="1" x14ac:dyDescent="0.15">
      <c r="A37" s="199" t="s">
        <v>224</v>
      </c>
      <c r="B37" s="113">
        <v>0</v>
      </c>
      <c r="C37"/>
      <c r="D37"/>
    </row>
    <row r="38" spans="1:38" ht="15" customHeight="1" x14ac:dyDescent="0.15">
      <c r="A38" s="199" t="s">
        <v>225</v>
      </c>
      <c r="B38" s="113">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99" t="s">
        <v>226</v>
      </c>
      <c r="B39" s="113">
        <v>0</v>
      </c>
      <c r="C39"/>
      <c r="D39"/>
    </row>
    <row r="40" spans="1:38" ht="15" customHeight="1" x14ac:dyDescent="0.15">
      <c r="A40" s="199" t="s">
        <v>227</v>
      </c>
      <c r="B40" s="113">
        <v>0</v>
      </c>
      <c r="C40"/>
      <c r="D40"/>
    </row>
    <row r="41" spans="1:38" ht="15" customHeight="1" x14ac:dyDescent="0.15">
      <c r="A41" s="199" t="s">
        <v>228</v>
      </c>
      <c r="B41" s="113">
        <v>0</v>
      </c>
      <c r="C41"/>
      <c r="D41"/>
    </row>
    <row r="42" spans="1:38" ht="15" customHeight="1" x14ac:dyDescent="0.15">
      <c r="A42" s="199" t="s">
        <v>229</v>
      </c>
      <c r="B42" s="113">
        <v>0</v>
      </c>
    </row>
    <row r="43" spans="1:38" ht="15" customHeight="1" x14ac:dyDescent="0.15">
      <c r="A43" s="199" t="s">
        <v>230</v>
      </c>
      <c r="B43" s="113">
        <v>0</v>
      </c>
    </row>
    <row r="44" spans="1:38" ht="15" customHeight="1" x14ac:dyDescent="0.15">
      <c r="A44" s="199" t="s">
        <v>231</v>
      </c>
      <c r="B44" s="113">
        <v>0</v>
      </c>
    </row>
    <row r="45" spans="1:38" ht="15" customHeight="1" x14ac:dyDescent="0.15">
      <c r="A45" s="199" t="s">
        <v>232</v>
      </c>
      <c r="B45" s="113">
        <v>0</v>
      </c>
    </row>
    <row r="46" spans="1:38" ht="15" customHeight="1" x14ac:dyDescent="0.15">
      <c r="A46" s="199" t="s">
        <v>233</v>
      </c>
      <c r="B46" s="113">
        <v>0</v>
      </c>
    </row>
    <row r="47" spans="1:38" ht="15" customHeight="1" x14ac:dyDescent="0.15">
      <c r="A47" s="199" t="s">
        <v>234</v>
      </c>
      <c r="B47" s="113">
        <v>0</v>
      </c>
    </row>
    <row r="48" spans="1:38" ht="15" customHeight="1" x14ac:dyDescent="0.15">
      <c r="A48" s="199" t="s">
        <v>235</v>
      </c>
      <c r="B48" s="113">
        <v>0</v>
      </c>
    </row>
    <row r="49" spans="1:38" ht="15" customHeight="1" x14ac:dyDescent="0.15">
      <c r="A49" s="199" t="s">
        <v>236</v>
      </c>
      <c r="B49" s="113">
        <v>0</v>
      </c>
    </row>
    <row r="50" spans="1:38" ht="15" customHeight="1" x14ac:dyDescent="0.15">
      <c r="A50" s="199" t="s">
        <v>237</v>
      </c>
      <c r="B50" s="113">
        <v>0</v>
      </c>
    </row>
    <row r="51" spans="1:38" ht="15" customHeight="1" x14ac:dyDescent="0.15">
      <c r="A51" s="199" t="s">
        <v>238</v>
      </c>
      <c r="B51" s="113">
        <v>0</v>
      </c>
    </row>
    <row r="52" spans="1:38" ht="15" customHeight="1" x14ac:dyDescent="0.15">
      <c r="A52" s="199" t="s">
        <v>239</v>
      </c>
      <c r="B52" s="113">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199" t="s">
        <v>240</v>
      </c>
      <c r="B53" s="113">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A54" s="199" t="s">
        <v>241</v>
      </c>
      <c r="B54" s="113">
        <v>0</v>
      </c>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A55" s="199" t="s">
        <v>242</v>
      </c>
      <c r="B55" s="113">
        <v>0</v>
      </c>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A56" s="199" t="s">
        <v>243</v>
      </c>
      <c r="B56" s="113">
        <v>0</v>
      </c>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2:38" ht="15" customHeight="1" x14ac:dyDescent="0.1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2:38" ht="15" customHeight="1" x14ac:dyDescent="0.15">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2:38" ht="15" customHeight="1" x14ac:dyDescent="0.15">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2:38" ht="15" customHeight="1" x14ac:dyDescent="0.15">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2: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2: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2: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2: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2: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2: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2: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2: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2: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2: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2: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2: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2022-10-24T04:34:33Z</dcterms:modified>
</cp:coreProperties>
</file>