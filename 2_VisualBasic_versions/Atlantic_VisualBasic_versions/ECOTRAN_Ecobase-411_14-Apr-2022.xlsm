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44CDDD0-43D2-A244-BC02-C5F61C7C7E6D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Main!$C$2:$N$47</definedName>
    <definedName name="matDetritus">Detritus!$C$2:$E$47</definedName>
    <definedName name="matDiet">Diets!$B$2:$AR$47</definedName>
    <definedName name="matDiscards">Discards!$C$2:$C$46</definedName>
    <definedName name="matFishery">Fishing!$C$2:$C$46</definedName>
    <definedName name="matFishing">Fishing!#REF!</definedName>
    <definedName name="matMort">Mortalities!$A$1:$AW$46</definedName>
    <definedName name="matOut">MainOutputs!$A$2:$I$47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<sst xmlns="http://schemas.openxmlformats.org/spreadsheetml/2006/main" count="1247" uniqueCount="243">
  <si>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</si>
  <si>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</si>
  <si>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</si>
  <si>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</si>
  <si>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</si>
  <si>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</si>
  <si>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</si>
  <si>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</si>
  <si>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</si>
  <si>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</si>
  <si>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</si>
  <si>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</si>
  <si>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</si>
  <si>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</si>
  <si>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</si>
  <si>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</si>
  <si>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</si>
  <si>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</si>
  <si>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</si>
  <si>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</si>
  <si>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</si>
  <si>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</si>
  <si>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</si>
  <si>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</si>
  <si>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</si>
  <si>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</si>
  <si>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</si>
  <si>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</si>
  <si>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</si>
  <si>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</si>
  <si>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</si>
  <si>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</si>
  <si>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</si>
  <si>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</si>
  <si>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</si>
  <si>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</si>
  <si>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</si>
  <si>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</si>
  <si>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</si>
  <si>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</si>
  <si>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</si>
  <si>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</si>
  <si>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</si>
  <si>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</si>
  <si>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</si>
  <si>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</si>
  <si>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</si>
  <si>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</si>
  <si>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</si>
  <si>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</si>
  <si>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</si>
  <si>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</si>
  <si>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</si>
  <si>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</si>
  <si>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</si>
  <si>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</si>
  <si>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</si>
  <si>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</si>
  <si>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</si>
  <si>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</si>
  <si>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</si>
  <si>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</si>
  <si>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</si>
  <si>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</si>
  <si>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</si>
  <si>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</si>
  <si>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</si>
  <si>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</si>
  <si>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</si>
  <si>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</si>
  <si>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</si>
  <si>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</si>
  <si>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</si>
  <si>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</si>
  <si>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</si>
  <si>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</si>
  <si>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</si>
  <si>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</si>
  <si>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</si>
  <si>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</si>
  <si>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</si>
  <si>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</si>
  <si>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</si>
  <si>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</si>
  <si>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</si>
  <si>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</si>
  <si>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</si>
  <si>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</si>
  <si>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</si>
  <si>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</si>
  <si>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</si>
  <si>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</si>
  <si>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</si>
  <si>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</si>
  <si>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</si>
  <si>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</si>
  <si>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</si>
  <si>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</si>
  <si>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</si>
  <si>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</si>
  <si>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</si>
  <si>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</si>
  <si>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</si>
  <si>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</si>
  <si>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</si>
  <si>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</si>
  <si>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</si>
  <si>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</si>
  <si>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</si>
  <si>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</si>
  <si>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</si>
  <si>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</si>
  <si>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</si>
  <si>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</si>
  <si>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</si>
  <si>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</si>
  <si>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</si>
  <si>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</si>
  <si>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</si>
  <si>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</si>
  <si>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</si>
  <si>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</si>
  <si>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</si>
  <si>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</si>
  <si>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</si>
  <si>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</si>
  <si>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</si>
  <si>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</si>
  <si>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</si>
  <si>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</si>
  <si>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</si>
  <si>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</si>
  <si>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</si>
  <si>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</si>
  <si>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</si>
  <si>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</si>
  <si>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</si>
  <si>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</si>
  <si>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</si>
  <si>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</si>
  <si>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</si>
  <si>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</si>
  <si>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</si>
  <si>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</si>
  <si>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</si>
  <si>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</si>
  <si>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</si>
  <si>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</si>
  <si>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</si>
  <si>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</si>
  <si>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</si>
  <si>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</si>
  <si>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</si>
  <si>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</si>
  <si>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</si>
  <si>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</si>
  <si>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</si>
  <si>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</si>
  <si>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</si>
  <si>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</si>
  <si>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</si>
  <si>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</si>
  <si>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</si>
  <si>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</si>
  <si>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</si>
  <si>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</si>
  <si>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</si>
  <si>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</si>
  <si>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</si>
  <si>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</si>
  <si>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</si>
  <si>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</si>
  <si>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</si>
  <si>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</si>
  <si>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</si>
  <si>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</si>
  <si>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</si>
  <si>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</si>
  <si>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</si>
  <si>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</si>
  <si>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</si>
  <si>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</si>
  <si>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</si>
  <si>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</si>
  <si>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</si>
  <si>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Falkland Islands</t>
  </si>
  <si>
    <t>Falkland Islands (Malvinas)</t>
  </si>
  <si>
    <t>BOX(-62 -52.3,-57 -51)</t>
  </si>
  <si>
    <t>open ocean</t>
  </si>
  <si>
    <t>WetWeight</t>
  </si>
  <si>
    <t>No description</t>
  </si>
  <si>
    <t>Cheung W.W.L.,Pitcher T.J.(2005). A mass-balance model of the Falkland Islands fisheries and ecosystems Modeling Antarctic Marine Ecosystems. pp 65-84. In Palomares M.L.D.,Pruvost P.,Pitcher T.J.,Pauly D.</t>
  </si>
  <si>
    <t>Phytopl</t>
  </si>
  <si>
    <t>Herbivorous zooplank</t>
  </si>
  <si>
    <t>carnivorous zooplank</t>
  </si>
  <si>
    <t>krill</t>
  </si>
  <si>
    <t>jellyfish</t>
  </si>
  <si>
    <t>small zoobenthos</t>
  </si>
  <si>
    <t>large zoobenthos</t>
  </si>
  <si>
    <t>benthic crustaceans</t>
  </si>
  <si>
    <t>illex squid</t>
  </si>
  <si>
    <t>patagonian squid</t>
  </si>
  <si>
    <t>small cephalopods</t>
  </si>
  <si>
    <t>large cephalopods</t>
  </si>
  <si>
    <t>pelagic fish</t>
  </si>
  <si>
    <t>small demersal</t>
  </si>
  <si>
    <t>large demersal</t>
  </si>
  <si>
    <t>bathypelagic fish</t>
  </si>
  <si>
    <t>small bathydemersal fish</t>
  </si>
  <si>
    <t>large bathydemersal fish</t>
  </si>
  <si>
    <t>grenadier</t>
  </si>
  <si>
    <t>myctophidae</t>
  </si>
  <si>
    <t>codling</t>
  </si>
  <si>
    <t>dogfish</t>
  </si>
  <si>
    <t>rock cod</t>
  </si>
  <si>
    <t>flounder</t>
  </si>
  <si>
    <t>hagfish</t>
  </si>
  <si>
    <t>merluccius australis</t>
  </si>
  <si>
    <t>merluccius hubbsi</t>
  </si>
  <si>
    <t>snoek juv</t>
  </si>
  <si>
    <t>snoek ad</t>
  </si>
  <si>
    <t>southern blue whiting juv</t>
  </si>
  <si>
    <t>southern blue whiting ad</t>
  </si>
  <si>
    <t>toothfish juv</t>
  </si>
  <si>
    <t>toothfish ad</t>
  </si>
  <si>
    <t>hoki juv</t>
  </si>
  <si>
    <t>hoki ad</t>
  </si>
  <si>
    <t>rays and sharks</t>
  </si>
  <si>
    <t>basking shark</t>
  </si>
  <si>
    <t>baleen whales</t>
  </si>
  <si>
    <t>toothed whales</t>
  </si>
  <si>
    <t>seals and sea lions</t>
  </si>
  <si>
    <t>penguins</t>
  </si>
  <si>
    <t>seabirds</t>
  </si>
  <si>
    <t>shorebirds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</si>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</sst>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FFD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77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8">
        <v>411</v>
      </c>
      <c r="D53" s="108"/>
    </row>
    <row r="54" spans="2:4" x14ac:dyDescent="0.15">
      <c r="B54" s="174" t="s">
        <v>172</v>
      </c>
      <c r="C54" s="174" t="s">
        <v>185</v>
      </c>
      <c r="D54" s="108"/>
    </row>
    <row r="55" spans="2:4" x14ac:dyDescent="0.15">
      <c r="B55" s="174" t="s">
        <v>173</v>
      </c>
      <c r="C55" s="174" t="s">
        <v>186</v>
      </c>
      <c r="D55" s="108"/>
    </row>
    <row r="56" spans="2:4" x14ac:dyDescent="0.15">
      <c r="B56" s="174" t="s">
        <v>174</v>
      </c>
      <c r="C56" s="108">
        <v>527000</v>
      </c>
      <c r="D56" s="108"/>
    </row>
    <row r="57" spans="2:4" x14ac:dyDescent="0.15">
      <c r="B57" s="174" t="s">
        <v>175</v>
      </c>
      <c r="C57" s="174" t="s">
        <v>187</v>
      </c>
      <c r="D57" s="108"/>
    </row>
    <row r="58" spans="2:4" x14ac:dyDescent="0.15">
      <c r="B58" s="174" t="s">
        <v>176</v>
      </c>
      <c r="C58" s="174" t="s">
        <v>188</v>
      </c>
      <c r="D58" s="108"/>
    </row>
    <row r="59" spans="2:4" x14ac:dyDescent="0.15">
      <c r="B59" s="174" t="s">
        <v>177</v>
      </c>
      <c r="C59" s="174" t="s">
        <v>189</v>
      </c>
      <c r="D59" s="108"/>
    </row>
    <row r="60" spans="2:4" x14ac:dyDescent="0.15">
      <c r="B60" s="174" t="s">
        <v>178</v>
      </c>
      <c r="C60" s="174" t="s">
        <v>190</v>
      </c>
      <c r="D60" s="108"/>
    </row>
    <row r="61" spans="2:4" x14ac:dyDescent="0.15">
      <c r="B61" s="174" t="s">
        <v>179</v>
      </c>
      <c r="C61" s="108">
        <v>44</v>
      </c>
      <c r="D61" s="108"/>
    </row>
    <row r="62" spans="2:4" x14ac:dyDescent="0.15">
      <c r="B62" s="174" t="s">
        <v>180</v>
      </c>
      <c r="C62" s="108">
        <v>1</v>
      </c>
      <c r="D62" s="108"/>
    </row>
    <row r="63" spans="2:4" x14ac:dyDescent="0.15">
      <c r="B63" s="174" t="s">
        <v>181</v>
      </c>
      <c r="C63" s="108">
        <v>1990</v>
      </c>
      <c r="D63" s="108"/>
    </row>
    <row r="64" spans="2:4" x14ac:dyDescent="0.15">
      <c r="B64" s="174" t="s">
        <v>182</v>
      </c>
      <c r="C64" s="108">
        <v>1</v>
      </c>
      <c r="D64" s="108"/>
    </row>
    <row r="65" spans="2:4" x14ac:dyDescent="0.15">
      <c r="B65" s="174" t="s">
        <v>183</v>
      </c>
      <c r="C65" s="174" t="s">
        <v>191</v>
      </c>
      <c r="D65" s="108"/>
    </row>
    <row r="66" spans="2:4" x14ac:dyDescent="0.15">
      <c r="B66" s="174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83203125" style="80" bestFit="1" customWidth="1"/>
    <col min="6" max="6" width="2.33203125" style="80" bestFit="1" customWidth="1"/>
    <col min="7" max="7" width="7.83203125" style="80" bestFit="1" customWidth="1"/>
    <col min="8" max="9" width="7.83203125" style="80" customWidth="1"/>
    <col min="10" max="10" width="13.83203125" style="80" customWidth="1"/>
    <col min="11" max="11" width="12.83203125" style="80" customWidth="1"/>
    <col min="12" max="12" width="2.33203125" style="80" customWidth="1"/>
    <col min="13" max="13" width="3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5" t="s">
        <v>192</v>
      </c>
      <c r="F2" s="80">
        <v>1</v>
      </c>
      <c r="G2" s="80">
        <v>123.67</v>
      </c>
      <c r="H2" s="80">
        <v>243.572</v>
      </c>
      <c r="I2" s="6">
        <v>0</v>
      </c>
      <c r="J2" s="6">
        <v>0.11459116599999999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43</v>
      </c>
      <c r="C3" s="80">
        <v>2</v>
      </c>
      <c r="D3"/>
      <c r="E3" s="175" t="s">
        <v>193</v>
      </c>
      <c r="F3" s="80">
        <v>0</v>
      </c>
      <c r="G3" s="80">
        <v>119.009</v>
      </c>
      <c r="H3" s="80">
        <v>8.4</v>
      </c>
      <c r="I3" s="80">
        <v>20.67</v>
      </c>
      <c r="J3" s="80">
        <v>0.95028970000000001</v>
      </c>
      <c r="K3" s="80">
        <v>0.406386048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5" t="s">
        <v>194</v>
      </c>
      <c r="F4" s="80">
        <v>0</v>
      </c>
      <c r="G4" s="80">
        <v>28.917000000000002</v>
      </c>
      <c r="H4" s="80">
        <v>5.1470000000000002</v>
      </c>
      <c r="I4" s="80">
        <v>17.155000000000001</v>
      </c>
      <c r="J4" s="80">
        <v>0.92070830000000004</v>
      </c>
      <c r="K4" s="80">
        <v>0.30002912900000001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0">
        <v>4</v>
      </c>
      <c r="D5"/>
      <c r="E5" s="175" t="s">
        <v>195</v>
      </c>
      <c r="F5" s="80">
        <v>0</v>
      </c>
      <c r="G5" s="80">
        <v>50.15</v>
      </c>
      <c r="H5" s="80">
        <v>5</v>
      </c>
      <c r="I5" s="80">
        <v>34.31</v>
      </c>
      <c r="J5" s="80">
        <v>0.91979789999999995</v>
      </c>
      <c r="K5" s="80">
        <v>0.145730108</v>
      </c>
      <c r="L5" s="80">
        <v>0</v>
      </c>
      <c r="M5" s="80">
        <v>0.2</v>
      </c>
      <c r="N5" s="80">
        <v>0</v>
      </c>
      <c r="P5" s="71"/>
      <c r="Q5" s="71"/>
      <c r="R5" s="71"/>
    </row>
    <row r="6" spans="1:46" ht="15" customHeight="1" thickBot="1" x14ac:dyDescent="0.2">
      <c r="B6" s="1"/>
      <c r="C6" s="80">
        <v>5</v>
      </c>
      <c r="D6"/>
      <c r="E6" s="175" t="s">
        <v>196</v>
      </c>
      <c r="F6" s="80">
        <v>0</v>
      </c>
      <c r="G6" s="80">
        <v>1.845</v>
      </c>
      <c r="H6" s="80">
        <v>3.4329999999999998</v>
      </c>
      <c r="I6" s="80">
        <v>13.731999999999999</v>
      </c>
      <c r="J6" s="80">
        <v>0.98101439999999995</v>
      </c>
      <c r="K6" s="80">
        <v>0.25</v>
      </c>
      <c r="L6" s="80">
        <v>0</v>
      </c>
      <c r="M6" s="80">
        <v>0.2</v>
      </c>
      <c r="N6" s="80">
        <v>0</v>
      </c>
      <c r="P6" s="71"/>
      <c r="Q6" s="71"/>
      <c r="R6" s="71"/>
      <c r="W6" s="35" t="s">
        <v>31</v>
      </c>
      <c r="X6" s="51">
        <f>MAX(MainOutputs!G:G)</f>
        <v>0.99624788761138916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379</v>
      </c>
      <c r="C7" s="80">
        <v>6</v>
      </c>
      <c r="D7"/>
      <c r="E7" s="175" t="s">
        <v>197</v>
      </c>
      <c r="F7" s="80">
        <v>0</v>
      </c>
      <c r="G7" s="80">
        <v>5.2720000000000002</v>
      </c>
      <c r="H7" s="80">
        <v>2</v>
      </c>
      <c r="I7" s="80">
        <v>6.33</v>
      </c>
      <c r="J7" s="80">
        <v>0.95413124599999999</v>
      </c>
      <c r="K7" s="80">
        <v>0.31595575799999998</v>
      </c>
      <c r="L7" s="80">
        <v>0</v>
      </c>
      <c r="M7" s="80">
        <v>0.2</v>
      </c>
      <c r="N7" s="80">
        <v>0</v>
      </c>
      <c r="P7" s="71"/>
      <c r="Q7" s="71"/>
      <c r="R7" s="71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77</v>
      </c>
      <c r="C8" s="80">
        <v>7</v>
      </c>
      <c r="D8"/>
      <c r="E8" s="175" t="s">
        <v>198</v>
      </c>
      <c r="F8" s="80">
        <v>0</v>
      </c>
      <c r="G8" s="80">
        <v>12</v>
      </c>
      <c r="H8" s="80">
        <v>0.26100000000000001</v>
      </c>
      <c r="I8" s="80">
        <v>1.044</v>
      </c>
      <c r="J8" s="80">
        <v>0.64819133299999998</v>
      </c>
      <c r="K8" s="80">
        <v>0.25</v>
      </c>
      <c r="L8" s="80">
        <v>0</v>
      </c>
      <c r="M8" s="80">
        <v>0.2</v>
      </c>
      <c r="N8" s="80">
        <v>0</v>
      </c>
      <c r="P8" s="71"/>
      <c r="Q8" s="71"/>
      <c r="R8" s="71"/>
    </row>
    <row r="9" spans="1:46" ht="15" customHeight="1" x14ac:dyDescent="0.15">
      <c r="B9" s="1"/>
      <c r="C9" s="80">
        <v>8</v>
      </c>
      <c r="D9"/>
      <c r="E9" s="175" t="s">
        <v>199</v>
      </c>
      <c r="F9" s="80">
        <v>0</v>
      </c>
      <c r="G9" s="80">
        <v>7.45</v>
      </c>
      <c r="H9" s="80">
        <v>0.82</v>
      </c>
      <c r="I9" s="80">
        <v>4.42</v>
      </c>
      <c r="J9" s="80">
        <v>0.98576699999999995</v>
      </c>
      <c r="K9" s="80">
        <v>0.185520351</v>
      </c>
      <c r="L9" s="80">
        <v>0</v>
      </c>
      <c r="M9" s="80">
        <v>0.2</v>
      </c>
      <c r="N9" s="80">
        <v>0</v>
      </c>
      <c r="P9" s="71"/>
      <c r="Q9" s="71"/>
      <c r="R9" s="71"/>
    </row>
    <row r="10" spans="1:46" ht="15" customHeight="1" x14ac:dyDescent="0.15">
      <c r="B10" s="1"/>
      <c r="C10" s="80">
        <v>9</v>
      </c>
      <c r="D10"/>
      <c r="E10" s="175" t="s">
        <v>200</v>
      </c>
      <c r="F10" s="80">
        <v>0</v>
      </c>
      <c r="G10" s="80">
        <v>0.372</v>
      </c>
      <c r="H10" s="80">
        <v>2.3370000000000002</v>
      </c>
      <c r="I10" s="80">
        <v>9.3480000000000008</v>
      </c>
      <c r="J10" s="80">
        <v>0.26535585499999997</v>
      </c>
      <c r="K10" s="80">
        <v>0.25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5" t="s">
        <v>201</v>
      </c>
      <c r="F11" s="80">
        <v>0</v>
      </c>
      <c r="G11" s="80">
        <v>0.23899999999999999</v>
      </c>
      <c r="H11" s="80">
        <v>2.3370000000000002</v>
      </c>
      <c r="I11" s="80">
        <v>9.3480000000000008</v>
      </c>
      <c r="J11" s="80">
        <v>0.97097</v>
      </c>
      <c r="K11" s="80">
        <v>0.25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5" t="s">
        <v>202</v>
      </c>
      <c r="F12" s="80">
        <v>0</v>
      </c>
      <c r="G12" s="80">
        <v>5.0999999999999997E-2</v>
      </c>
      <c r="H12" s="80">
        <v>2.3370000000000002</v>
      </c>
      <c r="I12" s="80">
        <v>9.3480000000000008</v>
      </c>
      <c r="J12" s="80">
        <v>0.52638453200000002</v>
      </c>
      <c r="K12" s="80">
        <v>0.25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5" t="s">
        <v>203</v>
      </c>
      <c r="F13" s="80">
        <v>0</v>
      </c>
      <c r="G13" s="80">
        <v>7.0000000000000007E-2</v>
      </c>
      <c r="H13" s="80">
        <v>1.169</v>
      </c>
      <c r="I13" s="80">
        <v>4.6760000000000002</v>
      </c>
      <c r="J13" s="80">
        <v>0.428614259</v>
      </c>
      <c r="K13" s="80">
        <v>0.25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5" t="s">
        <v>204</v>
      </c>
      <c r="F14" s="80">
        <v>0</v>
      </c>
      <c r="G14" s="80">
        <v>1.819</v>
      </c>
      <c r="H14" s="80">
        <v>0.93</v>
      </c>
      <c r="I14" s="80">
        <v>6.3849999999999998</v>
      </c>
      <c r="J14" s="80">
        <v>0.80094814299999995</v>
      </c>
      <c r="K14" s="80">
        <v>0.14565387399999999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5" t="s">
        <v>205</v>
      </c>
      <c r="F15" s="80">
        <v>0</v>
      </c>
      <c r="G15" s="80">
        <v>0.14599999999999999</v>
      </c>
      <c r="H15" s="80">
        <v>0.89700000000000002</v>
      </c>
      <c r="I15" s="80">
        <v>8.9359999999999999</v>
      </c>
      <c r="J15" s="80">
        <v>0.89326983699999996</v>
      </c>
      <c r="K15" s="80">
        <v>0.100380488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5" t="s">
        <v>206</v>
      </c>
      <c r="F16" s="80">
        <v>0</v>
      </c>
      <c r="G16" s="80">
        <v>6.2E-2</v>
      </c>
      <c r="H16" s="80">
        <v>0.37</v>
      </c>
      <c r="I16" s="80">
        <v>3.8</v>
      </c>
      <c r="J16" s="80">
        <v>0.83938190000000001</v>
      </c>
      <c r="K16" s="80">
        <v>9.7368430000000006E-2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5" t="s">
        <v>207</v>
      </c>
      <c r="F17" s="80">
        <v>0</v>
      </c>
      <c r="G17" s="80">
        <v>9.7000000000000003E-2</v>
      </c>
      <c r="H17" s="80">
        <v>1.0089999999999999</v>
      </c>
      <c r="I17" s="80">
        <v>6.4379999999999997</v>
      </c>
      <c r="J17" s="80">
        <v>0.99624789999999996</v>
      </c>
      <c r="K17" s="80">
        <v>0.15672567500000001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5" t="s">
        <v>208</v>
      </c>
      <c r="F18" s="80">
        <v>0</v>
      </c>
      <c r="G18" s="80">
        <v>0.126</v>
      </c>
      <c r="H18" s="80">
        <v>1.091</v>
      </c>
      <c r="I18" s="80">
        <v>9.9429999999999996</v>
      </c>
      <c r="J18" s="80">
        <v>0.96187780000000001</v>
      </c>
      <c r="K18" s="80">
        <v>0.109725431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5" t="s">
        <v>209</v>
      </c>
      <c r="F19" s="80">
        <v>0</v>
      </c>
      <c r="G19" s="80">
        <v>0.17100000000000001</v>
      </c>
      <c r="H19" s="80">
        <v>0.3</v>
      </c>
      <c r="I19" s="80">
        <v>2.633</v>
      </c>
      <c r="J19" s="80">
        <v>0.82851666199999996</v>
      </c>
      <c r="K19" s="80">
        <v>0.11393848099999999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5" t="s">
        <v>210</v>
      </c>
      <c r="F20" s="80">
        <v>0</v>
      </c>
      <c r="G20" s="80">
        <v>0.46300000000000002</v>
      </c>
      <c r="H20" s="80">
        <v>0.43099999999999999</v>
      </c>
      <c r="I20" s="80">
        <v>4.2430000000000003</v>
      </c>
      <c r="J20" s="80">
        <v>0.71103499999999997</v>
      </c>
      <c r="K20" s="80">
        <v>0.10157906999999999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6" t="s">
        <v>137</v>
      </c>
      <c r="B21" s="98"/>
      <c r="C21" s="80">
        <v>20</v>
      </c>
      <c r="D21"/>
      <c r="E21" s="175" t="s">
        <v>211</v>
      </c>
      <c r="F21" s="80">
        <v>0</v>
      </c>
      <c r="G21" s="80">
        <v>0.36199999999999999</v>
      </c>
      <c r="H21" s="80">
        <v>1.2270000000000001</v>
      </c>
      <c r="I21" s="80">
        <v>9.42</v>
      </c>
      <c r="J21" s="80">
        <v>0.75098866200000003</v>
      </c>
      <c r="K21" s="80">
        <v>0.13025477499999999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5" t="s">
        <v>212</v>
      </c>
      <c r="F22" s="80">
        <v>0</v>
      </c>
      <c r="G22" s="80">
        <v>0.13</v>
      </c>
      <c r="H22" s="80">
        <v>0.52100000000000002</v>
      </c>
      <c r="I22" s="80">
        <v>5.0250000000000004</v>
      </c>
      <c r="J22" s="80">
        <v>0.92436945400000003</v>
      </c>
      <c r="K22" s="80">
        <v>0.103681594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5" t="s">
        <v>213</v>
      </c>
      <c r="F23" s="80">
        <v>0</v>
      </c>
      <c r="G23" s="80">
        <v>0.192</v>
      </c>
      <c r="H23" s="80">
        <v>0.38300000000000001</v>
      </c>
      <c r="I23" s="80">
        <v>6.335</v>
      </c>
      <c r="J23" s="80">
        <v>0.54938260000000005</v>
      </c>
      <c r="K23" s="80">
        <v>6.0457773499999999E-2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5" t="s">
        <v>214</v>
      </c>
      <c r="F24" s="80">
        <v>0</v>
      </c>
      <c r="G24" s="80">
        <v>0.28499999999999998</v>
      </c>
      <c r="H24" s="80">
        <v>0.92600000000000005</v>
      </c>
      <c r="I24" s="80">
        <v>9.3000000000000007</v>
      </c>
      <c r="J24" s="80">
        <v>0.95359289999999997</v>
      </c>
      <c r="K24" s="80">
        <v>9.9569889999999994E-2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5" t="s">
        <v>215</v>
      </c>
      <c r="F25" s="80">
        <v>0</v>
      </c>
      <c r="G25" s="80">
        <v>1E-3</v>
      </c>
      <c r="H25" s="80">
        <v>0.60299999999999998</v>
      </c>
      <c r="I25" s="80">
        <v>7.3</v>
      </c>
      <c r="J25" s="80">
        <v>2.6008517999999999E-5</v>
      </c>
      <c r="K25" s="80">
        <v>8.2602729999999999E-2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5" t="s">
        <v>216</v>
      </c>
      <c r="F26" s="80">
        <v>0</v>
      </c>
      <c r="G26" s="80">
        <v>0.104</v>
      </c>
      <c r="H26" s="80">
        <v>0.35299999999999998</v>
      </c>
      <c r="I26" s="80">
        <v>4.6500000000000004</v>
      </c>
      <c r="J26" s="80">
        <v>0.4868632</v>
      </c>
      <c r="K26" s="80">
        <v>7.5913969999999997E-2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5" t="s">
        <v>217</v>
      </c>
      <c r="F27" s="80">
        <v>0</v>
      </c>
      <c r="G27" s="80">
        <v>2.8000000000000001E-2</v>
      </c>
      <c r="H27" s="80">
        <v>0.40200000000000002</v>
      </c>
      <c r="I27" s="80">
        <v>1.591</v>
      </c>
      <c r="J27" s="80">
        <v>2.7290305099999999E-2</v>
      </c>
      <c r="K27" s="80">
        <v>0.25267129999999999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5" t="s">
        <v>218</v>
      </c>
      <c r="F28" s="80">
        <v>0</v>
      </c>
      <c r="G28" s="80">
        <v>7.3999999999999996E-2</v>
      </c>
      <c r="H28" s="80">
        <v>0.36</v>
      </c>
      <c r="I28" s="80">
        <v>1.9</v>
      </c>
      <c r="J28" s="80">
        <v>0.14424005200000001</v>
      </c>
      <c r="K28" s="80">
        <v>0.189473689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75" t="s">
        <v>219</v>
      </c>
      <c r="F29" s="80">
        <v>0</v>
      </c>
      <c r="G29" s="80">
        <v>0.18</v>
      </c>
      <c r="H29" s="80">
        <v>1.0089999999999999</v>
      </c>
      <c r="I29" s="80">
        <v>6.4379999999999997</v>
      </c>
      <c r="J29" s="80">
        <v>0.27048206299999999</v>
      </c>
      <c r="K29" s="80">
        <v>0.15672567500000001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75" t="s">
        <v>220</v>
      </c>
      <c r="F30" s="80">
        <v>0</v>
      </c>
      <c r="G30" s="80">
        <v>3.9E-2</v>
      </c>
      <c r="H30" s="80">
        <v>0.315</v>
      </c>
      <c r="I30" s="80">
        <v>1.3</v>
      </c>
      <c r="J30" s="80">
        <v>0.840038061</v>
      </c>
      <c r="K30" s="80">
        <v>0.24230769999999999</v>
      </c>
      <c r="L30" s="80">
        <v>0</v>
      </c>
      <c r="M30" s="80">
        <v>0.2</v>
      </c>
      <c r="N30" s="80">
        <v>0</v>
      </c>
    </row>
    <row r="31" spans="1:22" customFormat="1" ht="15" customHeight="1" x14ac:dyDescent="0.15">
      <c r="C31" s="80">
        <v>30</v>
      </c>
      <c r="E31" s="175" t="s">
        <v>221</v>
      </c>
      <c r="F31" s="80">
        <v>0</v>
      </c>
      <c r="G31" s="80">
        <v>3.5209999999999999</v>
      </c>
      <c r="H31" s="80">
        <v>1.0089999999999999</v>
      </c>
      <c r="I31" s="80">
        <v>6.4379999999999997</v>
      </c>
      <c r="J31" s="80">
        <v>0.90423719999999996</v>
      </c>
      <c r="K31" s="80">
        <v>0.15672567500000001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75" t="s">
        <v>222</v>
      </c>
      <c r="F32" s="80">
        <v>0</v>
      </c>
      <c r="G32" s="80">
        <v>0.57699999999999996</v>
      </c>
      <c r="H32" s="80">
        <v>0.39</v>
      </c>
      <c r="I32" s="80">
        <v>1.9</v>
      </c>
      <c r="J32" s="80">
        <v>0.60959640000000004</v>
      </c>
      <c r="K32" s="80">
        <v>0.205263153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75" t="s">
        <v>223</v>
      </c>
      <c r="F33" s="80">
        <v>0</v>
      </c>
      <c r="G33" s="80">
        <v>0.57999999999999996</v>
      </c>
      <c r="H33" s="80">
        <v>1.0089999999999999</v>
      </c>
      <c r="I33" s="80">
        <v>6.4379999999999997</v>
      </c>
      <c r="J33" s="80">
        <v>0.37730872599999998</v>
      </c>
      <c r="K33" s="80">
        <v>0.15672567500000001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75" t="s">
        <v>224</v>
      </c>
      <c r="F34" s="80">
        <v>0</v>
      </c>
      <c r="G34" s="80">
        <v>0.19900000000000001</v>
      </c>
      <c r="H34" s="80">
        <v>0.15</v>
      </c>
      <c r="I34" s="80">
        <v>1.1000000000000001</v>
      </c>
      <c r="J34" s="80">
        <v>0.76585984200000001</v>
      </c>
      <c r="K34" s="80">
        <v>0.13636364000000001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75" t="s">
        <v>225</v>
      </c>
      <c r="F35" s="80">
        <v>0</v>
      </c>
      <c r="G35" s="80">
        <v>0.17599999999999999</v>
      </c>
      <c r="H35" s="80">
        <v>1.0089999999999999</v>
      </c>
      <c r="I35" s="80">
        <v>6.4379999999999997</v>
      </c>
      <c r="J35" s="80">
        <v>0.17420545200000001</v>
      </c>
      <c r="K35" s="80">
        <v>0.15672567500000001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75" t="s">
        <v>226</v>
      </c>
      <c r="F36" s="80">
        <v>0</v>
      </c>
      <c r="G36" s="80">
        <v>0.29099999999999998</v>
      </c>
      <c r="H36" s="80">
        <v>0.19400000000000001</v>
      </c>
      <c r="I36" s="80">
        <v>1.3</v>
      </c>
      <c r="J36" s="80">
        <v>0.46487882699999999</v>
      </c>
      <c r="K36" s="80">
        <v>0.14923077800000001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75" t="s">
        <v>227</v>
      </c>
      <c r="F37" s="80">
        <v>0</v>
      </c>
      <c r="G37" s="80">
        <v>2.1999999999999999E-2</v>
      </c>
      <c r="H37" s="80">
        <v>0.63400000000000001</v>
      </c>
      <c r="I37" s="80">
        <v>7.2</v>
      </c>
      <c r="J37" s="80">
        <v>0.42211359999999998</v>
      </c>
      <c r="K37" s="80">
        <v>8.8055560000000005E-2</v>
      </c>
      <c r="L37" s="80">
        <v>0</v>
      </c>
      <c r="M37" s="80">
        <v>0.2</v>
      </c>
      <c r="N37" s="80">
        <v>0</v>
      </c>
    </row>
    <row r="38" spans="3:14" customFormat="1" ht="15" customHeight="1" x14ac:dyDescent="0.15">
      <c r="C38" s="80">
        <v>37</v>
      </c>
      <c r="E38" s="175" t="s">
        <v>228</v>
      </c>
      <c r="F38" s="80">
        <v>0</v>
      </c>
      <c r="G38" s="80">
        <v>1.6000000000000001E-4</v>
      </c>
      <c r="H38" s="80">
        <v>0.09</v>
      </c>
      <c r="I38" s="80">
        <v>3.7</v>
      </c>
      <c r="J38" s="80">
        <v>0.13888888099999999</v>
      </c>
      <c r="K38" s="80">
        <v>2.4324325800000001E-2</v>
      </c>
      <c r="L38" s="80">
        <v>0</v>
      </c>
      <c r="M38" s="80">
        <v>0.2</v>
      </c>
      <c r="N38" s="80">
        <v>0</v>
      </c>
    </row>
    <row r="39" spans="3:14" customFormat="1" ht="15" customHeight="1" x14ac:dyDescent="0.15">
      <c r="C39" s="80">
        <v>38</v>
      </c>
      <c r="E39" s="175" t="s">
        <v>229</v>
      </c>
      <c r="F39" s="80">
        <v>0</v>
      </c>
      <c r="G39" s="80">
        <v>1E-4</v>
      </c>
      <c r="H39" s="80">
        <v>0.112</v>
      </c>
      <c r="I39" s="80">
        <v>4.43</v>
      </c>
      <c r="J39" s="80">
        <v>0</v>
      </c>
      <c r="K39" s="80">
        <v>2.5282168800000001E-2</v>
      </c>
      <c r="L39" s="80">
        <v>0</v>
      </c>
      <c r="M39" s="80">
        <v>0.2</v>
      </c>
      <c r="N39" s="80">
        <v>0</v>
      </c>
    </row>
    <row r="40" spans="3:14" customFormat="1" ht="15" customHeight="1" x14ac:dyDescent="0.15">
      <c r="C40" s="80">
        <v>39</v>
      </c>
      <c r="E40" s="175" t="s">
        <v>230</v>
      </c>
      <c r="F40" s="80">
        <v>0</v>
      </c>
      <c r="G40" s="80">
        <v>4.0000000000000002E-4</v>
      </c>
      <c r="H40" s="80">
        <v>0.05</v>
      </c>
      <c r="I40" s="80">
        <v>5.4880000000000004</v>
      </c>
      <c r="J40" s="80">
        <v>0</v>
      </c>
      <c r="K40" s="80">
        <v>9.1107879999999999E-3</v>
      </c>
      <c r="L40" s="80">
        <v>0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75" t="s">
        <v>231</v>
      </c>
      <c r="F41" s="80">
        <v>0</v>
      </c>
      <c r="G41" s="80">
        <v>7.0000000000000001E-3</v>
      </c>
      <c r="H41" s="80">
        <v>0.13600000000000001</v>
      </c>
      <c r="I41" s="80">
        <v>14.226000000000001</v>
      </c>
      <c r="J41" s="80">
        <v>0.73457419999999995</v>
      </c>
      <c r="K41" s="80">
        <v>9.5599610000000005E-3</v>
      </c>
      <c r="L41" s="80">
        <v>0</v>
      </c>
      <c r="M41" s="80">
        <v>0.2</v>
      </c>
      <c r="N41" s="80">
        <v>0</v>
      </c>
    </row>
    <row r="42" spans="3:14" customFormat="1" ht="15" customHeight="1" x14ac:dyDescent="0.15">
      <c r="C42" s="80">
        <v>41</v>
      </c>
      <c r="E42" s="175" t="s">
        <v>232</v>
      </c>
      <c r="F42" s="80">
        <v>0</v>
      </c>
      <c r="G42" s="80">
        <v>9.5000000000000001E-2</v>
      </c>
      <c r="H42" s="80">
        <v>4</v>
      </c>
      <c r="I42" s="80">
        <v>80</v>
      </c>
      <c r="J42" s="80">
        <v>2.6826553499999998E-3</v>
      </c>
      <c r="K42" s="80">
        <v>0.05</v>
      </c>
      <c r="L42" s="80">
        <v>0</v>
      </c>
      <c r="M42" s="80">
        <v>0.2</v>
      </c>
      <c r="N42" s="80">
        <v>0</v>
      </c>
    </row>
    <row r="43" spans="3:14" customFormat="1" ht="15" customHeight="1" x14ac:dyDescent="0.15">
      <c r="C43" s="80">
        <v>42</v>
      </c>
      <c r="E43" s="175" t="s">
        <v>233</v>
      </c>
      <c r="F43" s="80">
        <v>0</v>
      </c>
      <c r="G43" s="80">
        <v>8.0000000000000002E-3</v>
      </c>
      <c r="H43" s="80">
        <v>6.6870000000000003</v>
      </c>
      <c r="I43" s="80">
        <v>133.73599999999999</v>
      </c>
      <c r="J43" s="80">
        <v>1.90557986E-2</v>
      </c>
      <c r="K43" s="80">
        <v>5.0001499999999997E-2</v>
      </c>
      <c r="L43" s="80">
        <v>0</v>
      </c>
      <c r="M43" s="80">
        <v>0.2</v>
      </c>
      <c r="N43" s="80">
        <v>0</v>
      </c>
    </row>
    <row r="44" spans="3:14" customFormat="1" ht="15" customHeight="1" x14ac:dyDescent="0.15">
      <c r="C44" s="80">
        <v>43</v>
      </c>
      <c r="E44" s="175" t="s">
        <v>234</v>
      </c>
      <c r="F44" s="80">
        <v>0</v>
      </c>
      <c r="G44" s="80">
        <v>2E-3</v>
      </c>
      <c r="H44" s="80">
        <v>2.5</v>
      </c>
      <c r="I44" s="80">
        <v>54.75</v>
      </c>
      <c r="J44" s="80">
        <v>0.2038818</v>
      </c>
      <c r="K44" s="80">
        <v>4.5662099999999997E-2</v>
      </c>
      <c r="L44" s="80">
        <v>0</v>
      </c>
      <c r="M44" s="80">
        <v>0.2</v>
      </c>
      <c r="N44" s="80">
        <v>0</v>
      </c>
    </row>
    <row r="45" spans="3:14" customFormat="1" ht="15" customHeight="1" x14ac:dyDescent="0.15">
      <c r="C45" s="80">
        <v>44</v>
      </c>
      <c r="E45" s="175" t="s">
        <v>235</v>
      </c>
      <c r="F45" s="80">
        <v>2</v>
      </c>
      <c r="G45" s="80">
        <v>41.27</v>
      </c>
      <c r="H45" s="80">
        <v>0</v>
      </c>
      <c r="I45" s="80">
        <v>0</v>
      </c>
      <c r="J45" s="80">
        <v>0</v>
      </c>
      <c r="K45" s="80">
        <v>0</v>
      </c>
      <c r="L45" s="80">
        <v>0</v>
      </c>
      <c r="M45" s="80">
        <v>0</v>
      </c>
      <c r="N45" s="80">
        <v>0</v>
      </c>
    </row>
    <row r="46" spans="3:14" customFormat="1" ht="15" customHeight="1" x14ac:dyDescent="0.15">
      <c r="C46" s="80">
        <v>45</v>
      </c>
      <c r="E46" s="175" t="s">
        <v>236</v>
      </c>
      <c r="F46" s="80">
        <v>2</v>
      </c>
      <c r="G46" s="80">
        <v>5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75" t="s">
        <v>237</v>
      </c>
      <c r="F47" s="80">
        <v>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T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83203125" style="141" bestFit="1" customWidth="1"/>
    <col min="2" max="3" width="2.33203125" style="141" bestFit="1" customWidth="1"/>
    <col min="4" max="4" width="4.83203125" style="141" bestFit="1" customWidth="1"/>
    <col min="5" max="5" width="13.83203125" style="141" bestFit="1" customWidth="1"/>
    <col min="6" max="6" width="9.83203125" style="141" bestFit="1" customWidth="1"/>
    <col min="7" max="7" width="4.83203125" style="141" bestFit="1" customWidth="1"/>
    <col min="8" max="8" width="14.83203125" style="141" bestFit="1" customWidth="1"/>
    <col min="9" max="11" width="4.83203125" style="141" bestFit="1" customWidth="1"/>
    <col min="12" max="12" width="14.83203125" style="141" bestFit="1" customWidth="1"/>
    <col min="13" max="13" width="13.83203125" style="141" bestFit="1" customWidth="1"/>
    <col min="14" max="14" width="9.83203125" style="141" bestFit="1" customWidth="1"/>
    <col min="15" max="15" width="14.83203125" style="141" bestFit="1" customWidth="1"/>
    <col min="16" max="16" width="13.83203125" style="141" bestFit="1" customWidth="1"/>
    <col min="17" max="17" width="14.83203125" style="141" bestFit="1" customWidth="1"/>
    <col min="18" max="18" width="12.83203125" style="141" bestFit="1" customWidth="1"/>
    <col min="19" max="19" width="13.83203125" style="141" bestFit="1" customWidth="1"/>
    <col min="20" max="20" width="14.83203125" style="141" bestFit="1" customWidth="1"/>
    <col min="21" max="21" width="13.83203125" style="141" bestFit="1" customWidth="1"/>
    <col min="22" max="24" width="14.83203125" style="141" bestFit="1" customWidth="1"/>
    <col min="25" max="29" width="4.83203125" style="141" bestFit="1" customWidth="1"/>
    <col min="30" max="33" width="4.83203125" style="141" customWidth="1"/>
    <col min="34" max="34" width="14.83203125" style="141" customWidth="1"/>
    <col min="35" max="35" width="15.5" style="141" customWidth="1"/>
    <col min="36" max="36" width="14.5" style="141" customWidth="1"/>
    <col min="37" max="37" width="15.5" style="141" customWidth="1"/>
    <col min="38" max="38" width="4.83203125" style="141" customWidth="1"/>
    <col min="39" max="40" width="13.83203125" style="141" customWidth="1"/>
    <col min="41" max="42" width="14.83203125" style="141" customWidth="1"/>
    <col min="43" max="44" width="13.83203125" style="141" customWidth="1"/>
    <col min="45" max="46" width="2.33203125" style="141" customWidth="1"/>
    <col min="47" max="16384" width="8.83203125" style="141"/>
  </cols>
  <sheetData>
    <row r="1" spans="1:46" x14ac:dyDescent="0.15">
      <c r="A1" s="140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  <c r="AI1" s="177" t="s">
        <v>225</v>
      </c>
      <c r="AJ1" s="177" t="s">
        <v>226</v>
      </c>
      <c r="AK1" s="177" t="s">
        <v>227</v>
      </c>
      <c r="AL1" s="177" t="s">
        <v>228</v>
      </c>
      <c r="AM1" s="177" t="s">
        <v>229</v>
      </c>
      <c r="AN1" s="177" t="s">
        <v>230</v>
      </c>
      <c r="AO1" s="177" t="s">
        <v>231</v>
      </c>
      <c r="AP1" s="177" t="s">
        <v>232</v>
      </c>
      <c r="AQ1" s="177" t="s">
        <v>233</v>
      </c>
      <c r="AR1" s="177" t="s">
        <v>234</v>
      </c>
      <c r="AS1" s="177" t="s">
        <v>235</v>
      </c>
      <c r="AT1" s="177" t="s">
        <v>236</v>
      </c>
    </row>
    <row r="2" spans="1:46" customFormat="1" x14ac:dyDescent="0.15">
      <c r="A2" s="176" t="s">
        <v>192</v>
      </c>
      <c r="B2" s="141">
        <v>0</v>
      </c>
      <c r="C2" s="141">
        <v>1</v>
      </c>
      <c r="D2" s="141">
        <v>0</v>
      </c>
      <c r="E2" s="141">
        <v>0.56565655656565561</v>
      </c>
      <c r="F2" s="141">
        <v>0</v>
      </c>
      <c r="G2" s="141">
        <v>0.43</v>
      </c>
      <c r="H2" s="141">
        <v>0.33663367643564263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  <c r="AL2" s="141">
        <v>0</v>
      </c>
      <c r="AM2" s="141">
        <v>0</v>
      </c>
      <c r="AN2" s="141">
        <v>0</v>
      </c>
      <c r="AO2" s="141">
        <v>0</v>
      </c>
      <c r="AP2" s="141">
        <v>0</v>
      </c>
      <c r="AQ2" s="141">
        <v>0</v>
      </c>
      <c r="AR2" s="141">
        <v>0</v>
      </c>
      <c r="AS2" s="141">
        <v>0</v>
      </c>
      <c r="AT2" s="141">
        <v>0</v>
      </c>
    </row>
    <row r="3" spans="1:46" customFormat="1" x14ac:dyDescent="0.15">
      <c r="A3" s="176" t="s">
        <v>193</v>
      </c>
      <c r="B3" s="141">
        <v>0</v>
      </c>
      <c r="C3" s="141">
        <v>0</v>
      </c>
      <c r="D3" s="141">
        <v>0.71</v>
      </c>
      <c r="E3" s="141">
        <v>0.33333333333333331</v>
      </c>
      <c r="F3" s="141">
        <v>0.41414139999999999</v>
      </c>
      <c r="G3" s="141">
        <v>0</v>
      </c>
      <c r="H3" s="141">
        <v>0</v>
      </c>
      <c r="I3" s="141">
        <v>0</v>
      </c>
      <c r="J3" s="141">
        <v>7.0000000000000007E-2</v>
      </c>
      <c r="K3" s="141">
        <v>0.01</v>
      </c>
      <c r="L3" s="141">
        <v>0</v>
      </c>
      <c r="M3" s="141">
        <v>0</v>
      </c>
      <c r="N3" s="141">
        <v>0.41414139999999999</v>
      </c>
      <c r="O3" s="141">
        <v>0</v>
      </c>
      <c r="P3" s="141">
        <v>0</v>
      </c>
      <c r="Q3" s="141">
        <v>3.2019467854695657E-2</v>
      </c>
      <c r="R3" s="141">
        <v>0</v>
      </c>
      <c r="S3" s="141">
        <v>0</v>
      </c>
      <c r="T3" s="141">
        <v>0</v>
      </c>
      <c r="U3" s="141">
        <v>0.24675320246753202</v>
      </c>
      <c r="V3" s="141">
        <v>0</v>
      </c>
      <c r="W3" s="141">
        <v>0</v>
      </c>
      <c r="X3" s="141">
        <v>0.13413279637841449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0.27</v>
      </c>
      <c r="AF3" s="141">
        <v>0.01</v>
      </c>
      <c r="AG3" s="141">
        <v>0.25</v>
      </c>
      <c r="AH3" s="141">
        <v>0</v>
      </c>
      <c r="AI3" s="141">
        <v>0.24751933621001454</v>
      </c>
      <c r="AJ3" s="141">
        <v>0.23300969112527367</v>
      </c>
      <c r="AK3" s="141">
        <v>0</v>
      </c>
      <c r="AL3" s="141">
        <v>0.28000000000000003</v>
      </c>
      <c r="AM3" s="141">
        <v>0.24242424121212103</v>
      </c>
      <c r="AN3" s="141">
        <v>1.0752689139784867E-2</v>
      </c>
      <c r="AO3" s="141">
        <v>3.0710640583502164E-2</v>
      </c>
      <c r="AP3" s="141">
        <v>0</v>
      </c>
      <c r="AQ3" s="141">
        <v>0</v>
      </c>
      <c r="AR3" s="141">
        <v>0</v>
      </c>
      <c r="AS3" s="141">
        <v>0</v>
      </c>
      <c r="AT3" s="141">
        <v>0</v>
      </c>
    </row>
    <row r="4" spans="1:46" customFormat="1" x14ac:dyDescent="0.15">
      <c r="A4" s="176" t="s">
        <v>194</v>
      </c>
      <c r="B4" s="141">
        <v>0</v>
      </c>
      <c r="C4" s="141">
        <v>0</v>
      </c>
      <c r="D4" s="141">
        <v>0.1</v>
      </c>
      <c r="E4" s="141">
        <v>4.0404044040404402E-2</v>
      </c>
      <c r="F4" s="141">
        <v>0.17171719999999999</v>
      </c>
      <c r="G4" s="141">
        <v>0</v>
      </c>
      <c r="H4" s="141">
        <v>0</v>
      </c>
      <c r="I4" s="141">
        <v>0</v>
      </c>
      <c r="J4" s="141">
        <v>0.2</v>
      </c>
      <c r="K4" s="141">
        <v>0.02</v>
      </c>
      <c r="L4" s="141">
        <v>0</v>
      </c>
      <c r="M4" s="141">
        <v>0.21212121060606051</v>
      </c>
      <c r="N4" s="141">
        <v>0.17171719999999999</v>
      </c>
      <c r="O4" s="141">
        <v>0</v>
      </c>
      <c r="P4" s="141">
        <v>0</v>
      </c>
      <c r="Q4" s="141">
        <v>0.22413628498286892</v>
      </c>
      <c r="R4" s="141">
        <v>0</v>
      </c>
      <c r="S4" s="141">
        <v>0</v>
      </c>
      <c r="T4" s="141">
        <v>4.004452300333923E-2</v>
      </c>
      <c r="U4" s="141">
        <v>0.40259740402597399</v>
      </c>
      <c r="V4" s="141">
        <v>1.9801982574257738E-2</v>
      </c>
      <c r="W4" s="141">
        <v>0</v>
      </c>
      <c r="X4" s="141">
        <v>0.12295499668021509</v>
      </c>
      <c r="Y4" s="141">
        <v>0</v>
      </c>
      <c r="Z4" s="141">
        <v>0</v>
      </c>
      <c r="AA4" s="141">
        <v>0</v>
      </c>
      <c r="AB4" s="141">
        <v>0.05</v>
      </c>
      <c r="AC4" s="141">
        <v>0.33</v>
      </c>
      <c r="AD4" s="141">
        <v>0.06</v>
      </c>
      <c r="AE4" s="141">
        <v>0.27</v>
      </c>
      <c r="AF4" s="141">
        <v>0.01</v>
      </c>
      <c r="AG4" s="141">
        <v>0.25</v>
      </c>
      <c r="AH4" s="141">
        <v>0</v>
      </c>
      <c r="AI4" s="141">
        <v>0.24751933621001454</v>
      </c>
      <c r="AJ4" s="141">
        <v>0.18446599297417549</v>
      </c>
      <c r="AK4" s="141">
        <v>0</v>
      </c>
      <c r="AL4" s="141">
        <v>0.22</v>
      </c>
      <c r="AM4" s="141">
        <v>0.24242424121212103</v>
      </c>
      <c r="AN4" s="141">
        <v>1.0752689139784867E-2</v>
      </c>
      <c r="AO4" s="141">
        <v>3.0710640583502164E-2</v>
      </c>
      <c r="AP4" s="141">
        <v>0.13294221262951023</v>
      </c>
      <c r="AQ4" s="141">
        <v>0</v>
      </c>
      <c r="AR4" s="141">
        <v>0</v>
      </c>
      <c r="AS4" s="141">
        <v>0</v>
      </c>
      <c r="AT4" s="141">
        <v>0</v>
      </c>
    </row>
    <row r="5" spans="1:46" customFormat="1" x14ac:dyDescent="0.15">
      <c r="A5" s="176" t="s">
        <v>195</v>
      </c>
      <c r="B5" s="141">
        <v>0</v>
      </c>
      <c r="C5" s="141">
        <v>0</v>
      </c>
      <c r="D5" s="141">
        <v>0.19</v>
      </c>
      <c r="E5" s="141">
        <v>6.0606066060606603E-2</v>
      </c>
      <c r="F5" s="141">
        <v>0.41414139999999999</v>
      </c>
      <c r="G5" s="141">
        <v>0</v>
      </c>
      <c r="H5" s="141">
        <v>0</v>
      </c>
      <c r="I5" s="141">
        <v>0</v>
      </c>
      <c r="J5" s="141">
        <v>0.2</v>
      </c>
      <c r="K5" s="141">
        <v>0.95</v>
      </c>
      <c r="L5" s="141">
        <v>0.2941176758823506</v>
      </c>
      <c r="M5" s="141">
        <v>0.21212121060606051</v>
      </c>
      <c r="N5" s="141">
        <v>0.41414139999999999</v>
      </c>
      <c r="O5" s="141">
        <v>0</v>
      </c>
      <c r="P5" s="141">
        <v>0</v>
      </c>
      <c r="Q5" s="141">
        <v>3.2019467854695657E-2</v>
      </c>
      <c r="R5" s="141">
        <v>0</v>
      </c>
      <c r="S5" s="141">
        <v>5.1588939484110606E-2</v>
      </c>
      <c r="T5" s="141">
        <v>0.13014470976085324</v>
      </c>
      <c r="U5" s="141">
        <v>0.25974030259740299</v>
      </c>
      <c r="V5" s="141">
        <v>3.9603965148515476E-2</v>
      </c>
      <c r="W5" s="141">
        <v>0.26859747716921439</v>
      </c>
      <c r="X5" s="141">
        <v>0.58124198430646645</v>
      </c>
      <c r="Y5" s="141">
        <v>0</v>
      </c>
      <c r="Z5" s="141">
        <v>0</v>
      </c>
      <c r="AA5" s="141">
        <v>0</v>
      </c>
      <c r="AB5" s="141">
        <v>0.05</v>
      </c>
      <c r="AC5" s="141">
        <v>0.33</v>
      </c>
      <c r="AD5" s="141">
        <v>0.94</v>
      </c>
      <c r="AE5" s="141">
        <v>0.27</v>
      </c>
      <c r="AF5" s="141">
        <v>0.13</v>
      </c>
      <c r="AG5" s="141">
        <v>0.25</v>
      </c>
      <c r="AH5" s="141">
        <v>0.17745261028126708</v>
      </c>
      <c r="AI5" s="141">
        <v>0.24751933621001454</v>
      </c>
      <c r="AJ5" s="141">
        <v>0.23300969112527367</v>
      </c>
      <c r="AK5" s="141">
        <v>0</v>
      </c>
      <c r="AL5" s="141">
        <v>0.22</v>
      </c>
      <c r="AM5" s="141">
        <v>0.24242424121212103</v>
      </c>
      <c r="AN5" s="141">
        <v>1.0752689139784867E-2</v>
      </c>
      <c r="AO5" s="141">
        <v>3.0710640583502164E-2</v>
      </c>
      <c r="AP5" s="141">
        <v>0.29005572755529418</v>
      </c>
      <c r="AQ5" s="141">
        <v>0.41836736234693733</v>
      </c>
      <c r="AR5" s="141">
        <v>0</v>
      </c>
      <c r="AS5" s="141">
        <v>0</v>
      </c>
      <c r="AT5" s="141">
        <v>0</v>
      </c>
    </row>
    <row r="6" spans="1:46" customFormat="1" x14ac:dyDescent="0.15">
      <c r="A6" s="176" t="s">
        <v>196</v>
      </c>
      <c r="B6" s="141">
        <v>0</v>
      </c>
      <c r="C6" s="141">
        <v>0</v>
      </c>
      <c r="D6" s="141">
        <v>0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0.03</v>
      </c>
      <c r="K6" s="141">
        <v>0.02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0.14942418998857929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0.5488730533457904</v>
      </c>
      <c r="X6" s="141">
        <v>3.3533189094603892E-2</v>
      </c>
      <c r="Y6" s="141">
        <v>0</v>
      </c>
      <c r="Z6" s="141">
        <v>0</v>
      </c>
      <c r="AA6" s="141">
        <v>0</v>
      </c>
      <c r="AB6" s="141">
        <v>0</v>
      </c>
      <c r="AC6" s="141">
        <v>0.34</v>
      </c>
      <c r="AD6" s="141">
        <v>0</v>
      </c>
      <c r="AE6" s="141">
        <v>0.16</v>
      </c>
      <c r="AF6" s="141">
        <v>0.03</v>
      </c>
      <c r="AG6" s="141">
        <v>0.23</v>
      </c>
      <c r="AH6" s="141">
        <v>0</v>
      </c>
      <c r="AI6" s="141">
        <v>0.24751933621001454</v>
      </c>
      <c r="AJ6" s="141">
        <v>4.8543688151098593E-2</v>
      </c>
      <c r="AK6" s="141">
        <v>0</v>
      </c>
      <c r="AL6" s="141">
        <v>0.28000000000000003</v>
      </c>
      <c r="AM6" s="141">
        <v>0.24242424121212103</v>
      </c>
      <c r="AN6" s="141">
        <v>1.0752689139784867E-2</v>
      </c>
      <c r="AO6" s="141">
        <v>3.0710640583502164E-2</v>
      </c>
      <c r="AP6" s="141">
        <v>0</v>
      </c>
      <c r="AQ6" s="141">
        <v>0</v>
      </c>
      <c r="AR6" s="141">
        <v>0</v>
      </c>
      <c r="AS6" s="141">
        <v>0</v>
      </c>
      <c r="AT6" s="141">
        <v>0</v>
      </c>
    </row>
    <row r="7" spans="1:46" customFormat="1" x14ac:dyDescent="0.15">
      <c r="A7" s="176" t="s">
        <v>197</v>
      </c>
      <c r="B7" s="141">
        <v>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1.9801978613861498E-2</v>
      </c>
      <c r="I7" s="141">
        <v>0.24</v>
      </c>
      <c r="J7" s="141">
        <v>0</v>
      </c>
      <c r="K7" s="141">
        <v>0</v>
      </c>
      <c r="L7" s="141">
        <v>0.18627448472549227</v>
      </c>
      <c r="M7" s="141">
        <v>0</v>
      </c>
      <c r="N7" s="141">
        <v>0</v>
      </c>
      <c r="O7" s="141">
        <v>0.33663370336633702</v>
      </c>
      <c r="P7" s="141">
        <v>0.29246344443194555</v>
      </c>
      <c r="Q7" s="141">
        <v>0</v>
      </c>
      <c r="R7" s="141">
        <v>0.44554454455445447</v>
      </c>
      <c r="S7" s="141">
        <v>0</v>
      </c>
      <c r="T7" s="141">
        <v>0.24026711802003389</v>
      </c>
      <c r="U7" s="141">
        <v>0</v>
      </c>
      <c r="V7" s="141">
        <v>0.15841582059405668</v>
      </c>
      <c r="W7" s="141">
        <v>2.3356298014714665E-2</v>
      </c>
      <c r="X7" s="141">
        <v>0</v>
      </c>
      <c r="Y7" s="141">
        <v>0.45</v>
      </c>
      <c r="Z7" s="141">
        <v>0.22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  <c r="AL7" s="141">
        <v>0</v>
      </c>
      <c r="AM7" s="141">
        <v>0</v>
      </c>
      <c r="AN7" s="141">
        <v>1.0752689139784867E-2</v>
      </c>
      <c r="AO7" s="141">
        <v>5.1184410972503799E-2</v>
      </c>
      <c r="AP7" s="141">
        <v>0</v>
      </c>
      <c r="AQ7" s="141">
        <v>0</v>
      </c>
      <c r="AR7" s="141">
        <v>0.32323230646464612</v>
      </c>
      <c r="AS7" s="141">
        <v>0</v>
      </c>
      <c r="AT7" s="141">
        <v>0</v>
      </c>
    </row>
    <row r="8" spans="1:46" customFormat="1" x14ac:dyDescent="0.15">
      <c r="A8" s="176" t="s">
        <v>198</v>
      </c>
      <c r="B8" s="141">
        <v>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9.9009893069307488E-3</v>
      </c>
      <c r="I8" s="141">
        <v>0.01</v>
      </c>
      <c r="J8" s="141">
        <v>0</v>
      </c>
      <c r="K8" s="141">
        <v>0</v>
      </c>
      <c r="L8" s="141">
        <v>0.18627448472549227</v>
      </c>
      <c r="M8" s="141">
        <v>0</v>
      </c>
      <c r="N8" s="141">
        <v>0</v>
      </c>
      <c r="O8" s="141">
        <v>0.34653460346534609</v>
      </c>
      <c r="P8" s="141">
        <v>0.29246344443194555</v>
      </c>
      <c r="Q8" s="141">
        <v>0</v>
      </c>
      <c r="R8" s="141">
        <v>0.10891091089109109</v>
      </c>
      <c r="S8" s="141">
        <v>0</v>
      </c>
      <c r="T8" s="141">
        <v>0.28031162102337159</v>
      </c>
      <c r="U8" s="141">
        <v>0</v>
      </c>
      <c r="V8" s="141">
        <v>0.15841582059405668</v>
      </c>
      <c r="W8" s="141">
        <v>2.3356298014714665E-2</v>
      </c>
      <c r="X8" s="141">
        <v>0</v>
      </c>
      <c r="Y8" s="141">
        <v>0.1</v>
      </c>
      <c r="Z8" s="141">
        <v>0.22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9.9009696316472943E-7</v>
      </c>
      <c r="AL8" s="141">
        <v>0</v>
      </c>
      <c r="AM8" s="141">
        <v>0</v>
      </c>
      <c r="AN8" s="141">
        <v>1.0752689139784867E-2</v>
      </c>
      <c r="AO8" s="141">
        <v>5.1184410972503799E-2</v>
      </c>
      <c r="AP8" s="141">
        <v>0</v>
      </c>
      <c r="AQ8" s="141">
        <v>0</v>
      </c>
      <c r="AR8" s="141">
        <v>0.32323230646464612</v>
      </c>
      <c r="AS8" s="141">
        <v>0</v>
      </c>
      <c r="AT8" s="141">
        <v>0</v>
      </c>
    </row>
    <row r="9" spans="1:46" customFormat="1" x14ac:dyDescent="0.15">
      <c r="A9" s="176" t="s">
        <v>199</v>
      </c>
      <c r="B9" s="141">
        <v>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0</v>
      </c>
      <c r="I9" s="141">
        <v>0.05</v>
      </c>
      <c r="J9" s="141">
        <v>0</v>
      </c>
      <c r="K9" s="141">
        <v>0</v>
      </c>
      <c r="L9" s="141">
        <v>0.2941176758823506</v>
      </c>
      <c r="M9" s="141">
        <v>0.21212121060606051</v>
      </c>
      <c r="N9" s="141">
        <v>0</v>
      </c>
      <c r="O9" s="141">
        <v>0.30693070306930703</v>
      </c>
      <c r="P9" s="141">
        <v>0.29246344443194555</v>
      </c>
      <c r="Q9" s="141">
        <v>0.40557987282614849</v>
      </c>
      <c r="R9" s="141">
        <v>0.44554454455445447</v>
      </c>
      <c r="S9" s="141">
        <v>0.10317789896822102</v>
      </c>
      <c r="T9" s="141">
        <v>0.23025601726920131</v>
      </c>
      <c r="U9" s="141">
        <v>9.0909090909090898E-2</v>
      </c>
      <c r="V9" s="141">
        <v>0.1881188244554472</v>
      </c>
      <c r="W9" s="141">
        <v>2.3356298014714665E-2</v>
      </c>
      <c r="X9" s="141">
        <v>0</v>
      </c>
      <c r="Y9" s="141">
        <v>0.45</v>
      </c>
      <c r="Z9" s="141">
        <v>0.22</v>
      </c>
      <c r="AA9" s="141">
        <v>0</v>
      </c>
      <c r="AB9" s="141">
        <v>0.05</v>
      </c>
      <c r="AC9" s="141">
        <v>0</v>
      </c>
      <c r="AD9" s="141">
        <v>0</v>
      </c>
      <c r="AE9" s="141">
        <v>0.03</v>
      </c>
      <c r="AF9" s="141">
        <v>0.77</v>
      </c>
      <c r="AG9" s="141">
        <v>0.02</v>
      </c>
      <c r="AH9" s="141">
        <v>0.20876781209561041</v>
      </c>
      <c r="AI9" s="141">
        <v>9.9007744484007273E-3</v>
      </c>
      <c r="AJ9" s="141">
        <v>0.23300969112527367</v>
      </c>
      <c r="AK9" s="141">
        <v>0.17821749336964982</v>
      </c>
      <c r="AL9" s="141">
        <v>0</v>
      </c>
      <c r="AM9" s="141">
        <v>0</v>
      </c>
      <c r="AN9" s="141">
        <v>1.0752689139784867E-2</v>
      </c>
      <c r="AO9" s="141">
        <v>5.1184410972503799E-2</v>
      </c>
      <c r="AP9" s="141">
        <v>0</v>
      </c>
      <c r="AQ9" s="141">
        <v>0</v>
      </c>
      <c r="AR9" s="141">
        <v>0.28282830565656614</v>
      </c>
      <c r="AS9" s="141">
        <v>0</v>
      </c>
      <c r="AT9" s="141">
        <v>0</v>
      </c>
    </row>
    <row r="10" spans="1:46" customFormat="1" x14ac:dyDescent="0.15">
      <c r="A10" s="176" t="s">
        <v>200</v>
      </c>
      <c r="B10" s="141">
        <v>0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3.0953359690466403E-2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0.01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1.043839060478052E-2</v>
      </c>
      <c r="AI10" s="141">
        <v>9.9007744484007285E-7</v>
      </c>
      <c r="AJ10" s="141">
        <v>9.7087366302197578E-8</v>
      </c>
      <c r="AK10" s="141">
        <v>0.11881159557976903</v>
      </c>
      <c r="AL10" s="141">
        <v>0</v>
      </c>
      <c r="AM10" s="141">
        <v>0</v>
      </c>
      <c r="AN10" s="141">
        <v>9.6774192258064606E-2</v>
      </c>
      <c r="AO10" s="141">
        <v>5.1184410972503799E-2</v>
      </c>
      <c r="AP10" s="141">
        <v>1.208565114813686E-2</v>
      </c>
      <c r="AQ10" s="141">
        <v>0</v>
      </c>
      <c r="AR10" s="141">
        <v>0</v>
      </c>
      <c r="AS10" s="141">
        <v>0</v>
      </c>
      <c r="AT10" s="141">
        <v>0</v>
      </c>
    </row>
    <row r="11" spans="1:46" customFormat="1" x14ac:dyDescent="0.15">
      <c r="A11" s="176" t="s">
        <v>201</v>
      </c>
      <c r="B11" s="141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0</v>
      </c>
      <c r="H11" s="141">
        <v>0</v>
      </c>
      <c r="I11" s="141">
        <v>0</v>
      </c>
      <c r="J11" s="141">
        <v>0</v>
      </c>
      <c r="K11" s="141">
        <v>0</v>
      </c>
      <c r="L11" s="141">
        <v>0</v>
      </c>
      <c r="M11" s="141">
        <v>1.0101010505050525E-2</v>
      </c>
      <c r="N11" s="141">
        <v>0</v>
      </c>
      <c r="O11" s="141">
        <v>0</v>
      </c>
      <c r="P11" s="141">
        <v>0</v>
      </c>
      <c r="Q11" s="141">
        <v>3.2019467854695657E-2</v>
      </c>
      <c r="R11" s="141">
        <v>0</v>
      </c>
      <c r="S11" s="141">
        <v>5.1588939484110606E-2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1.043839060478052E-2</v>
      </c>
      <c r="AI11" s="141">
        <v>9.9007744484007285E-6</v>
      </c>
      <c r="AJ11" s="141">
        <v>9.7087366302197574E-3</v>
      </c>
      <c r="AK11" s="141">
        <v>7.9207757053178368E-2</v>
      </c>
      <c r="AL11" s="141">
        <v>0</v>
      </c>
      <c r="AM11" s="141">
        <v>0</v>
      </c>
      <c r="AN11" s="141">
        <v>9.6774192258064606E-2</v>
      </c>
      <c r="AO11" s="141">
        <v>5.1184410972503799E-2</v>
      </c>
      <c r="AP11" s="141">
        <v>6.0428285740687149E-2</v>
      </c>
      <c r="AQ11" s="141">
        <v>0</v>
      </c>
      <c r="AR11" s="141">
        <v>0</v>
      </c>
      <c r="AS11" s="141">
        <v>0</v>
      </c>
      <c r="AT11" s="141">
        <v>0</v>
      </c>
    </row>
    <row r="12" spans="1:46" customFormat="1" x14ac:dyDescent="0.15">
      <c r="A12" s="176" t="s">
        <v>202</v>
      </c>
      <c r="B12" s="141">
        <v>0</v>
      </c>
      <c r="C12" s="141">
        <v>0</v>
      </c>
      <c r="D12" s="141">
        <v>0</v>
      </c>
      <c r="E12" s="141">
        <v>0</v>
      </c>
      <c r="F12" s="141">
        <v>0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9.8039201960785447E-3</v>
      </c>
      <c r="M12" s="141">
        <v>3.0303031515151575E-2</v>
      </c>
      <c r="N12" s="141">
        <v>0</v>
      </c>
      <c r="O12" s="141">
        <v>0</v>
      </c>
      <c r="P12" s="141">
        <v>1.1248587862768306E-2</v>
      </c>
      <c r="Q12" s="141">
        <v>0</v>
      </c>
      <c r="R12" s="141">
        <v>0</v>
      </c>
      <c r="S12" s="141">
        <v>5.1588939484110606E-2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1.043839060478052E-2</v>
      </c>
      <c r="AI12" s="141">
        <v>9.9007744484007285E-6</v>
      </c>
      <c r="AJ12" s="141">
        <v>9.7087366302197574E-3</v>
      </c>
      <c r="AK12" s="141">
        <v>6.9306787421531055E-2</v>
      </c>
      <c r="AL12" s="141">
        <v>0</v>
      </c>
      <c r="AM12" s="141">
        <v>0</v>
      </c>
      <c r="AN12" s="141">
        <v>9.6774192258064606E-2</v>
      </c>
      <c r="AO12" s="141">
        <v>5.1184410972503799E-2</v>
      </c>
      <c r="AP12" s="141">
        <v>0</v>
      </c>
      <c r="AQ12" s="141">
        <v>0</v>
      </c>
      <c r="AR12" s="141">
        <v>0</v>
      </c>
      <c r="AS12" s="141">
        <v>0</v>
      </c>
      <c r="AT12" s="141">
        <v>0</v>
      </c>
    </row>
    <row r="13" spans="1:46" customFormat="1" x14ac:dyDescent="0.15">
      <c r="A13" s="176" t="s">
        <v>203</v>
      </c>
      <c r="B13" s="141">
        <v>0</v>
      </c>
      <c r="C13" s="141">
        <v>0</v>
      </c>
      <c r="D13" s="141">
        <v>0</v>
      </c>
      <c r="E13" s="141">
        <v>0</v>
      </c>
      <c r="F13" s="141">
        <v>0</v>
      </c>
      <c r="G13" s="141">
        <v>0</v>
      </c>
      <c r="H13" s="141">
        <v>0</v>
      </c>
      <c r="I13" s="141">
        <v>0</v>
      </c>
      <c r="J13" s="141">
        <v>0</v>
      </c>
      <c r="K13" s="141">
        <v>0</v>
      </c>
      <c r="L13" s="141">
        <v>0</v>
      </c>
      <c r="M13" s="141">
        <v>2.0202021010101049E-2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2.0635579793644204E-2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9.7087366302197574E-3</v>
      </c>
      <c r="AK13" s="141">
        <v>2.9702908894941885E-2</v>
      </c>
      <c r="AL13" s="141">
        <v>0</v>
      </c>
      <c r="AM13" s="141">
        <v>0</v>
      </c>
      <c r="AN13" s="141">
        <v>0.26881717849462566</v>
      </c>
      <c r="AO13" s="141">
        <v>0.10236880194500721</v>
      </c>
      <c r="AP13" s="141">
        <v>0</v>
      </c>
      <c r="AQ13" s="141">
        <v>0</v>
      </c>
      <c r="AR13" s="141">
        <v>0</v>
      </c>
      <c r="AS13" s="141">
        <v>0</v>
      </c>
      <c r="AT13" s="141">
        <v>0</v>
      </c>
    </row>
    <row r="14" spans="1:46" customFormat="1" x14ac:dyDescent="0.15">
      <c r="A14" s="176" t="s">
        <v>204</v>
      </c>
      <c r="B14" s="141">
        <v>0</v>
      </c>
      <c r="C14" s="141">
        <v>0</v>
      </c>
      <c r="D14" s="141">
        <v>0</v>
      </c>
      <c r="E14" s="141">
        <v>0</v>
      </c>
      <c r="F14" s="141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141">
        <v>0</v>
      </c>
      <c r="M14" s="141">
        <v>0.21212121060606051</v>
      </c>
      <c r="N14" s="141">
        <v>0</v>
      </c>
      <c r="O14" s="141">
        <v>0</v>
      </c>
      <c r="P14" s="141">
        <v>0</v>
      </c>
      <c r="Q14" s="141">
        <v>0</v>
      </c>
      <c r="R14" s="141">
        <v>0</v>
      </c>
      <c r="S14" s="141">
        <v>0</v>
      </c>
      <c r="T14" s="141">
        <v>2.0022261501669615E-2</v>
      </c>
      <c r="U14" s="141">
        <v>0</v>
      </c>
      <c r="V14" s="141">
        <v>3.9603965148515476E-2</v>
      </c>
      <c r="W14" s="141">
        <v>0</v>
      </c>
      <c r="X14" s="141">
        <v>0</v>
      </c>
      <c r="Y14" s="141">
        <v>0</v>
      </c>
      <c r="Z14" s="141">
        <v>0</v>
      </c>
      <c r="AA14" s="141">
        <v>0.03</v>
      </c>
      <c r="AB14" s="141">
        <v>0.05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5.2191953023902601E-2</v>
      </c>
      <c r="AI14" s="141">
        <v>9.9007744484007285E-7</v>
      </c>
      <c r="AJ14" s="141">
        <v>1.9417469260439666E-2</v>
      </c>
      <c r="AK14" s="141">
        <v>1.9801939263294592E-2</v>
      </c>
      <c r="AL14" s="141">
        <v>0</v>
      </c>
      <c r="AM14" s="141">
        <v>0</v>
      </c>
      <c r="AN14" s="141">
        <v>0.11827959053763273</v>
      </c>
      <c r="AO14" s="141">
        <v>0.23544830447351775</v>
      </c>
      <c r="AP14" s="141">
        <v>8.0200407619038738E-2</v>
      </c>
      <c r="AQ14" s="141">
        <v>0.52040815316326616</v>
      </c>
      <c r="AR14" s="141">
        <v>0</v>
      </c>
      <c r="AS14" s="141">
        <v>0</v>
      </c>
      <c r="AT14" s="141">
        <v>0</v>
      </c>
    </row>
    <row r="15" spans="1:46" customFormat="1" x14ac:dyDescent="0.15">
      <c r="A15" s="176" t="s">
        <v>205</v>
      </c>
      <c r="B15" s="141">
        <v>0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0</v>
      </c>
      <c r="P15" s="141">
        <v>0.11136107884139503</v>
      </c>
      <c r="Q15" s="141">
        <v>0</v>
      </c>
      <c r="R15" s="141">
        <v>0</v>
      </c>
      <c r="S15" s="141">
        <v>5.1588939484110606E-2</v>
      </c>
      <c r="T15" s="141">
        <v>0</v>
      </c>
      <c r="U15" s="141">
        <v>0</v>
      </c>
      <c r="V15" s="141">
        <v>3.9603965148515476E-2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0.01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  <c r="AL15" s="141">
        <v>0</v>
      </c>
      <c r="AM15" s="141">
        <v>0</v>
      </c>
      <c r="AN15" s="141">
        <v>1.0752689139784867E-2</v>
      </c>
      <c r="AO15" s="141">
        <v>1.0236880194500721E-2</v>
      </c>
      <c r="AP15" s="141">
        <v>0</v>
      </c>
      <c r="AQ15" s="141">
        <v>2.0408158163265765E-2</v>
      </c>
      <c r="AR15" s="141">
        <v>7.0707081414141643E-2</v>
      </c>
      <c r="AS15" s="141">
        <v>0</v>
      </c>
      <c r="AT15" s="141">
        <v>0</v>
      </c>
    </row>
    <row r="16" spans="1:46" customFormat="1" x14ac:dyDescent="0.15">
      <c r="A16" s="176" t="s">
        <v>206</v>
      </c>
      <c r="B16" s="141">
        <v>0</v>
      </c>
      <c r="C16" s="141">
        <v>0</v>
      </c>
      <c r="D16" s="141">
        <v>0</v>
      </c>
      <c r="E16" s="141">
        <v>0</v>
      </c>
      <c r="F16" s="141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141">
        <v>0</v>
      </c>
      <c r="M16" s="141">
        <v>0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4.0445729595542705E-2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  <c r="AL16" s="141">
        <v>0</v>
      </c>
      <c r="AM16" s="141">
        <v>0</v>
      </c>
      <c r="AN16" s="141">
        <v>1.0752689139784867E-2</v>
      </c>
      <c r="AO16" s="141">
        <v>1.0236880194500721E-2</v>
      </c>
      <c r="AP16" s="141">
        <v>0</v>
      </c>
      <c r="AQ16" s="141">
        <v>0</v>
      </c>
      <c r="AR16" s="141">
        <v>0</v>
      </c>
      <c r="AS16" s="141">
        <v>0</v>
      </c>
      <c r="AT16" s="141">
        <v>0</v>
      </c>
    </row>
    <row r="17" spans="1:46" customFormat="1" x14ac:dyDescent="0.15">
      <c r="A17" s="176" t="s">
        <v>207</v>
      </c>
      <c r="B17" s="141">
        <v>0</v>
      </c>
      <c r="C17" s="141">
        <v>0</v>
      </c>
      <c r="D17" s="141">
        <v>0</v>
      </c>
      <c r="E17" s="141">
        <v>0</v>
      </c>
      <c r="F17" s="141">
        <v>0</v>
      </c>
      <c r="G17" s="141">
        <v>0</v>
      </c>
      <c r="H17" s="141">
        <v>0</v>
      </c>
      <c r="I17" s="141">
        <v>0</v>
      </c>
      <c r="J17" s="141">
        <v>0</v>
      </c>
      <c r="K17" s="141">
        <v>0</v>
      </c>
      <c r="L17" s="141">
        <v>0</v>
      </c>
      <c r="M17" s="141">
        <v>1.0101010505050525E-2</v>
      </c>
      <c r="N17" s="141">
        <v>0</v>
      </c>
      <c r="O17" s="141">
        <v>0</v>
      </c>
      <c r="P17" s="141">
        <v>0</v>
      </c>
      <c r="Q17" s="141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1.043839060478052E-2</v>
      </c>
      <c r="AI17" s="141">
        <v>0</v>
      </c>
      <c r="AJ17" s="141">
        <v>0</v>
      </c>
      <c r="AK17" s="141">
        <v>0</v>
      </c>
      <c r="AL17" s="141">
        <v>0</v>
      </c>
      <c r="AM17" s="141">
        <v>0</v>
      </c>
      <c r="AN17" s="141">
        <v>1.0752689139784867E-2</v>
      </c>
      <c r="AO17" s="141">
        <v>0</v>
      </c>
      <c r="AP17" s="141">
        <v>1.208565114813686E-2</v>
      </c>
      <c r="AQ17" s="141">
        <v>0</v>
      </c>
      <c r="AR17" s="141">
        <v>0</v>
      </c>
      <c r="AS17" s="141">
        <v>0</v>
      </c>
      <c r="AT17" s="141">
        <v>0</v>
      </c>
    </row>
    <row r="18" spans="1:46" customFormat="1" x14ac:dyDescent="0.15">
      <c r="A18" s="176" t="s">
        <v>208</v>
      </c>
      <c r="B18" s="141">
        <v>0</v>
      </c>
      <c r="C18" s="141">
        <v>0</v>
      </c>
      <c r="D18" s="141">
        <v>0</v>
      </c>
      <c r="E18" s="141">
        <v>0</v>
      </c>
      <c r="F18" s="141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5.1588939484110606E-2</v>
      </c>
      <c r="T18" s="141">
        <v>2.0022261501669615E-2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0.09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0.15841549410635744</v>
      </c>
      <c r="AL18" s="141">
        <v>0</v>
      </c>
      <c r="AM18" s="141">
        <v>0</v>
      </c>
      <c r="AN18" s="141">
        <v>1.0752689139784867E-2</v>
      </c>
      <c r="AO18" s="141">
        <v>1.0236880194500721E-2</v>
      </c>
      <c r="AP18" s="141">
        <v>0</v>
      </c>
      <c r="AQ18" s="141">
        <v>0</v>
      </c>
      <c r="AR18" s="141">
        <v>0</v>
      </c>
      <c r="AS18" s="141">
        <v>0</v>
      </c>
      <c r="AT18" s="141">
        <v>0</v>
      </c>
    </row>
    <row r="19" spans="1:46" customFormat="1" x14ac:dyDescent="0.15">
      <c r="A19" s="176" t="s">
        <v>209</v>
      </c>
      <c r="B19" s="141">
        <v>0</v>
      </c>
      <c r="C19" s="141">
        <v>0</v>
      </c>
      <c r="D19" s="141">
        <v>0</v>
      </c>
      <c r="E19" s="141">
        <v>0</v>
      </c>
      <c r="F19" s="141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1.9822041486653112E-2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9.900968631647333E-3</v>
      </c>
      <c r="AL19" s="141">
        <v>0</v>
      </c>
      <c r="AM19" s="141">
        <v>0</v>
      </c>
      <c r="AN19" s="141">
        <v>1.0752689139784867E-2</v>
      </c>
      <c r="AO19" s="141">
        <v>1.0236880194500721E-2</v>
      </c>
      <c r="AP19" s="141">
        <v>0</v>
      </c>
      <c r="AQ19" s="141">
        <v>0</v>
      </c>
      <c r="AR19" s="141">
        <v>0</v>
      </c>
      <c r="AS19" s="141">
        <v>0</v>
      </c>
      <c r="AT19" s="141">
        <v>0</v>
      </c>
    </row>
    <row r="20" spans="1:46" customFormat="1" x14ac:dyDescent="0.15">
      <c r="A20" s="176" t="s">
        <v>210</v>
      </c>
      <c r="B20" s="141">
        <v>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0.10673159284898327</v>
      </c>
      <c r="R20" s="141">
        <v>0</v>
      </c>
      <c r="S20" s="141">
        <v>0</v>
      </c>
      <c r="T20" s="141">
        <v>0</v>
      </c>
      <c r="U20" s="141">
        <v>0</v>
      </c>
      <c r="V20" s="141">
        <v>3.9603965148515476E-2</v>
      </c>
      <c r="W20" s="141">
        <v>7.3572343746350771E-3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0.03</v>
      </c>
      <c r="AG20" s="141">
        <v>0</v>
      </c>
      <c r="AH20" s="141">
        <v>0</v>
      </c>
      <c r="AI20" s="141">
        <v>0</v>
      </c>
      <c r="AJ20" s="141">
        <v>0</v>
      </c>
      <c r="AK20" s="141">
        <v>3.9603878526589184E-2</v>
      </c>
      <c r="AL20" s="141">
        <v>0</v>
      </c>
      <c r="AM20" s="141">
        <v>1.0101011717171994E-2</v>
      </c>
      <c r="AN20" s="141">
        <v>1.0752689139784867E-2</v>
      </c>
      <c r="AO20" s="141">
        <v>1.0236880194500721E-2</v>
      </c>
      <c r="AP20" s="141">
        <v>0</v>
      </c>
      <c r="AQ20" s="141">
        <v>0</v>
      </c>
      <c r="AR20" s="141">
        <v>0</v>
      </c>
      <c r="AS20" s="141">
        <v>0</v>
      </c>
      <c r="AT20" s="141">
        <v>0</v>
      </c>
    </row>
    <row r="21" spans="1:46" customFormat="1" x14ac:dyDescent="0.15">
      <c r="A21" s="176" t="s">
        <v>211</v>
      </c>
      <c r="B21" s="141">
        <v>0</v>
      </c>
      <c r="C21" s="141">
        <v>0</v>
      </c>
      <c r="D21" s="141">
        <v>0</v>
      </c>
      <c r="E21" s="141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9.8039201960785447E-3</v>
      </c>
      <c r="M21" s="141">
        <v>5.0505052525252628E-2</v>
      </c>
      <c r="N21" s="141">
        <v>0</v>
      </c>
      <c r="O21" s="141">
        <v>0</v>
      </c>
      <c r="P21" s="141">
        <v>0</v>
      </c>
      <c r="Q21" s="141">
        <v>1.0673159284898327E-2</v>
      </c>
      <c r="R21" s="141">
        <v>0</v>
      </c>
      <c r="S21" s="141">
        <v>0.24762689752373104</v>
      </c>
      <c r="T21" s="141">
        <v>0</v>
      </c>
      <c r="U21" s="141">
        <v>0</v>
      </c>
      <c r="V21" s="141">
        <v>9.9009912871288689E-3</v>
      </c>
      <c r="W21" s="141">
        <v>1.1678149007357332E-2</v>
      </c>
      <c r="X21" s="141">
        <v>0</v>
      </c>
      <c r="Y21" s="141">
        <v>0</v>
      </c>
      <c r="Z21" s="141">
        <v>0</v>
      </c>
      <c r="AA21" s="141">
        <v>0</v>
      </c>
      <c r="AB21" s="141">
        <v>0.05</v>
      </c>
      <c r="AC21" s="141">
        <v>0</v>
      </c>
      <c r="AD21" s="141">
        <v>0</v>
      </c>
      <c r="AE21" s="141">
        <v>0</v>
      </c>
      <c r="AF21" s="141">
        <v>0.01</v>
      </c>
      <c r="AG21" s="141">
        <v>0</v>
      </c>
      <c r="AH21" s="141">
        <v>5.2191953023902601E-2</v>
      </c>
      <c r="AI21" s="141">
        <v>9.9007754484008751E-8</v>
      </c>
      <c r="AJ21" s="141">
        <v>1.9417469260439666E-2</v>
      </c>
      <c r="AK21" s="141">
        <v>0</v>
      </c>
      <c r="AL21" s="141">
        <v>0</v>
      </c>
      <c r="AM21" s="141">
        <v>0</v>
      </c>
      <c r="AN21" s="141">
        <v>3.2258057419355397E-2</v>
      </c>
      <c r="AO21" s="141">
        <v>1.0236880194500721E-2</v>
      </c>
      <c r="AP21" s="141">
        <v>1.208565114813686E-2</v>
      </c>
      <c r="AQ21" s="141">
        <v>4.0816326326530622E-2</v>
      </c>
      <c r="AR21" s="141">
        <v>0</v>
      </c>
      <c r="AS21" s="141">
        <v>0</v>
      </c>
      <c r="AT21" s="141">
        <v>0</v>
      </c>
    </row>
    <row r="22" spans="1:46" customFormat="1" x14ac:dyDescent="0.15">
      <c r="A22" s="176" t="s">
        <v>212</v>
      </c>
      <c r="B22" s="141">
        <v>0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3.0303031515151575E-2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41">
        <v>1.0011130750834808E-2</v>
      </c>
      <c r="U22" s="141">
        <v>0</v>
      </c>
      <c r="V22" s="141">
        <v>0</v>
      </c>
      <c r="W22" s="141">
        <v>0</v>
      </c>
      <c r="X22" s="141">
        <v>1.1177729698201298E-2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1.0438390604780521E-6</v>
      </c>
      <c r="AI22" s="141">
        <v>0</v>
      </c>
      <c r="AJ22" s="141">
        <v>0</v>
      </c>
      <c r="AK22" s="141">
        <v>0</v>
      </c>
      <c r="AL22" s="141">
        <v>0</v>
      </c>
      <c r="AM22" s="141">
        <v>0</v>
      </c>
      <c r="AN22" s="141">
        <v>0</v>
      </c>
      <c r="AO22" s="141">
        <v>0</v>
      </c>
      <c r="AP22" s="141">
        <v>0</v>
      </c>
      <c r="AQ22" s="141">
        <v>0</v>
      </c>
      <c r="AR22" s="141">
        <v>0</v>
      </c>
      <c r="AS22" s="141">
        <v>0</v>
      </c>
      <c r="AT22" s="141">
        <v>0</v>
      </c>
    </row>
    <row r="23" spans="1:46" customFormat="1" x14ac:dyDescent="0.15">
      <c r="A23" s="176" t="s">
        <v>213</v>
      </c>
      <c r="B23" s="141">
        <v>0</v>
      </c>
      <c r="C23" s="141">
        <v>0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0</v>
      </c>
      <c r="P23" s="141">
        <v>0</v>
      </c>
      <c r="Q23" s="141">
        <v>7.3964965044347342E-3</v>
      </c>
      <c r="R23" s="141">
        <v>0</v>
      </c>
      <c r="S23" s="141">
        <v>5.1588939484110606E-2</v>
      </c>
      <c r="T23" s="141">
        <v>0</v>
      </c>
      <c r="U23" s="141">
        <v>0</v>
      </c>
      <c r="V23" s="141">
        <v>0</v>
      </c>
      <c r="W23" s="141">
        <v>0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5.2191953023902601E-2</v>
      </c>
      <c r="AI23" s="141">
        <v>0</v>
      </c>
      <c r="AJ23" s="141">
        <v>0</v>
      </c>
      <c r="AK23" s="141">
        <v>0</v>
      </c>
      <c r="AL23" s="141">
        <v>0</v>
      </c>
      <c r="AM23" s="141">
        <v>0</v>
      </c>
      <c r="AN23" s="141">
        <v>1.0752689139784867E-2</v>
      </c>
      <c r="AO23" s="141">
        <v>1.0236880194500721E-2</v>
      </c>
      <c r="AP23" s="141">
        <v>0</v>
      </c>
      <c r="AQ23" s="141">
        <v>0</v>
      </c>
      <c r="AR23" s="141">
        <v>0</v>
      </c>
      <c r="AS23" s="141">
        <v>0</v>
      </c>
      <c r="AT23" s="141">
        <v>0</v>
      </c>
    </row>
    <row r="24" spans="1:46" customFormat="1" x14ac:dyDescent="0.15">
      <c r="A24" s="176" t="s">
        <v>214</v>
      </c>
      <c r="B24" s="141">
        <v>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1.9607838392157254E-2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0.16831682188118685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0.05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5.2191953023902601E-2</v>
      </c>
      <c r="AI24" s="141">
        <v>0</v>
      </c>
      <c r="AJ24" s="141">
        <v>0</v>
      </c>
      <c r="AK24" s="141">
        <v>0.13861359484306138</v>
      </c>
      <c r="AL24" s="141">
        <v>0</v>
      </c>
      <c r="AM24" s="141">
        <v>0</v>
      </c>
      <c r="AN24" s="141">
        <v>1.0752689139784867E-2</v>
      </c>
      <c r="AO24" s="141">
        <v>0</v>
      </c>
      <c r="AP24" s="141">
        <v>1.208565114813686E-2</v>
      </c>
      <c r="AQ24" s="141">
        <v>0</v>
      </c>
      <c r="AR24" s="141">
        <v>0</v>
      </c>
      <c r="AS24" s="141">
        <v>0</v>
      </c>
      <c r="AT24" s="141">
        <v>0</v>
      </c>
    </row>
    <row r="25" spans="1:46" customFormat="1" x14ac:dyDescent="0.15">
      <c r="A25" s="176" t="s">
        <v>215</v>
      </c>
      <c r="B25" s="141">
        <v>0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141">
        <v>0</v>
      </c>
      <c r="X25" s="141">
        <v>0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9.9009696316472943E-8</v>
      </c>
      <c r="AL25" s="141">
        <v>0</v>
      </c>
      <c r="AM25" s="141">
        <v>0</v>
      </c>
      <c r="AN25" s="141">
        <v>0</v>
      </c>
      <c r="AO25" s="141">
        <v>0</v>
      </c>
      <c r="AP25" s="141">
        <v>0</v>
      </c>
      <c r="AQ25" s="141">
        <v>0</v>
      </c>
      <c r="AR25" s="141">
        <v>0</v>
      </c>
      <c r="AS25" s="141">
        <v>0</v>
      </c>
      <c r="AT25" s="141">
        <v>0</v>
      </c>
    </row>
    <row r="26" spans="1:46" customFormat="1" x14ac:dyDescent="0.15">
      <c r="A26" s="176" t="s">
        <v>216</v>
      </c>
      <c r="B26" s="141">
        <v>0</v>
      </c>
      <c r="C26" s="141">
        <v>0</v>
      </c>
      <c r="D26" s="141">
        <v>0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9.0983156823736758E-3</v>
      </c>
      <c r="U26" s="141">
        <v>0</v>
      </c>
      <c r="V26" s="141">
        <v>0</v>
      </c>
      <c r="W26" s="141">
        <v>0</v>
      </c>
      <c r="X26" s="141">
        <v>0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  <c r="AL26" s="141">
        <v>0</v>
      </c>
      <c r="AM26" s="141">
        <v>0</v>
      </c>
      <c r="AN26" s="141">
        <v>0</v>
      </c>
      <c r="AO26" s="141">
        <v>0</v>
      </c>
      <c r="AP26" s="141">
        <v>0</v>
      </c>
      <c r="AQ26" s="141">
        <v>0</v>
      </c>
      <c r="AR26" s="141">
        <v>0</v>
      </c>
      <c r="AS26" s="141">
        <v>0</v>
      </c>
      <c r="AT26" s="141">
        <v>0</v>
      </c>
    </row>
    <row r="27" spans="1:46" customFormat="1" x14ac:dyDescent="0.15">
      <c r="A27" s="176" t="s">
        <v>217</v>
      </c>
      <c r="B27" s="141">
        <v>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</v>
      </c>
      <c r="L27" s="141">
        <v>0</v>
      </c>
      <c r="M27" s="141">
        <v>0</v>
      </c>
      <c r="N27" s="141">
        <v>0</v>
      </c>
      <c r="O27" s="141">
        <v>0</v>
      </c>
      <c r="P27" s="141">
        <v>0</v>
      </c>
      <c r="Q27" s="141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141">
        <v>0</v>
      </c>
      <c r="X27" s="141">
        <v>0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1.043839060478052E-7</v>
      </c>
      <c r="AI27" s="141">
        <v>0</v>
      </c>
      <c r="AJ27" s="141">
        <v>0</v>
      </c>
      <c r="AK27" s="141">
        <v>9.9009696316472943E-7</v>
      </c>
      <c r="AL27" s="141">
        <v>0</v>
      </c>
      <c r="AM27" s="141">
        <v>0</v>
      </c>
      <c r="AN27" s="141">
        <v>0</v>
      </c>
      <c r="AO27" s="141">
        <v>0</v>
      </c>
      <c r="AP27" s="141">
        <v>0</v>
      </c>
      <c r="AQ27" s="141">
        <v>0</v>
      </c>
      <c r="AR27" s="141">
        <v>0</v>
      </c>
      <c r="AS27" s="141">
        <v>0</v>
      </c>
      <c r="AT27" s="141">
        <v>0</v>
      </c>
    </row>
    <row r="28" spans="1:46" customFormat="1" x14ac:dyDescent="0.15">
      <c r="A28" s="176" t="s">
        <v>218</v>
      </c>
      <c r="B28" s="141">
        <v>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141">
        <v>0</v>
      </c>
      <c r="X28" s="141">
        <v>0</v>
      </c>
      <c r="Y28" s="141">
        <v>0</v>
      </c>
      <c r="Z28" s="141">
        <v>0</v>
      </c>
      <c r="AA28" s="141">
        <v>0</v>
      </c>
      <c r="AB28" s="141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1.0438390604780521E-6</v>
      </c>
      <c r="AI28" s="141">
        <v>0</v>
      </c>
      <c r="AJ28" s="141">
        <v>0</v>
      </c>
      <c r="AK28" s="141">
        <v>9.900968631647333E-3</v>
      </c>
      <c r="AL28" s="141">
        <v>0</v>
      </c>
      <c r="AM28" s="141">
        <v>0</v>
      </c>
      <c r="AN28" s="141">
        <v>1.0752689139784867E-2</v>
      </c>
      <c r="AO28" s="141">
        <v>1.0236880194500721E-2</v>
      </c>
      <c r="AP28" s="141">
        <v>0</v>
      </c>
      <c r="AQ28" s="141">
        <v>0</v>
      </c>
      <c r="AR28" s="141">
        <v>0</v>
      </c>
      <c r="AS28" s="141">
        <v>0</v>
      </c>
      <c r="AT28" s="141">
        <v>0</v>
      </c>
    </row>
    <row r="29" spans="1:46" customFormat="1" x14ac:dyDescent="0.15">
      <c r="A29" s="176" t="s">
        <v>219</v>
      </c>
      <c r="B29" s="141">
        <v>0</v>
      </c>
      <c r="C29" s="141">
        <v>0</v>
      </c>
      <c r="D29" s="141">
        <v>0</v>
      </c>
      <c r="E29" s="141">
        <v>0</v>
      </c>
      <c r="F29" s="141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141">
        <v>0</v>
      </c>
      <c r="M29" s="141">
        <v>0</v>
      </c>
      <c r="N29" s="141">
        <v>0</v>
      </c>
      <c r="O29" s="141">
        <v>9.9009900990099011E-3</v>
      </c>
      <c r="P29" s="141">
        <v>0</v>
      </c>
      <c r="Q29" s="141">
        <v>0</v>
      </c>
      <c r="R29" s="141">
        <v>0</v>
      </c>
      <c r="S29" s="141">
        <v>0</v>
      </c>
      <c r="T29" s="141">
        <v>0</v>
      </c>
      <c r="U29" s="141">
        <v>0</v>
      </c>
      <c r="V29" s="141">
        <v>0</v>
      </c>
      <c r="W29" s="141">
        <v>0</v>
      </c>
      <c r="X29" s="141">
        <v>8.9421847585610115E-3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5.2191953023902601E-2</v>
      </c>
      <c r="AI29" s="141">
        <v>0</v>
      </c>
      <c r="AJ29" s="141">
        <v>0</v>
      </c>
      <c r="AK29" s="141">
        <v>0</v>
      </c>
      <c r="AL29" s="141">
        <v>0</v>
      </c>
      <c r="AM29" s="141">
        <v>1.0101011717171994E-2</v>
      </c>
      <c r="AN29" s="141">
        <v>1.0752689139784867E-2</v>
      </c>
      <c r="AO29" s="141">
        <v>1.0236880194500721E-2</v>
      </c>
      <c r="AP29" s="141">
        <v>0</v>
      </c>
      <c r="AQ29" s="141">
        <v>0</v>
      </c>
      <c r="AR29" s="141">
        <v>0</v>
      </c>
      <c r="AS29" s="141">
        <v>0</v>
      </c>
      <c r="AT29" s="141">
        <v>0</v>
      </c>
    </row>
    <row r="30" spans="1:46" customFormat="1" x14ac:dyDescent="0.15">
      <c r="A30" s="176" t="s">
        <v>220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141">
        <v>0</v>
      </c>
      <c r="M30" s="141">
        <v>0</v>
      </c>
      <c r="N30" s="141">
        <v>0</v>
      </c>
      <c r="O30" s="141">
        <v>0</v>
      </c>
      <c r="P30" s="141">
        <v>0</v>
      </c>
      <c r="Q30" s="141">
        <v>0</v>
      </c>
      <c r="R30" s="141">
        <v>0</v>
      </c>
      <c r="S30" s="141">
        <v>0</v>
      </c>
      <c r="T30" s="141">
        <v>0</v>
      </c>
      <c r="U30" s="141">
        <v>0</v>
      </c>
      <c r="V30" s="141">
        <v>0</v>
      </c>
      <c r="W30" s="141">
        <v>0</v>
      </c>
      <c r="X30" s="141">
        <v>0</v>
      </c>
      <c r="Y30" s="141">
        <v>0</v>
      </c>
      <c r="Z30" s="141">
        <v>0</v>
      </c>
      <c r="AA30" s="141">
        <v>0</v>
      </c>
      <c r="AB30" s="141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4.1753562419122078E-2</v>
      </c>
      <c r="AI30" s="141">
        <v>0</v>
      </c>
      <c r="AJ30" s="141">
        <v>0</v>
      </c>
      <c r="AK30" s="141">
        <v>0</v>
      </c>
      <c r="AL30" s="141">
        <v>0</v>
      </c>
      <c r="AM30" s="141">
        <v>0</v>
      </c>
      <c r="AN30" s="141">
        <v>1.0752689139784867E-2</v>
      </c>
      <c r="AO30" s="141">
        <v>1.0236880194500721E-2</v>
      </c>
      <c r="AP30" s="141">
        <v>0</v>
      </c>
      <c r="AQ30" s="141">
        <v>0</v>
      </c>
      <c r="AR30" s="141">
        <v>0</v>
      </c>
      <c r="AS30" s="141">
        <v>0</v>
      </c>
      <c r="AT30" s="141">
        <v>0</v>
      </c>
    </row>
    <row r="31" spans="1:46" customFormat="1" x14ac:dyDescent="0.15">
      <c r="A31" s="176" t="s">
        <v>221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1">
        <v>0</v>
      </c>
      <c r="Q31" s="141">
        <v>0</v>
      </c>
      <c r="R31" s="141">
        <v>0</v>
      </c>
      <c r="S31" s="141">
        <v>0.10317789896822102</v>
      </c>
      <c r="T31" s="141">
        <v>0</v>
      </c>
      <c r="U31" s="141">
        <v>0</v>
      </c>
      <c r="V31" s="141">
        <v>3.9603965148515476E-2</v>
      </c>
      <c r="W31" s="141">
        <v>0</v>
      </c>
      <c r="X31" s="141">
        <v>8.9421847585610115E-2</v>
      </c>
      <c r="Y31" s="141">
        <v>0</v>
      </c>
      <c r="Z31" s="141">
        <v>0</v>
      </c>
      <c r="AA31" s="141">
        <v>0.18</v>
      </c>
      <c r="AB31" s="141">
        <v>0.05</v>
      </c>
      <c r="AC31" s="141">
        <v>0</v>
      </c>
      <c r="AD31" s="141">
        <v>0</v>
      </c>
      <c r="AE31" s="141">
        <v>0</v>
      </c>
      <c r="AF31" s="141">
        <v>0</v>
      </c>
      <c r="AG31" s="141">
        <v>0</v>
      </c>
      <c r="AH31" s="141">
        <v>5.2191953023902601E-2</v>
      </c>
      <c r="AI31" s="141">
        <v>0</v>
      </c>
      <c r="AJ31" s="141">
        <v>0</v>
      </c>
      <c r="AK31" s="141">
        <v>0</v>
      </c>
      <c r="AL31" s="141">
        <v>0</v>
      </c>
      <c r="AM31" s="141">
        <v>0</v>
      </c>
      <c r="AN31" s="141">
        <v>1.0752689139784867E-2</v>
      </c>
      <c r="AO31" s="141">
        <v>1.0236880194500721E-2</v>
      </c>
      <c r="AP31" s="141">
        <v>0.37836223594441243</v>
      </c>
      <c r="AQ31" s="141">
        <v>0</v>
      </c>
      <c r="AR31" s="141">
        <v>0</v>
      </c>
      <c r="AS31" s="141">
        <v>0</v>
      </c>
      <c r="AT31" s="141">
        <v>0</v>
      </c>
    </row>
    <row r="32" spans="1:46" customFormat="1" x14ac:dyDescent="0.15">
      <c r="A32" s="176" t="s">
        <v>222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9.9009912871288689E-3</v>
      </c>
      <c r="W32" s="141">
        <v>2.3356298014714665E-2</v>
      </c>
      <c r="X32" s="141">
        <v>1.1177729698201298E-2</v>
      </c>
      <c r="Y32" s="141">
        <v>0</v>
      </c>
      <c r="Z32" s="141">
        <v>0</v>
      </c>
      <c r="AA32" s="141">
        <v>0.2</v>
      </c>
      <c r="AB32" s="141">
        <v>0.05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0.1043839060478052</v>
      </c>
      <c r="AI32" s="141">
        <v>0</v>
      </c>
      <c r="AJ32" s="141">
        <v>0</v>
      </c>
      <c r="AK32" s="141">
        <v>0.1287125952114152</v>
      </c>
      <c r="AL32" s="141">
        <v>0</v>
      </c>
      <c r="AM32" s="141">
        <v>0</v>
      </c>
      <c r="AN32" s="141">
        <v>3.2258057419355397E-2</v>
      </c>
      <c r="AO32" s="141">
        <v>3.0710640583502164E-2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</row>
    <row r="33" spans="1:46" customFormat="1" x14ac:dyDescent="0.15">
      <c r="A33" s="176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0.14444899855551002</v>
      </c>
      <c r="T33" s="141">
        <v>0</v>
      </c>
      <c r="U33" s="141">
        <v>0</v>
      </c>
      <c r="V33" s="141">
        <v>3.9603965148515476E-2</v>
      </c>
      <c r="W33" s="141">
        <v>3.5034447022072E-2</v>
      </c>
      <c r="X33" s="141">
        <v>0</v>
      </c>
      <c r="Y33" s="141">
        <v>0</v>
      </c>
      <c r="Z33" s="141">
        <v>0</v>
      </c>
      <c r="AA33" s="141">
        <v>0.03</v>
      </c>
      <c r="AB33" s="141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141">
        <v>5.2191953023902601E-2</v>
      </c>
      <c r="AI33" s="141">
        <v>0</v>
      </c>
      <c r="AJ33" s="141">
        <v>0</v>
      </c>
      <c r="AK33" s="141">
        <v>0</v>
      </c>
      <c r="AL33" s="141">
        <v>0</v>
      </c>
      <c r="AM33" s="141">
        <v>0</v>
      </c>
      <c r="AN33" s="141">
        <v>1.0752689139784867E-2</v>
      </c>
      <c r="AO33" s="141">
        <v>1.0236880194500721E-2</v>
      </c>
      <c r="AP33" s="141">
        <v>9.6685259185099633E-3</v>
      </c>
      <c r="AQ33" s="141">
        <v>0</v>
      </c>
      <c r="AR33" s="141">
        <v>0</v>
      </c>
      <c r="AS33" s="141">
        <v>0</v>
      </c>
      <c r="AT33" s="141">
        <v>0</v>
      </c>
    </row>
    <row r="34" spans="1:46" customFormat="1" x14ac:dyDescent="0.15">
      <c r="A34" s="176" t="s">
        <v>224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2.9702973861386605E-2</v>
      </c>
      <c r="W34" s="141">
        <v>0</v>
      </c>
      <c r="X34" s="141">
        <v>0</v>
      </c>
      <c r="Y34" s="141">
        <v>0</v>
      </c>
      <c r="Z34" s="141">
        <v>0</v>
      </c>
      <c r="AA34" s="141">
        <v>0.03</v>
      </c>
      <c r="AB34" s="141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141">
        <v>0</v>
      </c>
      <c r="AI34" s="141">
        <v>0</v>
      </c>
      <c r="AJ34" s="141">
        <v>0</v>
      </c>
      <c r="AK34" s="141">
        <v>0</v>
      </c>
      <c r="AL34" s="141">
        <v>0</v>
      </c>
      <c r="AM34" s="141">
        <v>0</v>
      </c>
      <c r="AN34" s="141">
        <v>1.0752689139784867E-2</v>
      </c>
      <c r="AO34" s="141">
        <v>1.0236880194500721E-2</v>
      </c>
      <c r="AP34" s="141">
        <v>0</v>
      </c>
      <c r="AQ34" s="141">
        <v>0</v>
      </c>
      <c r="AR34" s="141">
        <v>0</v>
      </c>
      <c r="AS34" s="141">
        <v>0</v>
      </c>
      <c r="AT34" s="141">
        <v>0</v>
      </c>
    </row>
    <row r="35" spans="1:46" customFormat="1" x14ac:dyDescent="0.15">
      <c r="A35" s="176" t="s">
        <v>225</v>
      </c>
      <c r="B35" s="141">
        <v>0</v>
      </c>
      <c r="C35" s="141">
        <v>0</v>
      </c>
      <c r="D35" s="141">
        <v>0</v>
      </c>
      <c r="E35" s="141">
        <v>0</v>
      </c>
      <c r="F35" s="141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141">
        <v>0</v>
      </c>
      <c r="X35" s="141">
        <v>7.4175417997263716E-3</v>
      </c>
      <c r="Y35" s="141">
        <v>0</v>
      </c>
      <c r="Z35" s="141">
        <v>0</v>
      </c>
      <c r="AA35" s="141">
        <v>0.03</v>
      </c>
      <c r="AB35" s="141">
        <v>0.05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141">
        <v>8.3507304838254595E-3</v>
      </c>
      <c r="AI35" s="141">
        <v>0</v>
      </c>
      <c r="AJ35" s="141">
        <v>0</v>
      </c>
      <c r="AK35" s="141">
        <v>0</v>
      </c>
      <c r="AL35" s="141">
        <v>0</v>
      </c>
      <c r="AM35" s="141">
        <v>1.0101011717171994E-2</v>
      </c>
      <c r="AN35" s="141">
        <v>1.0752689139784867E-2</v>
      </c>
      <c r="AO35" s="141">
        <v>1.0236880194500721E-2</v>
      </c>
      <c r="AP35" s="141">
        <v>0</v>
      </c>
      <c r="AQ35" s="141">
        <v>0</v>
      </c>
      <c r="AR35" s="141">
        <v>0</v>
      </c>
      <c r="AS35" s="141">
        <v>0</v>
      </c>
      <c r="AT35" s="141">
        <v>0</v>
      </c>
    </row>
    <row r="36" spans="1:46" customFormat="1" x14ac:dyDescent="0.15">
      <c r="A36" s="176" t="s">
        <v>226</v>
      </c>
      <c r="B36" s="141">
        <v>0</v>
      </c>
      <c r="C36" s="141">
        <v>0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0</v>
      </c>
      <c r="O36" s="141">
        <v>0</v>
      </c>
      <c r="P36" s="141">
        <v>0</v>
      </c>
      <c r="Q36" s="141">
        <v>0</v>
      </c>
      <c r="R36" s="141">
        <v>0</v>
      </c>
      <c r="S36" s="141">
        <v>0</v>
      </c>
      <c r="T36" s="141">
        <v>0</v>
      </c>
      <c r="U36" s="141">
        <v>0</v>
      </c>
      <c r="V36" s="141">
        <v>0</v>
      </c>
      <c r="W36" s="141">
        <v>0</v>
      </c>
      <c r="X36" s="141">
        <v>0</v>
      </c>
      <c r="Y36" s="141">
        <v>0</v>
      </c>
      <c r="Z36" s="141">
        <v>0</v>
      </c>
      <c r="AA36" s="141">
        <v>0.03</v>
      </c>
      <c r="AB36" s="141">
        <v>0.04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141">
        <v>5.2191953023902601E-2</v>
      </c>
      <c r="AI36" s="141">
        <v>0</v>
      </c>
      <c r="AJ36" s="141">
        <v>0</v>
      </c>
      <c r="AK36" s="141">
        <v>0</v>
      </c>
      <c r="AL36" s="141">
        <v>0</v>
      </c>
      <c r="AM36" s="141">
        <v>0</v>
      </c>
      <c r="AN36" s="141">
        <v>1.0752689139784867E-2</v>
      </c>
      <c r="AO36" s="141">
        <v>1.0236880194500721E-2</v>
      </c>
      <c r="AP36" s="141">
        <v>0</v>
      </c>
      <c r="AQ36" s="141">
        <v>0</v>
      </c>
      <c r="AR36" s="141">
        <v>0</v>
      </c>
      <c r="AS36" s="141">
        <v>0</v>
      </c>
      <c r="AT36" s="141">
        <v>0</v>
      </c>
    </row>
    <row r="37" spans="1:46" customFormat="1" x14ac:dyDescent="0.15">
      <c r="A37" s="176" t="s">
        <v>227</v>
      </c>
      <c r="B37" s="141">
        <v>0</v>
      </c>
      <c r="C37" s="141">
        <v>0</v>
      </c>
      <c r="D37" s="141">
        <v>0</v>
      </c>
      <c r="E37" s="141">
        <v>0</v>
      </c>
      <c r="F37" s="141">
        <v>0</v>
      </c>
      <c r="G37" s="141">
        <v>0</v>
      </c>
      <c r="H37" s="141">
        <v>0</v>
      </c>
      <c r="I37" s="141">
        <v>0</v>
      </c>
      <c r="J37" s="141">
        <v>0</v>
      </c>
      <c r="K37" s="141">
        <v>0</v>
      </c>
      <c r="L37" s="141">
        <v>0</v>
      </c>
      <c r="M37" s="141">
        <v>0</v>
      </c>
      <c r="N37" s="141">
        <v>0</v>
      </c>
      <c r="O37" s="141">
        <v>0</v>
      </c>
      <c r="P37" s="141">
        <v>0</v>
      </c>
      <c r="Q37" s="141">
        <v>0</v>
      </c>
      <c r="R37" s="141">
        <v>0</v>
      </c>
      <c r="S37" s="141">
        <v>0</v>
      </c>
      <c r="T37" s="141">
        <v>0</v>
      </c>
      <c r="U37" s="141">
        <v>0</v>
      </c>
      <c r="V37" s="141">
        <v>0</v>
      </c>
      <c r="W37" s="141">
        <v>0</v>
      </c>
      <c r="X37" s="141">
        <v>0</v>
      </c>
      <c r="Y37" s="141">
        <v>0</v>
      </c>
      <c r="Z37" s="141">
        <v>0</v>
      </c>
      <c r="AA37" s="141">
        <v>0</v>
      </c>
      <c r="AB37" s="141">
        <v>0</v>
      </c>
      <c r="AC37" s="141">
        <v>0</v>
      </c>
      <c r="AD37" s="141">
        <v>0</v>
      </c>
      <c r="AE37" s="141">
        <v>0</v>
      </c>
      <c r="AF37" s="141">
        <v>0</v>
      </c>
      <c r="AG37" s="141">
        <v>0</v>
      </c>
      <c r="AH37" s="141">
        <v>0</v>
      </c>
      <c r="AI37" s="141">
        <v>0</v>
      </c>
      <c r="AJ37" s="141">
        <v>0</v>
      </c>
      <c r="AK37" s="141">
        <v>1.9801939263294592E-2</v>
      </c>
      <c r="AL37" s="141">
        <v>0</v>
      </c>
      <c r="AM37" s="141">
        <v>0</v>
      </c>
      <c r="AN37" s="141">
        <v>1.0752689139784867E-2</v>
      </c>
      <c r="AO37" s="141">
        <v>1.0236880194500721E-2</v>
      </c>
      <c r="AP37" s="141">
        <v>0</v>
      </c>
      <c r="AQ37" s="141">
        <v>0</v>
      </c>
      <c r="AR37" s="141">
        <v>0</v>
      </c>
      <c r="AS37" s="141">
        <v>0</v>
      </c>
      <c r="AT37" s="141">
        <v>0</v>
      </c>
    </row>
    <row r="38" spans="1:46" customFormat="1" x14ac:dyDescent="0.15">
      <c r="A38" s="176" t="s">
        <v>228</v>
      </c>
      <c r="B38" s="141">
        <v>0</v>
      </c>
      <c r="C38" s="141">
        <v>0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0</v>
      </c>
      <c r="O38" s="141">
        <v>0</v>
      </c>
      <c r="P38" s="141">
        <v>0</v>
      </c>
      <c r="Q38" s="141">
        <v>0</v>
      </c>
      <c r="R38" s="141">
        <v>0</v>
      </c>
      <c r="S38" s="141">
        <v>0</v>
      </c>
      <c r="T38" s="141">
        <v>0</v>
      </c>
      <c r="U38" s="141">
        <v>0</v>
      </c>
      <c r="V38" s="141">
        <v>0</v>
      </c>
      <c r="W38" s="141">
        <v>0</v>
      </c>
      <c r="X38" s="141">
        <v>0</v>
      </c>
      <c r="Y38" s="141">
        <v>0</v>
      </c>
      <c r="Z38" s="141">
        <v>0</v>
      </c>
      <c r="AA38" s="141">
        <v>0</v>
      </c>
      <c r="AB38" s="141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141">
        <v>0</v>
      </c>
      <c r="AI38" s="141">
        <v>0</v>
      </c>
      <c r="AJ38" s="141">
        <v>0</v>
      </c>
      <c r="AK38" s="141">
        <v>0</v>
      </c>
      <c r="AL38" s="141">
        <v>0</v>
      </c>
      <c r="AM38" s="141">
        <v>0</v>
      </c>
      <c r="AN38" s="141">
        <v>0</v>
      </c>
      <c r="AO38" s="141">
        <v>0</v>
      </c>
      <c r="AP38" s="141">
        <v>0</v>
      </c>
      <c r="AQ38" s="141">
        <v>0</v>
      </c>
      <c r="AR38" s="141">
        <v>0</v>
      </c>
      <c r="AS38" s="141">
        <v>0</v>
      </c>
      <c r="AT38" s="141">
        <v>0</v>
      </c>
    </row>
    <row r="39" spans="1:46" x14ac:dyDescent="0.15">
      <c r="A39" s="176" t="s">
        <v>229</v>
      </c>
      <c r="B39" s="141">
        <v>0</v>
      </c>
      <c r="C39" s="141">
        <v>0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1">
        <v>0</v>
      </c>
      <c r="Q39" s="141">
        <v>0</v>
      </c>
      <c r="R39" s="141">
        <v>0</v>
      </c>
      <c r="S39" s="141">
        <v>0</v>
      </c>
      <c r="T39" s="141">
        <v>0</v>
      </c>
      <c r="U39" s="141">
        <v>0</v>
      </c>
      <c r="V39" s="141">
        <v>0</v>
      </c>
      <c r="W39" s="141">
        <v>0</v>
      </c>
      <c r="X39" s="141">
        <v>0</v>
      </c>
      <c r="Y39" s="141">
        <v>0</v>
      </c>
      <c r="Z39" s="141">
        <v>0</v>
      </c>
      <c r="AA39" s="141">
        <v>0</v>
      </c>
      <c r="AB39" s="141">
        <v>0</v>
      </c>
      <c r="AC39" s="141">
        <v>0</v>
      </c>
      <c r="AD39" s="141">
        <v>0</v>
      </c>
      <c r="AE39" s="141">
        <v>0</v>
      </c>
      <c r="AF39" s="141">
        <v>0</v>
      </c>
      <c r="AG39" s="141">
        <v>0</v>
      </c>
      <c r="AH39" s="141">
        <v>0</v>
      </c>
      <c r="AI39" s="141">
        <v>0</v>
      </c>
      <c r="AJ39" s="141">
        <v>0</v>
      </c>
      <c r="AK39" s="141">
        <v>0</v>
      </c>
      <c r="AL39" s="141">
        <v>0</v>
      </c>
      <c r="AM39" s="141">
        <v>0</v>
      </c>
      <c r="AN39" s="141">
        <v>0</v>
      </c>
      <c r="AO39" s="141">
        <v>0</v>
      </c>
      <c r="AP39" s="141">
        <v>0</v>
      </c>
      <c r="AQ39" s="141">
        <v>0</v>
      </c>
      <c r="AR39" s="141">
        <v>0</v>
      </c>
      <c r="AS39" s="141">
        <v>0</v>
      </c>
      <c r="AT39" s="141">
        <v>0</v>
      </c>
    </row>
    <row r="40" spans="1:46" x14ac:dyDescent="0.15">
      <c r="A40" s="176" t="s">
        <v>230</v>
      </c>
      <c r="B40" s="141">
        <v>0</v>
      </c>
      <c r="C40" s="141">
        <v>0</v>
      </c>
      <c r="D40" s="141">
        <v>0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0</v>
      </c>
      <c r="T40" s="141">
        <v>0</v>
      </c>
      <c r="U40" s="141">
        <v>0</v>
      </c>
      <c r="V40" s="141">
        <v>0</v>
      </c>
      <c r="W40" s="141">
        <v>0</v>
      </c>
      <c r="X40" s="141">
        <v>0</v>
      </c>
      <c r="Y40" s="141">
        <v>0</v>
      </c>
      <c r="Z40" s="141">
        <v>0</v>
      </c>
      <c r="AA40" s="141">
        <v>0</v>
      </c>
      <c r="AB40" s="141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141">
        <v>0</v>
      </c>
      <c r="AI40" s="141">
        <v>0</v>
      </c>
      <c r="AJ40" s="141">
        <v>0</v>
      </c>
      <c r="AK40" s="141">
        <v>0</v>
      </c>
      <c r="AL40" s="141">
        <v>0</v>
      </c>
      <c r="AM40" s="141">
        <v>0</v>
      </c>
      <c r="AN40" s="141">
        <v>0</v>
      </c>
      <c r="AO40" s="141">
        <v>0</v>
      </c>
      <c r="AP40" s="141">
        <v>0</v>
      </c>
      <c r="AQ40" s="141">
        <v>0</v>
      </c>
      <c r="AR40" s="141">
        <v>0</v>
      </c>
      <c r="AS40" s="141">
        <v>0</v>
      </c>
      <c r="AT40" s="141">
        <v>0</v>
      </c>
    </row>
    <row r="41" spans="1:46" x14ac:dyDescent="0.15">
      <c r="A41" s="176" t="s">
        <v>231</v>
      </c>
      <c r="B41" s="141">
        <v>0</v>
      </c>
      <c r="C41" s="141">
        <v>0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1">
        <v>0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  <c r="Z41" s="141">
        <v>0</v>
      </c>
      <c r="AA41" s="141">
        <v>0</v>
      </c>
      <c r="AB41" s="141">
        <v>0</v>
      </c>
      <c r="AC41" s="141">
        <v>0</v>
      </c>
      <c r="AD41" s="141">
        <v>0</v>
      </c>
      <c r="AE41" s="141">
        <v>0</v>
      </c>
      <c r="AF41" s="141">
        <v>0</v>
      </c>
      <c r="AG41" s="141">
        <v>0</v>
      </c>
      <c r="AH41" s="141">
        <v>0</v>
      </c>
      <c r="AI41" s="141">
        <v>0</v>
      </c>
      <c r="AJ41" s="141">
        <v>0</v>
      </c>
      <c r="AK41" s="141">
        <v>0</v>
      </c>
      <c r="AL41" s="141">
        <v>0</v>
      </c>
      <c r="AM41" s="141">
        <v>0</v>
      </c>
      <c r="AN41" s="141">
        <v>0</v>
      </c>
      <c r="AO41" s="141">
        <v>7.0225011334275195E-3</v>
      </c>
      <c r="AP41" s="141">
        <v>0</v>
      </c>
      <c r="AQ41" s="141">
        <v>0</v>
      </c>
      <c r="AR41" s="141">
        <v>0</v>
      </c>
      <c r="AS41" s="141">
        <v>0</v>
      </c>
      <c r="AT41" s="141">
        <v>0</v>
      </c>
    </row>
    <row r="42" spans="1:46" x14ac:dyDescent="0.15">
      <c r="A42" s="176" t="s">
        <v>232</v>
      </c>
      <c r="B42" s="141">
        <v>0</v>
      </c>
      <c r="C42" s="141">
        <v>0</v>
      </c>
      <c r="D42" s="141">
        <v>0</v>
      </c>
      <c r="E42" s="141">
        <v>0</v>
      </c>
      <c r="F42" s="141">
        <v>0</v>
      </c>
      <c r="G42" s="141">
        <v>0</v>
      </c>
      <c r="H42" s="141">
        <v>0</v>
      </c>
      <c r="I42" s="141">
        <v>0</v>
      </c>
      <c r="J42" s="141">
        <v>0</v>
      </c>
      <c r="K42" s="141">
        <v>0</v>
      </c>
      <c r="L42" s="141">
        <v>0</v>
      </c>
      <c r="M42" s="141">
        <v>0</v>
      </c>
      <c r="N42" s="141">
        <v>0</v>
      </c>
      <c r="O42" s="141">
        <v>0</v>
      </c>
      <c r="P42" s="141">
        <v>0</v>
      </c>
      <c r="Q42" s="141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141">
        <v>0</v>
      </c>
      <c r="X42" s="141">
        <v>0</v>
      </c>
      <c r="Y42" s="141">
        <v>0</v>
      </c>
      <c r="Z42" s="141">
        <v>0</v>
      </c>
      <c r="AA42" s="141">
        <v>0</v>
      </c>
      <c r="AB42" s="141">
        <v>0</v>
      </c>
      <c r="AC42" s="141">
        <v>0</v>
      </c>
      <c r="AD42" s="141">
        <v>0</v>
      </c>
      <c r="AE42" s="141">
        <v>0</v>
      </c>
      <c r="AF42" s="141">
        <v>0</v>
      </c>
      <c r="AG42" s="141">
        <v>0</v>
      </c>
      <c r="AH42" s="141">
        <v>0</v>
      </c>
      <c r="AI42" s="141">
        <v>0</v>
      </c>
      <c r="AJ42" s="141">
        <v>0</v>
      </c>
      <c r="AK42" s="141">
        <v>0</v>
      </c>
      <c r="AL42" s="141">
        <v>0</v>
      </c>
      <c r="AM42" s="141">
        <v>0</v>
      </c>
      <c r="AN42" s="141">
        <v>0</v>
      </c>
      <c r="AO42" s="141">
        <v>1.0236880194500721E-2</v>
      </c>
      <c r="AP42" s="141">
        <v>0</v>
      </c>
      <c r="AQ42" s="141">
        <v>0</v>
      </c>
      <c r="AR42" s="141">
        <v>0</v>
      </c>
      <c r="AS42" s="141">
        <v>0</v>
      </c>
      <c r="AT42" s="141">
        <v>0</v>
      </c>
    </row>
    <row r="43" spans="1:46" x14ac:dyDescent="0.15">
      <c r="A43" s="176" t="s">
        <v>233</v>
      </c>
      <c r="B43" s="141">
        <v>0</v>
      </c>
      <c r="C43" s="141">
        <v>0</v>
      </c>
      <c r="D43" s="141">
        <v>0</v>
      </c>
      <c r="E43" s="141">
        <v>0</v>
      </c>
      <c r="F43" s="141">
        <v>0</v>
      </c>
      <c r="G43" s="141">
        <v>0</v>
      </c>
      <c r="H43" s="141">
        <v>0</v>
      </c>
      <c r="I43" s="141">
        <v>0</v>
      </c>
      <c r="J43" s="141">
        <v>0</v>
      </c>
      <c r="K43" s="141">
        <v>0</v>
      </c>
      <c r="L43" s="141">
        <v>0</v>
      </c>
      <c r="M43" s="141">
        <v>0</v>
      </c>
      <c r="N43" s="141">
        <v>0</v>
      </c>
      <c r="O43" s="141">
        <v>0</v>
      </c>
      <c r="P43" s="141">
        <v>0</v>
      </c>
      <c r="Q43" s="141">
        <v>0</v>
      </c>
      <c r="R43" s="141">
        <v>0</v>
      </c>
      <c r="S43" s="141">
        <v>0</v>
      </c>
      <c r="T43" s="141">
        <v>0</v>
      </c>
      <c r="U43" s="141">
        <v>0</v>
      </c>
      <c r="V43" s="141">
        <v>0</v>
      </c>
      <c r="W43" s="141">
        <v>0</v>
      </c>
      <c r="X43" s="141">
        <v>0</v>
      </c>
      <c r="Y43" s="141">
        <v>0</v>
      </c>
      <c r="Z43" s="141">
        <v>0</v>
      </c>
      <c r="AA43" s="141">
        <v>0</v>
      </c>
      <c r="AB43" s="141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141">
        <v>0</v>
      </c>
      <c r="AI43" s="141">
        <v>0</v>
      </c>
      <c r="AJ43" s="141">
        <v>0</v>
      </c>
      <c r="AK43" s="141">
        <v>0</v>
      </c>
      <c r="AL43" s="141">
        <v>0</v>
      </c>
      <c r="AM43" s="141">
        <v>0</v>
      </c>
      <c r="AN43" s="141">
        <v>0</v>
      </c>
      <c r="AO43" s="141">
        <v>1.0236880194500721E-2</v>
      </c>
      <c r="AP43" s="141">
        <v>0</v>
      </c>
      <c r="AQ43" s="141">
        <v>0</v>
      </c>
      <c r="AR43" s="141">
        <v>0</v>
      </c>
      <c r="AS43" s="141">
        <v>0</v>
      </c>
      <c r="AT43" s="141">
        <v>0</v>
      </c>
    </row>
    <row r="44" spans="1:46" x14ac:dyDescent="0.15">
      <c r="A44" s="176" t="s">
        <v>234</v>
      </c>
      <c r="B44" s="141">
        <v>0</v>
      </c>
      <c r="C44" s="141">
        <v>0</v>
      </c>
      <c r="D44" s="141">
        <v>0</v>
      </c>
      <c r="E44" s="141">
        <v>0</v>
      </c>
      <c r="F44" s="141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141">
        <v>0</v>
      </c>
      <c r="M44" s="141">
        <v>0</v>
      </c>
      <c r="N44" s="141">
        <v>0</v>
      </c>
      <c r="O44" s="141">
        <v>0</v>
      </c>
      <c r="P44" s="141">
        <v>0</v>
      </c>
      <c r="Q44" s="141">
        <v>0</v>
      </c>
      <c r="R44" s="141">
        <v>0</v>
      </c>
      <c r="S44" s="141">
        <v>0</v>
      </c>
      <c r="T44" s="141">
        <v>0</v>
      </c>
      <c r="U44" s="141">
        <v>0</v>
      </c>
      <c r="V44" s="141">
        <v>0</v>
      </c>
      <c r="W44" s="141">
        <v>0</v>
      </c>
      <c r="X44" s="141">
        <v>0</v>
      </c>
      <c r="Y44" s="141">
        <v>0</v>
      </c>
      <c r="Z44" s="141">
        <v>0</v>
      </c>
      <c r="AA44" s="141">
        <v>0</v>
      </c>
      <c r="AB44" s="141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141">
        <v>0</v>
      </c>
      <c r="AI44" s="141">
        <v>0</v>
      </c>
      <c r="AJ44" s="141">
        <v>0</v>
      </c>
      <c r="AK44" s="141">
        <v>0</v>
      </c>
      <c r="AL44" s="141">
        <v>0</v>
      </c>
      <c r="AM44" s="141">
        <v>0</v>
      </c>
      <c r="AN44" s="141">
        <v>0</v>
      </c>
      <c r="AO44" s="141">
        <v>1.0236880194500721E-2</v>
      </c>
      <c r="AP44" s="141">
        <v>0</v>
      </c>
      <c r="AQ44" s="141">
        <v>0</v>
      </c>
      <c r="AR44" s="141">
        <v>0</v>
      </c>
      <c r="AS44" s="141">
        <v>0</v>
      </c>
      <c r="AT44" s="141">
        <v>0</v>
      </c>
    </row>
    <row r="45" spans="1:46" x14ac:dyDescent="0.15">
      <c r="A45" s="176" t="s">
        <v>235</v>
      </c>
      <c r="B45" s="141">
        <v>0</v>
      </c>
      <c r="C45" s="141">
        <v>0</v>
      </c>
      <c r="D45" s="141">
        <v>0</v>
      </c>
      <c r="E45" s="141">
        <v>0</v>
      </c>
      <c r="F45" s="141">
        <v>0</v>
      </c>
      <c r="G45" s="141">
        <v>0.56999999999999995</v>
      </c>
      <c r="H45" s="141">
        <v>0.63366335564356513</v>
      </c>
      <c r="I45" s="141">
        <v>0.7</v>
      </c>
      <c r="J45" s="141">
        <v>0</v>
      </c>
      <c r="K45" s="141">
        <v>0</v>
      </c>
      <c r="L45" s="141">
        <v>0</v>
      </c>
      <c r="M45" s="141">
        <v>0</v>
      </c>
      <c r="N45" s="141">
        <v>0</v>
      </c>
      <c r="O45" s="141">
        <v>0</v>
      </c>
      <c r="P45" s="141">
        <v>0</v>
      </c>
      <c r="Q45" s="141">
        <v>0</v>
      </c>
      <c r="R45" s="141">
        <v>0</v>
      </c>
      <c r="S45" s="141">
        <v>0</v>
      </c>
      <c r="T45" s="141">
        <v>0</v>
      </c>
      <c r="U45" s="141">
        <v>0</v>
      </c>
      <c r="V45" s="141">
        <v>1.9801982574257738E-2</v>
      </c>
      <c r="W45" s="141">
        <v>3.5034447022072E-2</v>
      </c>
      <c r="X45" s="141">
        <v>0</v>
      </c>
      <c r="Y45" s="141">
        <v>0</v>
      </c>
      <c r="Z45" s="141">
        <v>0.25</v>
      </c>
      <c r="AA45" s="141">
        <v>0</v>
      </c>
      <c r="AB45" s="141">
        <v>0</v>
      </c>
      <c r="AC45" s="141">
        <v>0</v>
      </c>
      <c r="AD45" s="141">
        <v>0</v>
      </c>
      <c r="AE45" s="141">
        <v>0</v>
      </c>
      <c r="AF45" s="141">
        <v>0</v>
      </c>
      <c r="AG45" s="141">
        <v>0</v>
      </c>
      <c r="AH45" s="141">
        <v>0</v>
      </c>
      <c r="AI45" s="141">
        <v>0</v>
      </c>
      <c r="AJ45" s="141">
        <v>0</v>
      </c>
      <c r="AK45" s="141">
        <v>0</v>
      </c>
      <c r="AL45" s="141">
        <v>0</v>
      </c>
      <c r="AM45" s="141">
        <v>0</v>
      </c>
      <c r="AN45" s="141">
        <v>0</v>
      </c>
      <c r="AO45" s="141">
        <v>0</v>
      </c>
      <c r="AP45" s="141">
        <v>0</v>
      </c>
      <c r="AQ45" s="141">
        <v>0</v>
      </c>
      <c r="AR45" s="141">
        <v>0</v>
      </c>
      <c r="AS45" s="141">
        <v>0</v>
      </c>
      <c r="AT45" s="141">
        <v>0</v>
      </c>
    </row>
    <row r="46" spans="1:46" x14ac:dyDescent="0.15">
      <c r="A46" s="176" t="s">
        <v>236</v>
      </c>
      <c r="B46" s="141">
        <v>0</v>
      </c>
      <c r="C46" s="141">
        <v>0</v>
      </c>
      <c r="D46" s="141">
        <v>0</v>
      </c>
      <c r="E46" s="141">
        <v>0</v>
      </c>
      <c r="F46" s="141">
        <v>0</v>
      </c>
      <c r="G46" s="141">
        <v>0</v>
      </c>
      <c r="H46" s="141">
        <v>0</v>
      </c>
      <c r="I46" s="141">
        <v>0</v>
      </c>
      <c r="J46" s="141">
        <v>0</v>
      </c>
      <c r="K46" s="141">
        <v>0</v>
      </c>
      <c r="L46" s="141">
        <v>0</v>
      </c>
      <c r="M46" s="141">
        <v>0</v>
      </c>
      <c r="N46" s="141">
        <v>0</v>
      </c>
      <c r="O46" s="141">
        <v>0</v>
      </c>
      <c r="P46" s="141">
        <v>0</v>
      </c>
      <c r="Q46" s="141">
        <v>0</v>
      </c>
      <c r="R46" s="141">
        <v>0</v>
      </c>
      <c r="S46" s="141">
        <v>0</v>
      </c>
      <c r="T46" s="141">
        <v>0</v>
      </c>
      <c r="U46" s="141">
        <v>0</v>
      </c>
      <c r="V46" s="141">
        <v>0</v>
      </c>
      <c r="W46" s="141">
        <v>0</v>
      </c>
      <c r="X46" s="141">
        <v>0</v>
      </c>
      <c r="Y46" s="141">
        <v>0</v>
      </c>
      <c r="Z46" s="141">
        <v>0</v>
      </c>
      <c r="AA46" s="141">
        <v>0</v>
      </c>
      <c r="AB46" s="141">
        <v>0</v>
      </c>
      <c r="AC46" s="141">
        <v>0</v>
      </c>
      <c r="AD46" s="141">
        <v>0</v>
      </c>
      <c r="AE46" s="141">
        <v>0</v>
      </c>
      <c r="AF46" s="141">
        <v>0</v>
      </c>
      <c r="AG46" s="141">
        <v>0</v>
      </c>
      <c r="AH46" s="141">
        <v>0</v>
      </c>
      <c r="AI46" s="141">
        <v>0</v>
      </c>
      <c r="AJ46" s="141">
        <v>0</v>
      </c>
      <c r="AK46" s="141">
        <v>0</v>
      </c>
      <c r="AL46" s="141">
        <v>0</v>
      </c>
      <c r="AM46" s="141">
        <v>0</v>
      </c>
      <c r="AN46" s="141">
        <v>0</v>
      </c>
      <c r="AO46" s="141">
        <v>0</v>
      </c>
      <c r="AP46" s="141">
        <v>0</v>
      </c>
      <c r="AQ46" s="141">
        <v>0</v>
      </c>
      <c r="AR46" s="141">
        <v>0</v>
      </c>
      <c r="AS46" s="141">
        <v>0</v>
      </c>
      <c r="AT46" s="141">
        <v>0</v>
      </c>
    </row>
    <row r="47" spans="1:46" x14ac:dyDescent="0.15">
      <c r="A47" s="176" t="s">
        <v>238</v>
      </c>
      <c r="B47" s="141">
        <v>0</v>
      </c>
      <c r="C47" s="141">
        <v>0</v>
      </c>
      <c r="D47" s="141">
        <v>0</v>
      </c>
      <c r="E47" s="141">
        <v>0</v>
      </c>
      <c r="F47" s="141">
        <v>0</v>
      </c>
      <c r="G47" s="141">
        <v>0</v>
      </c>
      <c r="H47" s="141">
        <v>0</v>
      </c>
      <c r="I47" s="141">
        <v>0</v>
      </c>
      <c r="J47" s="141">
        <v>0.5</v>
      </c>
      <c r="K47" s="141">
        <v>0</v>
      </c>
      <c r="L47" s="141">
        <v>0</v>
      </c>
      <c r="M47" s="141">
        <v>0</v>
      </c>
      <c r="N47" s="141">
        <v>0</v>
      </c>
      <c r="O47" s="141">
        <v>0</v>
      </c>
      <c r="P47" s="141">
        <v>0</v>
      </c>
      <c r="Q47" s="141">
        <v>0</v>
      </c>
      <c r="R47" s="141">
        <v>0</v>
      </c>
      <c r="S47" s="141">
        <v>0</v>
      </c>
      <c r="T47" s="141">
        <v>0</v>
      </c>
      <c r="U47" s="141">
        <v>0</v>
      </c>
      <c r="V47" s="141">
        <v>0</v>
      </c>
      <c r="W47" s="141">
        <v>0</v>
      </c>
      <c r="X47" s="141">
        <v>0</v>
      </c>
      <c r="Y47" s="141">
        <v>0</v>
      </c>
      <c r="Z47" s="141">
        <v>0</v>
      </c>
      <c r="AA47" s="141">
        <v>0.47</v>
      </c>
      <c r="AB47" s="141">
        <v>0.5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141">
        <v>0</v>
      </c>
      <c r="AI47" s="141">
        <v>0</v>
      </c>
      <c r="AJ47" s="141">
        <v>0</v>
      </c>
      <c r="AK47" s="141">
        <v>0</v>
      </c>
      <c r="AL47" s="141">
        <v>0</v>
      </c>
      <c r="AM47" s="141">
        <v>0</v>
      </c>
      <c r="AN47" s="141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  <c r="AT47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7" activePane="bottomRight" state="frozen"/>
      <selection pane="topRight" activeCell="C1" sqref="C1"/>
      <selection pane="bottomLeft" activeCell="A2" sqref="A2"/>
      <selection pane="bottomRight" activeCell="G49" sqref="G49"/>
    </sheetView>
  </sheetViews>
  <sheetFormatPr baseColWidth="10" defaultColWidth="8.83203125" defaultRowHeight="13" x14ac:dyDescent="0.15"/>
  <cols>
    <col min="1" max="1" width="3.33203125" customWidth="1"/>
    <col min="2" max="2" width="21.83203125" customWidth="1"/>
    <col min="3" max="4" width="14.5" style="110" customWidth="1"/>
    <col min="5" max="6" width="14.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79" t="s">
        <v>235</v>
      </c>
      <c r="D1" s="179" t="s">
        <v>236</v>
      </c>
      <c r="E1" s="179" t="s">
        <v>239</v>
      </c>
      <c r="F1" s="179" t="s">
        <v>240</v>
      </c>
      <c r="G1"/>
      <c r="H1"/>
    </row>
    <row r="2" spans="1:8" x14ac:dyDescent="0.15">
      <c r="A2">
        <v>1</v>
      </c>
      <c r="B2" s="178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8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8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8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8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8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8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8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8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8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8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8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8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8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8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8" t="s">
        <v>223</v>
      </c>
      <c r="C33" s="110">
        <v>1</v>
      </c>
      <c r="D33" s="110">
        <v>0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78" t="s">
        <v>224</v>
      </c>
      <c r="C34" s="110">
        <v>1</v>
      </c>
      <c r="D34" s="110">
        <v>0</v>
      </c>
      <c r="E34" s="109">
        <v>0</v>
      </c>
      <c r="F34" s="109">
        <v>1</v>
      </c>
    </row>
    <row r="35" spans="1:8" ht="15" customHeight="1" x14ac:dyDescent="0.15">
      <c r="A35">
        <v>34</v>
      </c>
      <c r="B35" s="178" t="s">
        <v>225</v>
      </c>
      <c r="C35" s="110">
        <v>1</v>
      </c>
      <c r="D35" s="110">
        <v>0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78" t="s">
        <v>226</v>
      </c>
      <c r="C36" s="110">
        <v>1</v>
      </c>
      <c r="D36" s="110">
        <v>0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78" t="s">
        <v>227</v>
      </c>
      <c r="C37" s="110">
        <v>1</v>
      </c>
      <c r="D37" s="110">
        <v>0</v>
      </c>
      <c r="E37" s="110">
        <v>0</v>
      </c>
      <c r="F37" s="110">
        <v>1</v>
      </c>
      <c r="G37"/>
      <c r="H37"/>
    </row>
    <row r="38" spans="1:8" ht="15" customHeight="1" x14ac:dyDescent="0.15">
      <c r="A38">
        <v>37</v>
      </c>
      <c r="B38" s="178" t="s">
        <v>228</v>
      </c>
      <c r="C38" s="110">
        <v>1</v>
      </c>
      <c r="D38" s="110">
        <v>0</v>
      </c>
      <c r="E38" s="110">
        <v>0</v>
      </c>
      <c r="F38" s="110">
        <v>1</v>
      </c>
      <c r="G38"/>
      <c r="H38"/>
    </row>
    <row r="39" spans="1:8" ht="15" customHeight="1" x14ac:dyDescent="0.15">
      <c r="A39">
        <v>38</v>
      </c>
      <c r="B39" s="178" t="s">
        <v>229</v>
      </c>
      <c r="C39" s="110">
        <v>1</v>
      </c>
      <c r="D39" s="110">
        <v>0</v>
      </c>
      <c r="E39" s="110">
        <v>0</v>
      </c>
      <c r="F39" s="110">
        <v>1</v>
      </c>
      <c r="G39"/>
      <c r="H39"/>
    </row>
    <row r="40" spans="1:8" ht="15" customHeight="1" x14ac:dyDescent="0.15">
      <c r="A40">
        <v>39</v>
      </c>
      <c r="B40" s="178" t="s">
        <v>230</v>
      </c>
      <c r="C40" s="110">
        <v>1</v>
      </c>
      <c r="D40" s="110">
        <v>0</v>
      </c>
      <c r="E40" s="110">
        <v>0</v>
      </c>
      <c r="F40" s="110">
        <v>1</v>
      </c>
      <c r="G40"/>
      <c r="H40"/>
    </row>
    <row r="41" spans="1:8" ht="15" customHeight="1" x14ac:dyDescent="0.15">
      <c r="A41">
        <v>40</v>
      </c>
      <c r="B41" s="178" t="s">
        <v>231</v>
      </c>
      <c r="C41" s="110">
        <v>1</v>
      </c>
      <c r="D41" s="110">
        <v>0</v>
      </c>
      <c r="E41" s="110">
        <v>0</v>
      </c>
      <c r="F41" s="110">
        <v>1</v>
      </c>
      <c r="G41"/>
      <c r="H41"/>
    </row>
    <row r="42" spans="1:8" ht="15" customHeight="1" x14ac:dyDescent="0.15">
      <c r="A42">
        <v>41</v>
      </c>
      <c r="B42" s="178" t="s">
        <v>232</v>
      </c>
      <c r="C42" s="110">
        <v>1</v>
      </c>
      <c r="D42" s="110">
        <v>0</v>
      </c>
      <c r="E42" s="110">
        <v>0</v>
      </c>
      <c r="F42" s="110">
        <v>1</v>
      </c>
      <c r="G42"/>
      <c r="H42"/>
    </row>
    <row r="43" spans="1:8" ht="15" customHeight="1" x14ac:dyDescent="0.15">
      <c r="A43">
        <v>42</v>
      </c>
      <c r="B43" s="178" t="s">
        <v>233</v>
      </c>
      <c r="C43" s="110">
        <v>1</v>
      </c>
      <c r="D43" s="110">
        <v>0</v>
      </c>
      <c r="E43" s="110">
        <v>0</v>
      </c>
      <c r="F43" s="110">
        <v>1</v>
      </c>
      <c r="G43"/>
      <c r="H43"/>
    </row>
    <row r="44" spans="1:8" ht="15" customHeight="1" x14ac:dyDescent="0.15">
      <c r="A44">
        <v>43</v>
      </c>
      <c r="B44" s="178" t="s">
        <v>234</v>
      </c>
      <c r="C44" s="110">
        <v>1</v>
      </c>
      <c r="D44" s="110">
        <v>0</v>
      </c>
      <c r="E44" s="109">
        <v>0</v>
      </c>
      <c r="F44" s="109">
        <v>1</v>
      </c>
      <c r="G44"/>
      <c r="H44"/>
    </row>
    <row r="45" spans="1:8" ht="15" customHeight="1" x14ac:dyDescent="0.15">
      <c r="A45">
        <v>44</v>
      </c>
      <c r="B45" s="178" t="s">
        <v>235</v>
      </c>
      <c r="C45" s="110">
        <v>0</v>
      </c>
      <c r="D45" s="110">
        <v>1</v>
      </c>
      <c r="E45" s="109">
        <v>0</v>
      </c>
      <c r="F45" s="109">
        <v>1</v>
      </c>
      <c r="G45"/>
      <c r="H45"/>
    </row>
    <row r="46" spans="1:8" ht="15" customHeight="1" x14ac:dyDescent="0.15">
      <c r="A46">
        <v>45</v>
      </c>
      <c r="B46" s="178" t="s">
        <v>236</v>
      </c>
      <c r="C46" s="110">
        <v>0</v>
      </c>
      <c r="D46" s="110">
        <v>0</v>
      </c>
      <c r="E46" s="110">
        <v>1</v>
      </c>
      <c r="F46" s="110">
        <v>1</v>
      </c>
      <c r="G46"/>
      <c r="H46"/>
    </row>
    <row r="47" spans="1:8" ht="15" customHeight="1" x14ac:dyDescent="0.15">
      <c r="A47">
        <v>46</v>
      </c>
      <c r="B47" s="178" t="s">
        <v>237</v>
      </c>
      <c r="C47" s="110">
        <v>0</v>
      </c>
      <c r="D47" s="110">
        <v>1</v>
      </c>
      <c r="E47" s="109">
        <v>0</v>
      </c>
      <c r="F47" s="109">
        <v>1</v>
      </c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83203125" bestFit="1" customWidth="1"/>
    <col min="3" max="4" width="8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1" t="s">
        <v>237</v>
      </c>
      <c r="D1" s="181" t="s">
        <v>241</v>
      </c>
      <c r="E1"/>
    </row>
    <row r="2" spans="1:5" ht="15" customHeight="1" x14ac:dyDescent="0.15">
      <c r="A2">
        <v>1</v>
      </c>
      <c r="B2" s="180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8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0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80" t="s">
        <v>196</v>
      </c>
      <c r="C6">
        <v>1.1E-5</v>
      </c>
      <c r="D6">
        <v>1.1E-5</v>
      </c>
    </row>
    <row r="7" spans="1:5" ht="15" customHeight="1" x14ac:dyDescent="0.15">
      <c r="A7">
        <v>6</v>
      </c>
      <c r="B7" s="180" t="s">
        <v>197</v>
      </c>
      <c r="C7">
        <v>1.3899999999999999E-4</v>
      </c>
      <c r="D7">
        <v>1.3899999999999999E-4</v>
      </c>
    </row>
    <row r="8" spans="1:5" ht="15" customHeight="1" x14ac:dyDescent="0.15">
      <c r="A8">
        <v>7</v>
      </c>
      <c r="B8" s="180" t="s">
        <v>198</v>
      </c>
      <c r="C8">
        <v>3.3599999999999998E-4</v>
      </c>
      <c r="D8">
        <v>3.3599999999999998E-4</v>
      </c>
    </row>
    <row r="9" spans="1:5" ht="15" customHeight="1" x14ac:dyDescent="0.15">
      <c r="A9">
        <v>8</v>
      </c>
      <c r="B9" s="180" t="s">
        <v>199</v>
      </c>
      <c r="C9">
        <v>7.3999999999999996E-5</v>
      </c>
      <c r="D9">
        <v>7.3999999999999996E-5</v>
      </c>
    </row>
    <row r="10" spans="1:5" ht="15" customHeight="1" x14ac:dyDescent="0.15">
      <c r="A10">
        <v>9</v>
      </c>
      <c r="B10" s="180" t="s">
        <v>200</v>
      </c>
      <c r="C10">
        <v>9.7082000000000002E-2</v>
      </c>
      <c r="D10">
        <v>9.7082000000000002E-2</v>
      </c>
    </row>
    <row r="11" spans="1:5" ht="15" customHeight="1" x14ac:dyDescent="0.15">
      <c r="A11">
        <v>10</v>
      </c>
      <c r="B11" s="180" t="s">
        <v>201</v>
      </c>
      <c r="C11">
        <v>1.2718999999999999E-2</v>
      </c>
      <c r="D11">
        <v>1.2718999999999999E-2</v>
      </c>
    </row>
    <row r="12" spans="1:5" ht="15" customHeight="1" x14ac:dyDescent="0.15">
      <c r="A12">
        <v>11</v>
      </c>
      <c r="B12" s="180" t="s">
        <v>202</v>
      </c>
      <c r="C12">
        <v>1.1E-5</v>
      </c>
      <c r="D12">
        <v>1.1E-5</v>
      </c>
    </row>
    <row r="13" spans="1:5" ht="15" customHeight="1" x14ac:dyDescent="0.15">
      <c r="A13">
        <v>12</v>
      </c>
      <c r="B13" s="180" t="s">
        <v>203</v>
      </c>
      <c r="C13">
        <v>7.9999999999999996E-6</v>
      </c>
      <c r="D13">
        <v>7.9999999999999996E-6</v>
      </c>
    </row>
    <row r="14" spans="1:5" ht="15" customHeight="1" x14ac:dyDescent="0.15">
      <c r="A14">
        <v>13</v>
      </c>
      <c r="B14" s="180" t="s">
        <v>204</v>
      </c>
      <c r="C14">
        <v>2.0999999999999999E-5</v>
      </c>
      <c r="D14">
        <v>2.0999999999999999E-5</v>
      </c>
    </row>
    <row r="15" spans="1:5" ht="15" customHeight="1" x14ac:dyDescent="0.15">
      <c r="A15">
        <v>14</v>
      </c>
      <c r="B15" s="180" t="s">
        <v>205</v>
      </c>
      <c r="C15">
        <v>6.6000000000000005E-5</v>
      </c>
      <c r="D15">
        <v>6.6000000000000005E-5</v>
      </c>
    </row>
    <row r="16" spans="1:5" ht="15" customHeight="1" x14ac:dyDescent="0.15">
      <c r="A16">
        <v>15</v>
      </c>
      <c r="B16" s="180" t="s">
        <v>206</v>
      </c>
      <c r="C16">
        <v>1.9999999999999999E-6</v>
      </c>
      <c r="D16">
        <v>1.9999999999999999E-6</v>
      </c>
    </row>
    <row r="17" spans="1:4" ht="15" customHeight="1" x14ac:dyDescent="0.15">
      <c r="A17">
        <v>16</v>
      </c>
      <c r="B17" s="180" t="s">
        <v>207</v>
      </c>
      <c r="C17">
        <v>4.0000000000000003E-5</v>
      </c>
      <c r="D17">
        <v>4.0000000000000003E-5</v>
      </c>
    </row>
    <row r="18" spans="1:4" ht="15" customHeight="1" x14ac:dyDescent="0.15">
      <c r="A18">
        <v>17</v>
      </c>
      <c r="B18" s="180" t="s">
        <v>208</v>
      </c>
      <c r="C18">
        <v>3.9999999999999998E-6</v>
      </c>
      <c r="D18">
        <v>3.9999999999999998E-6</v>
      </c>
    </row>
    <row r="19" spans="1:4" ht="15" customHeight="1" x14ac:dyDescent="0.15">
      <c r="A19">
        <v>18</v>
      </c>
      <c r="B19" s="180" t="s">
        <v>209</v>
      </c>
      <c r="C19">
        <v>9.5100000000000002E-4</v>
      </c>
      <c r="D19">
        <v>9.5100000000000002E-4</v>
      </c>
    </row>
    <row r="20" spans="1:4" ht="15" customHeight="1" x14ac:dyDescent="0.15">
      <c r="A20">
        <v>19</v>
      </c>
      <c r="B20" s="180" t="s">
        <v>210</v>
      </c>
      <c r="C20">
        <v>2.0699999999999999E-4</v>
      </c>
      <c r="D20">
        <v>2.0699999999999999E-4</v>
      </c>
    </row>
    <row r="21" spans="1:4" ht="15" customHeight="1" x14ac:dyDescent="0.15">
      <c r="A21">
        <v>20</v>
      </c>
      <c r="B21" s="180" t="s">
        <v>211</v>
      </c>
      <c r="C21">
        <v>1.6100000000000001E-4</v>
      </c>
      <c r="D21">
        <v>1.6100000000000001E-4</v>
      </c>
    </row>
    <row r="22" spans="1:4" ht="15" customHeight="1" x14ac:dyDescent="0.15">
      <c r="A22">
        <v>21</v>
      </c>
      <c r="B22" s="180" t="s">
        <v>212</v>
      </c>
      <c r="C22">
        <v>3.395E-3</v>
      </c>
      <c r="D22">
        <v>3.395E-3</v>
      </c>
    </row>
    <row r="23" spans="1:4" ht="15" customHeight="1" x14ac:dyDescent="0.15">
      <c r="A23">
        <v>22</v>
      </c>
      <c r="B23" s="180" t="s">
        <v>213</v>
      </c>
      <c r="C23">
        <v>8.5000000000000006E-5</v>
      </c>
      <c r="D23">
        <v>8.5000000000000006E-5</v>
      </c>
    </row>
    <row r="24" spans="1:4" ht="15" customHeight="1" x14ac:dyDescent="0.15">
      <c r="A24">
        <v>23</v>
      </c>
      <c r="B24" s="180" t="s">
        <v>214</v>
      </c>
      <c r="C24">
        <v>7.6000000000000004E-5</v>
      </c>
      <c r="D24">
        <v>7.6000000000000004E-5</v>
      </c>
    </row>
    <row r="25" spans="1:4" ht="15" customHeight="1" x14ac:dyDescent="0.15">
      <c r="A25">
        <v>24</v>
      </c>
      <c r="B25" s="180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80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80" t="s">
        <v>217</v>
      </c>
      <c r="C27">
        <v>3.0699999999999998E-4</v>
      </c>
      <c r="D27">
        <v>3.0699999999999998E-4</v>
      </c>
    </row>
    <row r="28" spans="1:4" ht="15" customHeight="1" x14ac:dyDescent="0.15">
      <c r="A28">
        <v>27</v>
      </c>
      <c r="B28" s="180" t="s">
        <v>218</v>
      </c>
      <c r="C28">
        <v>1.2310000000000001E-3</v>
      </c>
      <c r="D28">
        <v>1.2310000000000001E-3</v>
      </c>
    </row>
    <row r="29" spans="1:4" ht="15" customHeight="1" x14ac:dyDescent="0.15">
      <c r="A29">
        <v>28</v>
      </c>
      <c r="B29" s="180" t="s">
        <v>219</v>
      </c>
      <c r="C29">
        <v>3.4E-5</v>
      </c>
      <c r="D29">
        <v>3.4E-5</v>
      </c>
    </row>
    <row r="30" spans="1:4" ht="15" customHeight="1" x14ac:dyDescent="0.15">
      <c r="A30">
        <v>29</v>
      </c>
      <c r="B30" s="180" t="s">
        <v>220</v>
      </c>
      <c r="C30">
        <v>1.37E-4</v>
      </c>
      <c r="D30">
        <v>1.37E-4</v>
      </c>
    </row>
    <row r="31" spans="1:4" ht="15" customHeight="1" x14ac:dyDescent="0.15">
      <c r="A31">
        <v>30</v>
      </c>
      <c r="B31" s="180" t="s">
        <v>221</v>
      </c>
      <c r="C31">
        <v>6.4999999999999994E-5</v>
      </c>
      <c r="D31">
        <v>6.4999999999999994E-5</v>
      </c>
    </row>
    <row r="32" spans="1:4" ht="15" customHeight="1" x14ac:dyDescent="0.15">
      <c r="A32">
        <v>31</v>
      </c>
      <c r="B32" s="180" t="s">
        <v>222</v>
      </c>
      <c r="C32">
        <v>1.0368E-2</v>
      </c>
      <c r="D32">
        <v>1.0368E-2</v>
      </c>
    </row>
    <row r="33" spans="1:4" ht="15" customHeight="1" x14ac:dyDescent="0.15">
      <c r="A33">
        <v>32</v>
      </c>
      <c r="B33" s="180" t="s">
        <v>223</v>
      </c>
      <c r="C33">
        <v>1.9999999999999999E-6</v>
      </c>
      <c r="D33">
        <v>1.9999999999999999E-6</v>
      </c>
    </row>
    <row r="34" spans="1:4" ht="15" customHeight="1" x14ac:dyDescent="0.15">
      <c r="A34">
        <v>33</v>
      </c>
      <c r="B34" s="180" t="s">
        <v>224</v>
      </c>
      <c r="C34">
        <v>1.078E-3</v>
      </c>
      <c r="D34">
        <v>1.078E-3</v>
      </c>
    </row>
    <row r="35" spans="1:4" ht="15" customHeight="1" x14ac:dyDescent="0.15">
      <c r="A35">
        <v>34</v>
      </c>
      <c r="B35" s="180" t="s">
        <v>225</v>
      </c>
      <c r="C35">
        <v>3.4E-5</v>
      </c>
      <c r="D35">
        <v>3.4E-5</v>
      </c>
    </row>
    <row r="36" spans="1:4" ht="15" customHeight="1" x14ac:dyDescent="0.15">
      <c r="A36">
        <v>35</v>
      </c>
      <c r="B36" s="180" t="s">
        <v>226</v>
      </c>
      <c r="C36">
        <v>6.816E-3</v>
      </c>
      <c r="D36">
        <v>6.816E-3</v>
      </c>
    </row>
    <row r="37" spans="1:4" ht="15" customHeight="1" x14ac:dyDescent="0.15">
      <c r="A37">
        <v>36</v>
      </c>
      <c r="B37" s="180" t="s">
        <v>227</v>
      </c>
      <c r="C37">
        <v>1.7080000000000001E-3</v>
      </c>
      <c r="D37">
        <v>1.7080000000000001E-3</v>
      </c>
    </row>
    <row r="38" spans="1:4" ht="15" customHeight="1" x14ac:dyDescent="0.15">
      <c r="A38">
        <v>37</v>
      </c>
      <c r="B38" s="180" t="s">
        <v>228</v>
      </c>
      <c r="C38">
        <v>1.9999999999999999E-6</v>
      </c>
      <c r="D38">
        <v>1.9999999999999999E-6</v>
      </c>
    </row>
    <row r="39" spans="1:4" ht="15" customHeight="1" x14ac:dyDescent="0.15">
      <c r="A39">
        <v>38</v>
      </c>
      <c r="B39" s="180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80" t="s">
        <v>230</v>
      </c>
      <c r="C40">
        <v>0</v>
      </c>
      <c r="D40">
        <v>0</v>
      </c>
    </row>
    <row r="41" spans="1:4" ht="15" customHeight="1" x14ac:dyDescent="0.15">
      <c r="A41">
        <v>40</v>
      </c>
      <c r="B41" s="180" t="s">
        <v>231</v>
      </c>
      <c r="C41">
        <v>0</v>
      </c>
      <c r="D41">
        <v>0</v>
      </c>
    </row>
    <row r="42" spans="1:4" ht="15" customHeight="1" x14ac:dyDescent="0.15">
      <c r="A42">
        <v>41</v>
      </c>
      <c r="B42" s="180" t="s">
        <v>232</v>
      </c>
      <c r="C42">
        <v>0</v>
      </c>
      <c r="D42">
        <v>0</v>
      </c>
    </row>
    <row r="43" spans="1:4" ht="15" customHeight="1" x14ac:dyDescent="0.15">
      <c r="A43">
        <v>42</v>
      </c>
      <c r="B43" s="180" t="s">
        <v>233</v>
      </c>
      <c r="C43">
        <v>0</v>
      </c>
      <c r="D43">
        <v>0</v>
      </c>
    </row>
    <row r="44" spans="1:4" ht="15" customHeight="1" x14ac:dyDescent="0.15">
      <c r="A44">
        <v>43</v>
      </c>
      <c r="B44" s="180" t="s">
        <v>234</v>
      </c>
      <c r="C44">
        <v>0</v>
      </c>
      <c r="D44">
        <v>0</v>
      </c>
    </row>
    <row r="45" spans="1:4" ht="15" customHeight="1" x14ac:dyDescent="0.15">
      <c r="A45">
        <v>44</v>
      </c>
      <c r="B45" s="180" t="s">
        <v>235</v>
      </c>
      <c r="C45">
        <v>0</v>
      </c>
      <c r="D45">
        <v>0</v>
      </c>
    </row>
    <row r="46" spans="1:4" ht="15" customHeight="1" x14ac:dyDescent="0.15">
      <c r="A46">
        <v>45</v>
      </c>
      <c r="B46" s="180" t="s">
        <v>236</v>
      </c>
      <c r="C46">
        <v>0</v>
      </c>
      <c r="D46">
        <v>0</v>
      </c>
    </row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83203125" bestFit="1" customWidth="1"/>
    <col min="3" max="4" width="2.3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3" t="s">
        <v>237</v>
      </c>
      <c r="D1" s="183" t="s">
        <v>241</v>
      </c>
    </row>
    <row r="2" spans="1:4" x14ac:dyDescent="0.15">
      <c r="A2">
        <v>1</v>
      </c>
      <c r="B2" s="182" t="s">
        <v>192</v>
      </c>
      <c r="C2">
        <v>0</v>
      </c>
      <c r="D2">
        <v>0</v>
      </c>
    </row>
    <row r="3" spans="1:4" x14ac:dyDescent="0.15">
      <c r="A3">
        <v>2</v>
      </c>
      <c r="B3" s="182" t="s">
        <v>193</v>
      </c>
      <c r="C3">
        <v>0</v>
      </c>
      <c r="D3">
        <v>0</v>
      </c>
    </row>
    <row r="4" spans="1:4" x14ac:dyDescent="0.15">
      <c r="A4">
        <v>3</v>
      </c>
      <c r="B4" s="182" t="s">
        <v>194</v>
      </c>
      <c r="C4">
        <v>0</v>
      </c>
      <c r="D4">
        <v>0</v>
      </c>
    </row>
    <row r="5" spans="1:4" x14ac:dyDescent="0.15">
      <c r="A5">
        <v>4</v>
      </c>
      <c r="B5" s="182" t="s">
        <v>195</v>
      </c>
      <c r="C5">
        <v>0</v>
      </c>
      <c r="D5">
        <v>0</v>
      </c>
    </row>
    <row r="6" spans="1:4" x14ac:dyDescent="0.15">
      <c r="A6">
        <v>5</v>
      </c>
      <c r="B6" s="182" t="s">
        <v>196</v>
      </c>
      <c r="C6">
        <v>0</v>
      </c>
      <c r="D6">
        <v>0</v>
      </c>
    </row>
    <row r="7" spans="1:4" x14ac:dyDescent="0.15">
      <c r="A7">
        <v>6</v>
      </c>
      <c r="B7" s="182" t="s">
        <v>197</v>
      </c>
      <c r="C7">
        <v>0</v>
      </c>
      <c r="D7">
        <v>0</v>
      </c>
    </row>
    <row r="8" spans="1:4" x14ac:dyDescent="0.15">
      <c r="A8">
        <v>7</v>
      </c>
      <c r="B8" s="182" t="s">
        <v>198</v>
      </c>
      <c r="C8">
        <v>0</v>
      </c>
      <c r="D8">
        <v>0</v>
      </c>
    </row>
    <row r="9" spans="1:4" x14ac:dyDescent="0.15">
      <c r="A9">
        <v>8</v>
      </c>
      <c r="B9" s="182" t="s">
        <v>199</v>
      </c>
      <c r="C9">
        <v>0</v>
      </c>
      <c r="D9">
        <v>0</v>
      </c>
    </row>
    <row r="10" spans="1:4" x14ac:dyDescent="0.15">
      <c r="A10">
        <v>9</v>
      </c>
      <c r="B10" s="182" t="s">
        <v>200</v>
      </c>
      <c r="C10">
        <v>0</v>
      </c>
      <c r="D10">
        <v>0</v>
      </c>
    </row>
    <row r="11" spans="1:4" x14ac:dyDescent="0.15">
      <c r="A11">
        <v>10</v>
      </c>
      <c r="B11" s="182" t="s">
        <v>201</v>
      </c>
      <c r="C11">
        <v>0</v>
      </c>
      <c r="D11">
        <v>0</v>
      </c>
    </row>
    <row r="12" spans="1:4" x14ac:dyDescent="0.15">
      <c r="A12">
        <v>11</v>
      </c>
      <c r="B12" s="182" t="s">
        <v>202</v>
      </c>
      <c r="C12">
        <v>0</v>
      </c>
      <c r="D12">
        <v>0</v>
      </c>
    </row>
    <row r="13" spans="1:4" x14ac:dyDescent="0.15">
      <c r="A13">
        <v>12</v>
      </c>
      <c r="B13" s="182" t="s">
        <v>203</v>
      </c>
      <c r="C13">
        <v>0</v>
      </c>
      <c r="D13">
        <v>0</v>
      </c>
    </row>
    <row r="14" spans="1:4" x14ac:dyDescent="0.15">
      <c r="A14">
        <v>13</v>
      </c>
      <c r="B14" s="182" t="s">
        <v>204</v>
      </c>
      <c r="C14">
        <v>0</v>
      </c>
      <c r="D14">
        <v>0</v>
      </c>
    </row>
    <row r="15" spans="1:4" x14ac:dyDescent="0.15">
      <c r="A15">
        <v>14</v>
      </c>
      <c r="B15" s="182" t="s">
        <v>205</v>
      </c>
      <c r="C15">
        <v>0</v>
      </c>
      <c r="D15">
        <v>0</v>
      </c>
    </row>
    <row r="16" spans="1:4" x14ac:dyDescent="0.15">
      <c r="A16">
        <v>15</v>
      </c>
      <c r="B16" s="182" t="s">
        <v>206</v>
      </c>
      <c r="C16">
        <v>0</v>
      </c>
      <c r="D16">
        <v>0</v>
      </c>
    </row>
    <row r="17" spans="1:4" x14ac:dyDescent="0.15">
      <c r="A17">
        <v>16</v>
      </c>
      <c r="B17" s="182" t="s">
        <v>207</v>
      </c>
      <c r="C17">
        <v>0</v>
      </c>
      <c r="D17">
        <v>0</v>
      </c>
    </row>
    <row r="18" spans="1:4" x14ac:dyDescent="0.15">
      <c r="A18">
        <v>17</v>
      </c>
      <c r="B18" s="182" t="s">
        <v>208</v>
      </c>
      <c r="C18">
        <v>0</v>
      </c>
      <c r="D18">
        <v>0</v>
      </c>
    </row>
    <row r="19" spans="1:4" x14ac:dyDescent="0.15">
      <c r="A19">
        <v>18</v>
      </c>
      <c r="B19" s="182" t="s">
        <v>209</v>
      </c>
      <c r="C19">
        <v>0</v>
      </c>
      <c r="D19">
        <v>0</v>
      </c>
    </row>
    <row r="20" spans="1:4" x14ac:dyDescent="0.15">
      <c r="A20">
        <v>19</v>
      </c>
      <c r="B20" s="182" t="s">
        <v>210</v>
      </c>
      <c r="C20">
        <v>0</v>
      </c>
      <c r="D20">
        <v>0</v>
      </c>
    </row>
    <row r="21" spans="1:4" x14ac:dyDescent="0.15">
      <c r="A21">
        <v>20</v>
      </c>
      <c r="B21" s="182" t="s">
        <v>211</v>
      </c>
      <c r="C21">
        <v>0</v>
      </c>
      <c r="D21">
        <v>0</v>
      </c>
    </row>
    <row r="22" spans="1:4" x14ac:dyDescent="0.15">
      <c r="A22">
        <v>21</v>
      </c>
      <c r="B22" s="182" t="s">
        <v>212</v>
      </c>
      <c r="C22">
        <v>0</v>
      </c>
      <c r="D22">
        <v>0</v>
      </c>
    </row>
    <row r="23" spans="1:4" x14ac:dyDescent="0.15">
      <c r="A23">
        <v>22</v>
      </c>
      <c r="B23" s="182" t="s">
        <v>213</v>
      </c>
      <c r="C23">
        <v>0</v>
      </c>
      <c r="D23">
        <v>0</v>
      </c>
    </row>
    <row r="24" spans="1:4" x14ac:dyDescent="0.15">
      <c r="A24">
        <v>23</v>
      </c>
      <c r="B24" s="182" t="s">
        <v>214</v>
      </c>
      <c r="C24">
        <v>0</v>
      </c>
      <c r="D24">
        <v>0</v>
      </c>
    </row>
    <row r="25" spans="1:4" x14ac:dyDescent="0.15">
      <c r="A25">
        <v>24</v>
      </c>
      <c r="B25" s="182" t="s">
        <v>215</v>
      </c>
      <c r="C25">
        <v>0</v>
      </c>
      <c r="D25">
        <v>0</v>
      </c>
    </row>
    <row r="26" spans="1:4" x14ac:dyDescent="0.15">
      <c r="A26">
        <v>25</v>
      </c>
      <c r="B26" s="182" t="s">
        <v>216</v>
      </c>
      <c r="C26">
        <v>0</v>
      </c>
      <c r="D26">
        <v>0</v>
      </c>
    </row>
    <row r="27" spans="1:4" x14ac:dyDescent="0.15">
      <c r="A27">
        <v>26</v>
      </c>
      <c r="B27" s="182" t="s">
        <v>217</v>
      </c>
      <c r="C27">
        <v>0</v>
      </c>
      <c r="D27">
        <v>0</v>
      </c>
    </row>
    <row r="28" spans="1:4" x14ac:dyDescent="0.15">
      <c r="A28">
        <v>27</v>
      </c>
      <c r="B28" s="182" t="s">
        <v>218</v>
      </c>
      <c r="C28">
        <v>0</v>
      </c>
      <c r="D28">
        <v>0</v>
      </c>
    </row>
    <row r="29" spans="1:4" x14ac:dyDescent="0.15">
      <c r="A29">
        <v>28</v>
      </c>
      <c r="B29" s="182" t="s">
        <v>219</v>
      </c>
      <c r="C29">
        <v>0</v>
      </c>
      <c r="D29">
        <v>0</v>
      </c>
    </row>
    <row r="30" spans="1:4" x14ac:dyDescent="0.15">
      <c r="A30">
        <v>29</v>
      </c>
      <c r="B30" s="182" t="s">
        <v>220</v>
      </c>
      <c r="C30">
        <v>0</v>
      </c>
      <c r="D30">
        <v>0</v>
      </c>
    </row>
    <row r="31" spans="1:4" x14ac:dyDescent="0.15">
      <c r="A31">
        <v>30</v>
      </c>
      <c r="B31" s="182" t="s">
        <v>221</v>
      </c>
      <c r="C31">
        <v>0</v>
      </c>
      <c r="D31">
        <v>0</v>
      </c>
    </row>
    <row r="32" spans="1:4" x14ac:dyDescent="0.15">
      <c r="A32">
        <v>31</v>
      </c>
      <c r="B32" s="182" t="s">
        <v>222</v>
      </c>
      <c r="C32">
        <v>0</v>
      </c>
      <c r="D32">
        <v>0</v>
      </c>
    </row>
    <row r="33" spans="1:4" x14ac:dyDescent="0.15">
      <c r="A33">
        <v>32</v>
      </c>
      <c r="B33" s="182" t="s">
        <v>223</v>
      </c>
      <c r="C33">
        <v>0</v>
      </c>
      <c r="D33">
        <v>0</v>
      </c>
    </row>
    <row r="34" spans="1:4" x14ac:dyDescent="0.15">
      <c r="A34">
        <v>33</v>
      </c>
      <c r="B34" s="182" t="s">
        <v>224</v>
      </c>
      <c r="C34">
        <v>0</v>
      </c>
      <c r="D34">
        <v>0</v>
      </c>
    </row>
    <row r="35" spans="1:4" x14ac:dyDescent="0.15">
      <c r="A35">
        <v>34</v>
      </c>
      <c r="B35" s="182" t="s">
        <v>225</v>
      </c>
      <c r="C35">
        <v>0</v>
      </c>
      <c r="D35">
        <v>0</v>
      </c>
    </row>
    <row r="36" spans="1:4" x14ac:dyDescent="0.15">
      <c r="A36">
        <v>35</v>
      </c>
      <c r="B36" s="182" t="s">
        <v>226</v>
      </c>
      <c r="C36">
        <v>0</v>
      </c>
      <c r="D36">
        <v>0</v>
      </c>
    </row>
    <row r="37" spans="1:4" x14ac:dyDescent="0.15">
      <c r="A37">
        <v>36</v>
      </c>
      <c r="B37" s="182" t="s">
        <v>227</v>
      </c>
      <c r="C37">
        <v>0</v>
      </c>
      <c r="D37">
        <v>0</v>
      </c>
    </row>
    <row r="38" spans="1:4" x14ac:dyDescent="0.15">
      <c r="A38">
        <v>37</v>
      </c>
      <c r="B38" s="182" t="s">
        <v>228</v>
      </c>
      <c r="C38">
        <v>0</v>
      </c>
      <c r="D38">
        <v>0</v>
      </c>
    </row>
    <row r="39" spans="1:4" x14ac:dyDescent="0.15">
      <c r="A39">
        <v>38</v>
      </c>
      <c r="B39" s="182" t="s">
        <v>229</v>
      </c>
      <c r="C39">
        <v>0</v>
      </c>
      <c r="D39">
        <v>0</v>
      </c>
    </row>
    <row r="40" spans="1:4" x14ac:dyDescent="0.15">
      <c r="A40">
        <v>39</v>
      </c>
      <c r="B40" s="182" t="s">
        <v>230</v>
      </c>
      <c r="C40">
        <v>0</v>
      </c>
      <c r="D40">
        <v>0</v>
      </c>
    </row>
    <row r="41" spans="1:4" x14ac:dyDescent="0.15">
      <c r="A41">
        <v>40</v>
      </c>
      <c r="B41" s="182" t="s">
        <v>231</v>
      </c>
      <c r="C41">
        <v>0</v>
      </c>
      <c r="D41">
        <v>0</v>
      </c>
    </row>
    <row r="42" spans="1:4" x14ac:dyDescent="0.15">
      <c r="A42">
        <v>41</v>
      </c>
      <c r="B42" s="182" t="s">
        <v>232</v>
      </c>
      <c r="C42">
        <v>0</v>
      </c>
      <c r="D42">
        <v>0</v>
      </c>
    </row>
    <row r="43" spans="1:4" x14ac:dyDescent="0.15">
      <c r="A43">
        <v>42</v>
      </c>
      <c r="B43" s="182" t="s">
        <v>233</v>
      </c>
      <c r="C43">
        <v>0</v>
      </c>
      <c r="D43">
        <v>0</v>
      </c>
    </row>
    <row r="44" spans="1:4" x14ac:dyDescent="0.15">
      <c r="A44">
        <v>43</v>
      </c>
      <c r="B44" s="182" t="s">
        <v>234</v>
      </c>
      <c r="C44">
        <v>0</v>
      </c>
      <c r="D44">
        <v>0</v>
      </c>
    </row>
    <row r="45" spans="1:4" x14ac:dyDescent="0.15">
      <c r="A45">
        <v>44</v>
      </c>
      <c r="B45" s="182" t="s">
        <v>235</v>
      </c>
      <c r="C45">
        <v>0</v>
      </c>
      <c r="D45">
        <v>0</v>
      </c>
    </row>
    <row r="46" spans="1:4" x14ac:dyDescent="0.15">
      <c r="A46">
        <v>45</v>
      </c>
      <c r="B46" s="182" t="s">
        <v>236</v>
      </c>
      <c r="C46">
        <v>0</v>
      </c>
      <c r="D4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832031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</v>
      </c>
      <c r="J2" s="110">
        <v>0</v>
      </c>
      <c r="K2" s="110">
        <v>0</v>
      </c>
    </row>
    <row r="3" spans="1:42" x14ac:dyDescent="0.15">
      <c r="A3" s="119" t="s">
        <v>75</v>
      </c>
      <c r="B3" s="121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0.8</v>
      </c>
      <c r="I33">
        <v>0.8</v>
      </c>
      <c r="J33" s="110">
        <v>0.25</v>
      </c>
      <c r="K33" s="110">
        <v>0.05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0.8</v>
      </c>
      <c r="I34">
        <v>0.8</v>
      </c>
      <c r="J34" s="110">
        <v>0.25</v>
      </c>
      <c r="K34" s="110">
        <v>0.05</v>
      </c>
      <c r="Y34"/>
      <c r="AC34"/>
      <c r="AG34"/>
    </row>
    <row r="35" spans="4:33" ht="15" customHeight="1" x14ac:dyDescent="0.15">
      <c r="D35">
        <v>34</v>
      </c>
      <c r="E35" s="184" t="s">
        <v>225</v>
      </c>
      <c r="F35">
        <v>0.98</v>
      </c>
      <c r="G35">
        <v>0.8</v>
      </c>
      <c r="H35">
        <v>0.8</v>
      </c>
      <c r="I35">
        <v>0.8</v>
      </c>
      <c r="J35" s="110">
        <v>0.25</v>
      </c>
      <c r="K35" s="110">
        <v>0.05</v>
      </c>
      <c r="Y35"/>
      <c r="AC35"/>
      <c r="AG35"/>
    </row>
    <row r="36" spans="4:33" ht="15" customHeight="1" x14ac:dyDescent="0.15">
      <c r="D36">
        <v>35</v>
      </c>
      <c r="E36" s="184" t="s">
        <v>226</v>
      </c>
      <c r="F36">
        <v>0.98</v>
      </c>
      <c r="G36">
        <v>0.8</v>
      </c>
      <c r="H36">
        <v>0.8</v>
      </c>
      <c r="I36">
        <v>0.8</v>
      </c>
      <c r="J36" s="110">
        <v>0.25</v>
      </c>
      <c r="K36" s="110">
        <v>0.05</v>
      </c>
      <c r="Y36"/>
      <c r="AC36"/>
      <c r="AG36"/>
    </row>
    <row r="37" spans="4:33" ht="15" customHeight="1" x14ac:dyDescent="0.15">
      <c r="D37">
        <v>36</v>
      </c>
      <c r="E37" s="184" t="s">
        <v>227</v>
      </c>
      <c r="F37">
        <v>0.98</v>
      </c>
      <c r="G37">
        <v>0.8</v>
      </c>
      <c r="H37">
        <v>0.8</v>
      </c>
      <c r="I37">
        <v>0.8</v>
      </c>
      <c r="J37" s="110">
        <v>0.25</v>
      </c>
      <c r="K37" s="110">
        <v>0.05</v>
      </c>
      <c r="Y37"/>
      <c r="AC37"/>
      <c r="AG37"/>
    </row>
    <row r="38" spans="4:33" ht="15" customHeight="1" x14ac:dyDescent="0.15">
      <c r="D38">
        <v>37</v>
      </c>
      <c r="E38" s="184" t="s">
        <v>228</v>
      </c>
      <c r="F38">
        <v>0.98</v>
      </c>
      <c r="G38">
        <v>0.8</v>
      </c>
      <c r="H38">
        <v>0.8</v>
      </c>
      <c r="I38">
        <v>0.8</v>
      </c>
      <c r="J38" s="110">
        <v>0.25</v>
      </c>
      <c r="K38" s="110">
        <v>0.05</v>
      </c>
      <c r="Y38"/>
      <c r="AC38"/>
      <c r="AG38"/>
    </row>
    <row r="39" spans="4:33" ht="15" customHeight="1" x14ac:dyDescent="0.15">
      <c r="D39">
        <v>38</v>
      </c>
      <c r="E39" s="184" t="s">
        <v>229</v>
      </c>
      <c r="F39">
        <v>0.98</v>
      </c>
      <c r="G39">
        <v>0.8</v>
      </c>
      <c r="H39">
        <v>0.8</v>
      </c>
      <c r="I39">
        <v>0.8</v>
      </c>
      <c r="J39" s="110">
        <v>0.25</v>
      </c>
      <c r="K39" s="110">
        <v>0.05</v>
      </c>
    </row>
    <row r="40" spans="4:33" ht="15" customHeight="1" x14ac:dyDescent="0.15">
      <c r="D40">
        <v>39</v>
      </c>
      <c r="E40" s="184" t="s">
        <v>230</v>
      </c>
      <c r="F40">
        <v>0.98</v>
      </c>
      <c r="G40">
        <v>0.8</v>
      </c>
      <c r="H40">
        <v>0.8</v>
      </c>
      <c r="I40">
        <v>0.8</v>
      </c>
      <c r="J40" s="110">
        <v>0.25</v>
      </c>
      <c r="K40" s="110">
        <v>0.05</v>
      </c>
      <c r="Y40"/>
      <c r="AC40"/>
      <c r="AG40"/>
    </row>
    <row r="41" spans="4:33" ht="15" customHeight="1" x14ac:dyDescent="0.15">
      <c r="D41">
        <v>40</v>
      </c>
      <c r="E41" s="184" t="s">
        <v>231</v>
      </c>
      <c r="F41">
        <v>0.98</v>
      </c>
      <c r="G41">
        <v>0.8</v>
      </c>
      <c r="H41">
        <v>0.8</v>
      </c>
      <c r="I41">
        <v>0.8</v>
      </c>
      <c r="J41" s="110">
        <v>0.25</v>
      </c>
      <c r="K41" s="110">
        <v>0.05</v>
      </c>
      <c r="Y41"/>
      <c r="AC41"/>
      <c r="AG41"/>
    </row>
    <row r="42" spans="4:33" ht="15" customHeight="1" x14ac:dyDescent="0.15">
      <c r="D42">
        <v>41</v>
      </c>
      <c r="E42" s="184" t="s">
        <v>232</v>
      </c>
      <c r="F42">
        <v>0.98</v>
      </c>
      <c r="G42">
        <v>0.8</v>
      </c>
      <c r="H42">
        <v>0.8</v>
      </c>
      <c r="I42">
        <v>0.8</v>
      </c>
      <c r="J42" s="110">
        <v>0.25</v>
      </c>
      <c r="K42" s="110">
        <v>0.05</v>
      </c>
      <c r="Y42"/>
      <c r="AC42"/>
      <c r="AG42"/>
    </row>
    <row r="43" spans="4:33" ht="15" customHeight="1" x14ac:dyDescent="0.15">
      <c r="D43">
        <v>42</v>
      </c>
      <c r="E43" s="184" t="s">
        <v>233</v>
      </c>
      <c r="F43">
        <v>0.98</v>
      </c>
      <c r="G43">
        <v>0.8</v>
      </c>
      <c r="H43">
        <v>0.8</v>
      </c>
      <c r="I43">
        <v>0.8</v>
      </c>
      <c r="J43" s="110">
        <v>0.25</v>
      </c>
      <c r="K43" s="110">
        <v>0.05</v>
      </c>
      <c r="Y43"/>
      <c r="AC43"/>
      <c r="AG43"/>
    </row>
    <row r="44" spans="4:33" ht="15" customHeight="1" x14ac:dyDescent="0.15">
      <c r="D44">
        <v>43</v>
      </c>
      <c r="E44" s="184" t="s">
        <v>234</v>
      </c>
      <c r="F44">
        <v>0.98</v>
      </c>
      <c r="G44">
        <v>0.8</v>
      </c>
      <c r="H44">
        <v>0.8</v>
      </c>
      <c r="I44">
        <v>0.8</v>
      </c>
      <c r="J44" s="110">
        <v>0.25</v>
      </c>
      <c r="K44" s="110">
        <v>0.05</v>
      </c>
      <c r="Y44"/>
      <c r="AC44"/>
      <c r="AG44"/>
    </row>
    <row r="45" spans="4:33" ht="15" customHeight="1" x14ac:dyDescent="0.15">
      <c r="D45">
        <v>44</v>
      </c>
      <c r="E45" s="184" t="s">
        <v>235</v>
      </c>
      <c r="F45">
        <v>0.98</v>
      </c>
      <c r="G45">
        <v>0.8</v>
      </c>
      <c r="H45">
        <v>0</v>
      </c>
      <c r="I45">
        <v>0</v>
      </c>
      <c r="J45" s="110">
        <v>0</v>
      </c>
      <c r="K45" s="110">
        <v>0</v>
      </c>
      <c r="Y45"/>
      <c r="AC45"/>
      <c r="AG45"/>
    </row>
    <row r="46" spans="4:33" ht="15" customHeight="1" x14ac:dyDescent="0.15">
      <c r="D46">
        <v>45</v>
      </c>
      <c r="E46" s="184" t="s">
        <v>236</v>
      </c>
      <c r="F46">
        <v>0.98</v>
      </c>
      <c r="G46">
        <v>0.8</v>
      </c>
      <c r="H46">
        <v>0</v>
      </c>
      <c r="I46">
        <v>0</v>
      </c>
      <c r="J46" s="110">
        <v>0</v>
      </c>
      <c r="K46" s="110">
        <v>0</v>
      </c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83203125" style="108" bestFit="1" customWidth="1"/>
    <col min="2" max="2" width="2.33203125" style="108" customWidth="1"/>
    <col min="3" max="44" width="3.83203125" style="108" customWidth="1"/>
    <col min="45" max="46" width="2.33203125" style="108" customWidth="1"/>
    <col min="47" max="16384" width="10.83203125" style="108"/>
  </cols>
  <sheetData>
    <row r="1" spans="1:46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  <c r="AJ1" s="186" t="s">
        <v>226</v>
      </c>
      <c r="AK1" s="186" t="s">
        <v>227</v>
      </c>
      <c r="AL1" s="186" t="s">
        <v>228</v>
      </c>
      <c r="AM1" s="186" t="s">
        <v>229</v>
      </c>
      <c r="AN1" s="186" t="s">
        <v>230</v>
      </c>
      <c r="AO1" s="186" t="s">
        <v>231</v>
      </c>
      <c r="AP1" s="186" t="s">
        <v>232</v>
      </c>
      <c r="AQ1" s="186" t="s">
        <v>233</v>
      </c>
      <c r="AR1" s="186" t="s">
        <v>234</v>
      </c>
      <c r="AS1" s="186" t="s">
        <v>235</v>
      </c>
      <c r="AT1" s="186" t="s">
        <v>236</v>
      </c>
    </row>
    <row r="2" spans="1:46" customFormat="1" x14ac:dyDescent="0.15">
      <c r="A2" s="185" t="s">
        <v>192</v>
      </c>
      <c r="B2" s="108">
        <v>0</v>
      </c>
      <c r="C2" s="108">
        <v>0.8</v>
      </c>
      <c r="D2" s="108">
        <v>0</v>
      </c>
      <c r="E2" s="108">
        <v>0.8</v>
      </c>
      <c r="F2" s="108">
        <v>0</v>
      </c>
      <c r="G2" s="108">
        <v>0.8</v>
      </c>
      <c r="H2" s="108">
        <v>0.8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  <c r="AP2" s="108">
        <v>0</v>
      </c>
      <c r="AQ2" s="108">
        <v>0</v>
      </c>
      <c r="AR2" s="108">
        <v>0</v>
      </c>
      <c r="AS2" s="108">
        <v>0</v>
      </c>
      <c r="AT2" s="108">
        <v>0</v>
      </c>
    </row>
    <row r="3" spans="1:46" customFormat="1" x14ac:dyDescent="0.15">
      <c r="A3" s="185" t="s">
        <v>193</v>
      </c>
      <c r="B3" s="108">
        <v>0</v>
      </c>
      <c r="C3" s="108">
        <v>0</v>
      </c>
      <c r="D3" s="108">
        <v>0.8</v>
      </c>
      <c r="E3" s="108">
        <v>0.8</v>
      </c>
      <c r="F3" s="108">
        <v>0.8</v>
      </c>
      <c r="G3" s="108">
        <v>0</v>
      </c>
      <c r="H3" s="108">
        <v>0</v>
      </c>
      <c r="I3" s="108">
        <v>0</v>
      </c>
      <c r="J3" s="108">
        <v>0.8</v>
      </c>
      <c r="K3" s="108">
        <v>0.8</v>
      </c>
      <c r="L3" s="108">
        <v>0</v>
      </c>
      <c r="M3" s="108">
        <v>0</v>
      </c>
      <c r="N3" s="108">
        <v>0.8</v>
      </c>
      <c r="O3" s="108">
        <v>0</v>
      </c>
      <c r="P3" s="108">
        <v>0</v>
      </c>
      <c r="Q3" s="108">
        <v>0.8</v>
      </c>
      <c r="R3" s="108">
        <v>0</v>
      </c>
      <c r="S3" s="108">
        <v>0</v>
      </c>
      <c r="T3" s="108">
        <v>0</v>
      </c>
      <c r="U3" s="108">
        <v>0.8</v>
      </c>
      <c r="V3" s="108">
        <v>0</v>
      </c>
      <c r="W3" s="108">
        <v>0</v>
      </c>
      <c r="X3" s="108">
        <v>0.8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0.8</v>
      </c>
      <c r="AF3" s="108">
        <v>0.8</v>
      </c>
      <c r="AG3" s="108">
        <v>0.8</v>
      </c>
      <c r="AH3" s="108">
        <v>0</v>
      </c>
      <c r="AI3" s="108">
        <v>0.8</v>
      </c>
      <c r="AJ3" s="108">
        <v>0.8</v>
      </c>
      <c r="AK3" s="108">
        <v>0</v>
      </c>
      <c r="AL3" s="108">
        <v>0.8</v>
      </c>
      <c r="AM3" s="108">
        <v>0.8</v>
      </c>
      <c r="AN3" s="108">
        <v>0.8</v>
      </c>
      <c r="AO3" s="108">
        <v>0.8</v>
      </c>
      <c r="AP3" s="108">
        <v>0</v>
      </c>
      <c r="AQ3" s="108">
        <v>0</v>
      </c>
      <c r="AR3" s="108">
        <v>0</v>
      </c>
      <c r="AS3" s="108">
        <v>0</v>
      </c>
      <c r="AT3" s="108">
        <v>0</v>
      </c>
    </row>
    <row r="4" spans="1:46" customFormat="1" x14ac:dyDescent="0.15">
      <c r="A4" s="185" t="s">
        <v>194</v>
      </c>
      <c r="B4" s="108">
        <v>0</v>
      </c>
      <c r="C4" s="108">
        <v>0</v>
      </c>
      <c r="D4" s="108">
        <v>0.8</v>
      </c>
      <c r="E4" s="108">
        <v>0.8</v>
      </c>
      <c r="F4" s="108">
        <v>0.8</v>
      </c>
      <c r="G4" s="108">
        <v>0</v>
      </c>
      <c r="H4" s="108">
        <v>0</v>
      </c>
      <c r="I4" s="108">
        <v>0</v>
      </c>
      <c r="J4" s="108">
        <v>0.8</v>
      </c>
      <c r="K4" s="108">
        <v>0.8</v>
      </c>
      <c r="L4" s="108">
        <v>0</v>
      </c>
      <c r="M4" s="108">
        <v>0.8</v>
      </c>
      <c r="N4" s="108">
        <v>0.8</v>
      </c>
      <c r="O4" s="108">
        <v>0</v>
      </c>
      <c r="P4" s="108">
        <v>0</v>
      </c>
      <c r="Q4" s="108">
        <v>0.8</v>
      </c>
      <c r="R4" s="108">
        <v>0</v>
      </c>
      <c r="S4" s="108">
        <v>0</v>
      </c>
      <c r="T4" s="108">
        <v>0.8</v>
      </c>
      <c r="U4" s="108">
        <v>0.8</v>
      </c>
      <c r="V4" s="108">
        <v>0.8</v>
      </c>
      <c r="W4" s="108">
        <v>0</v>
      </c>
      <c r="X4" s="108">
        <v>0.8</v>
      </c>
      <c r="Y4" s="108">
        <v>0</v>
      </c>
      <c r="Z4" s="108">
        <v>0</v>
      </c>
      <c r="AA4" s="108">
        <v>0</v>
      </c>
      <c r="AB4" s="108">
        <v>0.8</v>
      </c>
      <c r="AC4" s="108">
        <v>0.8</v>
      </c>
      <c r="AD4" s="108">
        <v>0.8</v>
      </c>
      <c r="AE4" s="108">
        <v>0.8</v>
      </c>
      <c r="AF4" s="108">
        <v>0.8</v>
      </c>
      <c r="AG4" s="108">
        <v>0.8</v>
      </c>
      <c r="AH4" s="108">
        <v>0</v>
      </c>
      <c r="AI4" s="108">
        <v>0.8</v>
      </c>
      <c r="AJ4" s="108">
        <v>0.8</v>
      </c>
      <c r="AK4" s="108">
        <v>0</v>
      </c>
      <c r="AL4" s="108">
        <v>0.8</v>
      </c>
      <c r="AM4" s="108">
        <v>0.8</v>
      </c>
      <c r="AN4" s="108">
        <v>0.8</v>
      </c>
      <c r="AO4" s="108">
        <v>0.8</v>
      </c>
      <c r="AP4" s="108">
        <v>0.8</v>
      </c>
      <c r="AQ4" s="108">
        <v>0</v>
      </c>
      <c r="AR4" s="108">
        <v>0</v>
      </c>
      <c r="AS4" s="108">
        <v>0</v>
      </c>
      <c r="AT4" s="108">
        <v>0</v>
      </c>
    </row>
    <row r="5" spans="1:46" customFormat="1" x14ac:dyDescent="0.15">
      <c r="A5" s="185" t="s">
        <v>195</v>
      </c>
      <c r="B5" s="108">
        <v>0</v>
      </c>
      <c r="C5" s="108">
        <v>0</v>
      </c>
      <c r="D5" s="108">
        <v>0.8</v>
      </c>
      <c r="E5" s="108">
        <v>0.8</v>
      </c>
      <c r="F5" s="108">
        <v>0.8</v>
      </c>
      <c r="G5" s="108">
        <v>0</v>
      </c>
      <c r="H5" s="108">
        <v>0</v>
      </c>
      <c r="I5" s="108">
        <v>0</v>
      </c>
      <c r="J5" s="108">
        <v>0.8</v>
      </c>
      <c r="K5" s="108">
        <v>0.8</v>
      </c>
      <c r="L5" s="108">
        <v>0.8</v>
      </c>
      <c r="M5" s="108">
        <v>0.8</v>
      </c>
      <c r="N5" s="108">
        <v>0.8</v>
      </c>
      <c r="O5" s="108">
        <v>0</v>
      </c>
      <c r="P5" s="108">
        <v>0</v>
      </c>
      <c r="Q5" s="108">
        <v>0.8</v>
      </c>
      <c r="R5" s="108">
        <v>0</v>
      </c>
      <c r="S5" s="108">
        <v>0.8</v>
      </c>
      <c r="T5" s="108">
        <v>0.8</v>
      </c>
      <c r="U5" s="108">
        <v>0.8</v>
      </c>
      <c r="V5" s="108">
        <v>0.8</v>
      </c>
      <c r="W5" s="108">
        <v>0.8</v>
      </c>
      <c r="X5" s="108">
        <v>0.8</v>
      </c>
      <c r="Y5" s="108">
        <v>0</v>
      </c>
      <c r="Z5" s="108">
        <v>0</v>
      </c>
      <c r="AA5" s="108">
        <v>0</v>
      </c>
      <c r="AB5" s="108">
        <v>0.8</v>
      </c>
      <c r="AC5" s="108">
        <v>0.8</v>
      </c>
      <c r="AD5" s="108">
        <v>0.8</v>
      </c>
      <c r="AE5" s="108">
        <v>0.8</v>
      </c>
      <c r="AF5" s="108">
        <v>0.8</v>
      </c>
      <c r="AG5" s="108">
        <v>0.8</v>
      </c>
      <c r="AH5" s="108">
        <v>0.8</v>
      </c>
      <c r="AI5" s="108">
        <v>0.8</v>
      </c>
      <c r="AJ5" s="108">
        <v>0.8</v>
      </c>
      <c r="AK5" s="108">
        <v>0</v>
      </c>
      <c r="AL5" s="108">
        <v>0.8</v>
      </c>
      <c r="AM5" s="108">
        <v>0.8</v>
      </c>
      <c r="AN5" s="108">
        <v>0.8</v>
      </c>
      <c r="AO5" s="108">
        <v>0.8</v>
      </c>
      <c r="AP5" s="108">
        <v>0.8</v>
      </c>
      <c r="AQ5" s="108">
        <v>0.8</v>
      </c>
      <c r="AR5" s="108">
        <v>0</v>
      </c>
      <c r="AS5" s="108">
        <v>0</v>
      </c>
      <c r="AT5" s="108">
        <v>0</v>
      </c>
    </row>
    <row r="6" spans="1:46" customFormat="1" x14ac:dyDescent="0.15">
      <c r="A6" s="185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0.8</v>
      </c>
      <c r="K6" s="108">
        <v>0.8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0.8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0.8</v>
      </c>
      <c r="X6" s="108">
        <v>0.8</v>
      </c>
      <c r="Y6" s="108">
        <v>0</v>
      </c>
      <c r="Z6" s="108">
        <v>0</v>
      </c>
      <c r="AA6" s="108">
        <v>0</v>
      </c>
      <c r="AB6" s="108">
        <v>0</v>
      </c>
      <c r="AC6" s="108">
        <v>0.8</v>
      </c>
      <c r="AD6" s="108">
        <v>0</v>
      </c>
      <c r="AE6" s="108">
        <v>0.8</v>
      </c>
      <c r="AF6" s="108">
        <v>0.8</v>
      </c>
      <c r="AG6" s="108">
        <v>0.8</v>
      </c>
      <c r="AH6" s="108">
        <v>0</v>
      </c>
      <c r="AI6" s="108">
        <v>0.8</v>
      </c>
      <c r="AJ6" s="108">
        <v>0.8</v>
      </c>
      <c r="AK6" s="108">
        <v>0</v>
      </c>
      <c r="AL6" s="108">
        <v>0.8</v>
      </c>
      <c r="AM6" s="108">
        <v>0.8</v>
      </c>
      <c r="AN6" s="108">
        <v>0.8</v>
      </c>
      <c r="AO6" s="108">
        <v>0.8</v>
      </c>
      <c r="AP6" s="108">
        <v>0</v>
      </c>
      <c r="AQ6" s="108">
        <v>0</v>
      </c>
      <c r="AR6" s="108">
        <v>0</v>
      </c>
      <c r="AS6" s="108">
        <v>0</v>
      </c>
      <c r="AT6" s="108">
        <v>0</v>
      </c>
    </row>
    <row r="7" spans="1:46" customFormat="1" x14ac:dyDescent="0.15">
      <c r="A7" s="185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0.8</v>
      </c>
      <c r="I7" s="108">
        <v>0.8</v>
      </c>
      <c r="J7" s="108">
        <v>0</v>
      </c>
      <c r="K7" s="108">
        <v>0</v>
      </c>
      <c r="L7" s="108">
        <v>0.8</v>
      </c>
      <c r="M7" s="108">
        <v>0</v>
      </c>
      <c r="N7" s="108">
        <v>0</v>
      </c>
      <c r="O7" s="108">
        <v>0.8</v>
      </c>
      <c r="P7" s="108">
        <v>0.8</v>
      </c>
      <c r="Q7" s="108">
        <v>0</v>
      </c>
      <c r="R7" s="108">
        <v>0.8</v>
      </c>
      <c r="S7" s="108">
        <v>0</v>
      </c>
      <c r="T7" s="108">
        <v>0.8</v>
      </c>
      <c r="U7" s="108">
        <v>0</v>
      </c>
      <c r="V7" s="108">
        <v>0.8</v>
      </c>
      <c r="W7" s="108">
        <v>0.8</v>
      </c>
      <c r="X7" s="108">
        <v>0</v>
      </c>
      <c r="Y7" s="108">
        <v>0.8</v>
      </c>
      <c r="Z7" s="108">
        <v>0.8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0.8</v>
      </c>
      <c r="AO7" s="108">
        <v>0.8</v>
      </c>
      <c r="AP7" s="108">
        <v>0</v>
      </c>
      <c r="AQ7" s="108">
        <v>0</v>
      </c>
      <c r="AR7" s="108">
        <v>0.8</v>
      </c>
      <c r="AS7" s="108">
        <v>0</v>
      </c>
      <c r="AT7" s="108">
        <v>0</v>
      </c>
    </row>
    <row r="8" spans="1:46" customFormat="1" x14ac:dyDescent="0.15">
      <c r="A8" s="185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0.8</v>
      </c>
      <c r="I8" s="108">
        <v>0.8</v>
      </c>
      <c r="J8" s="108">
        <v>0</v>
      </c>
      <c r="K8" s="108">
        <v>0</v>
      </c>
      <c r="L8" s="108">
        <v>0.8</v>
      </c>
      <c r="M8" s="108">
        <v>0</v>
      </c>
      <c r="N8" s="108">
        <v>0</v>
      </c>
      <c r="O8" s="108">
        <v>0.8</v>
      </c>
      <c r="P8" s="108">
        <v>0.8</v>
      </c>
      <c r="Q8" s="108">
        <v>0</v>
      </c>
      <c r="R8" s="108">
        <v>0.8</v>
      </c>
      <c r="S8" s="108">
        <v>0</v>
      </c>
      <c r="T8" s="108">
        <v>0.8</v>
      </c>
      <c r="U8" s="108">
        <v>0</v>
      </c>
      <c r="V8" s="108">
        <v>0.8</v>
      </c>
      <c r="W8" s="108">
        <v>0.8</v>
      </c>
      <c r="X8" s="108">
        <v>0</v>
      </c>
      <c r="Y8" s="108">
        <v>0.8</v>
      </c>
      <c r="Z8" s="108">
        <v>0.8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0.8</v>
      </c>
      <c r="AL8" s="108">
        <v>0</v>
      </c>
      <c r="AM8" s="108">
        <v>0</v>
      </c>
      <c r="AN8" s="108">
        <v>0.8</v>
      </c>
      <c r="AO8" s="108">
        <v>0.8</v>
      </c>
      <c r="AP8" s="108">
        <v>0</v>
      </c>
      <c r="AQ8" s="108">
        <v>0</v>
      </c>
      <c r="AR8" s="108">
        <v>0.8</v>
      </c>
      <c r="AS8" s="108">
        <v>0</v>
      </c>
      <c r="AT8" s="108">
        <v>0</v>
      </c>
    </row>
    <row r="9" spans="1:46" customFormat="1" x14ac:dyDescent="0.15">
      <c r="A9" s="185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0.8</v>
      </c>
      <c r="J9" s="108">
        <v>0</v>
      </c>
      <c r="K9" s="108">
        <v>0</v>
      </c>
      <c r="L9" s="108">
        <v>0.8</v>
      </c>
      <c r="M9" s="108">
        <v>0.8</v>
      </c>
      <c r="N9" s="108">
        <v>0</v>
      </c>
      <c r="O9" s="108">
        <v>0.8</v>
      </c>
      <c r="P9" s="108">
        <v>0.8</v>
      </c>
      <c r="Q9" s="108">
        <v>0.8</v>
      </c>
      <c r="R9" s="108">
        <v>0.8</v>
      </c>
      <c r="S9" s="108">
        <v>0.8</v>
      </c>
      <c r="T9" s="108">
        <v>0.8</v>
      </c>
      <c r="U9" s="108">
        <v>0.8</v>
      </c>
      <c r="V9" s="108">
        <v>0.8</v>
      </c>
      <c r="W9" s="108">
        <v>0.8</v>
      </c>
      <c r="X9" s="108">
        <v>0</v>
      </c>
      <c r="Y9" s="108">
        <v>0.8</v>
      </c>
      <c r="Z9" s="108">
        <v>0.8</v>
      </c>
      <c r="AA9" s="108">
        <v>0</v>
      </c>
      <c r="AB9" s="108">
        <v>0.8</v>
      </c>
      <c r="AC9" s="108">
        <v>0</v>
      </c>
      <c r="AD9" s="108">
        <v>0</v>
      </c>
      <c r="AE9" s="108">
        <v>0.8</v>
      </c>
      <c r="AF9" s="108">
        <v>0.8</v>
      </c>
      <c r="AG9" s="108">
        <v>0.8</v>
      </c>
      <c r="AH9" s="108">
        <v>0.8</v>
      </c>
      <c r="AI9" s="108">
        <v>0.8</v>
      </c>
      <c r="AJ9" s="108">
        <v>0.8</v>
      </c>
      <c r="AK9" s="108">
        <v>0.8</v>
      </c>
      <c r="AL9" s="108">
        <v>0</v>
      </c>
      <c r="AM9" s="108">
        <v>0</v>
      </c>
      <c r="AN9" s="108">
        <v>0.8</v>
      </c>
      <c r="AO9" s="108">
        <v>0.8</v>
      </c>
      <c r="AP9" s="108">
        <v>0</v>
      </c>
      <c r="AQ9" s="108">
        <v>0</v>
      </c>
      <c r="AR9" s="108">
        <v>0.8</v>
      </c>
      <c r="AS9" s="108">
        <v>0</v>
      </c>
      <c r="AT9" s="108">
        <v>0</v>
      </c>
    </row>
    <row r="10" spans="1:46" customFormat="1" x14ac:dyDescent="0.15">
      <c r="A10" s="185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0.8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0.8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0.8</v>
      </c>
      <c r="AI10" s="108">
        <v>0.8</v>
      </c>
      <c r="AJ10" s="108">
        <v>0.8</v>
      </c>
      <c r="AK10" s="108">
        <v>0.8</v>
      </c>
      <c r="AL10" s="108">
        <v>0</v>
      </c>
      <c r="AM10" s="108">
        <v>0</v>
      </c>
      <c r="AN10" s="108">
        <v>0.8</v>
      </c>
      <c r="AO10" s="108">
        <v>0.8</v>
      </c>
      <c r="AP10" s="108">
        <v>0.8</v>
      </c>
      <c r="AQ10" s="108">
        <v>0</v>
      </c>
      <c r="AR10" s="108">
        <v>0</v>
      </c>
      <c r="AS10" s="108">
        <v>0</v>
      </c>
      <c r="AT10" s="108">
        <v>0</v>
      </c>
    </row>
    <row r="11" spans="1:46" customFormat="1" x14ac:dyDescent="0.15">
      <c r="A11" s="185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0.8</v>
      </c>
      <c r="N11" s="108">
        <v>0</v>
      </c>
      <c r="O11" s="108">
        <v>0</v>
      </c>
      <c r="P11" s="108">
        <v>0</v>
      </c>
      <c r="Q11" s="108">
        <v>0.8</v>
      </c>
      <c r="R11" s="108">
        <v>0</v>
      </c>
      <c r="S11" s="108">
        <v>0.8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0.8</v>
      </c>
      <c r="AI11" s="108">
        <v>0.8</v>
      </c>
      <c r="AJ11" s="108">
        <v>0.8</v>
      </c>
      <c r="AK11" s="108">
        <v>0.8</v>
      </c>
      <c r="AL11" s="108">
        <v>0</v>
      </c>
      <c r="AM11" s="108">
        <v>0</v>
      </c>
      <c r="AN11" s="108">
        <v>0.8</v>
      </c>
      <c r="AO11" s="108">
        <v>0.8</v>
      </c>
      <c r="AP11" s="108">
        <v>0.8</v>
      </c>
      <c r="AQ11" s="108">
        <v>0</v>
      </c>
      <c r="AR11" s="108">
        <v>0</v>
      </c>
      <c r="AS11" s="108">
        <v>0</v>
      </c>
      <c r="AT11" s="108">
        <v>0</v>
      </c>
    </row>
    <row r="12" spans="1:46" customFormat="1" x14ac:dyDescent="0.15">
      <c r="A12" s="185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0.8</v>
      </c>
      <c r="M12" s="108">
        <v>0.8</v>
      </c>
      <c r="N12" s="108">
        <v>0</v>
      </c>
      <c r="O12" s="108">
        <v>0</v>
      </c>
      <c r="P12" s="108">
        <v>0.8</v>
      </c>
      <c r="Q12" s="108">
        <v>0</v>
      </c>
      <c r="R12" s="108">
        <v>0</v>
      </c>
      <c r="S12" s="108">
        <v>0.8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0.8</v>
      </c>
      <c r="AI12" s="108">
        <v>0.8</v>
      </c>
      <c r="AJ12" s="108">
        <v>0.8</v>
      </c>
      <c r="AK12" s="108">
        <v>0.8</v>
      </c>
      <c r="AL12" s="108">
        <v>0</v>
      </c>
      <c r="AM12" s="108">
        <v>0</v>
      </c>
      <c r="AN12" s="108">
        <v>0.8</v>
      </c>
      <c r="AO12" s="108">
        <v>0.8</v>
      </c>
      <c r="AP12" s="108">
        <v>0</v>
      </c>
      <c r="AQ12" s="108">
        <v>0</v>
      </c>
      <c r="AR12" s="108">
        <v>0</v>
      </c>
      <c r="AS12" s="108">
        <v>0</v>
      </c>
      <c r="AT12" s="108">
        <v>0</v>
      </c>
    </row>
    <row r="13" spans="1:46" customFormat="1" x14ac:dyDescent="0.15">
      <c r="A13" s="185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0.8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0.8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0.8</v>
      </c>
      <c r="AK13" s="108">
        <v>0.8</v>
      </c>
      <c r="AL13" s="108">
        <v>0</v>
      </c>
      <c r="AM13" s="108">
        <v>0</v>
      </c>
      <c r="AN13" s="108">
        <v>0.8</v>
      </c>
      <c r="AO13" s="108">
        <v>0.8</v>
      </c>
      <c r="AP13" s="108">
        <v>0</v>
      </c>
      <c r="AQ13" s="108">
        <v>0</v>
      </c>
      <c r="AR13" s="108">
        <v>0</v>
      </c>
      <c r="AS13" s="108">
        <v>0</v>
      </c>
      <c r="AT13" s="108">
        <v>0</v>
      </c>
    </row>
    <row r="14" spans="1:46" customFormat="1" x14ac:dyDescent="0.15">
      <c r="A14" s="185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0.8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0.8</v>
      </c>
      <c r="U14" s="108">
        <v>0</v>
      </c>
      <c r="V14" s="108">
        <v>0.8</v>
      </c>
      <c r="W14" s="108">
        <v>0</v>
      </c>
      <c r="X14" s="108">
        <v>0</v>
      </c>
      <c r="Y14" s="108">
        <v>0</v>
      </c>
      <c r="Z14" s="108">
        <v>0</v>
      </c>
      <c r="AA14" s="108">
        <v>0.8</v>
      </c>
      <c r="AB14" s="108">
        <v>0.8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0.8</v>
      </c>
      <c r="AI14" s="108">
        <v>0.8</v>
      </c>
      <c r="AJ14" s="108">
        <v>0.8</v>
      </c>
      <c r="AK14" s="108">
        <v>0.8</v>
      </c>
      <c r="AL14" s="108">
        <v>0</v>
      </c>
      <c r="AM14" s="108">
        <v>0</v>
      </c>
      <c r="AN14" s="108">
        <v>0.8</v>
      </c>
      <c r="AO14" s="108">
        <v>0.8</v>
      </c>
      <c r="AP14" s="108">
        <v>0.8</v>
      </c>
      <c r="AQ14" s="108">
        <v>0.8</v>
      </c>
      <c r="AR14" s="108">
        <v>0</v>
      </c>
      <c r="AS14" s="108">
        <v>0</v>
      </c>
      <c r="AT14" s="108">
        <v>0</v>
      </c>
    </row>
    <row r="15" spans="1:46" customFormat="1" x14ac:dyDescent="0.15">
      <c r="A15" s="185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0.8</v>
      </c>
      <c r="Q15" s="108">
        <v>0</v>
      </c>
      <c r="R15" s="108">
        <v>0</v>
      </c>
      <c r="S15" s="108">
        <v>0.8</v>
      </c>
      <c r="T15" s="108">
        <v>0</v>
      </c>
      <c r="U15" s="108">
        <v>0</v>
      </c>
      <c r="V15" s="108">
        <v>0.8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0.8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0.8</v>
      </c>
      <c r="AO15" s="108">
        <v>0.8</v>
      </c>
      <c r="AP15" s="108">
        <v>0</v>
      </c>
      <c r="AQ15" s="108">
        <v>0.8</v>
      </c>
      <c r="AR15" s="108">
        <v>0.8</v>
      </c>
      <c r="AS15" s="108">
        <v>0</v>
      </c>
      <c r="AT15" s="108">
        <v>0</v>
      </c>
    </row>
    <row r="16" spans="1:46" customFormat="1" x14ac:dyDescent="0.15">
      <c r="A16" s="185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0.8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0.8</v>
      </c>
      <c r="AO16" s="108">
        <v>0.8</v>
      </c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</row>
    <row r="17" spans="1:46" customFormat="1" x14ac:dyDescent="0.15">
      <c r="A17" s="185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0.8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0.8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0.8</v>
      </c>
      <c r="AO17" s="108">
        <v>0</v>
      </c>
      <c r="AP17" s="108">
        <v>0.8</v>
      </c>
      <c r="AQ17" s="108">
        <v>0</v>
      </c>
      <c r="AR17" s="108">
        <v>0</v>
      </c>
      <c r="AS17" s="108">
        <v>0</v>
      </c>
      <c r="AT17" s="108">
        <v>0</v>
      </c>
    </row>
    <row r="18" spans="1:46" customFormat="1" x14ac:dyDescent="0.15">
      <c r="A18" s="185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0.8</v>
      </c>
      <c r="T18" s="108">
        <v>0.8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0.8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0.8</v>
      </c>
      <c r="AL18" s="108">
        <v>0</v>
      </c>
      <c r="AM18" s="108">
        <v>0</v>
      </c>
      <c r="AN18" s="108">
        <v>0.8</v>
      </c>
      <c r="AO18" s="108">
        <v>0.8</v>
      </c>
      <c r="AP18" s="108">
        <v>0</v>
      </c>
      <c r="AQ18" s="108">
        <v>0</v>
      </c>
      <c r="AR18" s="108">
        <v>0</v>
      </c>
      <c r="AS18" s="108">
        <v>0</v>
      </c>
      <c r="AT18" s="108">
        <v>0</v>
      </c>
    </row>
    <row r="19" spans="1:46" customFormat="1" x14ac:dyDescent="0.15">
      <c r="A19" s="185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0.8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0.8</v>
      </c>
      <c r="AL19" s="108">
        <v>0</v>
      </c>
      <c r="AM19" s="108">
        <v>0</v>
      </c>
      <c r="AN19" s="108">
        <v>0.8</v>
      </c>
      <c r="AO19" s="108">
        <v>0.8</v>
      </c>
      <c r="AP19" s="108">
        <v>0</v>
      </c>
      <c r="AQ19" s="108">
        <v>0</v>
      </c>
      <c r="AR19" s="108">
        <v>0</v>
      </c>
      <c r="AS19" s="108">
        <v>0</v>
      </c>
      <c r="AT19" s="108">
        <v>0</v>
      </c>
    </row>
    <row r="20" spans="1:46" customFormat="1" x14ac:dyDescent="0.15">
      <c r="A20" s="185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0.8</v>
      </c>
      <c r="R20" s="108">
        <v>0</v>
      </c>
      <c r="S20" s="108">
        <v>0</v>
      </c>
      <c r="T20" s="108">
        <v>0</v>
      </c>
      <c r="U20" s="108">
        <v>0</v>
      </c>
      <c r="V20" s="108">
        <v>0.8</v>
      </c>
      <c r="W20" s="108">
        <v>0.8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0.8</v>
      </c>
      <c r="AG20" s="108">
        <v>0</v>
      </c>
      <c r="AH20" s="108">
        <v>0</v>
      </c>
      <c r="AI20" s="108">
        <v>0</v>
      </c>
      <c r="AJ20" s="108">
        <v>0</v>
      </c>
      <c r="AK20" s="108">
        <v>0.8</v>
      </c>
      <c r="AL20" s="108">
        <v>0</v>
      </c>
      <c r="AM20" s="108">
        <v>0.8</v>
      </c>
      <c r="AN20" s="108">
        <v>0.8</v>
      </c>
      <c r="AO20" s="108">
        <v>0.8</v>
      </c>
      <c r="AP20" s="108">
        <v>0</v>
      </c>
      <c r="AQ20" s="108">
        <v>0</v>
      </c>
      <c r="AR20" s="108">
        <v>0</v>
      </c>
      <c r="AS20" s="108">
        <v>0</v>
      </c>
      <c r="AT20" s="108">
        <v>0</v>
      </c>
    </row>
    <row r="21" spans="1:46" customFormat="1" x14ac:dyDescent="0.15">
      <c r="A21" s="185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0.8</v>
      </c>
      <c r="M21" s="108">
        <v>0.8</v>
      </c>
      <c r="N21" s="108">
        <v>0</v>
      </c>
      <c r="O21" s="108">
        <v>0</v>
      </c>
      <c r="P21" s="108">
        <v>0</v>
      </c>
      <c r="Q21" s="108">
        <v>0.8</v>
      </c>
      <c r="R21" s="108">
        <v>0</v>
      </c>
      <c r="S21" s="108">
        <v>0.8</v>
      </c>
      <c r="T21" s="108">
        <v>0</v>
      </c>
      <c r="U21" s="108">
        <v>0</v>
      </c>
      <c r="V21" s="108">
        <v>0.8</v>
      </c>
      <c r="W21" s="108">
        <v>0.8</v>
      </c>
      <c r="X21" s="108">
        <v>0</v>
      </c>
      <c r="Y21" s="108">
        <v>0</v>
      </c>
      <c r="Z21" s="108">
        <v>0</v>
      </c>
      <c r="AA21" s="108">
        <v>0</v>
      </c>
      <c r="AB21" s="108">
        <v>0.8</v>
      </c>
      <c r="AC21" s="108">
        <v>0</v>
      </c>
      <c r="AD21" s="108">
        <v>0</v>
      </c>
      <c r="AE21" s="108">
        <v>0</v>
      </c>
      <c r="AF21" s="108">
        <v>0.8</v>
      </c>
      <c r="AG21" s="108">
        <v>0</v>
      </c>
      <c r="AH21" s="108">
        <v>0.8</v>
      </c>
      <c r="AI21" s="108">
        <v>0.8</v>
      </c>
      <c r="AJ21" s="108">
        <v>0.8</v>
      </c>
      <c r="AK21" s="108">
        <v>0</v>
      </c>
      <c r="AL21" s="108">
        <v>0</v>
      </c>
      <c r="AM21" s="108">
        <v>0</v>
      </c>
      <c r="AN21" s="108">
        <v>0.8</v>
      </c>
      <c r="AO21" s="108">
        <v>0.8</v>
      </c>
      <c r="AP21" s="108">
        <v>0.8</v>
      </c>
      <c r="AQ21" s="108">
        <v>0.8</v>
      </c>
      <c r="AR21" s="108">
        <v>0</v>
      </c>
      <c r="AS21" s="108">
        <v>0</v>
      </c>
      <c r="AT21" s="108">
        <v>0</v>
      </c>
    </row>
    <row r="22" spans="1:46" customFormat="1" x14ac:dyDescent="0.15">
      <c r="A22" s="185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0.8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0.8</v>
      </c>
      <c r="U22" s="108">
        <v>0</v>
      </c>
      <c r="V22" s="108">
        <v>0</v>
      </c>
      <c r="W22" s="108">
        <v>0</v>
      </c>
      <c r="X22" s="108">
        <v>0.8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0.8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  <c r="AP22" s="108">
        <v>0</v>
      </c>
      <c r="AQ22" s="108">
        <v>0</v>
      </c>
      <c r="AR22" s="108">
        <v>0</v>
      </c>
      <c r="AS22" s="108">
        <v>0</v>
      </c>
      <c r="AT22" s="108">
        <v>0</v>
      </c>
    </row>
    <row r="23" spans="1:46" customFormat="1" x14ac:dyDescent="0.15">
      <c r="A23" s="185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0</v>
      </c>
      <c r="P23" s="108">
        <v>0</v>
      </c>
      <c r="Q23" s="108">
        <v>0.8</v>
      </c>
      <c r="R23" s="108">
        <v>0</v>
      </c>
      <c r="S23" s="108">
        <v>0.8</v>
      </c>
      <c r="T23" s="108">
        <v>0</v>
      </c>
      <c r="U23" s="108">
        <v>0</v>
      </c>
      <c r="V23" s="108">
        <v>0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0.8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0.8</v>
      </c>
      <c r="AO23" s="108">
        <v>0.8</v>
      </c>
      <c r="AP23" s="108">
        <v>0</v>
      </c>
      <c r="AQ23" s="108">
        <v>0</v>
      </c>
      <c r="AR23" s="108">
        <v>0</v>
      </c>
      <c r="AS23" s="108">
        <v>0</v>
      </c>
      <c r="AT23" s="108">
        <v>0</v>
      </c>
    </row>
    <row r="24" spans="1:46" customFormat="1" x14ac:dyDescent="0.15">
      <c r="A24" s="185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0.8</v>
      </c>
      <c r="M24" s="108">
        <v>0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0.8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0.8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0.8</v>
      </c>
      <c r="AI24" s="108">
        <v>0</v>
      </c>
      <c r="AJ24" s="108">
        <v>0</v>
      </c>
      <c r="AK24" s="108">
        <v>0.8</v>
      </c>
      <c r="AL24" s="108">
        <v>0</v>
      </c>
      <c r="AM24" s="108">
        <v>0</v>
      </c>
      <c r="AN24" s="108">
        <v>0.8</v>
      </c>
      <c r="AO24" s="108">
        <v>0</v>
      </c>
      <c r="AP24" s="108">
        <v>0.8</v>
      </c>
      <c r="AQ24" s="108">
        <v>0</v>
      </c>
      <c r="AR24" s="108">
        <v>0</v>
      </c>
      <c r="AS24" s="108">
        <v>0</v>
      </c>
      <c r="AT24" s="108">
        <v>0</v>
      </c>
    </row>
    <row r="25" spans="1:46" customFormat="1" x14ac:dyDescent="0.15">
      <c r="A25" s="185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0.8</v>
      </c>
      <c r="AL25" s="108">
        <v>0</v>
      </c>
      <c r="AM25" s="108">
        <v>0</v>
      </c>
      <c r="AN25" s="108">
        <v>0</v>
      </c>
      <c r="AO25" s="108">
        <v>0</v>
      </c>
      <c r="AP25" s="108">
        <v>0</v>
      </c>
      <c r="AQ25" s="108">
        <v>0</v>
      </c>
      <c r="AR25" s="108">
        <v>0</v>
      </c>
      <c r="AS25" s="108">
        <v>0</v>
      </c>
      <c r="AT25" s="108">
        <v>0</v>
      </c>
    </row>
    <row r="26" spans="1:46" customFormat="1" x14ac:dyDescent="0.15">
      <c r="A26" s="185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0.8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  <c r="AP26" s="108">
        <v>0</v>
      </c>
      <c r="AQ26" s="108">
        <v>0</v>
      </c>
      <c r="AR26" s="108">
        <v>0</v>
      </c>
      <c r="AS26" s="108">
        <v>0</v>
      </c>
      <c r="AT26" s="108">
        <v>0</v>
      </c>
    </row>
    <row r="27" spans="1:46" customFormat="1" x14ac:dyDescent="0.15">
      <c r="A27" s="185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0.8</v>
      </c>
      <c r="AI27" s="108">
        <v>0</v>
      </c>
      <c r="AJ27" s="108">
        <v>0</v>
      </c>
      <c r="AK27" s="108">
        <v>0.8</v>
      </c>
      <c r="AL27" s="108">
        <v>0</v>
      </c>
      <c r="AM27" s="108">
        <v>0</v>
      </c>
      <c r="AN27" s="108">
        <v>0</v>
      </c>
      <c r="AO27" s="108">
        <v>0</v>
      </c>
      <c r="AP27" s="108">
        <v>0</v>
      </c>
      <c r="AQ27" s="108">
        <v>0</v>
      </c>
      <c r="AR27" s="108">
        <v>0</v>
      </c>
      <c r="AS27" s="108">
        <v>0</v>
      </c>
      <c r="AT27" s="108">
        <v>0</v>
      </c>
    </row>
    <row r="28" spans="1:46" customFormat="1" x14ac:dyDescent="0.15">
      <c r="A28" s="185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0.8</v>
      </c>
      <c r="AI28" s="108">
        <v>0</v>
      </c>
      <c r="AJ28" s="108">
        <v>0</v>
      </c>
      <c r="AK28" s="108">
        <v>0.8</v>
      </c>
      <c r="AL28" s="108">
        <v>0</v>
      </c>
      <c r="AM28" s="108">
        <v>0</v>
      </c>
      <c r="AN28" s="108">
        <v>0.8</v>
      </c>
      <c r="AO28" s="108">
        <v>0.8</v>
      </c>
      <c r="AP28" s="108">
        <v>0</v>
      </c>
      <c r="AQ28" s="108">
        <v>0</v>
      </c>
      <c r="AR28" s="108">
        <v>0</v>
      </c>
      <c r="AS28" s="108">
        <v>0</v>
      </c>
      <c r="AT28" s="108">
        <v>0</v>
      </c>
    </row>
    <row r="29" spans="1:46" customFormat="1" x14ac:dyDescent="0.15">
      <c r="A29" s="185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0.8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0.8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0.8</v>
      </c>
      <c r="AI29" s="108">
        <v>0</v>
      </c>
      <c r="AJ29" s="108">
        <v>0</v>
      </c>
      <c r="AK29" s="108">
        <v>0</v>
      </c>
      <c r="AL29" s="108">
        <v>0</v>
      </c>
      <c r="AM29" s="108">
        <v>0.8</v>
      </c>
      <c r="AN29" s="108">
        <v>0.8</v>
      </c>
      <c r="AO29" s="108">
        <v>0.8</v>
      </c>
      <c r="AP29" s="108">
        <v>0</v>
      </c>
      <c r="AQ29" s="108">
        <v>0</v>
      </c>
      <c r="AR29" s="108">
        <v>0</v>
      </c>
      <c r="AS29" s="108">
        <v>0</v>
      </c>
      <c r="AT29" s="108">
        <v>0</v>
      </c>
    </row>
    <row r="30" spans="1:46" customFormat="1" x14ac:dyDescent="0.15">
      <c r="A30" s="185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0.8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0.8</v>
      </c>
      <c r="AO30" s="108">
        <v>0.8</v>
      </c>
      <c r="AP30" s="108">
        <v>0</v>
      </c>
      <c r="AQ30" s="108">
        <v>0</v>
      </c>
      <c r="AR30" s="108">
        <v>0</v>
      </c>
      <c r="AS30" s="108">
        <v>0</v>
      </c>
      <c r="AT30" s="108">
        <v>0</v>
      </c>
    </row>
    <row r="31" spans="1:46" customFormat="1" x14ac:dyDescent="0.15">
      <c r="A31" s="185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0.8</v>
      </c>
      <c r="T31" s="108">
        <v>0</v>
      </c>
      <c r="U31" s="108">
        <v>0</v>
      </c>
      <c r="V31" s="108">
        <v>0.8</v>
      </c>
      <c r="W31" s="108">
        <v>0</v>
      </c>
      <c r="X31" s="108">
        <v>0.8</v>
      </c>
      <c r="Y31" s="108">
        <v>0</v>
      </c>
      <c r="Z31" s="108">
        <v>0</v>
      </c>
      <c r="AA31" s="108">
        <v>0.8</v>
      </c>
      <c r="AB31" s="108">
        <v>0.8</v>
      </c>
      <c r="AC31" s="108">
        <v>0</v>
      </c>
      <c r="AD31" s="108">
        <v>0</v>
      </c>
      <c r="AE31" s="108">
        <v>0</v>
      </c>
      <c r="AF31" s="108">
        <v>0</v>
      </c>
      <c r="AG31" s="108">
        <v>0</v>
      </c>
      <c r="AH31" s="108">
        <v>0.8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0.8</v>
      </c>
      <c r="AO31" s="108">
        <v>0.8</v>
      </c>
      <c r="AP31" s="108">
        <v>0.8</v>
      </c>
      <c r="AQ31" s="108">
        <v>0</v>
      </c>
      <c r="AR31" s="108">
        <v>0</v>
      </c>
      <c r="AS31" s="108">
        <v>0</v>
      </c>
      <c r="AT31" s="108">
        <v>0</v>
      </c>
    </row>
    <row r="32" spans="1:46" customFormat="1" x14ac:dyDescent="0.15">
      <c r="A32" s="185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0.8</v>
      </c>
      <c r="W32" s="108">
        <v>0.8</v>
      </c>
      <c r="X32" s="108">
        <v>0.8</v>
      </c>
      <c r="Y32" s="108">
        <v>0</v>
      </c>
      <c r="Z32" s="108">
        <v>0</v>
      </c>
      <c r="AA32" s="108">
        <v>0.8</v>
      </c>
      <c r="AB32" s="108">
        <v>0.8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0.8</v>
      </c>
      <c r="AI32" s="108">
        <v>0</v>
      </c>
      <c r="AJ32" s="108">
        <v>0</v>
      </c>
      <c r="AK32" s="108">
        <v>0.8</v>
      </c>
      <c r="AL32" s="108">
        <v>0</v>
      </c>
      <c r="AM32" s="108">
        <v>0</v>
      </c>
      <c r="AN32" s="108">
        <v>0.8</v>
      </c>
      <c r="AO32" s="108">
        <v>0.8</v>
      </c>
      <c r="AP32" s="108">
        <v>0</v>
      </c>
      <c r="AQ32" s="108">
        <v>0</v>
      </c>
      <c r="AR32" s="108">
        <v>0</v>
      </c>
      <c r="AS32" s="108">
        <v>0</v>
      </c>
      <c r="AT32" s="108">
        <v>0</v>
      </c>
    </row>
    <row r="33" spans="1:46" x14ac:dyDescent="0.15">
      <c r="A33" s="185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0.8</v>
      </c>
      <c r="T33" s="108">
        <v>0</v>
      </c>
      <c r="U33" s="108">
        <v>0</v>
      </c>
      <c r="V33" s="108">
        <v>0.8</v>
      </c>
      <c r="W33" s="108">
        <v>0.8</v>
      </c>
      <c r="X33" s="108">
        <v>0</v>
      </c>
      <c r="Y33" s="108">
        <v>0</v>
      </c>
      <c r="Z33" s="108">
        <v>0</v>
      </c>
      <c r="AA33" s="108">
        <v>0.8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  <c r="AH33" s="108">
        <v>0.8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0.8</v>
      </c>
      <c r="AO33" s="108">
        <v>0.8</v>
      </c>
      <c r="AP33" s="108">
        <v>0.8</v>
      </c>
      <c r="AQ33" s="108">
        <v>0</v>
      </c>
      <c r="AR33" s="108">
        <v>0</v>
      </c>
      <c r="AS33" s="108">
        <v>0</v>
      </c>
      <c r="AT33" s="108">
        <v>0</v>
      </c>
    </row>
    <row r="34" spans="1:46" x14ac:dyDescent="0.15">
      <c r="A34" s="185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0.8</v>
      </c>
      <c r="W34" s="108">
        <v>0</v>
      </c>
      <c r="X34" s="108">
        <v>0</v>
      </c>
      <c r="Y34" s="108">
        <v>0</v>
      </c>
      <c r="Z34" s="108">
        <v>0</v>
      </c>
      <c r="AA34" s="108">
        <v>0.8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0.8</v>
      </c>
      <c r="AO34" s="108">
        <v>0.8</v>
      </c>
      <c r="AP34" s="108">
        <v>0</v>
      </c>
      <c r="AQ34" s="108">
        <v>0</v>
      </c>
      <c r="AR34" s="108">
        <v>0</v>
      </c>
      <c r="AS34" s="108">
        <v>0</v>
      </c>
      <c r="AT34" s="108">
        <v>0</v>
      </c>
    </row>
    <row r="35" spans="1:46" x14ac:dyDescent="0.15">
      <c r="A35" s="185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0.8</v>
      </c>
      <c r="Y35" s="108">
        <v>0</v>
      </c>
      <c r="Z35" s="108">
        <v>0</v>
      </c>
      <c r="AA35" s="108">
        <v>0.8</v>
      </c>
      <c r="AB35" s="108">
        <v>0.8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0.8</v>
      </c>
      <c r="AI35" s="108">
        <v>0</v>
      </c>
      <c r="AJ35" s="108">
        <v>0</v>
      </c>
      <c r="AK35" s="108">
        <v>0</v>
      </c>
      <c r="AL35" s="108">
        <v>0</v>
      </c>
      <c r="AM35" s="108">
        <v>0.8</v>
      </c>
      <c r="AN35" s="108">
        <v>0.8</v>
      </c>
      <c r="AO35" s="108">
        <v>0.8</v>
      </c>
      <c r="AP35" s="108">
        <v>0</v>
      </c>
      <c r="AQ35" s="108">
        <v>0</v>
      </c>
      <c r="AR35" s="108">
        <v>0</v>
      </c>
      <c r="AS35" s="108">
        <v>0</v>
      </c>
      <c r="AT35" s="108">
        <v>0</v>
      </c>
    </row>
    <row r="36" spans="1:46" x14ac:dyDescent="0.15">
      <c r="A36" s="185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0</v>
      </c>
      <c r="Y36" s="108">
        <v>0</v>
      </c>
      <c r="Z36" s="108">
        <v>0</v>
      </c>
      <c r="AA36" s="108">
        <v>0.8</v>
      </c>
      <c r="AB36" s="108">
        <v>0.8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0.8</v>
      </c>
      <c r="AI36" s="108">
        <v>0</v>
      </c>
      <c r="AJ36" s="108">
        <v>0</v>
      </c>
      <c r="AK36" s="108">
        <v>0</v>
      </c>
      <c r="AL36" s="108">
        <v>0</v>
      </c>
      <c r="AM36" s="108">
        <v>0</v>
      </c>
      <c r="AN36" s="108">
        <v>0.8</v>
      </c>
      <c r="AO36" s="108">
        <v>0.8</v>
      </c>
      <c r="AP36" s="108">
        <v>0</v>
      </c>
      <c r="AQ36" s="108">
        <v>0</v>
      </c>
      <c r="AR36" s="108">
        <v>0</v>
      </c>
      <c r="AS36" s="108">
        <v>0</v>
      </c>
      <c r="AT36" s="108">
        <v>0</v>
      </c>
    </row>
    <row r="37" spans="1:46" x14ac:dyDescent="0.15">
      <c r="A37" s="185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0.8</v>
      </c>
      <c r="AL37" s="108">
        <v>0</v>
      </c>
      <c r="AM37" s="108">
        <v>0</v>
      </c>
      <c r="AN37" s="108">
        <v>0.8</v>
      </c>
      <c r="AO37" s="108">
        <v>0.8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</row>
    <row r="38" spans="1:46" x14ac:dyDescent="0.15">
      <c r="A38" s="185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0</v>
      </c>
      <c r="Y38" s="108">
        <v>0</v>
      </c>
      <c r="Z38" s="108">
        <v>0</v>
      </c>
      <c r="AA38" s="108">
        <v>0</v>
      </c>
      <c r="AB38" s="108">
        <v>0</v>
      </c>
      <c r="AC38" s="108">
        <v>0</v>
      </c>
      <c r="AD38" s="108">
        <v>0</v>
      </c>
      <c r="AE38" s="108">
        <v>0</v>
      </c>
      <c r="AF38" s="108">
        <v>0</v>
      </c>
      <c r="AG38" s="108">
        <v>0</v>
      </c>
      <c r="AH38" s="108">
        <v>0</v>
      </c>
      <c r="AI38" s="108">
        <v>0</v>
      </c>
      <c r="AJ38" s="108">
        <v>0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  <c r="AP38" s="108">
        <v>0</v>
      </c>
      <c r="AQ38" s="108">
        <v>0</v>
      </c>
      <c r="AR38" s="108">
        <v>0</v>
      </c>
      <c r="AS38" s="108">
        <v>0</v>
      </c>
      <c r="AT38" s="108">
        <v>0</v>
      </c>
    </row>
    <row r="39" spans="1:46" x14ac:dyDescent="0.15">
      <c r="A39" s="185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0</v>
      </c>
      <c r="Q39" s="108">
        <v>0</v>
      </c>
      <c r="R39" s="108">
        <v>0</v>
      </c>
      <c r="S39" s="108">
        <v>0</v>
      </c>
      <c r="T39" s="108">
        <v>0</v>
      </c>
      <c r="U39" s="108">
        <v>0</v>
      </c>
      <c r="V39" s="108">
        <v>0</v>
      </c>
      <c r="W39" s="108">
        <v>0</v>
      </c>
      <c r="X39" s="108">
        <v>0</v>
      </c>
      <c r="Y39" s="108">
        <v>0</v>
      </c>
      <c r="Z39" s="108">
        <v>0</v>
      </c>
      <c r="AA39" s="108">
        <v>0</v>
      </c>
      <c r="AB39" s="108">
        <v>0</v>
      </c>
      <c r="AC39" s="108">
        <v>0</v>
      </c>
      <c r="AD39" s="108">
        <v>0</v>
      </c>
      <c r="AE39" s="108">
        <v>0</v>
      </c>
      <c r="AF39" s="108">
        <v>0</v>
      </c>
      <c r="AG39" s="108">
        <v>0</v>
      </c>
      <c r="AH39" s="108">
        <v>0</v>
      </c>
      <c r="AI39" s="108">
        <v>0</v>
      </c>
      <c r="AJ39" s="108">
        <v>0</v>
      </c>
      <c r="AK39" s="108">
        <v>0</v>
      </c>
      <c r="AL39" s="108">
        <v>0</v>
      </c>
      <c r="AM39" s="108">
        <v>0</v>
      </c>
      <c r="AN39" s="108">
        <v>0</v>
      </c>
      <c r="AO39" s="108">
        <v>0</v>
      </c>
      <c r="AP39" s="108">
        <v>0</v>
      </c>
      <c r="AQ39" s="108">
        <v>0</v>
      </c>
      <c r="AR39" s="108">
        <v>0</v>
      </c>
      <c r="AS39" s="108">
        <v>0</v>
      </c>
      <c r="AT39" s="108">
        <v>0</v>
      </c>
    </row>
    <row r="40" spans="1:46" x14ac:dyDescent="0.15">
      <c r="A40" s="185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0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0</v>
      </c>
      <c r="AF40" s="108">
        <v>0</v>
      </c>
      <c r="AG40" s="108">
        <v>0</v>
      </c>
      <c r="AH40" s="108">
        <v>0</v>
      </c>
      <c r="AI40" s="108">
        <v>0</v>
      </c>
      <c r="AJ40" s="108">
        <v>0</v>
      </c>
      <c r="AK40" s="108">
        <v>0</v>
      </c>
      <c r="AL40" s="108">
        <v>0</v>
      </c>
      <c r="AM40" s="108">
        <v>0</v>
      </c>
      <c r="AN40" s="108">
        <v>0</v>
      </c>
      <c r="AO40" s="108">
        <v>0</v>
      </c>
      <c r="AP40" s="108">
        <v>0</v>
      </c>
      <c r="AQ40" s="108">
        <v>0</v>
      </c>
      <c r="AR40" s="108">
        <v>0</v>
      </c>
      <c r="AS40" s="108">
        <v>0</v>
      </c>
      <c r="AT40" s="108">
        <v>0</v>
      </c>
    </row>
    <row r="41" spans="1:46" x14ac:dyDescent="0.15">
      <c r="A41" s="185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  <c r="AO41" s="108">
        <v>0.8</v>
      </c>
      <c r="AP41" s="108">
        <v>0</v>
      </c>
      <c r="AQ41" s="108">
        <v>0</v>
      </c>
      <c r="AR41" s="108">
        <v>0</v>
      </c>
      <c r="AS41" s="108">
        <v>0</v>
      </c>
      <c r="AT41" s="108">
        <v>0</v>
      </c>
    </row>
    <row r="42" spans="1:46" x14ac:dyDescent="0.15">
      <c r="A42" s="185" t="s">
        <v>232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0.8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</row>
    <row r="43" spans="1:46" x14ac:dyDescent="0.15">
      <c r="A43" s="185" t="s">
        <v>233</v>
      </c>
      <c r="B43" s="108">
        <v>0</v>
      </c>
      <c r="C43" s="108">
        <v>0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0.8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</row>
    <row r="44" spans="1:46" x14ac:dyDescent="0.15">
      <c r="A44" s="185" t="s">
        <v>234</v>
      </c>
      <c r="B44" s="108">
        <v>0</v>
      </c>
      <c r="C44" s="108">
        <v>0</v>
      </c>
      <c r="D44" s="108">
        <v>0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  <c r="J44" s="108">
        <v>0</v>
      </c>
      <c r="K44" s="108">
        <v>0</v>
      </c>
      <c r="L44" s="108">
        <v>0</v>
      </c>
      <c r="M44" s="108">
        <v>0</v>
      </c>
      <c r="N44" s="108">
        <v>0</v>
      </c>
      <c r="O44" s="108">
        <v>0</v>
      </c>
      <c r="P44" s="108">
        <v>0</v>
      </c>
      <c r="Q44" s="108">
        <v>0</v>
      </c>
      <c r="R44" s="108">
        <v>0</v>
      </c>
      <c r="S44" s="108">
        <v>0</v>
      </c>
      <c r="T44" s="108">
        <v>0</v>
      </c>
      <c r="U44" s="108">
        <v>0</v>
      </c>
      <c r="V44" s="108">
        <v>0</v>
      </c>
      <c r="W44" s="108">
        <v>0</v>
      </c>
      <c r="X44" s="108">
        <v>0</v>
      </c>
      <c r="Y44" s="108">
        <v>0</v>
      </c>
      <c r="Z44" s="108">
        <v>0</v>
      </c>
      <c r="AA44" s="108">
        <v>0</v>
      </c>
      <c r="AB44" s="108">
        <v>0</v>
      </c>
      <c r="AC44" s="108">
        <v>0</v>
      </c>
      <c r="AD44" s="108">
        <v>0</v>
      </c>
      <c r="AE44" s="108">
        <v>0</v>
      </c>
      <c r="AF44" s="108">
        <v>0</v>
      </c>
      <c r="AG44" s="108">
        <v>0</v>
      </c>
      <c r="AH44" s="108">
        <v>0</v>
      </c>
      <c r="AI44" s="108">
        <v>0</v>
      </c>
      <c r="AJ44" s="108">
        <v>0</v>
      </c>
      <c r="AK44" s="108">
        <v>0</v>
      </c>
      <c r="AL44" s="108">
        <v>0</v>
      </c>
      <c r="AM44" s="108">
        <v>0</v>
      </c>
      <c r="AN44" s="108">
        <v>0</v>
      </c>
      <c r="AO44" s="108">
        <v>0.8</v>
      </c>
      <c r="AP44" s="108">
        <v>0</v>
      </c>
      <c r="AQ44" s="108">
        <v>0</v>
      </c>
      <c r="AR44" s="108">
        <v>0</v>
      </c>
      <c r="AS44" s="108">
        <v>0</v>
      </c>
      <c r="AT44" s="108">
        <v>0</v>
      </c>
    </row>
    <row r="45" spans="1:46" x14ac:dyDescent="0.15">
      <c r="A45" s="185" t="s">
        <v>235</v>
      </c>
      <c r="B45" s="108">
        <v>0</v>
      </c>
      <c r="C45" s="108">
        <v>0</v>
      </c>
      <c r="D45" s="108">
        <v>0</v>
      </c>
      <c r="E45" s="108">
        <v>0</v>
      </c>
      <c r="F45" s="108">
        <v>0</v>
      </c>
      <c r="G45" s="108">
        <v>0.8</v>
      </c>
      <c r="H45" s="108">
        <v>0.8</v>
      </c>
      <c r="I45" s="108">
        <v>0.8</v>
      </c>
      <c r="J45" s="108">
        <v>0</v>
      </c>
      <c r="K45" s="108">
        <v>0</v>
      </c>
      <c r="L45" s="108">
        <v>0</v>
      </c>
      <c r="M45" s="108">
        <v>0</v>
      </c>
      <c r="N45" s="108">
        <v>0</v>
      </c>
      <c r="O45" s="108">
        <v>0</v>
      </c>
      <c r="P45" s="108">
        <v>0</v>
      </c>
      <c r="Q45" s="108">
        <v>0</v>
      </c>
      <c r="R45" s="108">
        <v>0</v>
      </c>
      <c r="S45" s="108">
        <v>0</v>
      </c>
      <c r="T45" s="108">
        <v>0</v>
      </c>
      <c r="U45" s="108">
        <v>0</v>
      </c>
      <c r="V45" s="108">
        <v>0.8</v>
      </c>
      <c r="W45" s="108">
        <v>0.8</v>
      </c>
      <c r="X45" s="108">
        <v>0</v>
      </c>
      <c r="Y45" s="108">
        <v>0</v>
      </c>
      <c r="Z45" s="108">
        <v>0.8</v>
      </c>
      <c r="AA45" s="108">
        <v>0</v>
      </c>
      <c r="AB45" s="108">
        <v>0</v>
      </c>
      <c r="AC45" s="108">
        <v>0</v>
      </c>
      <c r="AD45" s="108">
        <v>0</v>
      </c>
      <c r="AE45" s="108">
        <v>0</v>
      </c>
      <c r="AF45" s="108">
        <v>0</v>
      </c>
      <c r="AG45" s="108">
        <v>0</v>
      </c>
      <c r="AH45" s="108">
        <v>0</v>
      </c>
      <c r="AI45" s="108">
        <v>0</v>
      </c>
      <c r="AJ45" s="108">
        <v>0</v>
      </c>
      <c r="AK45" s="108">
        <v>0</v>
      </c>
      <c r="AL45" s="108">
        <v>0</v>
      </c>
      <c r="AM45" s="108">
        <v>0</v>
      </c>
      <c r="AN45" s="108">
        <v>0</v>
      </c>
      <c r="AO45" s="108">
        <v>0</v>
      </c>
      <c r="AP45" s="108">
        <v>0</v>
      </c>
      <c r="AQ45" s="108">
        <v>0</v>
      </c>
      <c r="AR45" s="108">
        <v>0</v>
      </c>
      <c r="AS45" s="108">
        <v>0</v>
      </c>
      <c r="AT45" s="108">
        <v>0</v>
      </c>
    </row>
    <row r="46" spans="1:46" x14ac:dyDescent="0.15">
      <c r="A46" s="185" t="s">
        <v>236</v>
      </c>
      <c r="B46" s="108">
        <v>0</v>
      </c>
      <c r="C46" s="108">
        <v>0</v>
      </c>
      <c r="D46" s="108">
        <v>0</v>
      </c>
      <c r="E46" s="108">
        <v>0</v>
      </c>
      <c r="F46" s="108">
        <v>0</v>
      </c>
      <c r="G46" s="108">
        <v>0</v>
      </c>
      <c r="H46" s="108">
        <v>0</v>
      </c>
      <c r="I46" s="108">
        <v>0</v>
      </c>
      <c r="J46" s="108">
        <v>0</v>
      </c>
      <c r="K46" s="108">
        <v>0</v>
      </c>
      <c r="L46" s="108">
        <v>0</v>
      </c>
      <c r="M46" s="108">
        <v>0</v>
      </c>
      <c r="N46" s="108">
        <v>0</v>
      </c>
      <c r="O46" s="108">
        <v>0</v>
      </c>
      <c r="P46" s="108">
        <v>0</v>
      </c>
      <c r="Q46" s="108">
        <v>0</v>
      </c>
      <c r="R46" s="108">
        <v>0</v>
      </c>
      <c r="S46" s="108">
        <v>0</v>
      </c>
      <c r="T46" s="108">
        <v>0</v>
      </c>
      <c r="U46" s="108">
        <v>0</v>
      </c>
      <c r="V46" s="108">
        <v>0</v>
      </c>
      <c r="W46" s="108">
        <v>0</v>
      </c>
      <c r="X46" s="108">
        <v>0</v>
      </c>
      <c r="Y46" s="108">
        <v>0</v>
      </c>
      <c r="Z46" s="108">
        <v>0</v>
      </c>
      <c r="AA46" s="108">
        <v>0</v>
      </c>
      <c r="AB46" s="108">
        <v>0</v>
      </c>
      <c r="AC46" s="108">
        <v>0</v>
      </c>
      <c r="AD46" s="108">
        <v>0</v>
      </c>
      <c r="AE46" s="108">
        <v>0</v>
      </c>
      <c r="AF46" s="108">
        <v>0</v>
      </c>
      <c r="AG46" s="108">
        <v>0</v>
      </c>
      <c r="AH46" s="108">
        <v>0</v>
      </c>
      <c r="AI46" s="108">
        <v>0</v>
      </c>
      <c r="AJ46" s="108">
        <v>0</v>
      </c>
      <c r="AK46" s="108">
        <v>0</v>
      </c>
      <c r="AL46" s="108">
        <v>0</v>
      </c>
      <c r="AM46" s="108">
        <v>0</v>
      </c>
      <c r="AN46" s="108">
        <v>0</v>
      </c>
      <c r="AO46" s="108">
        <v>0</v>
      </c>
      <c r="AP46" s="108">
        <v>0</v>
      </c>
      <c r="AQ46" s="108">
        <v>0</v>
      </c>
      <c r="AR46" s="108">
        <v>0</v>
      </c>
      <c r="AS46" s="108">
        <v>0</v>
      </c>
      <c r="AT46" s="108">
        <v>0</v>
      </c>
    </row>
    <row r="47" spans="1:46" x14ac:dyDescent="0.15">
      <c r="A47" s="185" t="s">
        <v>238</v>
      </c>
      <c r="B47" s="108">
        <v>0</v>
      </c>
      <c r="C47" s="108">
        <v>0</v>
      </c>
      <c r="D47" s="108">
        <v>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  <c r="J47" s="108">
        <v>0.8</v>
      </c>
      <c r="K47" s="108">
        <v>0</v>
      </c>
      <c r="L47" s="108">
        <v>0</v>
      </c>
      <c r="M47" s="108">
        <v>0</v>
      </c>
      <c r="N47" s="108">
        <v>0</v>
      </c>
      <c r="O47" s="108">
        <v>0</v>
      </c>
      <c r="P47" s="108">
        <v>0</v>
      </c>
      <c r="Q47" s="108">
        <v>0</v>
      </c>
      <c r="R47" s="108">
        <v>0</v>
      </c>
      <c r="S47" s="108">
        <v>0</v>
      </c>
      <c r="T47" s="108">
        <v>0</v>
      </c>
      <c r="U47" s="108">
        <v>0</v>
      </c>
      <c r="V47" s="108">
        <v>0</v>
      </c>
      <c r="W47" s="108">
        <v>0</v>
      </c>
      <c r="X47" s="108">
        <v>0</v>
      </c>
      <c r="Y47" s="108">
        <v>0</v>
      </c>
      <c r="Z47" s="108">
        <v>0</v>
      </c>
      <c r="AA47" s="108">
        <v>0.8</v>
      </c>
      <c r="AB47" s="108">
        <v>0.8</v>
      </c>
      <c r="AC47" s="108">
        <v>0</v>
      </c>
      <c r="AD47" s="108">
        <v>0</v>
      </c>
      <c r="AE47" s="108">
        <v>0</v>
      </c>
      <c r="AF47" s="108">
        <v>0</v>
      </c>
      <c r="AG47" s="108">
        <v>0</v>
      </c>
      <c r="AH47" s="108">
        <v>0</v>
      </c>
      <c r="AI47" s="108">
        <v>0</v>
      </c>
      <c r="AJ47" s="108">
        <v>0</v>
      </c>
      <c r="AK47" s="108">
        <v>0</v>
      </c>
      <c r="AL47" s="108">
        <v>0</v>
      </c>
      <c r="AM47" s="108">
        <v>0</v>
      </c>
      <c r="AN47" s="108">
        <v>0</v>
      </c>
      <c r="AO47" s="108">
        <v>0</v>
      </c>
      <c r="AP47" s="108">
        <v>0</v>
      </c>
      <c r="AQ47" s="108">
        <v>0</v>
      </c>
      <c r="AR47" s="108">
        <v>0</v>
      </c>
      <c r="AS47" s="108">
        <v>0</v>
      </c>
      <c r="AT47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83203125" style="108" bestFit="1" customWidth="1"/>
    <col min="2" max="46" width="2.33203125" style="108" customWidth="1"/>
    <col min="47" max="16384" width="10.83203125" style="108"/>
  </cols>
  <sheetData>
    <row r="1" spans="1:46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  <c r="AN1" s="188" t="s">
        <v>230</v>
      </c>
      <c r="AO1" s="188" t="s">
        <v>231</v>
      </c>
      <c r="AP1" s="188" t="s">
        <v>232</v>
      </c>
      <c r="AQ1" s="188" t="s">
        <v>233</v>
      </c>
      <c r="AR1" s="188" t="s">
        <v>234</v>
      </c>
      <c r="AS1" s="188" t="s">
        <v>235</v>
      </c>
      <c r="AT1" s="188" t="s">
        <v>236</v>
      </c>
    </row>
    <row r="2" spans="1:46" customFormat="1" x14ac:dyDescent="0.15">
      <c r="A2" s="187" t="s">
        <v>192</v>
      </c>
      <c r="B2" s="108">
        <v>0</v>
      </c>
      <c r="C2" s="108">
        <v>1</v>
      </c>
      <c r="D2" s="108">
        <v>0</v>
      </c>
      <c r="E2" s="108">
        <v>1</v>
      </c>
      <c r="F2" s="108">
        <v>0</v>
      </c>
      <c r="G2" s="108">
        <v>1</v>
      </c>
      <c r="H2" s="108">
        <v>1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  <c r="AP2" s="108">
        <v>0</v>
      </c>
      <c r="AQ2" s="108">
        <v>0</v>
      </c>
      <c r="AR2" s="108">
        <v>0</v>
      </c>
      <c r="AS2" s="108">
        <v>0</v>
      </c>
      <c r="AT2" s="108">
        <v>0</v>
      </c>
    </row>
    <row r="3" spans="1:46" customFormat="1" x14ac:dyDescent="0.15">
      <c r="A3" s="187" t="s">
        <v>193</v>
      </c>
      <c r="B3" s="108">
        <v>0</v>
      </c>
      <c r="C3" s="108">
        <v>0</v>
      </c>
      <c r="D3" s="108">
        <v>1</v>
      </c>
      <c r="E3" s="108">
        <v>1</v>
      </c>
      <c r="F3" s="108">
        <v>1</v>
      </c>
      <c r="G3" s="108">
        <v>0</v>
      </c>
      <c r="H3" s="108">
        <v>0</v>
      </c>
      <c r="I3" s="108">
        <v>0</v>
      </c>
      <c r="J3" s="108">
        <v>1</v>
      </c>
      <c r="K3" s="108">
        <v>1</v>
      </c>
      <c r="L3" s="108">
        <v>0</v>
      </c>
      <c r="M3" s="108">
        <v>0</v>
      </c>
      <c r="N3" s="108">
        <v>1</v>
      </c>
      <c r="O3" s="108">
        <v>0</v>
      </c>
      <c r="P3" s="108">
        <v>0</v>
      </c>
      <c r="Q3" s="108">
        <v>1</v>
      </c>
      <c r="R3" s="108">
        <v>0</v>
      </c>
      <c r="S3" s="108">
        <v>0</v>
      </c>
      <c r="T3" s="108">
        <v>0</v>
      </c>
      <c r="U3" s="108">
        <v>1</v>
      </c>
      <c r="V3" s="108">
        <v>0</v>
      </c>
      <c r="W3" s="108">
        <v>0</v>
      </c>
      <c r="X3" s="108">
        <v>1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1</v>
      </c>
      <c r="AF3" s="108">
        <v>1</v>
      </c>
      <c r="AG3" s="108">
        <v>1</v>
      </c>
      <c r="AH3" s="108">
        <v>0</v>
      </c>
      <c r="AI3" s="108">
        <v>1</v>
      </c>
      <c r="AJ3" s="108">
        <v>1</v>
      </c>
      <c r="AK3" s="108">
        <v>0</v>
      </c>
      <c r="AL3" s="108">
        <v>1</v>
      </c>
      <c r="AM3" s="108">
        <v>1</v>
      </c>
      <c r="AN3" s="108">
        <v>1</v>
      </c>
      <c r="AO3" s="108">
        <v>1</v>
      </c>
      <c r="AP3" s="108">
        <v>0</v>
      </c>
      <c r="AQ3" s="108">
        <v>0</v>
      </c>
      <c r="AR3" s="108">
        <v>0</v>
      </c>
      <c r="AS3" s="108">
        <v>0</v>
      </c>
      <c r="AT3" s="108">
        <v>0</v>
      </c>
    </row>
    <row r="4" spans="1:46" customFormat="1" x14ac:dyDescent="0.15">
      <c r="A4" s="187" t="s">
        <v>194</v>
      </c>
      <c r="B4" s="108">
        <v>0</v>
      </c>
      <c r="C4" s="108">
        <v>0</v>
      </c>
      <c r="D4" s="108">
        <v>1</v>
      </c>
      <c r="E4" s="108">
        <v>1</v>
      </c>
      <c r="F4" s="108">
        <v>1</v>
      </c>
      <c r="G4" s="108">
        <v>0</v>
      </c>
      <c r="H4" s="108">
        <v>0</v>
      </c>
      <c r="I4" s="108">
        <v>0</v>
      </c>
      <c r="J4" s="108">
        <v>1</v>
      </c>
      <c r="K4" s="108">
        <v>1</v>
      </c>
      <c r="L4" s="108">
        <v>0</v>
      </c>
      <c r="M4" s="108">
        <v>1</v>
      </c>
      <c r="N4" s="108">
        <v>1</v>
      </c>
      <c r="O4" s="108">
        <v>0</v>
      </c>
      <c r="P4" s="108">
        <v>0</v>
      </c>
      <c r="Q4" s="108">
        <v>1</v>
      </c>
      <c r="R4" s="108">
        <v>0</v>
      </c>
      <c r="S4" s="108">
        <v>0</v>
      </c>
      <c r="T4" s="108">
        <v>1</v>
      </c>
      <c r="U4" s="108">
        <v>1</v>
      </c>
      <c r="V4" s="108">
        <v>1</v>
      </c>
      <c r="W4" s="108">
        <v>0</v>
      </c>
      <c r="X4" s="108">
        <v>1</v>
      </c>
      <c r="Y4" s="108">
        <v>0</v>
      </c>
      <c r="Z4" s="108">
        <v>0</v>
      </c>
      <c r="AA4" s="108">
        <v>0</v>
      </c>
      <c r="AB4" s="108">
        <v>1</v>
      </c>
      <c r="AC4" s="108">
        <v>1</v>
      </c>
      <c r="AD4" s="108">
        <v>1</v>
      </c>
      <c r="AE4" s="108">
        <v>1</v>
      </c>
      <c r="AF4" s="108">
        <v>1</v>
      </c>
      <c r="AG4" s="108">
        <v>1</v>
      </c>
      <c r="AH4" s="108">
        <v>0</v>
      </c>
      <c r="AI4" s="108">
        <v>1</v>
      </c>
      <c r="AJ4" s="108">
        <v>1</v>
      </c>
      <c r="AK4" s="108">
        <v>0</v>
      </c>
      <c r="AL4" s="108">
        <v>1</v>
      </c>
      <c r="AM4" s="108">
        <v>1</v>
      </c>
      <c r="AN4" s="108">
        <v>1</v>
      </c>
      <c r="AO4" s="108">
        <v>1</v>
      </c>
      <c r="AP4" s="108">
        <v>1</v>
      </c>
      <c r="AQ4" s="108">
        <v>0</v>
      </c>
      <c r="AR4" s="108">
        <v>0</v>
      </c>
      <c r="AS4" s="108">
        <v>0</v>
      </c>
      <c r="AT4" s="108">
        <v>0</v>
      </c>
    </row>
    <row r="5" spans="1:46" customFormat="1" x14ac:dyDescent="0.15">
      <c r="A5" s="187" t="s">
        <v>195</v>
      </c>
      <c r="B5" s="108">
        <v>0</v>
      </c>
      <c r="C5" s="108">
        <v>0</v>
      </c>
      <c r="D5" s="108">
        <v>1</v>
      </c>
      <c r="E5" s="108">
        <v>1</v>
      </c>
      <c r="F5" s="108">
        <v>1</v>
      </c>
      <c r="G5" s="108">
        <v>0</v>
      </c>
      <c r="H5" s="108">
        <v>0</v>
      </c>
      <c r="I5" s="108">
        <v>0</v>
      </c>
      <c r="J5" s="108">
        <v>1</v>
      </c>
      <c r="K5" s="108">
        <v>1</v>
      </c>
      <c r="L5" s="108">
        <v>1</v>
      </c>
      <c r="M5" s="108">
        <v>1</v>
      </c>
      <c r="N5" s="108">
        <v>1</v>
      </c>
      <c r="O5" s="108">
        <v>0</v>
      </c>
      <c r="P5" s="108">
        <v>0</v>
      </c>
      <c r="Q5" s="108">
        <v>1</v>
      </c>
      <c r="R5" s="108">
        <v>0</v>
      </c>
      <c r="S5" s="108">
        <v>1</v>
      </c>
      <c r="T5" s="108">
        <v>1</v>
      </c>
      <c r="U5" s="108">
        <v>1</v>
      </c>
      <c r="V5" s="108">
        <v>1</v>
      </c>
      <c r="W5" s="108">
        <v>1</v>
      </c>
      <c r="X5" s="108">
        <v>1</v>
      </c>
      <c r="Y5" s="108">
        <v>0</v>
      </c>
      <c r="Z5" s="108">
        <v>0</v>
      </c>
      <c r="AA5" s="108">
        <v>0</v>
      </c>
      <c r="AB5" s="108">
        <v>1</v>
      </c>
      <c r="AC5" s="108">
        <v>1</v>
      </c>
      <c r="AD5" s="108">
        <v>1</v>
      </c>
      <c r="AE5" s="108">
        <v>1</v>
      </c>
      <c r="AF5" s="108">
        <v>1</v>
      </c>
      <c r="AG5" s="108">
        <v>1</v>
      </c>
      <c r="AH5" s="108">
        <v>1</v>
      </c>
      <c r="AI5" s="108">
        <v>1</v>
      </c>
      <c r="AJ5" s="108">
        <v>1</v>
      </c>
      <c r="AK5" s="108">
        <v>0</v>
      </c>
      <c r="AL5" s="108">
        <v>1</v>
      </c>
      <c r="AM5" s="108">
        <v>1</v>
      </c>
      <c r="AN5" s="108">
        <v>1</v>
      </c>
      <c r="AO5" s="108">
        <v>1</v>
      </c>
      <c r="AP5" s="108">
        <v>1</v>
      </c>
      <c r="AQ5" s="108">
        <v>1</v>
      </c>
      <c r="AR5" s="108">
        <v>0</v>
      </c>
      <c r="AS5" s="108">
        <v>0</v>
      </c>
      <c r="AT5" s="108">
        <v>0</v>
      </c>
    </row>
    <row r="6" spans="1:46" customFormat="1" x14ac:dyDescent="0.15">
      <c r="A6" s="187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1</v>
      </c>
      <c r="K6" s="108">
        <v>1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1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1</v>
      </c>
      <c r="X6" s="108">
        <v>1</v>
      </c>
      <c r="Y6" s="108">
        <v>0</v>
      </c>
      <c r="Z6" s="108">
        <v>0</v>
      </c>
      <c r="AA6" s="108">
        <v>0</v>
      </c>
      <c r="AB6" s="108">
        <v>0</v>
      </c>
      <c r="AC6" s="108">
        <v>1</v>
      </c>
      <c r="AD6" s="108">
        <v>0</v>
      </c>
      <c r="AE6" s="108">
        <v>1</v>
      </c>
      <c r="AF6" s="108">
        <v>1</v>
      </c>
      <c r="AG6" s="108">
        <v>1</v>
      </c>
      <c r="AH6" s="108">
        <v>0</v>
      </c>
      <c r="AI6" s="108">
        <v>1</v>
      </c>
      <c r="AJ6" s="108">
        <v>1</v>
      </c>
      <c r="AK6" s="108">
        <v>0</v>
      </c>
      <c r="AL6" s="108">
        <v>1</v>
      </c>
      <c r="AM6" s="108">
        <v>1</v>
      </c>
      <c r="AN6" s="108">
        <v>1</v>
      </c>
      <c r="AO6" s="108">
        <v>1</v>
      </c>
      <c r="AP6" s="108">
        <v>0</v>
      </c>
      <c r="AQ6" s="108">
        <v>0</v>
      </c>
      <c r="AR6" s="108">
        <v>0</v>
      </c>
      <c r="AS6" s="108">
        <v>0</v>
      </c>
      <c r="AT6" s="108">
        <v>0</v>
      </c>
    </row>
    <row r="7" spans="1:46" customFormat="1" x14ac:dyDescent="0.15">
      <c r="A7" s="187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1</v>
      </c>
      <c r="I7" s="108">
        <v>1</v>
      </c>
      <c r="J7" s="108">
        <v>0</v>
      </c>
      <c r="K7" s="108">
        <v>0</v>
      </c>
      <c r="L7" s="108">
        <v>1</v>
      </c>
      <c r="M7" s="108">
        <v>0</v>
      </c>
      <c r="N7" s="108">
        <v>0</v>
      </c>
      <c r="O7" s="108">
        <v>1</v>
      </c>
      <c r="P7" s="108">
        <v>1</v>
      </c>
      <c r="Q7" s="108">
        <v>0</v>
      </c>
      <c r="R7" s="108">
        <v>1</v>
      </c>
      <c r="S7" s="108">
        <v>0</v>
      </c>
      <c r="T7" s="108">
        <v>1</v>
      </c>
      <c r="U7" s="108">
        <v>0</v>
      </c>
      <c r="V7" s="108">
        <v>1</v>
      </c>
      <c r="W7" s="108">
        <v>1</v>
      </c>
      <c r="X7" s="108">
        <v>0</v>
      </c>
      <c r="Y7" s="108">
        <v>1</v>
      </c>
      <c r="Z7" s="108">
        <v>1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1</v>
      </c>
      <c r="AO7" s="108">
        <v>1</v>
      </c>
      <c r="AP7" s="108">
        <v>0</v>
      </c>
      <c r="AQ7" s="108">
        <v>0</v>
      </c>
      <c r="AR7" s="108">
        <v>1</v>
      </c>
      <c r="AS7" s="108">
        <v>0</v>
      </c>
      <c r="AT7" s="108">
        <v>0</v>
      </c>
    </row>
    <row r="8" spans="1:46" customFormat="1" x14ac:dyDescent="0.15">
      <c r="A8" s="187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1</v>
      </c>
      <c r="I8" s="108">
        <v>1</v>
      </c>
      <c r="J8" s="108">
        <v>0</v>
      </c>
      <c r="K8" s="108">
        <v>0</v>
      </c>
      <c r="L8" s="108">
        <v>1</v>
      </c>
      <c r="M8" s="108">
        <v>0</v>
      </c>
      <c r="N8" s="108">
        <v>0</v>
      </c>
      <c r="O8" s="108">
        <v>1</v>
      </c>
      <c r="P8" s="108">
        <v>1</v>
      </c>
      <c r="Q8" s="108">
        <v>0</v>
      </c>
      <c r="R8" s="108">
        <v>1</v>
      </c>
      <c r="S8" s="108">
        <v>0</v>
      </c>
      <c r="T8" s="108">
        <v>1</v>
      </c>
      <c r="U8" s="108">
        <v>0</v>
      </c>
      <c r="V8" s="108">
        <v>1</v>
      </c>
      <c r="W8" s="108">
        <v>1</v>
      </c>
      <c r="X8" s="108">
        <v>0</v>
      </c>
      <c r="Y8" s="108">
        <v>1</v>
      </c>
      <c r="Z8" s="108">
        <v>1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1</v>
      </c>
      <c r="AL8" s="108">
        <v>0</v>
      </c>
      <c r="AM8" s="108">
        <v>0</v>
      </c>
      <c r="AN8" s="108">
        <v>1</v>
      </c>
      <c r="AO8" s="108">
        <v>1</v>
      </c>
      <c r="AP8" s="108">
        <v>0</v>
      </c>
      <c r="AQ8" s="108">
        <v>0</v>
      </c>
      <c r="AR8" s="108">
        <v>1</v>
      </c>
      <c r="AS8" s="108">
        <v>0</v>
      </c>
      <c r="AT8" s="108">
        <v>0</v>
      </c>
    </row>
    <row r="9" spans="1:46" customFormat="1" x14ac:dyDescent="0.15">
      <c r="A9" s="187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1</v>
      </c>
      <c r="J9" s="108">
        <v>0</v>
      </c>
      <c r="K9" s="108">
        <v>0</v>
      </c>
      <c r="L9" s="108">
        <v>1</v>
      </c>
      <c r="M9" s="108">
        <v>1</v>
      </c>
      <c r="N9" s="108">
        <v>0</v>
      </c>
      <c r="O9" s="108">
        <v>1</v>
      </c>
      <c r="P9" s="108">
        <v>1</v>
      </c>
      <c r="Q9" s="108">
        <v>1</v>
      </c>
      <c r="R9" s="108">
        <v>1</v>
      </c>
      <c r="S9" s="108">
        <v>1</v>
      </c>
      <c r="T9" s="108">
        <v>1</v>
      </c>
      <c r="U9" s="108">
        <v>1</v>
      </c>
      <c r="V9" s="108">
        <v>1</v>
      </c>
      <c r="W9" s="108">
        <v>1</v>
      </c>
      <c r="X9" s="108">
        <v>0</v>
      </c>
      <c r="Y9" s="108">
        <v>1</v>
      </c>
      <c r="Z9" s="108">
        <v>1</v>
      </c>
      <c r="AA9" s="108">
        <v>0</v>
      </c>
      <c r="AB9" s="108">
        <v>1</v>
      </c>
      <c r="AC9" s="108">
        <v>0</v>
      </c>
      <c r="AD9" s="108">
        <v>0</v>
      </c>
      <c r="AE9" s="108">
        <v>1</v>
      </c>
      <c r="AF9" s="108">
        <v>1</v>
      </c>
      <c r="AG9" s="108">
        <v>1</v>
      </c>
      <c r="AH9" s="108">
        <v>1</v>
      </c>
      <c r="AI9" s="108">
        <v>1</v>
      </c>
      <c r="AJ9" s="108">
        <v>1</v>
      </c>
      <c r="AK9" s="108">
        <v>1</v>
      </c>
      <c r="AL9" s="108">
        <v>0</v>
      </c>
      <c r="AM9" s="108">
        <v>0</v>
      </c>
      <c r="AN9" s="108">
        <v>1</v>
      </c>
      <c r="AO9" s="108">
        <v>1</v>
      </c>
      <c r="AP9" s="108">
        <v>0</v>
      </c>
      <c r="AQ9" s="108">
        <v>0</v>
      </c>
      <c r="AR9" s="108">
        <v>1</v>
      </c>
      <c r="AS9" s="108">
        <v>0</v>
      </c>
      <c r="AT9" s="108">
        <v>0</v>
      </c>
    </row>
    <row r="10" spans="1:46" customFormat="1" x14ac:dyDescent="0.15">
      <c r="A10" s="187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1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1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1</v>
      </c>
      <c r="AI10" s="108">
        <v>1</v>
      </c>
      <c r="AJ10" s="108">
        <v>1</v>
      </c>
      <c r="AK10" s="108">
        <v>1</v>
      </c>
      <c r="AL10" s="108">
        <v>0</v>
      </c>
      <c r="AM10" s="108">
        <v>0</v>
      </c>
      <c r="AN10" s="108">
        <v>1</v>
      </c>
      <c r="AO10" s="108">
        <v>1</v>
      </c>
      <c r="AP10" s="108">
        <v>1</v>
      </c>
      <c r="AQ10" s="108">
        <v>0</v>
      </c>
      <c r="AR10" s="108">
        <v>0</v>
      </c>
      <c r="AS10" s="108">
        <v>0</v>
      </c>
      <c r="AT10" s="108">
        <v>0</v>
      </c>
    </row>
    <row r="11" spans="1:46" customFormat="1" x14ac:dyDescent="0.15">
      <c r="A11" s="187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1</v>
      </c>
      <c r="N11" s="108">
        <v>0</v>
      </c>
      <c r="O11" s="108">
        <v>0</v>
      </c>
      <c r="P11" s="108">
        <v>0</v>
      </c>
      <c r="Q11" s="108">
        <v>1</v>
      </c>
      <c r="R11" s="108">
        <v>0</v>
      </c>
      <c r="S11" s="108">
        <v>1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1</v>
      </c>
      <c r="AI11" s="108">
        <v>1</v>
      </c>
      <c r="AJ11" s="108">
        <v>1</v>
      </c>
      <c r="AK11" s="108">
        <v>1</v>
      </c>
      <c r="AL11" s="108">
        <v>0</v>
      </c>
      <c r="AM11" s="108">
        <v>0</v>
      </c>
      <c r="AN11" s="108">
        <v>1</v>
      </c>
      <c r="AO11" s="108">
        <v>1</v>
      </c>
      <c r="AP11" s="108">
        <v>1</v>
      </c>
      <c r="AQ11" s="108">
        <v>0</v>
      </c>
      <c r="AR11" s="108">
        <v>0</v>
      </c>
      <c r="AS11" s="108">
        <v>0</v>
      </c>
      <c r="AT11" s="108">
        <v>0</v>
      </c>
    </row>
    <row r="12" spans="1:46" customFormat="1" x14ac:dyDescent="0.15">
      <c r="A12" s="187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1</v>
      </c>
      <c r="M12" s="108">
        <v>1</v>
      </c>
      <c r="N12" s="108">
        <v>0</v>
      </c>
      <c r="O12" s="108">
        <v>0</v>
      </c>
      <c r="P12" s="108">
        <v>1</v>
      </c>
      <c r="Q12" s="108">
        <v>0</v>
      </c>
      <c r="R12" s="108">
        <v>0</v>
      </c>
      <c r="S12" s="108">
        <v>1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1</v>
      </c>
      <c r="AI12" s="108">
        <v>1</v>
      </c>
      <c r="AJ12" s="108">
        <v>1</v>
      </c>
      <c r="AK12" s="108">
        <v>1</v>
      </c>
      <c r="AL12" s="108">
        <v>0</v>
      </c>
      <c r="AM12" s="108">
        <v>0</v>
      </c>
      <c r="AN12" s="108">
        <v>1</v>
      </c>
      <c r="AO12" s="108">
        <v>1</v>
      </c>
      <c r="AP12" s="108">
        <v>0</v>
      </c>
      <c r="AQ12" s="108">
        <v>0</v>
      </c>
      <c r="AR12" s="108">
        <v>0</v>
      </c>
      <c r="AS12" s="108">
        <v>0</v>
      </c>
      <c r="AT12" s="108">
        <v>0</v>
      </c>
    </row>
    <row r="13" spans="1:46" customFormat="1" x14ac:dyDescent="0.15">
      <c r="A13" s="187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1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1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1</v>
      </c>
      <c r="AK13" s="108">
        <v>1</v>
      </c>
      <c r="AL13" s="108">
        <v>0</v>
      </c>
      <c r="AM13" s="108">
        <v>0</v>
      </c>
      <c r="AN13" s="108">
        <v>1</v>
      </c>
      <c r="AO13" s="108">
        <v>1</v>
      </c>
      <c r="AP13" s="108">
        <v>0</v>
      </c>
      <c r="AQ13" s="108">
        <v>0</v>
      </c>
      <c r="AR13" s="108">
        <v>0</v>
      </c>
      <c r="AS13" s="108">
        <v>0</v>
      </c>
      <c r="AT13" s="108">
        <v>0</v>
      </c>
    </row>
    <row r="14" spans="1:46" customFormat="1" x14ac:dyDescent="0.15">
      <c r="A14" s="187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1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1</v>
      </c>
      <c r="U14" s="108">
        <v>0</v>
      </c>
      <c r="V14" s="108">
        <v>1</v>
      </c>
      <c r="W14" s="108">
        <v>0</v>
      </c>
      <c r="X14" s="108">
        <v>0</v>
      </c>
      <c r="Y14" s="108">
        <v>0</v>
      </c>
      <c r="Z14" s="108">
        <v>0</v>
      </c>
      <c r="AA14" s="108">
        <v>1</v>
      </c>
      <c r="AB14" s="108">
        <v>1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1</v>
      </c>
      <c r="AI14" s="108">
        <v>1</v>
      </c>
      <c r="AJ14" s="108">
        <v>1</v>
      </c>
      <c r="AK14" s="108">
        <v>1</v>
      </c>
      <c r="AL14" s="108">
        <v>0</v>
      </c>
      <c r="AM14" s="108">
        <v>0</v>
      </c>
      <c r="AN14" s="108">
        <v>1</v>
      </c>
      <c r="AO14" s="108">
        <v>1</v>
      </c>
      <c r="AP14" s="108">
        <v>1</v>
      </c>
      <c r="AQ14" s="108">
        <v>1</v>
      </c>
      <c r="AR14" s="108">
        <v>0</v>
      </c>
      <c r="AS14" s="108">
        <v>0</v>
      </c>
      <c r="AT14" s="108">
        <v>0</v>
      </c>
    </row>
    <row r="15" spans="1:46" customFormat="1" x14ac:dyDescent="0.15">
      <c r="A15" s="187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1</v>
      </c>
      <c r="Q15" s="108">
        <v>0</v>
      </c>
      <c r="R15" s="108">
        <v>0</v>
      </c>
      <c r="S15" s="108">
        <v>1</v>
      </c>
      <c r="T15" s="108">
        <v>0</v>
      </c>
      <c r="U15" s="108">
        <v>0</v>
      </c>
      <c r="V15" s="108">
        <v>1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1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1</v>
      </c>
      <c r="AO15" s="108">
        <v>1</v>
      </c>
      <c r="AP15" s="108">
        <v>0</v>
      </c>
      <c r="AQ15" s="108">
        <v>1</v>
      </c>
      <c r="AR15" s="108">
        <v>1</v>
      </c>
      <c r="AS15" s="108">
        <v>0</v>
      </c>
      <c r="AT15" s="108">
        <v>0</v>
      </c>
    </row>
    <row r="16" spans="1:46" customFormat="1" x14ac:dyDescent="0.15">
      <c r="A16" s="187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1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1</v>
      </c>
      <c r="AO16" s="108">
        <v>1</v>
      </c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</row>
    <row r="17" spans="1:46" customFormat="1" x14ac:dyDescent="0.15">
      <c r="A17" s="187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1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1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1</v>
      </c>
      <c r="AO17" s="108">
        <v>0</v>
      </c>
      <c r="AP17" s="108">
        <v>1</v>
      </c>
      <c r="AQ17" s="108">
        <v>0</v>
      </c>
      <c r="AR17" s="108">
        <v>0</v>
      </c>
      <c r="AS17" s="108">
        <v>0</v>
      </c>
      <c r="AT17" s="108">
        <v>0</v>
      </c>
    </row>
    <row r="18" spans="1:46" customFormat="1" x14ac:dyDescent="0.15">
      <c r="A18" s="187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1</v>
      </c>
      <c r="T18" s="108">
        <v>1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1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1</v>
      </c>
      <c r="AL18" s="108">
        <v>0</v>
      </c>
      <c r="AM18" s="108">
        <v>0</v>
      </c>
      <c r="AN18" s="108">
        <v>1</v>
      </c>
      <c r="AO18" s="108">
        <v>1</v>
      </c>
      <c r="AP18" s="108">
        <v>0</v>
      </c>
      <c r="AQ18" s="108">
        <v>0</v>
      </c>
      <c r="AR18" s="108">
        <v>0</v>
      </c>
      <c r="AS18" s="108">
        <v>0</v>
      </c>
      <c r="AT18" s="108">
        <v>0</v>
      </c>
    </row>
    <row r="19" spans="1:46" customFormat="1" x14ac:dyDescent="0.15">
      <c r="A19" s="187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1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1</v>
      </c>
      <c r="AL19" s="108">
        <v>0</v>
      </c>
      <c r="AM19" s="108">
        <v>0</v>
      </c>
      <c r="AN19" s="108">
        <v>1</v>
      </c>
      <c r="AO19" s="108">
        <v>1</v>
      </c>
      <c r="AP19" s="108">
        <v>0</v>
      </c>
      <c r="AQ19" s="108">
        <v>0</v>
      </c>
      <c r="AR19" s="108">
        <v>0</v>
      </c>
      <c r="AS19" s="108">
        <v>0</v>
      </c>
      <c r="AT19" s="108">
        <v>0</v>
      </c>
    </row>
    <row r="20" spans="1:46" customFormat="1" x14ac:dyDescent="0.15">
      <c r="A20" s="187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1</v>
      </c>
      <c r="R20" s="108">
        <v>0</v>
      </c>
      <c r="S20" s="108">
        <v>0</v>
      </c>
      <c r="T20" s="108">
        <v>0</v>
      </c>
      <c r="U20" s="108">
        <v>0</v>
      </c>
      <c r="V20" s="108">
        <v>1</v>
      </c>
      <c r="W20" s="108">
        <v>1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1</v>
      </c>
      <c r="AG20" s="108">
        <v>0</v>
      </c>
      <c r="AH20" s="108">
        <v>0</v>
      </c>
      <c r="AI20" s="108">
        <v>0</v>
      </c>
      <c r="AJ20" s="108">
        <v>0</v>
      </c>
      <c r="AK20" s="108">
        <v>1</v>
      </c>
      <c r="AL20" s="108">
        <v>0</v>
      </c>
      <c r="AM20" s="108">
        <v>1</v>
      </c>
      <c r="AN20" s="108">
        <v>1</v>
      </c>
      <c r="AO20" s="108">
        <v>1</v>
      </c>
      <c r="AP20" s="108">
        <v>0</v>
      </c>
      <c r="AQ20" s="108">
        <v>0</v>
      </c>
      <c r="AR20" s="108">
        <v>0</v>
      </c>
      <c r="AS20" s="108">
        <v>0</v>
      </c>
      <c r="AT20" s="108">
        <v>0</v>
      </c>
    </row>
    <row r="21" spans="1:46" customFormat="1" x14ac:dyDescent="0.15">
      <c r="A21" s="187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1</v>
      </c>
      <c r="M21" s="108">
        <v>1</v>
      </c>
      <c r="N21" s="108">
        <v>0</v>
      </c>
      <c r="O21" s="108">
        <v>0</v>
      </c>
      <c r="P21" s="108">
        <v>0</v>
      </c>
      <c r="Q21" s="108">
        <v>1</v>
      </c>
      <c r="R21" s="108">
        <v>0</v>
      </c>
      <c r="S21" s="108">
        <v>1</v>
      </c>
      <c r="T21" s="108">
        <v>0</v>
      </c>
      <c r="U21" s="108">
        <v>0</v>
      </c>
      <c r="V21" s="108">
        <v>1</v>
      </c>
      <c r="W21" s="108">
        <v>1</v>
      </c>
      <c r="X21" s="108">
        <v>0</v>
      </c>
      <c r="Y21" s="108">
        <v>0</v>
      </c>
      <c r="Z21" s="108">
        <v>0</v>
      </c>
      <c r="AA21" s="108">
        <v>0</v>
      </c>
      <c r="AB21" s="108">
        <v>1</v>
      </c>
      <c r="AC21" s="108">
        <v>0</v>
      </c>
      <c r="AD21" s="108">
        <v>0</v>
      </c>
      <c r="AE21" s="108">
        <v>0</v>
      </c>
      <c r="AF21" s="108">
        <v>1</v>
      </c>
      <c r="AG21" s="108">
        <v>0</v>
      </c>
      <c r="AH21" s="108">
        <v>1</v>
      </c>
      <c r="AI21" s="108">
        <v>1</v>
      </c>
      <c r="AJ21" s="108">
        <v>1</v>
      </c>
      <c r="AK21" s="108">
        <v>0</v>
      </c>
      <c r="AL21" s="108">
        <v>0</v>
      </c>
      <c r="AM21" s="108">
        <v>0</v>
      </c>
      <c r="AN21" s="108">
        <v>1</v>
      </c>
      <c r="AO21" s="108">
        <v>1</v>
      </c>
      <c r="AP21" s="108">
        <v>1</v>
      </c>
      <c r="AQ21" s="108">
        <v>1</v>
      </c>
      <c r="AR21" s="108">
        <v>0</v>
      </c>
      <c r="AS21" s="108">
        <v>0</v>
      </c>
      <c r="AT21" s="108">
        <v>0</v>
      </c>
    </row>
    <row r="22" spans="1:46" customFormat="1" x14ac:dyDescent="0.15">
      <c r="A22" s="187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1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1</v>
      </c>
      <c r="U22" s="108">
        <v>0</v>
      </c>
      <c r="V22" s="108">
        <v>0</v>
      </c>
      <c r="W22" s="108">
        <v>0</v>
      </c>
      <c r="X22" s="108">
        <v>1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1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  <c r="AP22" s="108">
        <v>0</v>
      </c>
      <c r="AQ22" s="108">
        <v>0</v>
      </c>
      <c r="AR22" s="108">
        <v>0</v>
      </c>
      <c r="AS22" s="108">
        <v>0</v>
      </c>
      <c r="AT22" s="108">
        <v>0</v>
      </c>
    </row>
    <row r="23" spans="1:46" customFormat="1" x14ac:dyDescent="0.15">
      <c r="A23" s="187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0</v>
      </c>
      <c r="P23" s="108">
        <v>0</v>
      </c>
      <c r="Q23" s="108">
        <v>1</v>
      </c>
      <c r="R23" s="108">
        <v>0</v>
      </c>
      <c r="S23" s="108">
        <v>1</v>
      </c>
      <c r="T23" s="108">
        <v>0</v>
      </c>
      <c r="U23" s="108">
        <v>0</v>
      </c>
      <c r="V23" s="108">
        <v>0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1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1</v>
      </c>
      <c r="AO23" s="108">
        <v>1</v>
      </c>
      <c r="AP23" s="108">
        <v>0</v>
      </c>
      <c r="AQ23" s="108">
        <v>0</v>
      </c>
      <c r="AR23" s="108">
        <v>0</v>
      </c>
      <c r="AS23" s="108">
        <v>0</v>
      </c>
      <c r="AT23" s="108">
        <v>0</v>
      </c>
    </row>
    <row r="24" spans="1:46" customFormat="1" x14ac:dyDescent="0.15">
      <c r="A24" s="187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1</v>
      </c>
      <c r="M24" s="108">
        <v>0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1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1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1</v>
      </c>
      <c r="AI24" s="108">
        <v>0</v>
      </c>
      <c r="AJ24" s="108">
        <v>0</v>
      </c>
      <c r="AK24" s="108">
        <v>1</v>
      </c>
      <c r="AL24" s="108">
        <v>0</v>
      </c>
      <c r="AM24" s="108">
        <v>0</v>
      </c>
      <c r="AN24" s="108">
        <v>1</v>
      </c>
      <c r="AO24" s="108">
        <v>0</v>
      </c>
      <c r="AP24" s="108">
        <v>1</v>
      </c>
      <c r="AQ24" s="108">
        <v>0</v>
      </c>
      <c r="AR24" s="108">
        <v>0</v>
      </c>
      <c r="AS24" s="108">
        <v>0</v>
      </c>
      <c r="AT24" s="108">
        <v>0</v>
      </c>
    </row>
    <row r="25" spans="1:46" customFormat="1" x14ac:dyDescent="0.15">
      <c r="A25" s="187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1</v>
      </c>
      <c r="AL25" s="108">
        <v>0</v>
      </c>
      <c r="AM25" s="108">
        <v>0</v>
      </c>
      <c r="AN25" s="108">
        <v>0</v>
      </c>
      <c r="AO25" s="108">
        <v>0</v>
      </c>
      <c r="AP25" s="108">
        <v>0</v>
      </c>
      <c r="AQ25" s="108">
        <v>0</v>
      </c>
      <c r="AR25" s="108">
        <v>0</v>
      </c>
      <c r="AS25" s="108">
        <v>0</v>
      </c>
      <c r="AT25" s="108">
        <v>0</v>
      </c>
    </row>
    <row r="26" spans="1:46" customFormat="1" x14ac:dyDescent="0.15">
      <c r="A26" s="187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1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  <c r="AP26" s="108">
        <v>0</v>
      </c>
      <c r="AQ26" s="108">
        <v>0</v>
      </c>
      <c r="AR26" s="108">
        <v>0</v>
      </c>
      <c r="AS26" s="108">
        <v>0</v>
      </c>
      <c r="AT26" s="108">
        <v>0</v>
      </c>
    </row>
    <row r="27" spans="1:46" customFormat="1" x14ac:dyDescent="0.15">
      <c r="A27" s="187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1</v>
      </c>
      <c r="AI27" s="108">
        <v>0</v>
      </c>
      <c r="AJ27" s="108">
        <v>0</v>
      </c>
      <c r="AK27" s="108">
        <v>1</v>
      </c>
      <c r="AL27" s="108">
        <v>0</v>
      </c>
      <c r="AM27" s="108">
        <v>0</v>
      </c>
      <c r="AN27" s="108">
        <v>0</v>
      </c>
      <c r="AO27" s="108">
        <v>0</v>
      </c>
      <c r="AP27" s="108">
        <v>0</v>
      </c>
      <c r="AQ27" s="108">
        <v>0</v>
      </c>
      <c r="AR27" s="108">
        <v>0</v>
      </c>
      <c r="AS27" s="108">
        <v>0</v>
      </c>
      <c r="AT27" s="108">
        <v>0</v>
      </c>
    </row>
    <row r="28" spans="1:46" customFormat="1" x14ac:dyDescent="0.15">
      <c r="A28" s="187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1</v>
      </c>
      <c r="AI28" s="108">
        <v>0</v>
      </c>
      <c r="AJ28" s="108">
        <v>0</v>
      </c>
      <c r="AK28" s="108">
        <v>1</v>
      </c>
      <c r="AL28" s="108">
        <v>0</v>
      </c>
      <c r="AM28" s="108">
        <v>0</v>
      </c>
      <c r="AN28" s="108">
        <v>1</v>
      </c>
      <c r="AO28" s="108">
        <v>1</v>
      </c>
      <c r="AP28" s="108">
        <v>0</v>
      </c>
      <c r="AQ28" s="108">
        <v>0</v>
      </c>
      <c r="AR28" s="108">
        <v>0</v>
      </c>
      <c r="AS28" s="108">
        <v>0</v>
      </c>
      <c r="AT28" s="108">
        <v>0</v>
      </c>
    </row>
    <row r="29" spans="1:46" customFormat="1" x14ac:dyDescent="0.15">
      <c r="A29" s="187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1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1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1</v>
      </c>
      <c r="AI29" s="108">
        <v>0</v>
      </c>
      <c r="AJ29" s="108">
        <v>0</v>
      </c>
      <c r="AK29" s="108">
        <v>0</v>
      </c>
      <c r="AL29" s="108">
        <v>0</v>
      </c>
      <c r="AM29" s="108">
        <v>1</v>
      </c>
      <c r="AN29" s="108">
        <v>1</v>
      </c>
      <c r="AO29" s="108">
        <v>1</v>
      </c>
      <c r="AP29" s="108">
        <v>0</v>
      </c>
      <c r="AQ29" s="108">
        <v>0</v>
      </c>
      <c r="AR29" s="108">
        <v>0</v>
      </c>
      <c r="AS29" s="108">
        <v>0</v>
      </c>
      <c r="AT29" s="108">
        <v>0</v>
      </c>
    </row>
    <row r="30" spans="1:46" customFormat="1" x14ac:dyDescent="0.15">
      <c r="A30" s="187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1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1</v>
      </c>
      <c r="AO30" s="108">
        <v>1</v>
      </c>
      <c r="AP30" s="108">
        <v>0</v>
      </c>
      <c r="AQ30" s="108">
        <v>0</v>
      </c>
      <c r="AR30" s="108">
        <v>0</v>
      </c>
      <c r="AS30" s="108">
        <v>0</v>
      </c>
      <c r="AT30" s="108">
        <v>0</v>
      </c>
    </row>
    <row r="31" spans="1:46" customFormat="1" x14ac:dyDescent="0.15">
      <c r="A31" s="187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1</v>
      </c>
      <c r="T31" s="108">
        <v>0</v>
      </c>
      <c r="U31" s="108">
        <v>0</v>
      </c>
      <c r="V31" s="108">
        <v>1</v>
      </c>
      <c r="W31" s="108">
        <v>0</v>
      </c>
      <c r="X31" s="108">
        <v>1</v>
      </c>
      <c r="Y31" s="108">
        <v>0</v>
      </c>
      <c r="Z31" s="108">
        <v>0</v>
      </c>
      <c r="AA31" s="108">
        <v>1</v>
      </c>
      <c r="AB31" s="108">
        <v>1</v>
      </c>
      <c r="AC31" s="108">
        <v>0</v>
      </c>
      <c r="AD31" s="108">
        <v>0</v>
      </c>
      <c r="AE31" s="108">
        <v>0</v>
      </c>
      <c r="AF31" s="108">
        <v>0</v>
      </c>
      <c r="AG31" s="108">
        <v>0</v>
      </c>
      <c r="AH31" s="108">
        <v>1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1</v>
      </c>
      <c r="AO31" s="108">
        <v>1</v>
      </c>
      <c r="AP31" s="108">
        <v>1</v>
      </c>
      <c r="AQ31" s="108">
        <v>0</v>
      </c>
      <c r="AR31" s="108">
        <v>0</v>
      </c>
      <c r="AS31" s="108">
        <v>0</v>
      </c>
      <c r="AT31" s="108">
        <v>0</v>
      </c>
    </row>
    <row r="32" spans="1:46" x14ac:dyDescent="0.15">
      <c r="A32" s="187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1</v>
      </c>
      <c r="W32" s="108">
        <v>1</v>
      </c>
      <c r="X32" s="108">
        <v>1</v>
      </c>
      <c r="Y32" s="108">
        <v>0</v>
      </c>
      <c r="Z32" s="108">
        <v>0</v>
      </c>
      <c r="AA32" s="108">
        <v>1</v>
      </c>
      <c r="AB32" s="108">
        <v>1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1</v>
      </c>
      <c r="AI32" s="108">
        <v>0</v>
      </c>
      <c r="AJ32" s="108">
        <v>0</v>
      </c>
      <c r="AK32" s="108">
        <v>1</v>
      </c>
      <c r="AL32" s="108">
        <v>0</v>
      </c>
      <c r="AM32" s="108">
        <v>0</v>
      </c>
      <c r="AN32" s="108">
        <v>1</v>
      </c>
      <c r="AO32" s="108">
        <v>1</v>
      </c>
      <c r="AP32" s="108">
        <v>0</v>
      </c>
      <c r="AQ32" s="108">
        <v>0</v>
      </c>
      <c r="AR32" s="108">
        <v>0</v>
      </c>
      <c r="AS32" s="108">
        <v>0</v>
      </c>
      <c r="AT32" s="108">
        <v>0</v>
      </c>
    </row>
    <row r="33" spans="1:46" x14ac:dyDescent="0.15">
      <c r="A33" s="187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1</v>
      </c>
      <c r="T33" s="108">
        <v>0</v>
      </c>
      <c r="U33" s="108">
        <v>0</v>
      </c>
      <c r="V33" s="108">
        <v>1</v>
      </c>
      <c r="W33" s="108">
        <v>1</v>
      </c>
      <c r="X33" s="108">
        <v>0</v>
      </c>
      <c r="Y33" s="108">
        <v>0</v>
      </c>
      <c r="Z33" s="108">
        <v>0</v>
      </c>
      <c r="AA33" s="108">
        <v>1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  <c r="AH33" s="108">
        <v>1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1</v>
      </c>
      <c r="AO33" s="108">
        <v>1</v>
      </c>
      <c r="AP33" s="108">
        <v>1</v>
      </c>
      <c r="AQ33" s="108">
        <v>0</v>
      </c>
      <c r="AR33" s="108">
        <v>0</v>
      </c>
      <c r="AS33" s="108">
        <v>0</v>
      </c>
      <c r="AT33" s="108">
        <v>0</v>
      </c>
    </row>
    <row r="34" spans="1:46" x14ac:dyDescent="0.15">
      <c r="A34" s="187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1</v>
      </c>
      <c r="W34" s="108">
        <v>0</v>
      </c>
      <c r="X34" s="108">
        <v>0</v>
      </c>
      <c r="Y34" s="108">
        <v>0</v>
      </c>
      <c r="Z34" s="108">
        <v>0</v>
      </c>
      <c r="AA34" s="108">
        <v>1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1</v>
      </c>
      <c r="AO34" s="108">
        <v>1</v>
      </c>
      <c r="AP34" s="108">
        <v>0</v>
      </c>
      <c r="AQ34" s="108">
        <v>0</v>
      </c>
      <c r="AR34" s="108">
        <v>0</v>
      </c>
      <c r="AS34" s="108">
        <v>0</v>
      </c>
      <c r="AT34" s="108">
        <v>0</v>
      </c>
    </row>
    <row r="35" spans="1:46" x14ac:dyDescent="0.15">
      <c r="A35" s="187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1</v>
      </c>
      <c r="Y35" s="108">
        <v>0</v>
      </c>
      <c r="Z35" s="108">
        <v>0</v>
      </c>
      <c r="AA35" s="108">
        <v>1</v>
      </c>
      <c r="AB35" s="108">
        <v>1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1</v>
      </c>
      <c r="AI35" s="108">
        <v>0</v>
      </c>
      <c r="AJ35" s="108">
        <v>0</v>
      </c>
      <c r="AK35" s="108">
        <v>0</v>
      </c>
      <c r="AL35" s="108">
        <v>0</v>
      </c>
      <c r="AM35" s="108">
        <v>1</v>
      </c>
      <c r="AN35" s="108">
        <v>1</v>
      </c>
      <c r="AO35" s="108">
        <v>1</v>
      </c>
      <c r="AP35" s="108">
        <v>0</v>
      </c>
      <c r="AQ35" s="108">
        <v>0</v>
      </c>
      <c r="AR35" s="108">
        <v>0</v>
      </c>
      <c r="AS35" s="108">
        <v>0</v>
      </c>
      <c r="AT35" s="108">
        <v>0</v>
      </c>
    </row>
    <row r="36" spans="1:46" x14ac:dyDescent="0.15">
      <c r="A36" s="187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0</v>
      </c>
      <c r="Y36" s="108">
        <v>0</v>
      </c>
      <c r="Z36" s="108">
        <v>0</v>
      </c>
      <c r="AA36" s="108">
        <v>1</v>
      </c>
      <c r="AB36" s="108">
        <v>1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1</v>
      </c>
      <c r="AI36" s="108">
        <v>0</v>
      </c>
      <c r="AJ36" s="108">
        <v>0</v>
      </c>
      <c r="AK36" s="108">
        <v>0</v>
      </c>
      <c r="AL36" s="108">
        <v>0</v>
      </c>
      <c r="AM36" s="108">
        <v>0</v>
      </c>
      <c r="AN36" s="108">
        <v>1</v>
      </c>
      <c r="AO36" s="108">
        <v>1</v>
      </c>
      <c r="AP36" s="108">
        <v>0</v>
      </c>
      <c r="AQ36" s="108">
        <v>0</v>
      </c>
      <c r="AR36" s="108">
        <v>0</v>
      </c>
      <c r="AS36" s="108">
        <v>0</v>
      </c>
      <c r="AT36" s="108">
        <v>0</v>
      </c>
    </row>
    <row r="37" spans="1:46" x14ac:dyDescent="0.15">
      <c r="A37" s="187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1</v>
      </c>
      <c r="AL37" s="108">
        <v>0</v>
      </c>
      <c r="AM37" s="108">
        <v>0</v>
      </c>
      <c r="AN37" s="108">
        <v>1</v>
      </c>
      <c r="AO37" s="108">
        <v>1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</row>
    <row r="38" spans="1:46" x14ac:dyDescent="0.15">
      <c r="A38" s="187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0</v>
      </c>
      <c r="Y38" s="108">
        <v>0</v>
      </c>
      <c r="Z38" s="108">
        <v>0</v>
      </c>
      <c r="AA38" s="108">
        <v>0</v>
      </c>
      <c r="AB38" s="108">
        <v>0</v>
      </c>
      <c r="AC38" s="108">
        <v>0</v>
      </c>
      <c r="AD38" s="108">
        <v>0</v>
      </c>
      <c r="AE38" s="108">
        <v>0</v>
      </c>
      <c r="AF38" s="108">
        <v>0</v>
      </c>
      <c r="AG38" s="108">
        <v>0</v>
      </c>
      <c r="AH38" s="108">
        <v>0</v>
      </c>
      <c r="AI38" s="108">
        <v>0</v>
      </c>
      <c r="AJ38" s="108">
        <v>0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  <c r="AP38" s="108">
        <v>0</v>
      </c>
      <c r="AQ38" s="108">
        <v>0</v>
      </c>
      <c r="AR38" s="108">
        <v>0</v>
      </c>
      <c r="AS38" s="108">
        <v>0</v>
      </c>
      <c r="AT38" s="108">
        <v>0</v>
      </c>
    </row>
    <row r="39" spans="1:46" x14ac:dyDescent="0.15">
      <c r="A39" s="187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0</v>
      </c>
      <c r="Q39" s="108">
        <v>0</v>
      </c>
      <c r="R39" s="108">
        <v>0</v>
      </c>
      <c r="S39" s="108">
        <v>0</v>
      </c>
      <c r="T39" s="108">
        <v>0</v>
      </c>
      <c r="U39" s="108">
        <v>0</v>
      </c>
      <c r="V39" s="108">
        <v>0</v>
      </c>
      <c r="W39" s="108">
        <v>0</v>
      </c>
      <c r="X39" s="108">
        <v>0</v>
      </c>
      <c r="Y39" s="108">
        <v>0</v>
      </c>
      <c r="Z39" s="108">
        <v>0</v>
      </c>
      <c r="AA39" s="108">
        <v>0</v>
      </c>
      <c r="AB39" s="108">
        <v>0</v>
      </c>
      <c r="AC39" s="108">
        <v>0</v>
      </c>
      <c r="AD39" s="108">
        <v>0</v>
      </c>
      <c r="AE39" s="108">
        <v>0</v>
      </c>
      <c r="AF39" s="108">
        <v>0</v>
      </c>
      <c r="AG39" s="108">
        <v>0</v>
      </c>
      <c r="AH39" s="108">
        <v>0</v>
      </c>
      <c r="AI39" s="108">
        <v>0</v>
      </c>
      <c r="AJ39" s="108">
        <v>0</v>
      </c>
      <c r="AK39" s="108">
        <v>0</v>
      </c>
      <c r="AL39" s="108">
        <v>0</v>
      </c>
      <c r="AM39" s="108">
        <v>0</v>
      </c>
      <c r="AN39" s="108">
        <v>0</v>
      </c>
      <c r="AO39" s="108">
        <v>0</v>
      </c>
      <c r="AP39" s="108">
        <v>0</v>
      </c>
      <c r="AQ39" s="108">
        <v>0</v>
      </c>
      <c r="AR39" s="108">
        <v>0</v>
      </c>
      <c r="AS39" s="108">
        <v>0</v>
      </c>
      <c r="AT39" s="108">
        <v>0</v>
      </c>
    </row>
    <row r="40" spans="1:46" x14ac:dyDescent="0.15">
      <c r="A40" s="187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0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0</v>
      </c>
      <c r="AF40" s="108">
        <v>0</v>
      </c>
      <c r="AG40" s="108">
        <v>0</v>
      </c>
      <c r="AH40" s="108">
        <v>0</v>
      </c>
      <c r="AI40" s="108">
        <v>0</v>
      </c>
      <c r="AJ40" s="108">
        <v>0</v>
      </c>
      <c r="AK40" s="108">
        <v>0</v>
      </c>
      <c r="AL40" s="108">
        <v>0</v>
      </c>
      <c r="AM40" s="108">
        <v>0</v>
      </c>
      <c r="AN40" s="108">
        <v>0</v>
      </c>
      <c r="AO40" s="108">
        <v>0</v>
      </c>
      <c r="AP40" s="108">
        <v>0</v>
      </c>
      <c r="AQ40" s="108">
        <v>0</v>
      </c>
      <c r="AR40" s="108">
        <v>0</v>
      </c>
      <c r="AS40" s="108">
        <v>0</v>
      </c>
      <c r="AT40" s="108">
        <v>0</v>
      </c>
    </row>
    <row r="41" spans="1:46" x14ac:dyDescent="0.15">
      <c r="A41" s="187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  <c r="AO41" s="108">
        <v>1</v>
      </c>
      <c r="AP41" s="108">
        <v>0</v>
      </c>
      <c r="AQ41" s="108">
        <v>0</v>
      </c>
      <c r="AR41" s="108">
        <v>0</v>
      </c>
      <c r="AS41" s="108">
        <v>0</v>
      </c>
      <c r="AT41" s="108">
        <v>0</v>
      </c>
    </row>
    <row r="42" spans="1:46" x14ac:dyDescent="0.15">
      <c r="A42" s="187" t="s">
        <v>232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1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</row>
    <row r="43" spans="1:46" x14ac:dyDescent="0.15">
      <c r="A43" s="187" t="s">
        <v>233</v>
      </c>
      <c r="B43" s="108">
        <v>0</v>
      </c>
      <c r="C43" s="108">
        <v>0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1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</row>
    <row r="44" spans="1:46" x14ac:dyDescent="0.15">
      <c r="A44" s="187" t="s">
        <v>234</v>
      </c>
      <c r="B44" s="108">
        <v>0</v>
      </c>
      <c r="C44" s="108">
        <v>0</v>
      </c>
      <c r="D44" s="108">
        <v>0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  <c r="J44" s="108">
        <v>0</v>
      </c>
      <c r="K44" s="108">
        <v>0</v>
      </c>
      <c r="L44" s="108">
        <v>0</v>
      </c>
      <c r="M44" s="108">
        <v>0</v>
      </c>
      <c r="N44" s="108">
        <v>0</v>
      </c>
      <c r="O44" s="108">
        <v>0</v>
      </c>
      <c r="P44" s="108">
        <v>0</v>
      </c>
      <c r="Q44" s="108">
        <v>0</v>
      </c>
      <c r="R44" s="108">
        <v>0</v>
      </c>
      <c r="S44" s="108">
        <v>0</v>
      </c>
      <c r="T44" s="108">
        <v>0</v>
      </c>
      <c r="U44" s="108">
        <v>0</v>
      </c>
      <c r="V44" s="108">
        <v>0</v>
      </c>
      <c r="W44" s="108">
        <v>0</v>
      </c>
      <c r="X44" s="108">
        <v>0</v>
      </c>
      <c r="Y44" s="108">
        <v>0</v>
      </c>
      <c r="Z44" s="108">
        <v>0</v>
      </c>
      <c r="AA44" s="108">
        <v>0</v>
      </c>
      <c r="AB44" s="108">
        <v>0</v>
      </c>
      <c r="AC44" s="108">
        <v>0</v>
      </c>
      <c r="AD44" s="108">
        <v>0</v>
      </c>
      <c r="AE44" s="108">
        <v>0</v>
      </c>
      <c r="AF44" s="108">
        <v>0</v>
      </c>
      <c r="AG44" s="108">
        <v>0</v>
      </c>
      <c r="AH44" s="108">
        <v>0</v>
      </c>
      <c r="AI44" s="108">
        <v>0</v>
      </c>
      <c r="AJ44" s="108">
        <v>0</v>
      </c>
      <c r="AK44" s="108">
        <v>0</v>
      </c>
      <c r="AL44" s="108">
        <v>0</v>
      </c>
      <c r="AM44" s="108">
        <v>0</v>
      </c>
      <c r="AN44" s="108">
        <v>0</v>
      </c>
      <c r="AO44" s="108">
        <v>1</v>
      </c>
      <c r="AP44" s="108">
        <v>0</v>
      </c>
      <c r="AQ44" s="108">
        <v>0</v>
      </c>
      <c r="AR44" s="108">
        <v>0</v>
      </c>
      <c r="AS44" s="108">
        <v>0</v>
      </c>
      <c r="AT44" s="108">
        <v>0</v>
      </c>
    </row>
    <row r="45" spans="1:46" x14ac:dyDescent="0.15">
      <c r="A45" s="187" t="s">
        <v>235</v>
      </c>
      <c r="B45" s="108">
        <v>0</v>
      </c>
      <c r="C45" s="108">
        <v>0</v>
      </c>
      <c r="D45" s="108">
        <v>0</v>
      </c>
      <c r="E45" s="108">
        <v>0</v>
      </c>
      <c r="F45" s="108">
        <v>0</v>
      </c>
      <c r="G45" s="108">
        <v>1</v>
      </c>
      <c r="H45" s="108">
        <v>1</v>
      </c>
      <c r="I45" s="108">
        <v>1</v>
      </c>
      <c r="J45" s="108">
        <v>0</v>
      </c>
      <c r="K45" s="108">
        <v>0</v>
      </c>
      <c r="L45" s="108">
        <v>0</v>
      </c>
      <c r="M45" s="108">
        <v>0</v>
      </c>
      <c r="N45" s="108">
        <v>0</v>
      </c>
      <c r="O45" s="108">
        <v>0</v>
      </c>
      <c r="P45" s="108">
        <v>0</v>
      </c>
      <c r="Q45" s="108">
        <v>0</v>
      </c>
      <c r="R45" s="108">
        <v>0</v>
      </c>
      <c r="S45" s="108">
        <v>0</v>
      </c>
      <c r="T45" s="108">
        <v>0</v>
      </c>
      <c r="U45" s="108">
        <v>0</v>
      </c>
      <c r="V45" s="108">
        <v>1</v>
      </c>
      <c r="W45" s="108">
        <v>1</v>
      </c>
      <c r="X45" s="108">
        <v>0</v>
      </c>
      <c r="Y45" s="108">
        <v>0</v>
      </c>
      <c r="Z45" s="108">
        <v>1</v>
      </c>
      <c r="AA45" s="108">
        <v>0</v>
      </c>
      <c r="AB45" s="108">
        <v>0</v>
      </c>
      <c r="AC45" s="108">
        <v>0</v>
      </c>
      <c r="AD45" s="108">
        <v>0</v>
      </c>
      <c r="AE45" s="108">
        <v>0</v>
      </c>
      <c r="AF45" s="108">
        <v>0</v>
      </c>
      <c r="AG45" s="108">
        <v>0</v>
      </c>
      <c r="AH45" s="108">
        <v>0</v>
      </c>
      <c r="AI45" s="108">
        <v>0</v>
      </c>
      <c r="AJ45" s="108">
        <v>0</v>
      </c>
      <c r="AK45" s="108">
        <v>0</v>
      </c>
      <c r="AL45" s="108">
        <v>0</v>
      </c>
      <c r="AM45" s="108">
        <v>0</v>
      </c>
      <c r="AN45" s="108">
        <v>0</v>
      </c>
      <c r="AO45" s="108">
        <v>0</v>
      </c>
      <c r="AP45" s="108">
        <v>0</v>
      </c>
      <c r="AQ45" s="108">
        <v>0</v>
      </c>
      <c r="AR45" s="108">
        <v>0</v>
      </c>
      <c r="AS45" s="108">
        <v>0</v>
      </c>
      <c r="AT45" s="108">
        <v>0</v>
      </c>
    </row>
    <row r="46" spans="1:46" x14ac:dyDescent="0.15">
      <c r="A46" s="187" t="s">
        <v>236</v>
      </c>
      <c r="B46" s="108">
        <v>0</v>
      </c>
      <c r="C46" s="108">
        <v>0</v>
      </c>
      <c r="D46" s="108">
        <v>0</v>
      </c>
      <c r="E46" s="108">
        <v>0</v>
      </c>
      <c r="F46" s="108">
        <v>0</v>
      </c>
      <c r="G46" s="108">
        <v>0</v>
      </c>
      <c r="H46" s="108">
        <v>0</v>
      </c>
      <c r="I46" s="108">
        <v>0</v>
      </c>
      <c r="J46" s="108">
        <v>0</v>
      </c>
      <c r="K46" s="108">
        <v>0</v>
      </c>
      <c r="L46" s="108">
        <v>0</v>
      </c>
      <c r="M46" s="108">
        <v>0</v>
      </c>
      <c r="N46" s="108">
        <v>0</v>
      </c>
      <c r="O46" s="108">
        <v>0</v>
      </c>
      <c r="P46" s="108">
        <v>0</v>
      </c>
      <c r="Q46" s="108">
        <v>0</v>
      </c>
      <c r="R46" s="108">
        <v>0</v>
      </c>
      <c r="S46" s="108">
        <v>0</v>
      </c>
      <c r="T46" s="108">
        <v>0</v>
      </c>
      <c r="U46" s="108">
        <v>0</v>
      </c>
      <c r="V46" s="108">
        <v>0</v>
      </c>
      <c r="W46" s="108">
        <v>0</v>
      </c>
      <c r="X46" s="108">
        <v>0</v>
      </c>
      <c r="Y46" s="108">
        <v>0</v>
      </c>
      <c r="Z46" s="108">
        <v>0</v>
      </c>
      <c r="AA46" s="108">
        <v>0</v>
      </c>
      <c r="AB46" s="108">
        <v>0</v>
      </c>
      <c r="AC46" s="108">
        <v>0</v>
      </c>
      <c r="AD46" s="108">
        <v>0</v>
      </c>
      <c r="AE46" s="108">
        <v>0</v>
      </c>
      <c r="AF46" s="108">
        <v>0</v>
      </c>
      <c r="AG46" s="108">
        <v>0</v>
      </c>
      <c r="AH46" s="108">
        <v>0</v>
      </c>
      <c r="AI46" s="108">
        <v>0</v>
      </c>
      <c r="AJ46" s="108">
        <v>0</v>
      </c>
      <c r="AK46" s="108">
        <v>0</v>
      </c>
      <c r="AL46" s="108">
        <v>0</v>
      </c>
      <c r="AM46" s="108">
        <v>0</v>
      </c>
      <c r="AN46" s="108">
        <v>0</v>
      </c>
      <c r="AO46" s="108">
        <v>0</v>
      </c>
      <c r="AP46" s="108">
        <v>0</v>
      </c>
      <c r="AQ46" s="108">
        <v>0</v>
      </c>
      <c r="AR46" s="108">
        <v>0</v>
      </c>
      <c r="AS46" s="108">
        <v>0</v>
      </c>
      <c r="AT46" s="108">
        <v>0</v>
      </c>
    </row>
    <row r="47" spans="1:46" x14ac:dyDescent="0.15">
      <c r="A47" s="187" t="s">
        <v>238</v>
      </c>
      <c r="B47" s="108">
        <v>0</v>
      </c>
      <c r="C47" s="108">
        <v>0</v>
      </c>
      <c r="D47" s="108">
        <v>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  <c r="J47" s="108">
        <v>1</v>
      </c>
      <c r="K47" s="108">
        <v>0</v>
      </c>
      <c r="L47" s="108">
        <v>0</v>
      </c>
      <c r="M47" s="108">
        <v>0</v>
      </c>
      <c r="N47" s="108">
        <v>0</v>
      </c>
      <c r="O47" s="108">
        <v>0</v>
      </c>
      <c r="P47" s="108">
        <v>0</v>
      </c>
      <c r="Q47" s="108">
        <v>0</v>
      </c>
      <c r="R47" s="108">
        <v>0</v>
      </c>
      <c r="S47" s="108">
        <v>0</v>
      </c>
      <c r="T47" s="108">
        <v>0</v>
      </c>
      <c r="U47" s="108">
        <v>0</v>
      </c>
      <c r="V47" s="108">
        <v>0</v>
      </c>
      <c r="W47" s="108">
        <v>0</v>
      </c>
      <c r="X47" s="108">
        <v>0</v>
      </c>
      <c r="Y47" s="108">
        <v>0</v>
      </c>
      <c r="Z47" s="108">
        <v>0</v>
      </c>
      <c r="AA47" s="108">
        <v>1</v>
      </c>
      <c r="AB47" s="108">
        <v>1</v>
      </c>
      <c r="AC47" s="108">
        <v>0</v>
      </c>
      <c r="AD47" s="108">
        <v>0</v>
      </c>
      <c r="AE47" s="108">
        <v>0</v>
      </c>
      <c r="AF47" s="108">
        <v>0</v>
      </c>
      <c r="AG47" s="108">
        <v>0</v>
      </c>
      <c r="AH47" s="108">
        <v>0</v>
      </c>
      <c r="AI47" s="108">
        <v>0</v>
      </c>
      <c r="AJ47" s="108">
        <v>0</v>
      </c>
      <c r="AK47" s="108">
        <v>0</v>
      </c>
      <c r="AL47" s="108">
        <v>0</v>
      </c>
      <c r="AM47" s="108">
        <v>0</v>
      </c>
      <c r="AN47" s="108">
        <v>0</v>
      </c>
      <c r="AO47" s="108">
        <v>0</v>
      </c>
      <c r="AP47" s="108">
        <v>0</v>
      </c>
      <c r="AQ47" s="108">
        <v>0</v>
      </c>
      <c r="AR47" s="108">
        <v>0</v>
      </c>
      <c r="AS47" s="108">
        <v>0</v>
      </c>
      <c r="AT47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0" t="s">
        <v>237</v>
      </c>
    </row>
    <row r="2" spans="1:3" x14ac:dyDescent="0.15">
      <c r="A2">
        <v>1</v>
      </c>
      <c r="B2" s="189" t="s">
        <v>192</v>
      </c>
      <c r="C2">
        <v>0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</v>
      </c>
    </row>
    <row r="6" spans="1:3" x14ac:dyDescent="0.15">
      <c r="A6">
        <v>5</v>
      </c>
      <c r="B6" s="189" t="s">
        <v>196</v>
      </c>
      <c r="C6">
        <v>0.8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0.8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0.8</v>
      </c>
    </row>
    <row r="25" spans="1:3" x14ac:dyDescent="0.15">
      <c r="A25">
        <v>24</v>
      </c>
      <c r="B25" s="189" t="s">
        <v>215</v>
      </c>
      <c r="C25">
        <v>0</v>
      </c>
    </row>
    <row r="26" spans="1:3" x14ac:dyDescent="0.15">
      <c r="A26">
        <v>25</v>
      </c>
      <c r="B26" s="189" t="s">
        <v>216</v>
      </c>
      <c r="C26">
        <v>0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0.8</v>
      </c>
    </row>
    <row r="29" spans="1:3" x14ac:dyDescent="0.15">
      <c r="A29">
        <v>28</v>
      </c>
      <c r="B29" s="189" t="s">
        <v>219</v>
      </c>
      <c r="C29">
        <v>0.8</v>
      </c>
    </row>
    <row r="30" spans="1:3" x14ac:dyDescent="0.15">
      <c r="A30">
        <v>29</v>
      </c>
      <c r="B30" s="189" t="s">
        <v>220</v>
      </c>
      <c r="C30">
        <v>0.8</v>
      </c>
    </row>
    <row r="31" spans="1:3" x14ac:dyDescent="0.15">
      <c r="A31">
        <v>30</v>
      </c>
      <c r="B31" s="189" t="s">
        <v>221</v>
      </c>
      <c r="C31">
        <v>0.8</v>
      </c>
    </row>
    <row r="32" spans="1:3" x14ac:dyDescent="0.15">
      <c r="A32">
        <v>31</v>
      </c>
      <c r="B32" s="189" t="s">
        <v>222</v>
      </c>
      <c r="C32">
        <v>0.8</v>
      </c>
    </row>
    <row r="33" spans="1:3" x14ac:dyDescent="0.15">
      <c r="A33">
        <v>32</v>
      </c>
      <c r="B33" s="189" t="s">
        <v>223</v>
      </c>
      <c r="C33">
        <v>0.8</v>
      </c>
    </row>
    <row r="34" spans="1:3" x14ac:dyDescent="0.15">
      <c r="A34">
        <v>33</v>
      </c>
      <c r="B34" s="189" t="s">
        <v>224</v>
      </c>
      <c r="C34">
        <v>0.8</v>
      </c>
    </row>
    <row r="35" spans="1:3" x14ac:dyDescent="0.15">
      <c r="A35">
        <v>34</v>
      </c>
      <c r="B35" s="189" t="s">
        <v>225</v>
      </c>
      <c r="C35">
        <v>0.8</v>
      </c>
    </row>
    <row r="36" spans="1:3" x14ac:dyDescent="0.15">
      <c r="A36">
        <v>35</v>
      </c>
      <c r="B36" s="189" t="s">
        <v>226</v>
      </c>
      <c r="C36">
        <v>0.8</v>
      </c>
    </row>
    <row r="37" spans="1:3" x14ac:dyDescent="0.15">
      <c r="A37">
        <v>36</v>
      </c>
      <c r="B37" s="189" t="s">
        <v>227</v>
      </c>
      <c r="C37">
        <v>0.8</v>
      </c>
    </row>
    <row r="38" spans="1:3" x14ac:dyDescent="0.15">
      <c r="A38">
        <v>37</v>
      </c>
      <c r="B38" s="189" t="s">
        <v>228</v>
      </c>
      <c r="C38">
        <v>0.8</v>
      </c>
    </row>
    <row r="39" spans="1:3" x14ac:dyDescent="0.15">
      <c r="A39">
        <v>38</v>
      </c>
      <c r="B39" s="189" t="s">
        <v>229</v>
      </c>
      <c r="C39">
        <v>0</v>
      </c>
    </row>
    <row r="40" spans="1:3" x14ac:dyDescent="0.15">
      <c r="A40">
        <v>39</v>
      </c>
      <c r="B40" s="189" t="s">
        <v>230</v>
      </c>
      <c r="C40">
        <v>0</v>
      </c>
    </row>
    <row r="41" spans="1:3" x14ac:dyDescent="0.15">
      <c r="A41">
        <v>40</v>
      </c>
      <c r="B41" s="189" t="s">
        <v>231</v>
      </c>
      <c r="C41">
        <v>0</v>
      </c>
    </row>
    <row r="42" spans="1:3" x14ac:dyDescent="0.15">
      <c r="A42">
        <v>41</v>
      </c>
      <c r="B42" s="189" t="s">
        <v>232</v>
      </c>
      <c r="C42">
        <v>0</v>
      </c>
    </row>
    <row r="43" spans="1:3" x14ac:dyDescent="0.15">
      <c r="A43">
        <v>42</v>
      </c>
      <c r="B43" s="189" t="s">
        <v>233</v>
      </c>
      <c r="C43">
        <v>0</v>
      </c>
    </row>
    <row r="44" spans="1:3" x14ac:dyDescent="0.15">
      <c r="A44">
        <v>43</v>
      </c>
      <c r="B44" s="189" t="s">
        <v>234</v>
      </c>
      <c r="C44">
        <v>0</v>
      </c>
    </row>
    <row r="45" spans="1:3" x14ac:dyDescent="0.15">
      <c r="A45">
        <v>44</v>
      </c>
      <c r="B45" s="189" t="s">
        <v>235</v>
      </c>
      <c r="C45">
        <v>0</v>
      </c>
    </row>
    <row r="46" spans="1:3" x14ac:dyDescent="0.15">
      <c r="A46">
        <v>45</v>
      </c>
      <c r="B46" s="189" t="s">
        <v>236</v>
      </c>
      <c r="C4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237</v>
      </c>
    </row>
    <row r="2" spans="1:3" x14ac:dyDescent="0.15">
      <c r="A2">
        <v>1</v>
      </c>
      <c r="B2" s="191" t="s">
        <v>192</v>
      </c>
      <c r="C2">
        <v>0</v>
      </c>
    </row>
    <row r="3" spans="1:3" x14ac:dyDescent="0.15">
      <c r="A3">
        <v>2</v>
      </c>
      <c r="B3" s="191" t="s">
        <v>193</v>
      </c>
      <c r="C3">
        <v>0</v>
      </c>
    </row>
    <row r="4" spans="1:3" x14ac:dyDescent="0.15">
      <c r="A4">
        <v>3</v>
      </c>
      <c r="B4" s="191" t="s">
        <v>194</v>
      </c>
      <c r="C4">
        <v>0</v>
      </c>
    </row>
    <row r="5" spans="1:3" x14ac:dyDescent="0.15">
      <c r="A5">
        <v>4</v>
      </c>
      <c r="B5" s="191" t="s">
        <v>195</v>
      </c>
      <c r="C5">
        <v>0</v>
      </c>
    </row>
    <row r="6" spans="1:3" x14ac:dyDescent="0.15">
      <c r="A6">
        <v>5</v>
      </c>
      <c r="B6" s="191" t="s">
        <v>196</v>
      </c>
      <c r="C6">
        <v>0.8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0.8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0.8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0.8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0.8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0.8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0.8</v>
      </c>
    </row>
    <row r="23" spans="1:3" x14ac:dyDescent="0.15">
      <c r="A23">
        <v>22</v>
      </c>
      <c r="B23" s="191" t="s">
        <v>213</v>
      </c>
      <c r="C23">
        <v>0.8</v>
      </c>
    </row>
    <row r="24" spans="1:3" x14ac:dyDescent="0.15">
      <c r="A24">
        <v>23</v>
      </c>
      <c r="B24" s="191" t="s">
        <v>214</v>
      </c>
      <c r="C24">
        <v>0.8</v>
      </c>
    </row>
    <row r="25" spans="1:3" x14ac:dyDescent="0.15">
      <c r="A25">
        <v>24</v>
      </c>
      <c r="B25" s="191" t="s">
        <v>215</v>
      </c>
      <c r="C25">
        <v>0</v>
      </c>
    </row>
    <row r="26" spans="1:3" x14ac:dyDescent="0.15">
      <c r="A26">
        <v>25</v>
      </c>
      <c r="B26" s="191" t="s">
        <v>216</v>
      </c>
      <c r="C26">
        <v>0</v>
      </c>
    </row>
    <row r="27" spans="1:3" x14ac:dyDescent="0.15">
      <c r="A27">
        <v>26</v>
      </c>
      <c r="B27" s="191" t="s">
        <v>217</v>
      </c>
      <c r="C27">
        <v>0.8</v>
      </c>
    </row>
    <row r="28" spans="1:3" x14ac:dyDescent="0.15">
      <c r="A28">
        <v>27</v>
      </c>
      <c r="B28" s="191" t="s">
        <v>218</v>
      </c>
      <c r="C28">
        <v>0.8</v>
      </c>
    </row>
    <row r="29" spans="1:3" x14ac:dyDescent="0.15">
      <c r="A29">
        <v>28</v>
      </c>
      <c r="B29" s="191" t="s">
        <v>219</v>
      </c>
      <c r="C29">
        <v>0.8</v>
      </c>
    </row>
    <row r="30" spans="1:3" x14ac:dyDescent="0.15">
      <c r="A30">
        <v>29</v>
      </c>
      <c r="B30" s="191" t="s">
        <v>220</v>
      </c>
      <c r="C30">
        <v>0.8</v>
      </c>
    </row>
    <row r="31" spans="1:3" x14ac:dyDescent="0.15">
      <c r="A31">
        <v>30</v>
      </c>
      <c r="B31" s="191" t="s">
        <v>221</v>
      </c>
      <c r="C31">
        <v>0.8</v>
      </c>
    </row>
    <row r="32" spans="1:3" x14ac:dyDescent="0.15">
      <c r="A32">
        <v>31</v>
      </c>
      <c r="B32" s="191" t="s">
        <v>222</v>
      </c>
      <c r="C32">
        <v>0.8</v>
      </c>
    </row>
    <row r="33" spans="1:3" x14ac:dyDescent="0.15">
      <c r="A33">
        <v>32</v>
      </c>
      <c r="B33" s="191" t="s">
        <v>223</v>
      </c>
      <c r="C33">
        <v>0.8</v>
      </c>
    </row>
    <row r="34" spans="1:3" x14ac:dyDescent="0.15">
      <c r="A34">
        <v>33</v>
      </c>
      <c r="B34" s="191" t="s">
        <v>224</v>
      </c>
      <c r="C34">
        <v>0.8</v>
      </c>
    </row>
    <row r="35" spans="1:3" x14ac:dyDescent="0.15">
      <c r="A35">
        <v>34</v>
      </c>
      <c r="B35" s="191" t="s">
        <v>225</v>
      </c>
      <c r="C35">
        <v>0.8</v>
      </c>
    </row>
    <row r="36" spans="1:3" x14ac:dyDescent="0.15">
      <c r="A36">
        <v>35</v>
      </c>
      <c r="B36" s="191" t="s">
        <v>226</v>
      </c>
      <c r="C36">
        <v>0.8</v>
      </c>
    </row>
    <row r="37" spans="1:3" x14ac:dyDescent="0.15">
      <c r="A37">
        <v>36</v>
      </c>
      <c r="B37" s="191" t="s">
        <v>227</v>
      </c>
      <c r="C37">
        <v>0.8</v>
      </c>
    </row>
    <row r="38" spans="1:3" x14ac:dyDescent="0.15">
      <c r="A38">
        <v>37</v>
      </c>
      <c r="B38" s="191" t="s">
        <v>228</v>
      </c>
      <c r="C38">
        <v>0.8</v>
      </c>
    </row>
    <row r="39" spans="1:3" x14ac:dyDescent="0.15">
      <c r="A39">
        <v>38</v>
      </c>
      <c r="B39" s="191" t="s">
        <v>229</v>
      </c>
      <c r="C39">
        <v>0</v>
      </c>
    </row>
    <row r="40" spans="1:3" x14ac:dyDescent="0.15">
      <c r="A40">
        <v>39</v>
      </c>
      <c r="B40" s="191" t="s">
        <v>230</v>
      </c>
      <c r="C40">
        <v>0</v>
      </c>
    </row>
    <row r="41" spans="1:3" x14ac:dyDescent="0.15">
      <c r="A41">
        <v>40</v>
      </c>
      <c r="B41" s="191" t="s">
        <v>231</v>
      </c>
      <c r="C41">
        <v>0</v>
      </c>
    </row>
    <row r="42" spans="1:3" x14ac:dyDescent="0.15">
      <c r="A42">
        <v>41</v>
      </c>
      <c r="B42" s="191" t="s">
        <v>232</v>
      </c>
      <c r="C42">
        <v>0</v>
      </c>
    </row>
    <row r="43" spans="1:3" x14ac:dyDescent="0.15">
      <c r="A43">
        <v>42</v>
      </c>
      <c r="B43" s="191" t="s">
        <v>233</v>
      </c>
      <c r="C43">
        <v>0</v>
      </c>
    </row>
    <row r="44" spans="1:3" x14ac:dyDescent="0.15">
      <c r="A44">
        <v>43</v>
      </c>
      <c r="B44" s="191" t="s">
        <v>234</v>
      </c>
      <c r="C44">
        <v>0</v>
      </c>
    </row>
    <row r="45" spans="1:3" x14ac:dyDescent="0.15">
      <c r="A45">
        <v>44</v>
      </c>
      <c r="B45" s="191" t="s">
        <v>235</v>
      </c>
      <c r="C45">
        <v>0</v>
      </c>
    </row>
    <row r="46" spans="1:3" x14ac:dyDescent="0.15">
      <c r="A46">
        <v>45</v>
      </c>
      <c r="B46" s="191" t="s">
        <v>236</v>
      </c>
      <c r="C4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1</v>
      </c>
      <c r="D2" s="9">
        <v>123.66999816894531</v>
      </c>
      <c r="E2" s="9">
        <v>243.57200622558594</v>
      </c>
      <c r="F2" s="10"/>
      <c r="G2" s="9">
        <v>0.11459116637706757</v>
      </c>
      <c r="H2" s="10"/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2</v>
      </c>
      <c r="D3" s="9">
        <v>119.00900268554688</v>
      </c>
      <c r="E3" s="9">
        <v>8.3999996185302734</v>
      </c>
      <c r="F3" s="9">
        <v>20.670000076293945</v>
      </c>
      <c r="G3" s="9">
        <v>0.95028978586196899</v>
      </c>
      <c r="H3" s="9">
        <v>0.40638604760169983</v>
      </c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3.2197973728179932</v>
      </c>
      <c r="D4" s="9">
        <v>28.916999816894531</v>
      </c>
      <c r="E4" s="9">
        <v>5.1469998359680176</v>
      </c>
      <c r="F4" s="9">
        <v>17.155000686645508</v>
      </c>
      <c r="G4" s="9">
        <v>0.92070835828781128</v>
      </c>
      <c r="H4" s="9">
        <v>0.30002912878990173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2.5148298740386963</v>
      </c>
      <c r="D5" s="9">
        <v>50.150001525878906</v>
      </c>
      <c r="E5" s="9">
        <v>5</v>
      </c>
      <c r="F5" s="9">
        <v>34.310001373291016</v>
      </c>
      <c r="G5" s="9">
        <v>0.91979795694351196</v>
      </c>
      <c r="H5" s="9">
        <v>0.14573010802268982</v>
      </c>
      <c r="I5">
        <v>0</v>
      </c>
      <c r="J5"/>
    </row>
    <row r="6" spans="1:10" ht="15" customHeight="1" x14ac:dyDescent="0.15">
      <c r="A6" s="148">
        <v>5</v>
      </c>
      <c r="B6" s="148" t="s">
        <v>196</v>
      </c>
      <c r="C6" s="8">
        <v>3.4226725101470947</v>
      </c>
      <c r="D6" s="9">
        <v>1.8450000286102295</v>
      </c>
      <c r="E6" s="9">
        <v>3.4330000877380371</v>
      </c>
      <c r="F6" s="9">
        <v>13.732000350952148</v>
      </c>
      <c r="G6" s="9">
        <v>0.98101431131362915</v>
      </c>
      <c r="H6" s="9">
        <v>0.25</v>
      </c>
      <c r="I6">
        <v>1.1000000085914508E-5</v>
      </c>
      <c r="J6"/>
    </row>
    <row r="7" spans="1:10" ht="15" customHeight="1" x14ac:dyDescent="0.15">
      <c r="A7" s="149">
        <v>6</v>
      </c>
      <c r="B7" s="149" t="s">
        <v>197</v>
      </c>
      <c r="C7" s="8">
        <v>2</v>
      </c>
      <c r="D7" s="9">
        <v>5.2719998359680176</v>
      </c>
      <c r="E7" s="9">
        <v>2</v>
      </c>
      <c r="F7" s="9">
        <v>6.3299999237060547</v>
      </c>
      <c r="G7" s="9">
        <v>0.95413118600845337</v>
      </c>
      <c r="H7" s="9">
        <v>0.3159557580947876</v>
      </c>
      <c r="I7">
        <v>1.3899999612476677E-4</v>
      </c>
      <c r="J7"/>
    </row>
    <row r="8" spans="1:10" ht="15" customHeight="1" x14ac:dyDescent="0.15">
      <c r="A8" s="150">
        <v>7</v>
      </c>
      <c r="B8" s="150" t="s">
        <v>198</v>
      </c>
      <c r="C8" s="8">
        <v>2.0299999713897705</v>
      </c>
      <c r="D8" s="9">
        <v>12</v>
      </c>
      <c r="E8" s="9">
        <v>0.26100000739097595</v>
      </c>
      <c r="F8" s="9">
        <v>1.0440000295639038</v>
      </c>
      <c r="G8" s="9">
        <v>0.64819133281707764</v>
      </c>
      <c r="H8" s="9">
        <v>0.25</v>
      </c>
      <c r="I8">
        <v>3.3599999733269215E-4</v>
      </c>
      <c r="J8"/>
    </row>
    <row r="9" spans="1:10" ht="15" customHeight="1" x14ac:dyDescent="0.15">
      <c r="A9" s="151">
        <v>8</v>
      </c>
      <c r="B9" s="151" t="s">
        <v>199</v>
      </c>
      <c r="C9" s="8">
        <v>2.3161053657531738</v>
      </c>
      <c r="D9" s="9">
        <v>7.4499998092651367</v>
      </c>
      <c r="E9" s="9">
        <v>0.81999999284744263</v>
      </c>
      <c r="F9" s="9">
        <v>4.4200000762939453</v>
      </c>
      <c r="G9" s="9">
        <v>0.98576700687408447</v>
      </c>
      <c r="H9" s="9">
        <v>0.18552035093307495</v>
      </c>
      <c r="I9">
        <v>7.4000003223773092E-5</v>
      </c>
      <c r="J9"/>
    </row>
    <row r="10" spans="1:10" ht="15" customHeight="1" x14ac:dyDescent="0.15">
      <c r="A10" s="152">
        <v>9</v>
      </c>
      <c r="B10" s="152" t="s">
        <v>200</v>
      </c>
      <c r="C10" s="8">
        <v>3.7792112827301025</v>
      </c>
      <c r="D10" s="9">
        <v>0.37200000882148743</v>
      </c>
      <c r="E10" s="9">
        <v>2.3369998931884766</v>
      </c>
      <c r="F10" s="9">
        <v>9.3479995727539062</v>
      </c>
      <c r="G10" s="9">
        <v>0.26535585522651672</v>
      </c>
      <c r="H10" s="9">
        <v>0.25</v>
      </c>
      <c r="I10">
        <v>9.7081996500492096E-2</v>
      </c>
      <c r="J10"/>
    </row>
    <row r="11" spans="1:10" ht="15" customHeight="1" x14ac:dyDescent="0.15">
      <c r="A11" s="153">
        <v>10</v>
      </c>
      <c r="B11" s="153" t="s">
        <v>201</v>
      </c>
      <c r="C11" s="8">
        <v>3.5419378280639648</v>
      </c>
      <c r="D11" s="9">
        <v>0.23899999260902405</v>
      </c>
      <c r="E11" s="9">
        <v>2.3369998931884766</v>
      </c>
      <c r="F11" s="9">
        <v>9.3479995727539062</v>
      </c>
      <c r="G11" s="9">
        <v>0.97096997499465942</v>
      </c>
      <c r="H11" s="9">
        <v>0.25</v>
      </c>
      <c r="I11">
        <v>1.271899975836277E-2</v>
      </c>
      <c r="J11"/>
    </row>
    <row r="12" spans="1:10" ht="15" customHeight="1" x14ac:dyDescent="0.15">
      <c r="A12" s="154">
        <v>11</v>
      </c>
      <c r="B12" s="154" t="s">
        <v>202</v>
      </c>
      <c r="C12" s="8">
        <v>3.3127248287200928</v>
      </c>
      <c r="D12" s="9">
        <v>5.0999999046325684E-2</v>
      </c>
      <c r="E12" s="9">
        <v>2.3369998931884766</v>
      </c>
      <c r="F12" s="9">
        <v>9.3479995727539062</v>
      </c>
      <c r="G12" s="9">
        <v>0.52638453245162964</v>
      </c>
      <c r="H12" s="9">
        <v>0.25</v>
      </c>
      <c r="I12">
        <v>1.1000000085914508E-5</v>
      </c>
      <c r="J12"/>
    </row>
    <row r="13" spans="1:10" ht="15" customHeight="1" x14ac:dyDescent="0.15">
      <c r="A13" s="155">
        <v>12</v>
      </c>
      <c r="B13" s="155" t="s">
        <v>203</v>
      </c>
      <c r="C13" s="8">
        <v>3.9879968166351318</v>
      </c>
      <c r="D13" s="9">
        <v>7.0000000298023224E-2</v>
      </c>
      <c r="E13" s="9">
        <v>1.1690000295639038</v>
      </c>
      <c r="F13" s="9">
        <v>4.6760001182556152</v>
      </c>
      <c r="G13" s="9">
        <v>0.4286142885684967</v>
      </c>
      <c r="H13" s="9">
        <v>0.25</v>
      </c>
      <c r="I13">
        <v>7.9999999798019417E-6</v>
      </c>
      <c r="J13"/>
    </row>
    <row r="14" spans="1:10" ht="15" customHeight="1" x14ac:dyDescent="0.15">
      <c r="A14" s="156">
        <v>13</v>
      </c>
      <c r="B14" s="156" t="s">
        <v>204</v>
      </c>
      <c r="C14" s="8">
        <v>3.4226725101470947</v>
      </c>
      <c r="D14" s="9">
        <v>1.8190000057220459</v>
      </c>
      <c r="E14" s="9">
        <v>0.93000000715255737</v>
      </c>
      <c r="F14" s="9">
        <v>6.3850002288818359</v>
      </c>
      <c r="G14" s="9">
        <v>0.80094814300537109</v>
      </c>
      <c r="H14" s="9">
        <v>0.14565387368202209</v>
      </c>
      <c r="I14">
        <v>2.0999999833293259E-5</v>
      </c>
      <c r="J14"/>
    </row>
    <row r="15" spans="1:10" ht="15" customHeight="1" x14ac:dyDescent="0.15">
      <c r="A15" s="157">
        <v>14</v>
      </c>
      <c r="B15" s="157" t="s">
        <v>205</v>
      </c>
      <c r="C15" s="8">
        <v>3.1277763843536377</v>
      </c>
      <c r="D15" s="9">
        <v>0.14599999785423279</v>
      </c>
      <c r="E15" s="9">
        <v>0.8970000147819519</v>
      </c>
      <c r="F15" s="9">
        <v>8.935999870300293</v>
      </c>
      <c r="G15" s="9">
        <v>0.89326983690261841</v>
      </c>
      <c r="H15" s="9">
        <v>0.10038048774003983</v>
      </c>
      <c r="I15">
        <v>6.6000000515487045E-5</v>
      </c>
      <c r="J15"/>
    </row>
    <row r="16" spans="1:10" ht="15" customHeight="1" x14ac:dyDescent="0.15">
      <c r="A16" s="158">
        <v>15</v>
      </c>
      <c r="B16" s="158" t="s">
        <v>206</v>
      </c>
      <c r="C16" s="8">
        <v>3.2415800094604492</v>
      </c>
      <c r="D16" s="9">
        <v>6.1999998986721039E-2</v>
      </c>
      <c r="E16" s="9">
        <v>0.37000000476837158</v>
      </c>
      <c r="F16" s="9">
        <v>3.7999999523162842</v>
      </c>
      <c r="G16" s="9">
        <v>0.8393818736076355</v>
      </c>
      <c r="H16" s="9">
        <v>9.7368426620960236E-2</v>
      </c>
      <c r="I16">
        <v>1.9999999949504854E-6</v>
      </c>
      <c r="J16"/>
    </row>
    <row r="17" spans="1:10" ht="15" customHeight="1" x14ac:dyDescent="0.15">
      <c r="A17" s="159">
        <v>16</v>
      </c>
      <c r="B17" s="159" t="s">
        <v>207</v>
      </c>
      <c r="C17" s="8">
        <v>3.8537528514862061</v>
      </c>
      <c r="D17" s="9">
        <v>9.7000002861022949E-2</v>
      </c>
      <c r="E17" s="9">
        <v>1.0089999437332153</v>
      </c>
      <c r="F17" s="9">
        <v>6.4380002021789551</v>
      </c>
      <c r="G17" s="9">
        <v>0.99624788761138916</v>
      </c>
      <c r="H17" s="9">
        <v>0.15672567486763</v>
      </c>
      <c r="I17">
        <v>3.9999998989515007E-5</v>
      </c>
      <c r="J17"/>
    </row>
    <row r="18" spans="1:10" ht="15" customHeight="1" x14ac:dyDescent="0.15">
      <c r="A18" s="160">
        <v>17</v>
      </c>
      <c r="B18" s="160" t="s">
        <v>208</v>
      </c>
      <c r="C18" s="8">
        <v>3.144106388092041</v>
      </c>
      <c r="D18" s="9">
        <v>0.12600000202655792</v>
      </c>
      <c r="E18" s="9">
        <v>1.090999960899353</v>
      </c>
      <c r="F18" s="9">
        <v>9.9429998397827148</v>
      </c>
      <c r="G18" s="9">
        <v>0.96187782287597656</v>
      </c>
      <c r="H18" s="9">
        <v>0.10972543060779572</v>
      </c>
      <c r="I18">
        <v>3.9999999899009708E-6</v>
      </c>
      <c r="J18"/>
    </row>
    <row r="19" spans="1:10" ht="15" customHeight="1" x14ac:dyDescent="0.15">
      <c r="A19" s="161">
        <v>18</v>
      </c>
      <c r="B19" s="161" t="s">
        <v>209</v>
      </c>
      <c r="C19" s="8">
        <v>4.4146928787231445</v>
      </c>
      <c r="D19" s="9">
        <v>0.17100000381469727</v>
      </c>
      <c r="E19" s="9">
        <v>0.30000001192092896</v>
      </c>
      <c r="F19" s="9">
        <v>2.6329998970031738</v>
      </c>
      <c r="G19" s="9">
        <v>0.82851666212081909</v>
      </c>
      <c r="H19" s="9">
        <v>0.11393848061561584</v>
      </c>
      <c r="I19">
        <v>9.5100002363324165E-4</v>
      </c>
      <c r="J19"/>
    </row>
    <row r="20" spans="1:10" ht="15" customHeight="1" x14ac:dyDescent="0.15">
      <c r="A20" s="162">
        <v>19</v>
      </c>
      <c r="B20" s="162" t="s">
        <v>210</v>
      </c>
      <c r="C20" s="8">
        <v>3.3224146366119385</v>
      </c>
      <c r="D20" s="9">
        <v>0.46299999952316284</v>
      </c>
      <c r="E20" s="9">
        <v>0.4309999942779541</v>
      </c>
      <c r="F20" s="9">
        <v>4.2430000305175781</v>
      </c>
      <c r="G20" s="9">
        <v>0.71103501319885254</v>
      </c>
      <c r="H20" s="9">
        <v>0.10157907009124756</v>
      </c>
      <c r="I20">
        <v>2.0700000459328294E-4</v>
      </c>
      <c r="J20"/>
    </row>
    <row r="21" spans="1:10" ht="15" customHeight="1" x14ac:dyDescent="0.15">
      <c r="A21" s="163">
        <v>20</v>
      </c>
      <c r="B21" s="163" t="s">
        <v>211</v>
      </c>
      <c r="C21" s="8">
        <v>3.6535463333129883</v>
      </c>
      <c r="D21" s="9">
        <v>0.3619999885559082</v>
      </c>
      <c r="E21" s="9">
        <v>1.2269999980926514</v>
      </c>
      <c r="F21" s="9">
        <v>9.4200000762939453</v>
      </c>
      <c r="G21" s="9">
        <v>0.75098872184753418</v>
      </c>
      <c r="H21" s="9">
        <v>0.13025477528572083</v>
      </c>
      <c r="I21">
        <v>1.610000035725534E-4</v>
      </c>
      <c r="J21"/>
    </row>
    <row r="22" spans="1:10" ht="15" customHeight="1" x14ac:dyDescent="0.15">
      <c r="A22" s="164">
        <v>21</v>
      </c>
      <c r="B22" s="164" t="s">
        <v>212</v>
      </c>
      <c r="C22" s="8">
        <v>3.7641968727111816</v>
      </c>
      <c r="D22" s="9">
        <v>0.12999999523162842</v>
      </c>
      <c r="E22" s="9">
        <v>0.52100002765655518</v>
      </c>
      <c r="F22" s="9">
        <v>5.0250000953674316</v>
      </c>
      <c r="G22" s="9">
        <v>0.92436951398849487</v>
      </c>
      <c r="H22" s="9">
        <v>0.10368159413337708</v>
      </c>
      <c r="I22">
        <v>3.3950000070035458E-3</v>
      </c>
      <c r="J22"/>
    </row>
    <row r="23" spans="1:10" ht="15" customHeight="1" x14ac:dyDescent="0.15">
      <c r="A23" s="165">
        <v>22</v>
      </c>
      <c r="B23" s="165" t="s">
        <v>213</v>
      </c>
      <c r="C23" s="8">
        <v>4.0166120529174805</v>
      </c>
      <c r="D23" s="9">
        <v>0.19200000166893005</v>
      </c>
      <c r="E23" s="9">
        <v>0.38299998641014099</v>
      </c>
      <c r="F23" s="9">
        <v>6.3350000381469727</v>
      </c>
      <c r="G23" s="9">
        <v>0.54938262701034546</v>
      </c>
      <c r="H23" s="9">
        <v>6.0457773506641388E-2</v>
      </c>
      <c r="I23">
        <v>8.4999999671708792E-5</v>
      </c>
      <c r="J23"/>
    </row>
    <row r="24" spans="1:10" ht="15" customHeight="1" x14ac:dyDescent="0.15">
      <c r="A24" s="166">
        <v>23</v>
      </c>
      <c r="B24" s="166" t="s">
        <v>214</v>
      </c>
      <c r="C24" s="8">
        <v>3.7167911529541016</v>
      </c>
      <c r="D24" s="9">
        <v>0.28499999642372131</v>
      </c>
      <c r="E24" s="9">
        <v>0.92599999904632568</v>
      </c>
      <c r="F24" s="9">
        <v>9.3000001907348633</v>
      </c>
      <c r="G24" s="9">
        <v>0.95359301567077637</v>
      </c>
      <c r="H24" s="9">
        <v>9.9569886922836304E-2</v>
      </c>
      <c r="I24">
        <v>7.599999662488699E-5</v>
      </c>
      <c r="J24"/>
    </row>
    <row r="25" spans="1:10" ht="15" customHeight="1" x14ac:dyDescent="0.15">
      <c r="A25" s="167">
        <v>24</v>
      </c>
      <c r="B25" s="167" t="s">
        <v>215</v>
      </c>
      <c r="C25" s="8">
        <v>3.1452474594116211</v>
      </c>
      <c r="D25" s="9">
        <v>1.0000000474974513E-3</v>
      </c>
      <c r="E25" s="9">
        <v>0.6029999852180481</v>
      </c>
      <c r="F25" s="9">
        <v>7.3000001907348633</v>
      </c>
      <c r="G25" s="9">
        <v>2.600851257739123E-5</v>
      </c>
      <c r="H25" s="9">
        <v>8.2602731883525848E-2</v>
      </c>
      <c r="I25">
        <v>0</v>
      </c>
      <c r="J25"/>
    </row>
    <row r="26" spans="1:10" ht="15" customHeight="1" x14ac:dyDescent="0.15">
      <c r="A26" s="168">
        <v>25</v>
      </c>
      <c r="B26" s="168" t="s">
        <v>216</v>
      </c>
      <c r="C26" s="8">
        <v>2.9291129112243652</v>
      </c>
      <c r="D26" s="9">
        <v>0.10400000214576721</v>
      </c>
      <c r="E26" s="9">
        <v>0.3529999852180481</v>
      </c>
      <c r="F26" s="9">
        <v>4.6500000953674316</v>
      </c>
      <c r="G26" s="9">
        <v>0.48686325550079346</v>
      </c>
      <c r="H26" s="9">
        <v>7.5913973152637482E-2</v>
      </c>
      <c r="I26">
        <v>0</v>
      </c>
      <c r="J26"/>
    </row>
    <row r="27" spans="1:10" ht="15" customHeight="1" x14ac:dyDescent="0.15">
      <c r="A27" s="169">
        <v>26</v>
      </c>
      <c r="B27" s="169" t="s">
        <v>217</v>
      </c>
      <c r="C27" s="8">
        <v>4.61517333984375</v>
      </c>
      <c r="D27" s="9">
        <v>2.8000000864267349E-2</v>
      </c>
      <c r="E27" s="9">
        <v>0.40200001001358032</v>
      </c>
      <c r="F27" s="9">
        <v>1.590999960899353</v>
      </c>
      <c r="G27" s="9">
        <v>2.7290305122733116E-2</v>
      </c>
      <c r="H27" s="9">
        <v>0.25267130136489868</v>
      </c>
      <c r="I27">
        <v>3.0700000934302807E-4</v>
      </c>
      <c r="J27"/>
    </row>
    <row r="28" spans="1:10" ht="15" customHeight="1" x14ac:dyDescent="0.15">
      <c r="A28" s="170">
        <v>27</v>
      </c>
      <c r="B28" s="170" t="s">
        <v>218</v>
      </c>
      <c r="C28" s="8">
        <v>4.3397936820983887</v>
      </c>
      <c r="D28" s="9">
        <v>7.4000000953674316E-2</v>
      </c>
      <c r="E28" s="9">
        <v>0.36000001430511475</v>
      </c>
      <c r="F28" s="9">
        <v>1.8999999761581421</v>
      </c>
      <c r="G28" s="9">
        <v>0.14424006640911102</v>
      </c>
      <c r="H28" s="9">
        <v>0.18947368860244751</v>
      </c>
      <c r="I28">
        <v>1.2309999438002706E-3</v>
      </c>
      <c r="J28"/>
    </row>
    <row r="29" spans="1:10" ht="15" customHeight="1" x14ac:dyDescent="0.15">
      <c r="A29" s="171">
        <v>28</v>
      </c>
      <c r="B29" s="171" t="s">
        <v>219</v>
      </c>
      <c r="C29" s="8">
        <v>4.0561361312866211</v>
      </c>
      <c r="D29" s="9">
        <v>0.18000000715255737</v>
      </c>
      <c r="E29" s="9">
        <v>1.0089999437332153</v>
      </c>
      <c r="F29" s="9">
        <v>6.4380002021789551</v>
      </c>
      <c r="G29" s="9">
        <v>0.27048206329345703</v>
      </c>
      <c r="H29" s="9">
        <v>0.15672567486763</v>
      </c>
      <c r="I29">
        <v>3.4000000596279278E-5</v>
      </c>
      <c r="J29"/>
    </row>
    <row r="30" spans="1:10" ht="15" customHeight="1" x14ac:dyDescent="0.15">
      <c r="A30" s="172">
        <v>29</v>
      </c>
      <c r="B30" s="172" t="s">
        <v>220</v>
      </c>
      <c r="C30" s="8">
        <v>3.5571279525756836</v>
      </c>
      <c r="D30" s="9">
        <v>3.9000000804662704E-2</v>
      </c>
      <c r="E30" s="9">
        <v>0.31499999761581421</v>
      </c>
      <c r="F30" s="9">
        <v>1.2999999523162842</v>
      </c>
      <c r="G30" s="9">
        <v>0.84003812074661255</v>
      </c>
      <c r="H30" s="9">
        <v>0.24230769276618958</v>
      </c>
      <c r="I30">
        <v>1.3699999544769526E-4</v>
      </c>
      <c r="J30"/>
    </row>
    <row r="31" spans="1:10" ht="15" customHeight="1" x14ac:dyDescent="0.15">
      <c r="A31" s="173">
        <v>30</v>
      </c>
      <c r="B31" s="173" t="s">
        <v>221</v>
      </c>
      <c r="C31" s="8">
        <v>3.7054600715637207</v>
      </c>
      <c r="D31" s="9">
        <v>3.5209999084472656</v>
      </c>
      <c r="E31" s="9">
        <v>1.0089999437332153</v>
      </c>
      <c r="F31" s="9">
        <v>6.4380002021789551</v>
      </c>
      <c r="G31" s="9">
        <v>0.90423721075057983</v>
      </c>
      <c r="H31" s="9">
        <v>0.15672567486763</v>
      </c>
      <c r="I31">
        <v>6.5000000176951289E-5</v>
      </c>
      <c r="J31"/>
    </row>
    <row r="32" spans="1:10" ht="15" customHeight="1" x14ac:dyDescent="0.15">
      <c r="A32" s="201">
        <v>31</v>
      </c>
      <c r="B32" s="201" t="s">
        <v>222</v>
      </c>
      <c r="C32" s="8">
        <v>3.4326927661895752</v>
      </c>
      <c r="D32" s="9">
        <v>0.57700002193450928</v>
      </c>
      <c r="E32" s="9">
        <v>0.38999998569488525</v>
      </c>
      <c r="F32" s="9">
        <v>1.8999999761581421</v>
      </c>
      <c r="G32" s="9">
        <v>0.6095963716506958</v>
      </c>
      <c r="H32" s="9">
        <v>0.20526315271854401</v>
      </c>
      <c r="I32">
        <v>1.0367999784648418E-2</v>
      </c>
      <c r="J32"/>
    </row>
    <row r="33" spans="1:10" ht="15" customHeight="1" x14ac:dyDescent="0.15">
      <c r="A33" s="202">
        <v>32</v>
      </c>
      <c r="B33" s="202" t="s">
        <v>223</v>
      </c>
      <c r="C33" s="8">
        <v>3.7671935558319092</v>
      </c>
      <c r="D33" s="9">
        <v>0.57999998331069946</v>
      </c>
      <c r="E33" s="9">
        <v>1.0089999437332153</v>
      </c>
      <c r="F33" s="9">
        <v>6.4380002021789551</v>
      </c>
      <c r="G33" s="9">
        <v>0.37730875611305237</v>
      </c>
      <c r="H33" s="9">
        <v>0.15672567486763</v>
      </c>
      <c r="I33">
        <v>1.9999999949504854E-6</v>
      </c>
      <c r="J33"/>
    </row>
    <row r="34" spans="1:10" ht="15" customHeight="1" x14ac:dyDescent="0.15">
      <c r="A34" s="203">
        <v>33</v>
      </c>
      <c r="B34" s="203" t="s">
        <v>224</v>
      </c>
      <c r="C34" s="8">
        <v>4.1817269325256348</v>
      </c>
      <c r="D34" s="9">
        <v>0.19900000095367432</v>
      </c>
      <c r="E34" s="9">
        <v>0.15000000596046448</v>
      </c>
      <c r="F34" s="9">
        <v>1.1000000238418579</v>
      </c>
      <c r="G34" s="9">
        <v>0.76586002111434937</v>
      </c>
      <c r="H34" s="9">
        <v>0.13636364042758942</v>
      </c>
      <c r="I34">
        <v>1.0779999429360032E-3</v>
      </c>
      <c r="J34"/>
    </row>
    <row r="35" spans="1:10" ht="15" customHeight="1" x14ac:dyDescent="0.15">
      <c r="A35" s="204">
        <v>34</v>
      </c>
      <c r="B35" s="204" t="s">
        <v>225</v>
      </c>
      <c r="C35" s="8">
        <v>3.7846536636352539</v>
      </c>
      <c r="D35" s="9">
        <v>0.17599999904632568</v>
      </c>
      <c r="E35" s="9">
        <v>1.0089999437332153</v>
      </c>
      <c r="F35" s="9">
        <v>6.4380002021789551</v>
      </c>
      <c r="G35" s="9">
        <v>0.17420545220375061</v>
      </c>
      <c r="H35" s="9">
        <v>0.15672567486763</v>
      </c>
      <c r="I35">
        <v>3.4000000596279278E-5</v>
      </c>
      <c r="J35"/>
    </row>
    <row r="36" spans="1:10" ht="15" customHeight="1" x14ac:dyDescent="0.15">
      <c r="A36" s="205">
        <v>35</v>
      </c>
      <c r="B36" s="205" t="s">
        <v>226</v>
      </c>
      <c r="C36" s="8">
        <v>3.5944375991821289</v>
      </c>
      <c r="D36" s="9">
        <v>0.29100000858306885</v>
      </c>
      <c r="E36" s="9">
        <v>0.1940000057220459</v>
      </c>
      <c r="F36" s="9">
        <v>1.2999999523162842</v>
      </c>
      <c r="G36" s="9">
        <v>0.46487882733345032</v>
      </c>
      <c r="H36" s="9">
        <v>0.14923077821731567</v>
      </c>
      <c r="I36">
        <v>6.8160002119839191E-3</v>
      </c>
      <c r="J36"/>
    </row>
    <row r="37" spans="1:10" ht="15" customHeight="1" x14ac:dyDescent="0.15">
      <c r="A37" s="206">
        <v>36</v>
      </c>
      <c r="B37" s="206" t="s">
        <v>227</v>
      </c>
      <c r="C37" s="8">
        <v>4.3170127868652344</v>
      </c>
      <c r="D37" s="9">
        <v>2.199999988079071E-2</v>
      </c>
      <c r="E37" s="9">
        <v>0.63400000333786011</v>
      </c>
      <c r="F37" s="9">
        <v>7.1999998092651367</v>
      </c>
      <c r="G37" s="9">
        <v>0.42211359739303589</v>
      </c>
      <c r="H37" s="9">
        <v>8.8055558502674103E-2</v>
      </c>
      <c r="I37">
        <v>1.7079999670386314E-3</v>
      </c>
      <c r="J37"/>
    </row>
    <row r="38" spans="1:10" ht="15" customHeight="1" x14ac:dyDescent="0.15">
      <c r="A38" s="207">
        <v>37</v>
      </c>
      <c r="B38" s="207" t="s">
        <v>228</v>
      </c>
      <c r="C38" s="8">
        <v>3.7799663543701172</v>
      </c>
      <c r="D38" s="9">
        <v>1.5999999595806003E-4</v>
      </c>
      <c r="E38" s="9">
        <v>9.0000003576278687E-2</v>
      </c>
      <c r="F38" s="9">
        <v>3.7000000476837158</v>
      </c>
      <c r="G38" s="9">
        <v>0.138888880610466</v>
      </c>
      <c r="H38" s="9">
        <v>2.43243258446455E-2</v>
      </c>
      <c r="I38">
        <v>1.9999999949504854E-6</v>
      </c>
      <c r="J38"/>
    </row>
    <row r="39" spans="1:10" ht="15" customHeight="1" x14ac:dyDescent="0.15">
      <c r="A39" s="208">
        <v>38</v>
      </c>
      <c r="B39" s="208" t="s">
        <v>229</v>
      </c>
      <c r="C39" s="8">
        <v>3.8175597190856934</v>
      </c>
      <c r="D39" s="9">
        <v>9.9999997473787516E-5</v>
      </c>
      <c r="E39" s="9">
        <v>0.1120000034570694</v>
      </c>
      <c r="F39" s="9">
        <v>4.429999828338623</v>
      </c>
      <c r="G39" s="7">
        <v>0</v>
      </c>
      <c r="H39" s="9">
        <v>2.5282168760895729E-2</v>
      </c>
      <c r="I39">
        <v>0</v>
      </c>
      <c r="J39"/>
    </row>
    <row r="40" spans="1:10" ht="15" customHeight="1" x14ac:dyDescent="0.15">
      <c r="A40" s="209">
        <v>39</v>
      </c>
      <c r="B40" s="209" t="s">
        <v>230</v>
      </c>
      <c r="C40" s="8">
        <v>4.6124477386474609</v>
      </c>
      <c r="D40" s="9">
        <v>3.9999998989515007E-4</v>
      </c>
      <c r="E40" s="9">
        <v>5.000000074505806E-2</v>
      </c>
      <c r="F40" s="9">
        <v>5.4879999160766602</v>
      </c>
      <c r="G40" s="7">
        <v>0</v>
      </c>
      <c r="H40" s="9">
        <v>9.1107878834009171E-3</v>
      </c>
      <c r="I40">
        <v>0</v>
      </c>
      <c r="J40"/>
    </row>
    <row r="41" spans="1:10" ht="15" customHeight="1" x14ac:dyDescent="0.15">
      <c r="A41" s="210">
        <v>40</v>
      </c>
      <c r="B41" s="210" t="s">
        <v>231</v>
      </c>
      <c r="C41" s="8">
        <v>4.2955942153930664</v>
      </c>
      <c r="D41" s="9">
        <v>7.0000002160668373E-3</v>
      </c>
      <c r="E41" s="9">
        <v>0.13600000739097595</v>
      </c>
      <c r="F41" s="9">
        <v>14.22599983215332</v>
      </c>
      <c r="G41" s="9">
        <v>0.73457461595535278</v>
      </c>
      <c r="H41" s="9">
        <v>9.5599610358476639E-3</v>
      </c>
      <c r="I41">
        <v>0</v>
      </c>
      <c r="J41"/>
    </row>
    <row r="42" spans="1:10" ht="15" customHeight="1" x14ac:dyDescent="0.15">
      <c r="A42" s="211">
        <v>41</v>
      </c>
      <c r="B42" s="211" t="s">
        <v>232</v>
      </c>
      <c r="C42" s="8">
        <v>4.2657742500305176</v>
      </c>
      <c r="D42" s="9">
        <v>9.4999998807907104E-2</v>
      </c>
      <c r="E42" s="9">
        <v>4</v>
      </c>
      <c r="F42" s="9">
        <v>80</v>
      </c>
      <c r="G42" s="9">
        <v>2.6826567482203245E-3</v>
      </c>
      <c r="H42" s="9">
        <v>5.000000074505806E-2</v>
      </c>
      <c r="I42">
        <v>0</v>
      </c>
      <c r="J42"/>
    </row>
    <row r="43" spans="1:10" ht="15" customHeight="1" x14ac:dyDescent="0.15">
      <c r="A43" s="212">
        <v>42</v>
      </c>
      <c r="B43" s="212" t="s">
        <v>233</v>
      </c>
      <c r="C43" s="8">
        <v>4.0462660789489746</v>
      </c>
      <c r="D43" s="9">
        <v>8.0000003799796104E-3</v>
      </c>
      <c r="E43" s="9">
        <v>6.6869997978210449</v>
      </c>
      <c r="F43" s="9">
        <v>133.73599243164062</v>
      </c>
      <c r="G43" s="9">
        <v>1.9055807963013649E-2</v>
      </c>
      <c r="H43" s="9">
        <v>5.0001498311758041E-2</v>
      </c>
      <c r="I43">
        <v>0</v>
      </c>
      <c r="J43"/>
    </row>
    <row r="44" spans="1:10" ht="15" customHeight="1" x14ac:dyDescent="0.15">
      <c r="A44" s="213">
        <v>43</v>
      </c>
      <c r="B44" s="213" t="s">
        <v>234</v>
      </c>
      <c r="C44" s="8">
        <v>3.1788420677185059</v>
      </c>
      <c r="D44" s="9">
        <v>2.0000000949949026E-3</v>
      </c>
      <c r="E44" s="9">
        <v>2.5</v>
      </c>
      <c r="F44" s="9">
        <v>54.75</v>
      </c>
      <c r="G44" s="9">
        <v>0.2038818895816803</v>
      </c>
      <c r="H44" s="9">
        <v>4.5662101358175278E-2</v>
      </c>
      <c r="I44">
        <v>0</v>
      </c>
      <c r="J44"/>
    </row>
    <row r="45" spans="1:10" ht="15" customHeight="1" x14ac:dyDescent="0.15">
      <c r="A45" s="214">
        <v>44</v>
      </c>
      <c r="B45" s="214" t="s">
        <v>235</v>
      </c>
      <c r="C45" s="8">
        <v>1</v>
      </c>
      <c r="D45" s="9">
        <v>41.270000457763672</v>
      </c>
      <c r="E45" s="10"/>
      <c r="F45" s="10"/>
      <c r="G45" s="7">
        <v>1.8100022571161389E-3</v>
      </c>
      <c r="H45" s="10"/>
      <c r="I45">
        <v>0</v>
      </c>
      <c r="J45"/>
    </row>
    <row r="46" spans="1:10" ht="15" customHeight="1" x14ac:dyDescent="0.15">
      <c r="A46" s="215">
        <v>45</v>
      </c>
      <c r="B46" s="215" t="s">
        <v>236</v>
      </c>
      <c r="C46" s="8">
        <v>1</v>
      </c>
      <c r="D46" s="9">
        <v>5</v>
      </c>
      <c r="E46" s="10"/>
      <c r="F46" s="10"/>
      <c r="G46" s="7">
        <v>0</v>
      </c>
      <c r="H46" s="10"/>
      <c r="I46">
        <v>0</v>
      </c>
      <c r="J46"/>
    </row>
    <row r="47" spans="1:10" ht="15" customHeight="1" x14ac:dyDescent="0.15">
      <c r="A47" s="216">
        <v>46</v>
      </c>
      <c r="B47" s="216" t="s">
        <v>237</v>
      </c>
      <c r="C47" s="8">
        <v>4.7344183921813965</v>
      </c>
      <c r="D47" s="10"/>
      <c r="E47" s="10"/>
      <c r="F47" s="10"/>
      <c r="G47" s="10"/>
      <c r="H47" s="10"/>
      <c r="I47">
        <v>0.13716998696327209</v>
      </c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 t="s">
        <v>230</v>
      </c>
      <c r="AR1" t="s">
        <v>231</v>
      </c>
      <c r="AS1" t="s">
        <v>232</v>
      </c>
      <c r="AT1" t="s">
        <v>233</v>
      </c>
      <c r="AU1" t="s">
        <v>234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243.57200622558594</v>
      </c>
      <c r="C2">
        <v>215.66081237792969</v>
      </c>
      <c r="D2"/>
      <c r="E2"/>
      <c r="F2" s="223">
        <v>19.890968322753906</v>
      </c>
      <c r="G2"/>
      <c r="H2" s="25">
        <v>7.8700981140136719</v>
      </c>
      <c r="I2"/>
      <c r="J2" s="11">
        <v>0.11603344976902008</v>
      </c>
      <c r="K2" s="11">
        <v>3.4101616591215134E-2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8.3999996185302734</v>
      </c>
      <c r="C3">
        <v>0.41756579279899597</v>
      </c>
      <c r="D3"/>
      <c r="E3"/>
      <c r="F3"/>
      <c r="G3" s="275">
        <v>2.9595282077789307</v>
      </c>
      <c r="H3" s="276">
        <v>4.8193740844726562</v>
      </c>
      <c r="I3" s="15">
        <v>8.8165566325187683E-2</v>
      </c>
      <c r="J3"/>
      <c r="K3"/>
      <c r="L3"/>
      <c r="M3" s="11">
        <v>2.0454076584428549E-3</v>
      </c>
      <c r="N3" s="11">
        <v>1.8773134797811508E-4</v>
      </c>
      <c r="O3"/>
      <c r="P3"/>
      <c r="Q3" s="12">
        <v>4.0416844189167023E-2</v>
      </c>
      <c r="R3"/>
      <c r="S3"/>
      <c r="T3" s="11">
        <v>1.6801846504677087E-4</v>
      </c>
      <c r="U3"/>
      <c r="V3"/>
      <c r="W3"/>
      <c r="X3" s="11">
        <v>7.0703751407563686E-3</v>
      </c>
      <c r="Y3"/>
      <c r="Z3"/>
      <c r="AA3" s="11">
        <v>2.9873286839574575E-3</v>
      </c>
      <c r="AB3"/>
      <c r="AC3"/>
      <c r="AD3"/>
      <c r="AE3"/>
      <c r="AF3"/>
      <c r="AG3"/>
      <c r="AH3" s="23">
        <v>5.1428157836198807E-2</v>
      </c>
      <c r="AI3" s="11">
        <v>9.2119094915688038E-5</v>
      </c>
      <c r="AJ3" s="11">
        <v>7.8440280631184578E-3</v>
      </c>
      <c r="AK3"/>
      <c r="AL3" s="11">
        <v>2.3566384334117174E-3</v>
      </c>
      <c r="AM3" s="11">
        <v>7.4067973764613271E-4</v>
      </c>
      <c r="AN3"/>
      <c r="AO3" s="11">
        <v>1.3928357702752692E-6</v>
      </c>
      <c r="AP3" s="11">
        <v>9.0240172312405775E-7</v>
      </c>
      <c r="AQ3" s="11">
        <v>1.9834052977785177E-7</v>
      </c>
      <c r="AR3" s="11">
        <v>2.5697458113427274E-5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5.1469998359680176</v>
      </c>
      <c r="C4">
        <v>0.40811407566070557</v>
      </c>
      <c r="D4"/>
      <c r="E4"/>
      <c r="F4"/>
      <c r="G4" s="255">
        <v>1.7155001163482666</v>
      </c>
      <c r="H4" s="273">
        <v>2.4041595458984375</v>
      </c>
      <c r="I4" s="142">
        <v>0.15044949948787689</v>
      </c>
      <c r="J4"/>
      <c r="K4"/>
      <c r="L4"/>
      <c r="M4" s="12">
        <v>2.405129000544548E-2</v>
      </c>
      <c r="N4" s="11">
        <v>1.545230858027935E-3</v>
      </c>
      <c r="O4"/>
      <c r="P4" s="11">
        <v>2.4010620545595884E-3</v>
      </c>
      <c r="Q4" s="17">
        <v>6.8969041109085083E-2</v>
      </c>
      <c r="R4"/>
      <c r="S4"/>
      <c r="T4" s="11">
        <v>4.8404042609035969E-3</v>
      </c>
      <c r="U4"/>
      <c r="V4"/>
      <c r="W4" s="11">
        <v>2.7204698417335749E-3</v>
      </c>
      <c r="X4" s="15">
        <v>4.7476336359977722E-2</v>
      </c>
      <c r="Y4" s="11">
        <v>4.4733710819855332E-4</v>
      </c>
      <c r="Z4"/>
      <c r="AA4" s="14">
        <v>1.1269917711615562E-2</v>
      </c>
      <c r="AB4"/>
      <c r="AC4"/>
      <c r="AD4"/>
      <c r="AE4" s="11">
        <v>2.4310959270223975E-4</v>
      </c>
      <c r="AF4" s="14">
        <v>1.3224651105701923E-2</v>
      </c>
      <c r="AG4" s="11">
        <v>1.0519762872718275E-4</v>
      </c>
      <c r="AH4" s="64">
        <v>0.21165452897548676</v>
      </c>
      <c r="AI4" s="11">
        <v>3.7911959225311875E-4</v>
      </c>
      <c r="AJ4" s="23">
        <v>3.2282393425703049E-2</v>
      </c>
      <c r="AK4"/>
      <c r="AL4" s="14">
        <v>9.6988342702388763E-3</v>
      </c>
      <c r="AM4" s="11">
        <v>2.4132337421178818E-3</v>
      </c>
      <c r="AN4"/>
      <c r="AO4" s="11">
        <v>4.503924628806999E-6</v>
      </c>
      <c r="AP4" s="11">
        <v>3.7138681818760233E-6</v>
      </c>
      <c r="AQ4" s="11">
        <v>8.1627791814753436E-7</v>
      </c>
      <c r="AR4" s="11">
        <v>1.0575885971775278E-4</v>
      </c>
      <c r="AS4" s="23">
        <v>3.4940030425786972E-2</v>
      </c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</v>
      </c>
      <c r="C5">
        <v>0.40101021528244019</v>
      </c>
      <c r="D5"/>
      <c r="E5"/>
      <c r="F5"/>
      <c r="G5" s="274">
        <v>1.8794319629669189</v>
      </c>
      <c r="H5" s="260">
        <v>2.0793943405151367</v>
      </c>
      <c r="I5" s="64">
        <v>0.20922225713729858</v>
      </c>
      <c r="J5"/>
      <c r="K5"/>
      <c r="L5"/>
      <c r="M5" s="14">
        <v>1.386821735650301E-2</v>
      </c>
      <c r="N5" s="22">
        <v>4.2322296649217606E-2</v>
      </c>
      <c r="O5" s="11">
        <v>2.7960124425590038E-3</v>
      </c>
      <c r="P5" s="11">
        <v>1.384476781822741E-3</v>
      </c>
      <c r="Q5" s="21">
        <v>9.5911629498004913E-2</v>
      </c>
      <c r="R5"/>
      <c r="S5"/>
      <c r="T5" s="11">
        <v>3.9871802437119186E-4</v>
      </c>
      <c r="U5"/>
      <c r="V5" s="11">
        <v>4.6316164662130177E-4</v>
      </c>
      <c r="W5" s="14">
        <v>5.0981147214770317E-3</v>
      </c>
      <c r="X5" s="12">
        <v>1.7661510035395622E-2</v>
      </c>
      <c r="Y5" s="11">
        <v>5.1587820053100586E-4</v>
      </c>
      <c r="Z5" s="14">
        <v>6.514466367661953E-3</v>
      </c>
      <c r="AA5" s="23">
        <v>3.071947768330574E-2</v>
      </c>
      <c r="AB5"/>
      <c r="AC5"/>
      <c r="AD5"/>
      <c r="AE5" s="11">
        <v>1.4017945795785636E-4</v>
      </c>
      <c r="AF5" s="14">
        <v>7.6254680752754211E-3</v>
      </c>
      <c r="AG5" s="11">
        <v>9.5030904049053788E-4</v>
      </c>
      <c r="AH5" s="218">
        <v>0.12204214185476303</v>
      </c>
      <c r="AI5" s="11">
        <v>2.8418547008186579E-3</v>
      </c>
      <c r="AJ5" s="12">
        <v>1.8614357337355614E-2</v>
      </c>
      <c r="AK5" s="11">
        <v>7.745637558400631E-4</v>
      </c>
      <c r="AL5" s="14">
        <v>5.5924463085830212E-3</v>
      </c>
      <c r="AM5" s="11">
        <v>1.757678110152483E-3</v>
      </c>
      <c r="AN5"/>
      <c r="AO5" s="11">
        <v>2.5970086880988674E-6</v>
      </c>
      <c r="AP5" s="11">
        <v>2.1414541606645798E-6</v>
      </c>
      <c r="AQ5" s="11">
        <v>4.7067413788681733E-7</v>
      </c>
      <c r="AR5" s="11">
        <v>6.098163066781126E-5</v>
      </c>
      <c r="AS5" s="22">
        <v>4.3956596404314041E-2</v>
      </c>
      <c r="AT5" s="14">
        <v>8.925347588956356E-3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3.4330000877380371</v>
      </c>
      <c r="C6">
        <v>6.5177872776985168E-2</v>
      </c>
      <c r="D6" s="11">
        <v>5.9620597312459722E-6</v>
      </c>
      <c r="E6"/>
      <c r="F6"/>
      <c r="G6"/>
      <c r="H6"/>
      <c r="I6"/>
      <c r="J6"/>
      <c r="K6"/>
      <c r="L6"/>
      <c r="M6" s="16">
        <v>5.6543994694948196E-2</v>
      </c>
      <c r="N6" s="22">
        <v>2.4218667298555374E-2</v>
      </c>
      <c r="O6"/>
      <c r="P6"/>
      <c r="Q6"/>
      <c r="R6"/>
      <c r="S6"/>
      <c r="T6" s="16">
        <v>5.0576325505971909E-2</v>
      </c>
      <c r="U6"/>
      <c r="V6"/>
      <c r="W6"/>
      <c r="X6"/>
      <c r="Y6"/>
      <c r="Z6" s="258">
        <v>0.36184567213058472</v>
      </c>
      <c r="AA6" s="17">
        <v>4.8173289746046066E-2</v>
      </c>
      <c r="AB6"/>
      <c r="AC6"/>
      <c r="AD6"/>
      <c r="AE6"/>
      <c r="AF6" s="66">
        <v>0.21355317533016205</v>
      </c>
      <c r="AG6"/>
      <c r="AH6" s="271">
        <v>1.9658057689666748</v>
      </c>
      <c r="AI6" s="23">
        <v>1.7826016992330551E-2</v>
      </c>
      <c r="AJ6" s="268">
        <v>0.46549007296562195</v>
      </c>
      <c r="AK6"/>
      <c r="AL6" s="219">
        <v>0.15201148390769958</v>
      </c>
      <c r="AM6" s="14">
        <v>9.9534271284937859E-3</v>
      </c>
      <c r="AN6"/>
      <c r="AO6" s="11">
        <v>8.9842811576090753E-5</v>
      </c>
      <c r="AP6" s="11">
        <v>5.8208090194966644E-5</v>
      </c>
      <c r="AQ6" s="11">
        <v>1.2793662790500093E-5</v>
      </c>
      <c r="AR6" s="11">
        <v>1.6575766494497657E-3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</v>
      </c>
      <c r="C7">
        <v>9.1737627983093262E-2</v>
      </c>
      <c r="D7" s="11">
        <v>2.6365705707576126E-5</v>
      </c>
      <c r="E7"/>
      <c r="F7"/>
      <c r="G7"/>
      <c r="H7"/>
      <c r="I7"/>
      <c r="J7"/>
      <c r="K7" s="218">
        <v>4.7055993229150772E-2</v>
      </c>
      <c r="L7" s="272">
        <v>1.4990440607070923</v>
      </c>
      <c r="M7"/>
      <c r="N7"/>
      <c r="O7" s="22">
        <v>1.6844838857650757E-2</v>
      </c>
      <c r="P7"/>
      <c r="Q7"/>
      <c r="R7" s="64">
        <v>8.3306372165679932E-2</v>
      </c>
      <c r="S7" s="23">
        <v>1.3069876469671726E-2</v>
      </c>
      <c r="T7"/>
      <c r="U7" s="265">
        <v>0.10587751120328903</v>
      </c>
      <c r="V7"/>
      <c r="W7" s="219">
        <v>8.9530907571315765E-2</v>
      </c>
      <c r="X7"/>
      <c r="Y7" s="15">
        <v>1.9629202783107758E-2</v>
      </c>
      <c r="Z7" s="14">
        <v>5.3886063396930695E-3</v>
      </c>
      <c r="AA7"/>
      <c r="AB7" s="11">
        <v>6.2310323119163513E-4</v>
      </c>
      <c r="AC7" s="15">
        <v>2.0180577412247658E-2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 s="11">
        <v>4.477296897675842E-6</v>
      </c>
      <c r="AR7" s="11">
        <v>9.6681504510343075E-4</v>
      </c>
      <c r="AS7"/>
      <c r="AT7"/>
      <c r="AU7" s="12">
        <v>6.7135696299374104E-3</v>
      </c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0.26100000739097595</v>
      </c>
      <c r="C8">
        <v>9.1822065412998199E-2</v>
      </c>
      <c r="D8" s="11">
        <v>2.8000000384054147E-5</v>
      </c>
      <c r="E8"/>
      <c r="F8"/>
      <c r="G8"/>
      <c r="H8"/>
      <c r="I8"/>
      <c r="J8"/>
      <c r="K8" s="225">
        <v>1.0336632840335369E-2</v>
      </c>
      <c r="L8" s="258">
        <v>2.7440832927823067E-2</v>
      </c>
      <c r="M8"/>
      <c r="N8"/>
      <c r="O8" s="24">
        <v>7.4004991911351681E-3</v>
      </c>
      <c r="P8"/>
      <c r="Q8"/>
      <c r="R8" s="261">
        <v>3.7675704807043076E-2</v>
      </c>
      <c r="S8" s="63">
        <v>5.7420320808887482E-3</v>
      </c>
      <c r="T8"/>
      <c r="U8" s="20">
        <v>1.1370462365448475E-2</v>
      </c>
      <c r="V8"/>
      <c r="W8" s="245">
        <v>4.5889556407928467E-2</v>
      </c>
      <c r="X8"/>
      <c r="Y8" s="224">
        <v>8.6237629875540733E-3</v>
      </c>
      <c r="Z8" s="15">
        <v>2.3673942778259516E-3</v>
      </c>
      <c r="AA8"/>
      <c r="AB8" s="11">
        <v>6.0833339375676587E-5</v>
      </c>
      <c r="AC8" s="224">
        <v>8.8659999892115593E-3</v>
      </c>
      <c r="AD8"/>
      <c r="AE8"/>
      <c r="AF8"/>
      <c r="AG8"/>
      <c r="AH8"/>
      <c r="AI8"/>
      <c r="AJ8"/>
      <c r="AK8"/>
      <c r="AL8"/>
      <c r="AM8"/>
      <c r="AN8" s="11">
        <v>1.3069278104183013E-8</v>
      </c>
      <c r="AO8"/>
      <c r="AP8"/>
      <c r="AQ8" s="11">
        <v>1.967025809790357E-6</v>
      </c>
      <c r="AR8" s="14">
        <v>4.2475407826714218E-4</v>
      </c>
      <c r="AS8"/>
      <c r="AT8"/>
      <c r="AU8" s="18">
        <v>2.949494868516922E-3</v>
      </c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0.81999999284744263</v>
      </c>
      <c r="C9">
        <v>1.1671054176986217E-2</v>
      </c>
      <c r="D9" s="11">
        <v>9.9328863143455237E-6</v>
      </c>
      <c r="E9"/>
      <c r="F9"/>
      <c r="G9"/>
      <c r="H9"/>
      <c r="I9"/>
      <c r="J9"/>
      <c r="K9"/>
      <c r="L9" s="269">
        <v>0.22100001573562622</v>
      </c>
      <c r="M9"/>
      <c r="N9"/>
      <c r="O9" s="218">
        <v>1.8821481615304947E-2</v>
      </c>
      <c r="P9" s="18">
        <v>9.3196667730808258E-3</v>
      </c>
      <c r="Q9"/>
      <c r="R9" s="74">
        <v>5.375019833445549E-2</v>
      </c>
      <c r="S9" s="18">
        <v>9.2489114031195641E-3</v>
      </c>
      <c r="T9" s="64">
        <v>3.3997178077697754E-2</v>
      </c>
      <c r="U9" s="67">
        <v>7.4924327433109283E-2</v>
      </c>
      <c r="V9" s="22">
        <v>6.2355874106287956E-3</v>
      </c>
      <c r="W9" s="262">
        <v>6.0716785490512848E-2</v>
      </c>
      <c r="X9" s="68">
        <v>4.1611228138208389E-2</v>
      </c>
      <c r="Y9" s="21">
        <v>1.6495119780302048E-2</v>
      </c>
      <c r="Z9" s="12">
        <v>3.8132527843117714E-3</v>
      </c>
      <c r="AA9"/>
      <c r="AB9" s="11">
        <v>4.4093962060287595E-4</v>
      </c>
      <c r="AC9" s="19">
        <v>1.4280806295573711E-2</v>
      </c>
      <c r="AD9"/>
      <c r="AE9" s="14">
        <v>9.4362418167293072E-4</v>
      </c>
      <c r="AF9"/>
      <c r="AG9"/>
      <c r="AH9" s="217">
        <v>9.1281332075595856E-2</v>
      </c>
      <c r="AI9" s="267">
        <v>0.1133088693022728</v>
      </c>
      <c r="AJ9" s="18">
        <v>1.0024268180131912E-2</v>
      </c>
      <c r="AK9" s="22">
        <v>6.13413006067276E-3</v>
      </c>
      <c r="AL9" s="14">
        <v>1.5058321878314018E-3</v>
      </c>
      <c r="AM9" s="17">
        <v>1.1831887066364288E-2</v>
      </c>
      <c r="AN9" s="12">
        <v>3.7892146501690149E-3</v>
      </c>
      <c r="AO9"/>
      <c r="AP9"/>
      <c r="AQ9" s="11">
        <v>3.1683637189416913E-6</v>
      </c>
      <c r="AR9" s="11">
        <v>6.8416766589507461E-4</v>
      </c>
      <c r="AS9"/>
      <c r="AT9"/>
      <c r="AU9" s="23">
        <v>4.1570067405700684E-3</v>
      </c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2.3369998931884766</v>
      </c>
      <c r="C10">
        <v>1.7168632745742798</v>
      </c>
      <c r="D10" s="217">
        <v>0.26097309589385986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6">
        <v>3.7463795393705368E-2</v>
      </c>
      <c r="W10"/>
      <c r="X10"/>
      <c r="Y10"/>
      <c r="Z10"/>
      <c r="AA10"/>
      <c r="AB10"/>
      <c r="AC10"/>
      <c r="AD10"/>
      <c r="AE10" s="14">
        <v>3.7795701064169407E-3</v>
      </c>
      <c r="AF10"/>
      <c r="AG10"/>
      <c r="AH10"/>
      <c r="AI10"/>
      <c r="AJ10"/>
      <c r="AK10" s="14">
        <v>6.1423750594258308E-3</v>
      </c>
      <c r="AL10" s="11">
        <v>3.0157120818330441E-6</v>
      </c>
      <c r="AM10" s="11">
        <v>9.8731575803867599E-8</v>
      </c>
      <c r="AN10" s="63">
        <v>5.0590731203556061E-2</v>
      </c>
      <c r="AO10"/>
      <c r="AP10"/>
      <c r="AQ10" s="11">
        <v>5.7107186876237392E-4</v>
      </c>
      <c r="AR10" s="23">
        <v>1.3701743446290493E-2</v>
      </c>
      <c r="AS10" s="258">
        <v>0.24691110849380493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2.3369998931884766</v>
      </c>
      <c r="C11">
        <v>6.7843168973922729E-2</v>
      </c>
      <c r="D11" s="218">
        <v>5.3217574954032898E-2</v>
      </c>
      <c r="E11"/>
      <c r="F11"/>
      <c r="G11"/>
      <c r="H11"/>
      <c r="I11"/>
      <c r="J11"/>
      <c r="K11"/>
      <c r="L11"/>
      <c r="M11"/>
      <c r="N11"/>
      <c r="O11"/>
      <c r="P11" s="23">
        <v>1.3833735138177872E-2</v>
      </c>
      <c r="Q11"/>
      <c r="R11"/>
      <c r="S11"/>
      <c r="T11" s="27">
        <v>8.3664059638977051E-2</v>
      </c>
      <c r="U11"/>
      <c r="V11" s="64">
        <v>9.7186438739299774E-2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 s="12">
        <v>9.5605179667472839E-3</v>
      </c>
      <c r="AL11" s="11">
        <v>4.6939123421907425E-5</v>
      </c>
      <c r="AM11" s="23">
        <v>1.5367426909506321E-2</v>
      </c>
      <c r="AN11" s="63">
        <v>5.2495844662189484E-2</v>
      </c>
      <c r="AO11"/>
      <c r="AP11"/>
      <c r="AQ11" s="11">
        <v>8.8886503363028169E-4</v>
      </c>
      <c r="AR11" s="15">
        <v>2.1326564252376556E-2</v>
      </c>
      <c r="AS11" s="263">
        <v>1.921568751335144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2.3369998931884766</v>
      </c>
      <c r="C12">
        <v>1.1068392992019653</v>
      </c>
      <c r="D12" s="11">
        <v>2.1568627562373877E-4</v>
      </c>
      <c r="E12"/>
      <c r="F12"/>
      <c r="G12"/>
      <c r="H12"/>
      <c r="I12"/>
      <c r="J12"/>
      <c r="K12"/>
      <c r="L12"/>
      <c r="M12"/>
      <c r="N12"/>
      <c r="O12" s="225">
        <v>9.1647043824195862E-2</v>
      </c>
      <c r="P12" s="223">
        <v>0.19448605179786682</v>
      </c>
      <c r="Q12"/>
      <c r="R12"/>
      <c r="S12" s="63">
        <v>5.1964063197374344E-2</v>
      </c>
      <c r="T12"/>
      <c r="U12"/>
      <c r="V12" s="107">
        <v>0.45544230937957764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 s="21">
        <v>4.4803209602832794E-2</v>
      </c>
      <c r="AL12" s="11">
        <v>2.1996960276737809E-4</v>
      </c>
      <c r="AM12" s="25">
        <v>7.2015978395938873E-2</v>
      </c>
      <c r="AN12" s="67">
        <v>0.21525870263576508</v>
      </c>
      <c r="AO12"/>
      <c r="AP12"/>
      <c r="AQ12" s="14">
        <v>4.1654654778540134E-3</v>
      </c>
      <c r="AR12" s="20">
        <v>9.9942132830619812E-2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1.1690000295639038</v>
      </c>
      <c r="C13">
        <v>0.66794991493225098</v>
      </c>
      <c r="D13" s="11">
        <v>1.1428571451688185E-4</v>
      </c>
      <c r="E13"/>
      <c r="F13"/>
      <c r="G13"/>
      <c r="H13"/>
      <c r="I13"/>
      <c r="J13"/>
      <c r="K13"/>
      <c r="L13"/>
      <c r="M13"/>
      <c r="N13"/>
      <c r="O13"/>
      <c r="P13" s="230">
        <v>9.446464478969574E-2</v>
      </c>
      <c r="Q13"/>
      <c r="R13"/>
      <c r="S13"/>
      <c r="T13"/>
      <c r="U13"/>
      <c r="V13" s="232">
        <v>0.1327289342880249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 s="219">
        <v>5.2468784153461456E-2</v>
      </c>
      <c r="AN13" s="229">
        <v>6.7213431000709534E-2</v>
      </c>
      <c r="AO13"/>
      <c r="AP13"/>
      <c r="AQ13" s="22">
        <v>8.4301084280014038E-3</v>
      </c>
      <c r="AR13" s="234">
        <v>0.14562994241714478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0.93000000715255737</v>
      </c>
      <c r="C14">
        <v>0.18511822819709778</v>
      </c>
      <c r="D14" s="11">
        <v>1.1544804692675825E-5</v>
      </c>
      <c r="E14"/>
      <c r="F14"/>
      <c r="G14"/>
      <c r="H14"/>
      <c r="I14"/>
      <c r="J14"/>
      <c r="K14"/>
      <c r="L14"/>
      <c r="M14"/>
      <c r="N14"/>
      <c r="O14"/>
      <c r="P14" s="64">
        <v>3.8170155137777328E-2</v>
      </c>
      <c r="Q14"/>
      <c r="R14"/>
      <c r="S14"/>
      <c r="T14"/>
      <c r="U14"/>
      <c r="V14"/>
      <c r="W14" s="218">
        <v>2.1623920649290085E-2</v>
      </c>
      <c r="X14"/>
      <c r="Y14" s="16">
        <v>1.4222810976207256E-2</v>
      </c>
      <c r="Z14"/>
      <c r="AA14"/>
      <c r="AB14"/>
      <c r="AC14"/>
      <c r="AD14" s="11">
        <v>7.3471135692670941E-4</v>
      </c>
      <c r="AE14" s="12">
        <v>3.8647607434540987E-3</v>
      </c>
      <c r="AF14"/>
      <c r="AG14"/>
      <c r="AH14"/>
      <c r="AI14"/>
      <c r="AJ14"/>
      <c r="AK14" s="23">
        <v>6.2808231450617313E-3</v>
      </c>
      <c r="AL14" s="11">
        <v>6.1673716800214606E-7</v>
      </c>
      <c r="AM14" s="12">
        <v>4.0382780134677887E-3</v>
      </c>
      <c r="AN14" s="14">
        <v>1.7243686597794294E-3</v>
      </c>
      <c r="AO14"/>
      <c r="AP14"/>
      <c r="AQ14" s="11">
        <v>1.4274184650275856E-4</v>
      </c>
      <c r="AR14" s="17">
        <v>1.2889733538031578E-2</v>
      </c>
      <c r="AS14" s="266">
        <v>0.3350868821144104</v>
      </c>
      <c r="AT14" s="264">
        <v>0.30609038472175598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0.8970000147819519</v>
      </c>
      <c r="C15">
        <v>9.5736958086490631E-2</v>
      </c>
      <c r="D15" s="11">
        <v>4.520548100117594E-4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249">
        <v>0.17970322072505951</v>
      </c>
      <c r="T15"/>
      <c r="U15"/>
      <c r="V15" s="245">
        <v>0.15909285843372345</v>
      </c>
      <c r="W15"/>
      <c r="X15"/>
      <c r="Y15" s="248">
        <v>0.17720064520835876</v>
      </c>
      <c r="Z15"/>
      <c r="AA15"/>
      <c r="AB15"/>
      <c r="AC15"/>
      <c r="AD15"/>
      <c r="AE15"/>
      <c r="AF15"/>
      <c r="AG15"/>
      <c r="AH15"/>
      <c r="AI15" s="235">
        <v>7.5089052319526672E-2</v>
      </c>
      <c r="AJ15"/>
      <c r="AK15"/>
      <c r="AL15"/>
      <c r="AM15"/>
      <c r="AN15"/>
      <c r="AO15"/>
      <c r="AP15"/>
      <c r="AQ15" s="11">
        <v>1.6167334979400039E-4</v>
      </c>
      <c r="AR15" s="22">
        <v>6.9822571240365505E-3</v>
      </c>
      <c r="AS15"/>
      <c r="AT15" s="243">
        <v>0.14955097436904907</v>
      </c>
      <c r="AU15" s="65">
        <v>5.3030315786600113E-2</v>
      </c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0.37000000476837158</v>
      </c>
      <c r="C16">
        <v>5.9428706765174866E-2</v>
      </c>
      <c r="D16" s="11">
        <v>3.2258063583867624E-5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239">
        <v>0.29371625185012817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14">
        <v>3.807146567851305E-4</v>
      </c>
      <c r="AR16" s="219">
        <v>1.6442088410258293E-2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1.0089999437332153</v>
      </c>
      <c r="C17">
        <v>3.7858812138438225E-3</v>
      </c>
      <c r="D17" s="11">
        <v>4.1237109689973295E-4</v>
      </c>
      <c r="E17"/>
      <c r="F17"/>
      <c r="G17"/>
      <c r="H17"/>
      <c r="I17"/>
      <c r="J17"/>
      <c r="K17"/>
      <c r="L17"/>
      <c r="M17"/>
      <c r="N17"/>
      <c r="O17"/>
      <c r="P17" s="224">
        <v>3.408518061041832E-2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 s="218">
        <v>2.355632558465004E-2</v>
      </c>
      <c r="AL17"/>
      <c r="AM17"/>
      <c r="AN17"/>
      <c r="AO17"/>
      <c r="AP17"/>
      <c r="AQ17" s="11">
        <v>2.4334338377229869E-4</v>
      </c>
      <c r="AR17"/>
      <c r="AS17" s="259">
        <v>0.94691681861877441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1.090999960899353</v>
      </c>
      <c r="C18">
        <v>4.159129410982132E-2</v>
      </c>
      <c r="D18" s="11">
        <v>3.1746032618684694E-5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75">
        <v>0.18434569239616394</v>
      </c>
      <c r="W18" s="253">
        <v>0.31217390298843384</v>
      </c>
      <c r="X18"/>
      <c r="Y18"/>
      <c r="Z18"/>
      <c r="AA18"/>
      <c r="AB18"/>
      <c r="AC18" s="246">
        <v>0.34542861580848694</v>
      </c>
      <c r="AD18"/>
      <c r="AE18"/>
      <c r="AF18"/>
      <c r="AG18"/>
      <c r="AH18"/>
      <c r="AI18"/>
      <c r="AJ18"/>
      <c r="AK18"/>
      <c r="AL18"/>
      <c r="AM18"/>
      <c r="AN18" s="106">
        <v>0.19915087521076202</v>
      </c>
      <c r="AO18"/>
      <c r="AP18"/>
      <c r="AQ18" s="11">
        <v>1.8733578326646239E-4</v>
      </c>
      <c r="AR18" s="22">
        <v>8.0905519425868988E-3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0.30000001192092896</v>
      </c>
      <c r="C19">
        <v>5.1445003598928452E-2</v>
      </c>
      <c r="D19" s="19">
        <v>5.561403464525938E-3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 s="252">
        <v>0.22772267460823059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25">
        <v>9.1714225709438324E-3</v>
      </c>
      <c r="AO19"/>
      <c r="AP19"/>
      <c r="AQ19" s="11">
        <v>1.3803689216729254E-4</v>
      </c>
      <c r="AR19" s="21">
        <v>5.9614591300487518E-3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0.4309999942779541</v>
      </c>
      <c r="C20">
        <v>0.12454390525817871</v>
      </c>
      <c r="D20" s="14">
        <v>4.4708425411954522E-4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255">
        <v>0.14395764470100403</v>
      </c>
      <c r="U20"/>
      <c r="V20"/>
      <c r="W20"/>
      <c r="X20"/>
      <c r="Y20" s="138">
        <v>5.5877525359392166E-2</v>
      </c>
      <c r="Z20" s="219">
        <v>1.9327756017446518E-2</v>
      </c>
      <c r="AA20"/>
      <c r="AB20"/>
      <c r="AC20"/>
      <c r="AD20"/>
      <c r="AE20"/>
      <c r="AF20"/>
      <c r="AG20"/>
      <c r="AH20"/>
      <c r="AI20" s="251">
        <v>7.1034558117389679E-2</v>
      </c>
      <c r="AJ20"/>
      <c r="AK20"/>
      <c r="AL20"/>
      <c r="AM20"/>
      <c r="AN20" s="25">
        <v>1.3549143448472023E-2</v>
      </c>
      <c r="AO20"/>
      <c r="AP20" s="11">
        <v>9.6646826932555996E-6</v>
      </c>
      <c r="AQ20" s="11">
        <v>5.0981227104784921E-5</v>
      </c>
      <c r="AR20" s="23">
        <v>2.201748313382268E-3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1.2269999980926514</v>
      </c>
      <c r="C21">
        <v>0.30553683638572693</v>
      </c>
      <c r="D21" s="11">
        <v>4.4475140748545527E-4</v>
      </c>
      <c r="E21"/>
      <c r="F21"/>
      <c r="G21"/>
      <c r="H21"/>
      <c r="I21"/>
      <c r="J21"/>
      <c r="K21"/>
      <c r="L21"/>
      <c r="M21"/>
      <c r="N21"/>
      <c r="O21" s="15">
        <v>1.2911600992083549E-2</v>
      </c>
      <c r="P21" s="13">
        <v>4.5666616410017014E-2</v>
      </c>
      <c r="Q21"/>
      <c r="R21"/>
      <c r="S21"/>
      <c r="T21" s="16">
        <v>1.8412264063954353E-2</v>
      </c>
      <c r="U21"/>
      <c r="V21" s="143">
        <v>0.30798971652984619</v>
      </c>
      <c r="W21"/>
      <c r="X21"/>
      <c r="Y21" s="17">
        <v>1.7866916954517365E-2</v>
      </c>
      <c r="Z21" s="25">
        <v>3.9238583296537399E-2</v>
      </c>
      <c r="AA21"/>
      <c r="AB21"/>
      <c r="AC21"/>
      <c r="AD21"/>
      <c r="AE21" s="16">
        <v>1.9419889897108078E-2</v>
      </c>
      <c r="AF21"/>
      <c r="AG21"/>
      <c r="AH21"/>
      <c r="AI21" s="26">
        <v>3.0284535139799118E-2</v>
      </c>
      <c r="AJ21"/>
      <c r="AK21" s="26">
        <v>3.1560268253087997E-2</v>
      </c>
      <c r="AL21" s="11">
        <v>3.0990193522484333E-7</v>
      </c>
      <c r="AM21" s="16">
        <v>2.0291788503527641E-2</v>
      </c>
      <c r="AN21"/>
      <c r="AO21"/>
      <c r="AP21"/>
      <c r="AQ21" s="11">
        <v>1.9561575027182698E-4</v>
      </c>
      <c r="AR21" s="14">
        <v>2.8160484507679939E-3</v>
      </c>
      <c r="AS21" s="256">
        <v>0.25373187661170959</v>
      </c>
      <c r="AT21" s="254">
        <v>0.12063231319189072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0.52100002765655518</v>
      </c>
      <c r="C22">
        <v>3.9403486996889114E-2</v>
      </c>
      <c r="D22" s="68">
        <v>2.6115385815501213E-2</v>
      </c>
      <c r="E22"/>
      <c r="F22"/>
      <c r="G22"/>
      <c r="H22"/>
      <c r="I22"/>
      <c r="J22"/>
      <c r="K22"/>
      <c r="L22"/>
      <c r="M22"/>
      <c r="N22"/>
      <c r="O22"/>
      <c r="P22" s="233">
        <v>7.629837840795517E-2</v>
      </c>
      <c r="Q22"/>
      <c r="R22"/>
      <c r="S22"/>
      <c r="T22"/>
      <c r="U22"/>
      <c r="V22"/>
      <c r="W22" s="104">
        <v>0.15128429234027863</v>
      </c>
      <c r="X22"/>
      <c r="Y22"/>
      <c r="Z22"/>
      <c r="AA22" s="250">
        <v>0.22789672017097473</v>
      </c>
      <c r="AB22"/>
      <c r="AC22"/>
      <c r="AD22"/>
      <c r="AE22"/>
      <c r="AF22"/>
      <c r="AG22"/>
      <c r="AH22"/>
      <c r="AI22"/>
      <c r="AJ22"/>
      <c r="AK22" s="11">
        <v>1.7576641084815492E-6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0.38299998641014099</v>
      </c>
      <c r="C23">
        <v>0.17258644104003906</v>
      </c>
      <c r="D23" s="14">
        <v>4.4270831858739257E-4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66">
        <v>2.4057338014245033E-2</v>
      </c>
      <c r="U23"/>
      <c r="V23" s="246">
        <v>0.12097685784101486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 s="236">
        <v>5.9504255652427673E-2</v>
      </c>
      <c r="AL23"/>
      <c r="AM23"/>
      <c r="AN23"/>
      <c r="AO23"/>
      <c r="AP23"/>
      <c r="AQ23" s="11">
        <v>1.2293910549487919E-4</v>
      </c>
      <c r="AR23" s="17">
        <v>5.3094243630766869E-3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0.92599999904632568</v>
      </c>
      <c r="C24">
        <v>4.29728664457798E-2</v>
      </c>
      <c r="D24" s="11">
        <v>2.6666666963137686E-4</v>
      </c>
      <c r="E24"/>
      <c r="F24"/>
      <c r="G24"/>
      <c r="H24"/>
      <c r="I24"/>
      <c r="J24"/>
      <c r="K24"/>
      <c r="L24"/>
      <c r="M24"/>
      <c r="N24"/>
      <c r="O24" s="27">
        <v>3.2799992710351944E-2</v>
      </c>
      <c r="P24"/>
      <c r="Q24"/>
      <c r="R24"/>
      <c r="S24"/>
      <c r="T24"/>
      <c r="U24"/>
      <c r="V24"/>
      <c r="W24"/>
      <c r="X24"/>
      <c r="Y24" s="260">
        <v>0.38579994440078735</v>
      </c>
      <c r="Z24"/>
      <c r="AA24"/>
      <c r="AB24"/>
      <c r="AC24"/>
      <c r="AD24"/>
      <c r="AE24" s="24">
        <v>2.4666666984558105E-2</v>
      </c>
      <c r="AF24"/>
      <c r="AG24"/>
      <c r="AH24"/>
      <c r="AI24"/>
      <c r="AJ24"/>
      <c r="AK24" s="20">
        <v>4.0087077766656876E-2</v>
      </c>
      <c r="AL24"/>
      <c r="AM24"/>
      <c r="AN24" s="223">
        <v>7.7039964497089386E-2</v>
      </c>
      <c r="AO24"/>
      <c r="AP24"/>
      <c r="AQ24" s="11">
        <v>8.2822138210758567E-5</v>
      </c>
      <c r="AR24"/>
      <c r="AS24" s="257">
        <v>0.32228398323059082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0.6029999852180481</v>
      </c>
      <c r="C25">
        <v>0.60298430919647217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11">
        <v>1.5683132005506195E-5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0.3529999852180481</v>
      </c>
      <c r="C26">
        <v>0.18113726377487183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 s="238">
        <v>0.17186272144317627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0.40200001001358032</v>
      </c>
      <c r="C27">
        <v>0.39102929830551147</v>
      </c>
      <c r="D27" s="24">
        <v>1.0964285582304001E-2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11">
        <v>8.1605838886389392E-7</v>
      </c>
      <c r="AL27"/>
      <c r="AM27"/>
      <c r="AN27" s="11">
        <v>5.6011190281424206E-6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0.36000001430511475</v>
      </c>
      <c r="C28">
        <v>0.30807358026504517</v>
      </c>
      <c r="D28" s="28">
        <v>1.6635134816169739E-2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11">
        <v>3.087788172706496E-6</v>
      </c>
      <c r="AL28"/>
      <c r="AM28"/>
      <c r="AN28" s="65">
        <v>2.1193422377109528E-2</v>
      </c>
      <c r="AO28"/>
      <c r="AP28"/>
      <c r="AQ28" s="11">
        <v>3.1897713779471815E-4</v>
      </c>
      <c r="AR28" s="225">
        <v>1.3775804080069065E-2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1.0089999437332153</v>
      </c>
      <c r="C29">
        <v>0.73608356714248657</v>
      </c>
      <c r="D29" s="11">
        <v>1.8888888007495552E-4</v>
      </c>
      <c r="E29"/>
      <c r="F29"/>
      <c r="G29"/>
      <c r="H29"/>
      <c r="I29"/>
      <c r="J29"/>
      <c r="K29"/>
      <c r="L29"/>
      <c r="M29"/>
      <c r="N29"/>
      <c r="O29"/>
      <c r="P29"/>
      <c r="Q29"/>
      <c r="R29" s="70">
        <v>7.176324725151062E-2</v>
      </c>
      <c r="S29"/>
      <c r="T29"/>
      <c r="U29"/>
      <c r="V29"/>
      <c r="W29"/>
      <c r="X29"/>
      <c r="Y29"/>
      <c r="Z29"/>
      <c r="AA29" s="247">
        <v>0.131673663854599</v>
      </c>
      <c r="AB29"/>
      <c r="AC29"/>
      <c r="AD29"/>
      <c r="AE29"/>
      <c r="AF29"/>
      <c r="AG29"/>
      <c r="AH29"/>
      <c r="AI29"/>
      <c r="AJ29"/>
      <c r="AK29" s="66">
        <v>6.3471205532550812E-2</v>
      </c>
      <c r="AL29"/>
      <c r="AM29"/>
      <c r="AN29"/>
      <c r="AO29"/>
      <c r="AP29" s="11">
        <v>2.4859709810698405E-5</v>
      </c>
      <c r="AQ29" s="11">
        <v>1.3113504974171519E-4</v>
      </c>
      <c r="AR29" s="23">
        <v>5.6633860804140568E-3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0.31499999761581421</v>
      </c>
      <c r="C30">
        <v>5.0387989729642868E-2</v>
      </c>
      <c r="D30" s="18">
        <v>3.512820228934288E-3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231">
        <v>0.23435524106025696</v>
      </c>
      <c r="AL30"/>
      <c r="AM30"/>
      <c r="AN30"/>
      <c r="AO30"/>
      <c r="AP30"/>
      <c r="AQ30" s="14">
        <v>6.0523865977302194E-4</v>
      </c>
      <c r="AR30" s="223">
        <v>2.6138704270124435E-2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1.0089999437332153</v>
      </c>
      <c r="C31">
        <v>9.6624650061130524E-2</v>
      </c>
      <c r="D31" s="11">
        <v>1.8460665160091594E-5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7">
        <v>1.3193731196224689E-2</v>
      </c>
      <c r="W31"/>
      <c r="X31"/>
      <c r="Y31" s="22">
        <v>7.3477122932672501E-3</v>
      </c>
      <c r="Z31"/>
      <c r="AA31" s="105">
        <v>6.7314006388187408E-2</v>
      </c>
      <c r="AB31"/>
      <c r="AC31"/>
      <c r="AD31" s="14">
        <v>2.2773761302232742E-3</v>
      </c>
      <c r="AE31" s="14">
        <v>1.9965919200330973E-3</v>
      </c>
      <c r="AF31"/>
      <c r="AG31"/>
      <c r="AH31"/>
      <c r="AI31"/>
      <c r="AJ31"/>
      <c r="AK31" s="12">
        <v>3.2447648700326681E-3</v>
      </c>
      <c r="AL31"/>
      <c r="AM31"/>
      <c r="AN31"/>
      <c r="AO31"/>
      <c r="AP31"/>
      <c r="AQ31" s="11">
        <v>6.703865437884815E-6</v>
      </c>
      <c r="AR31" s="11">
        <v>2.8952272259630263E-4</v>
      </c>
      <c r="AS31" s="270">
        <v>0.81668639183044434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0.38999998569488525</v>
      </c>
      <c r="C32">
        <v>0.15225741267204285</v>
      </c>
      <c r="D32" s="219">
        <v>1.7968803644180298E-2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 s="142">
        <v>1.1209398508071899E-2</v>
      </c>
      <c r="Z32" s="234">
        <v>4.9235235899686813E-2</v>
      </c>
      <c r="AA32" s="247">
        <v>5.1345877349376678E-2</v>
      </c>
      <c r="AB32"/>
      <c r="AC32"/>
      <c r="AD32" s="225">
        <v>1.5441247262060642E-2</v>
      </c>
      <c r="AE32" s="25">
        <v>1.2183708138763905E-2</v>
      </c>
      <c r="AF32"/>
      <c r="AG32"/>
      <c r="AH32"/>
      <c r="AI32"/>
      <c r="AJ32"/>
      <c r="AK32" s="244">
        <v>3.9600752294063568E-2</v>
      </c>
      <c r="AL32"/>
      <c r="AM32"/>
      <c r="AN32" s="242">
        <v>3.5334613174200058E-2</v>
      </c>
      <c r="AO32"/>
      <c r="AP32"/>
      <c r="AQ32" s="11">
        <v>1.2272599269635975E-4</v>
      </c>
      <c r="AR32" s="17">
        <v>5.3002233617007732E-3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1.0089999437332153</v>
      </c>
      <c r="C33">
        <v>0.6282954216003418</v>
      </c>
      <c r="D33" s="11">
        <v>3.4482759474485647E-6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217">
        <v>0.11213301122188568</v>
      </c>
      <c r="W33"/>
      <c r="X33"/>
      <c r="Y33" s="219">
        <v>4.460567981004715E-2</v>
      </c>
      <c r="Z33" s="226">
        <v>7.3470868170261383E-2</v>
      </c>
      <c r="AA33"/>
      <c r="AB33"/>
      <c r="AC33"/>
      <c r="AD33" s="14">
        <v>2.3042068351060152E-3</v>
      </c>
      <c r="AE33"/>
      <c r="AF33"/>
      <c r="AG33"/>
      <c r="AH33"/>
      <c r="AI33"/>
      <c r="AJ33"/>
      <c r="AK33" s="21">
        <v>1.9697960466146469E-2</v>
      </c>
      <c r="AL33"/>
      <c r="AM33"/>
      <c r="AN33"/>
      <c r="AO33"/>
      <c r="AP33"/>
      <c r="AQ33" s="11">
        <v>4.0697086660657078E-5</v>
      </c>
      <c r="AR33" s="14">
        <v>1.7576026730239391E-3</v>
      </c>
      <c r="AS33" s="234">
        <v>0.12669104337692261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0.15000000596046448</v>
      </c>
      <c r="C34">
        <v>3.5120997577905655E-2</v>
      </c>
      <c r="D34" s="27">
        <v>5.4170852527022362E-3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 s="240">
        <v>9.7504876554012299E-2</v>
      </c>
      <c r="Z34"/>
      <c r="AA34"/>
      <c r="AB34"/>
      <c r="AC34"/>
      <c r="AD34" s="219">
        <v>6.7157787270843983E-3</v>
      </c>
      <c r="AE34"/>
      <c r="AF34"/>
      <c r="AG34"/>
      <c r="AH34"/>
      <c r="AI34"/>
      <c r="AJ34"/>
      <c r="AK34"/>
      <c r="AL34"/>
      <c r="AM34"/>
      <c r="AN34"/>
      <c r="AO34"/>
      <c r="AP34"/>
      <c r="AQ34" s="11">
        <v>1.1861461825901642E-4</v>
      </c>
      <c r="AR34" s="224">
        <v>5.1226606592535973E-3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1.0089999437332153</v>
      </c>
      <c r="C35">
        <v>0.83322668075561523</v>
      </c>
      <c r="D35" s="11">
        <v>1.931818260345608E-4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s="241">
        <v>0.11170565336942673</v>
      </c>
      <c r="AB35"/>
      <c r="AC35"/>
      <c r="AD35" s="22">
        <v>7.5934091582894325E-3</v>
      </c>
      <c r="AE35" s="225">
        <v>3.9943180978298187E-2</v>
      </c>
      <c r="AF35"/>
      <c r="AG35"/>
      <c r="AH35"/>
      <c r="AI35"/>
      <c r="AJ35"/>
      <c r="AK35" s="15">
        <v>1.0386220179498196E-2</v>
      </c>
      <c r="AL35"/>
      <c r="AM35"/>
      <c r="AN35"/>
      <c r="AO35"/>
      <c r="AP35" s="11">
        <v>2.542470429034438E-5</v>
      </c>
      <c r="AQ35" s="11">
        <v>1.3411539839580655E-4</v>
      </c>
      <c r="AR35" s="23">
        <v>5.792099516838789E-3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0.1940000057220459</v>
      </c>
      <c r="C36">
        <v>0.10381351411342621</v>
      </c>
      <c r="D36" s="220">
        <v>2.3422680795192719E-2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 s="218">
        <v>4.5925769954919815E-3</v>
      </c>
      <c r="AE36" s="139">
        <v>1.9326461479067802E-2</v>
      </c>
      <c r="AF36"/>
      <c r="AG36"/>
      <c r="AH36"/>
      <c r="AI36"/>
      <c r="AJ36"/>
      <c r="AK36" s="237">
        <v>3.9260540157556534E-2</v>
      </c>
      <c r="AL36"/>
      <c r="AM36"/>
      <c r="AN36"/>
      <c r="AO36"/>
      <c r="AP36"/>
      <c r="AQ36" s="11">
        <v>8.1114463682752103E-5</v>
      </c>
      <c r="AR36" s="19">
        <v>3.5031253937631845E-3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0.63400000333786011</v>
      </c>
      <c r="C37">
        <v>0.36637997627258301</v>
      </c>
      <c r="D37" s="220">
        <v>7.7636361122131348E-2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 s="228">
        <v>0.14257393777370453</v>
      </c>
      <c r="AO37"/>
      <c r="AP37"/>
      <c r="AQ37" s="14">
        <v>1.0729231871664524E-3</v>
      </c>
      <c r="AR37" s="226">
        <v>4.6336796134710312E-2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9.0000003576278687E-2</v>
      </c>
      <c r="C38">
        <v>7.7500000596046448E-2</v>
      </c>
      <c r="D38" s="221">
        <v>1.2500000186264515E-2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0.1120000034570694</v>
      </c>
      <c r="C39">
        <v>0.1120000034570694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5.000000074505806E-2</v>
      </c>
      <c r="C40">
        <v>5.000000074505806E-2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0.13600000739097595</v>
      </c>
      <c r="C41">
        <v>3.6097854375839233E-2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 s="222">
        <v>9.9902153015136719E-2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4</v>
      </c>
      <c r="C42">
        <v>3.9892692565917969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 s="14">
        <v>1.0730626992881298E-2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6.6869997978210449</v>
      </c>
      <c r="C43">
        <v>6.5595736503601074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 s="21">
        <v>0.12742617726325989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2.5</v>
      </c>
      <c r="C44">
        <v>1.9902952909469604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 s="227">
        <v>0.50970470905303955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/>
      <c r="C45">
        <v>1.8100022571161389E-3</v>
      </c>
      <c r="D45"/>
      <c r="E45"/>
      <c r="F45"/>
      <c r="G45"/>
      <c r="H45"/>
      <c r="I45"/>
      <c r="J45" s="9">
        <v>19.021902084350586</v>
      </c>
      <c r="K45" s="9">
        <v>7.9385347366333008</v>
      </c>
      <c r="L45" s="9">
        <v>23.050298690795898</v>
      </c>
      <c r="M45"/>
      <c r="N45"/>
      <c r="O45"/>
      <c r="P45"/>
      <c r="Q45"/>
      <c r="R45"/>
      <c r="S45"/>
      <c r="T45"/>
      <c r="U45"/>
      <c r="V45"/>
      <c r="W45"/>
      <c r="X45"/>
      <c r="Y45" s="9">
        <v>1.2935646809637547E-2</v>
      </c>
      <c r="Z45" s="9">
        <v>4.261310026049614E-2</v>
      </c>
      <c r="AA45"/>
      <c r="AB45"/>
      <c r="AC45" s="9">
        <v>0.12090000510215759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/>
      <c r="C46">
        <v>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2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3.11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3.11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3.12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3.11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3.11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3.2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3.21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3.12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3.12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3.12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3.12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3.12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3.2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3.2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3.12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3.2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3.2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3.22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3.12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3.22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3.22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3.22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3.22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3.12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3.12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3.12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3.12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3.12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3.12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3.22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3.22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3.22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3.22</v>
      </c>
      <c r="G39">
        <v>38</v>
      </c>
      <c r="H39" s="194" t="s">
        <v>226</v>
      </c>
    </row>
    <row r="40" spans="4:8" customFormat="1" x14ac:dyDescent="0.15">
      <c r="D40" s="193" t="s">
        <v>227</v>
      </c>
      <c r="E40">
        <v>39</v>
      </c>
      <c r="F40">
        <v>3.12</v>
      </c>
      <c r="G40">
        <v>39</v>
      </c>
      <c r="H40" s="194" t="s">
        <v>227</v>
      </c>
    </row>
    <row r="41" spans="4:8" customFormat="1" x14ac:dyDescent="0.15">
      <c r="D41" s="193" t="s">
        <v>228</v>
      </c>
      <c r="E41">
        <v>40</v>
      </c>
      <c r="F41">
        <v>3.12</v>
      </c>
      <c r="G41">
        <v>40</v>
      </c>
      <c r="H41" s="194" t="s">
        <v>228</v>
      </c>
    </row>
    <row r="42" spans="4:8" customFormat="1" x14ac:dyDescent="0.15">
      <c r="D42" s="193" t="s">
        <v>229</v>
      </c>
      <c r="E42">
        <v>41</v>
      </c>
      <c r="F42">
        <v>3.13</v>
      </c>
      <c r="G42">
        <v>41</v>
      </c>
      <c r="H42" s="194" t="s">
        <v>229</v>
      </c>
    </row>
    <row r="43" spans="4:8" customFormat="1" x14ac:dyDescent="0.15">
      <c r="D43" s="193" t="s">
        <v>230</v>
      </c>
      <c r="E43">
        <v>42</v>
      </c>
      <c r="F43">
        <v>3.13</v>
      </c>
      <c r="G43">
        <v>42</v>
      </c>
      <c r="H43" s="194" t="s">
        <v>230</v>
      </c>
    </row>
    <row r="44" spans="4:8" customFormat="1" x14ac:dyDescent="0.15">
      <c r="D44" s="193" t="s">
        <v>231</v>
      </c>
      <c r="E44">
        <v>43</v>
      </c>
      <c r="F44">
        <v>3.13</v>
      </c>
      <c r="G44">
        <v>43</v>
      </c>
      <c r="H44" s="194" t="s">
        <v>231</v>
      </c>
    </row>
    <row r="45" spans="4:8" customFormat="1" x14ac:dyDescent="0.15">
      <c r="D45" s="193" t="s">
        <v>232</v>
      </c>
      <c r="E45">
        <v>44</v>
      </c>
      <c r="F45">
        <v>3.13</v>
      </c>
      <c r="G45">
        <v>44</v>
      </c>
      <c r="H45" s="194" t="s">
        <v>232</v>
      </c>
    </row>
    <row r="46" spans="4:8" customFormat="1" x14ac:dyDescent="0.15">
      <c r="D46" s="193" t="s">
        <v>233</v>
      </c>
      <c r="E46">
        <v>45</v>
      </c>
      <c r="F46">
        <v>3.13</v>
      </c>
      <c r="G46">
        <v>45</v>
      </c>
      <c r="H46" s="194" t="s">
        <v>233</v>
      </c>
    </row>
    <row r="47" spans="4:8" customFormat="1" x14ac:dyDescent="0.15">
      <c r="D47" s="193" t="s">
        <v>234</v>
      </c>
      <c r="E47">
        <v>46</v>
      </c>
      <c r="F47">
        <v>3.13</v>
      </c>
      <c r="G47">
        <v>46</v>
      </c>
      <c r="H47" s="194" t="s">
        <v>234</v>
      </c>
    </row>
    <row r="48" spans="4:8" customFormat="1" x14ac:dyDescent="0.15">
      <c r="D48" s="193" t="s">
        <v>235</v>
      </c>
      <c r="E48">
        <v>47</v>
      </c>
      <c r="F48">
        <v>4.0999999999999996</v>
      </c>
      <c r="G48">
        <v>47</v>
      </c>
      <c r="H48" s="194" t="s">
        <v>235</v>
      </c>
    </row>
    <row r="49" spans="4:8" customFormat="1" x14ac:dyDescent="0.15">
      <c r="D49" s="193" t="s">
        <v>236</v>
      </c>
      <c r="E49">
        <v>48</v>
      </c>
      <c r="F49">
        <v>4.3</v>
      </c>
      <c r="G49">
        <v>48</v>
      </c>
      <c r="H49" s="194" t="s">
        <v>236</v>
      </c>
    </row>
    <row r="50" spans="4:8" customFormat="1" ht="12" customHeight="1" x14ac:dyDescent="0.15">
      <c r="D50" s="193" t="s">
        <v>237</v>
      </c>
      <c r="E50">
        <v>49</v>
      </c>
      <c r="F50">
        <v>5</v>
      </c>
      <c r="G50">
        <v>49</v>
      </c>
      <c r="H50" s="194" t="s">
        <v>237</v>
      </c>
    </row>
    <row r="51" spans="4:8" customFormat="1" x14ac:dyDescent="0.15">
      <c r="D51" s="193" t="s">
        <v>138</v>
      </c>
      <c r="E51">
        <v>50</v>
      </c>
      <c r="F51">
        <v>6.1</v>
      </c>
      <c r="G51">
        <v>50</v>
      </c>
      <c r="H51" s="194" t="s">
        <v>138</v>
      </c>
    </row>
    <row r="52" spans="4:8" customFormat="1" ht="12" customHeight="1" x14ac:dyDescent="0.15">
      <c r="D52" s="193" t="s">
        <v>45</v>
      </c>
      <c r="E52">
        <v>51</v>
      </c>
      <c r="F52">
        <v>6.2</v>
      </c>
      <c r="G52">
        <v>51</v>
      </c>
      <c r="H52" s="194" t="s">
        <v>45</v>
      </c>
    </row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1" bestFit="1" customWidth="1"/>
    <col min="2" max="2" width="6.83203125" style="80" customWidth="1"/>
    <col min="3" max="3" width="10.83203125" style="80" customWidth="1"/>
    <col min="4" max="4" width="39.6640625" style="80" customWidth="1"/>
    <col min="5" max="5" width="8.1640625" style="80" customWidth="1"/>
    <col min="6" max="6" width="21.832031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1" customWidth="1"/>
    <col min="17" max="17" width="2.33203125" style="80" customWidth="1"/>
    <col min="18" max="18" width="2.33203125" style="72" customWidth="1"/>
    <col min="19" max="16384" width="11.5" style="80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2" t="s">
        <v>48</v>
      </c>
      <c r="L1" s="72"/>
      <c r="M1" s="82" t="s">
        <v>119</v>
      </c>
      <c r="N1" s="72"/>
      <c r="O1" s="82" t="s">
        <v>49</v>
      </c>
      <c r="P1" s="73"/>
      <c r="Q1" s="82" t="s">
        <v>50</v>
      </c>
      <c r="R1" s="69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09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09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5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1</v>
      </c>
      <c r="N6" s="80">
        <v>0</v>
      </c>
      <c r="O6" s="80">
        <v>0</v>
      </c>
      <c r="P6" s="71">
        <v>0</v>
      </c>
      <c r="Q6" s="80">
        <v>0</v>
      </c>
      <c r="R6" s="72">
        <v>1</v>
      </c>
      <c r="S6"/>
      <c r="T6"/>
    </row>
    <row r="7" spans="1:23" ht="15" customHeight="1" thickBot="1" x14ac:dyDescent="0.2">
      <c r="F7" s="195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71">
        <v>0</v>
      </c>
      <c r="Q7" s="80">
        <v>0</v>
      </c>
      <c r="R7" s="72">
        <v>1</v>
      </c>
      <c r="S7"/>
      <c r="T7"/>
    </row>
    <row r="8" spans="1:23" ht="15" customHeight="1" x14ac:dyDescent="0.15">
      <c r="A8" s="82" t="s">
        <v>56</v>
      </c>
      <c r="B8" s="89">
        <v>1</v>
      </c>
      <c r="C8" s="196" t="s">
        <v>192</v>
      </c>
      <c r="D8" s="84" t="s">
        <v>160</v>
      </c>
      <c r="F8" s="195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1">
        <v>0</v>
      </c>
      <c r="Q8" s="80">
        <v>0</v>
      </c>
      <c r="R8" s="72">
        <v>1</v>
      </c>
      <c r="S8"/>
      <c r="T8"/>
      <c r="W8"/>
    </row>
    <row r="9" spans="1:23" ht="15" customHeight="1" x14ac:dyDescent="0.15">
      <c r="A9" s="123" t="s">
        <v>168</v>
      </c>
      <c r="B9" s="91"/>
      <c r="C9" s="79"/>
      <c r="D9" s="84" t="s">
        <v>160</v>
      </c>
      <c r="F9" s="195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1">
        <v>0</v>
      </c>
      <c r="Q9" s="80">
        <v>0</v>
      </c>
      <c r="R9" s="72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5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1">
        <v>0</v>
      </c>
      <c r="Q10" s="80">
        <v>0</v>
      </c>
      <c r="R10" s="72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5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1">
        <v>0</v>
      </c>
      <c r="Q11" s="80">
        <v>0</v>
      </c>
      <c r="R11" s="72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5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1">
        <v>0</v>
      </c>
      <c r="Q12" s="80">
        <v>0</v>
      </c>
      <c r="R12" s="72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5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1">
        <v>0</v>
      </c>
      <c r="Q13" s="80">
        <v>0</v>
      </c>
      <c r="R13" s="72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5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1">
        <v>0</v>
      </c>
      <c r="Q14" s="80">
        <v>0</v>
      </c>
      <c r="R14" s="72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5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1">
        <v>0</v>
      </c>
      <c r="Q15" s="80">
        <v>0</v>
      </c>
      <c r="R15" s="72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5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1">
        <v>0</v>
      </c>
      <c r="Q16" s="80">
        <v>0</v>
      </c>
      <c r="R16" s="72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5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1">
        <v>0</v>
      </c>
      <c r="Q17" s="80">
        <v>0</v>
      </c>
      <c r="R17" s="72">
        <v>1</v>
      </c>
      <c r="S17"/>
      <c r="T17"/>
    </row>
    <row r="18" spans="1:20" ht="15" customHeight="1" thickBot="1" x14ac:dyDescent="0.2">
      <c r="B18" s="92"/>
      <c r="F18" s="195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1">
        <v>0</v>
      </c>
      <c r="Q18" s="80">
        <v>0</v>
      </c>
      <c r="R18" s="72">
        <v>1</v>
      </c>
      <c r="S18"/>
      <c r="T18"/>
    </row>
    <row r="19" spans="1:20" ht="15" customHeight="1" x14ac:dyDescent="0.15">
      <c r="A19" s="82" t="s">
        <v>57</v>
      </c>
      <c r="B19" s="89">
        <v>1</v>
      </c>
      <c r="C19" s="197" t="s">
        <v>192</v>
      </c>
      <c r="D19" s="84" t="s">
        <v>160</v>
      </c>
      <c r="F19" s="195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1">
        <v>0</v>
      </c>
      <c r="Q19" s="80">
        <v>0</v>
      </c>
      <c r="R19" s="72">
        <v>1</v>
      </c>
      <c r="S19"/>
      <c r="T19"/>
    </row>
    <row r="20" spans="1:20" ht="15" customHeight="1" x14ac:dyDescent="0.15">
      <c r="A20" s="123" t="s">
        <v>168</v>
      </c>
      <c r="B20" s="91"/>
      <c r="C20" s="79"/>
      <c r="D20" s="84" t="s">
        <v>160</v>
      </c>
      <c r="F20" s="195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1">
        <v>0</v>
      </c>
      <c r="Q20" s="80">
        <v>0</v>
      </c>
      <c r="R20" s="72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5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1">
        <v>0</v>
      </c>
      <c r="Q21" s="80">
        <v>0</v>
      </c>
      <c r="R21" s="72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5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1">
        <v>0</v>
      </c>
      <c r="Q22" s="80">
        <v>0</v>
      </c>
      <c r="R22" s="72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5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1">
        <v>0</v>
      </c>
      <c r="Q23" s="80">
        <v>0</v>
      </c>
      <c r="R23" s="72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5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1">
        <v>0</v>
      </c>
      <c r="Q24" s="80">
        <v>0</v>
      </c>
      <c r="R24" s="72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5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1">
        <v>0</v>
      </c>
      <c r="Q25" s="80">
        <v>0</v>
      </c>
      <c r="R25" s="72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5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1">
        <v>0</v>
      </c>
      <c r="Q26" s="80">
        <v>0</v>
      </c>
      <c r="R26" s="72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5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1">
        <v>0</v>
      </c>
      <c r="Q27" s="80">
        <v>0</v>
      </c>
      <c r="R27" s="72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5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1">
        <v>0</v>
      </c>
      <c r="Q28" s="80">
        <v>0</v>
      </c>
      <c r="R28" s="72">
        <v>1</v>
      </c>
      <c r="S28"/>
      <c r="T28"/>
    </row>
    <row r="29" spans="1:20" ht="15" customHeight="1" x14ac:dyDescent="0.15">
      <c r="F29" s="195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1">
        <v>0</v>
      </c>
      <c r="Q29" s="80">
        <v>0</v>
      </c>
      <c r="R29" s="72">
        <v>1</v>
      </c>
      <c r="S29"/>
      <c r="T29"/>
    </row>
    <row r="30" spans="1:20" ht="15" customHeight="1" x14ac:dyDescent="0.15">
      <c r="F30" s="195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1">
        <v>0</v>
      </c>
      <c r="Q30" s="80">
        <v>0</v>
      </c>
      <c r="R30" s="72">
        <v>1</v>
      </c>
      <c r="S30"/>
      <c r="T30"/>
    </row>
    <row r="31" spans="1:20" ht="15" customHeight="1" x14ac:dyDescent="0.15">
      <c r="A31" s="124"/>
      <c r="B31" s="135" t="s">
        <v>17</v>
      </c>
      <c r="C31" s="135" t="s">
        <v>1</v>
      </c>
      <c r="D31" s="135" t="s">
        <v>161</v>
      </c>
      <c r="E31" s="136" t="s">
        <v>163</v>
      </c>
      <c r="F31" s="195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1">
        <v>0</v>
      </c>
      <c r="Q31" s="80">
        <v>0</v>
      </c>
      <c r="R31" s="72">
        <v>1</v>
      </c>
      <c r="S31"/>
      <c r="T31"/>
    </row>
    <row r="32" spans="1:20" ht="15" customHeight="1" x14ac:dyDescent="0.15">
      <c r="A32" s="198" t="s">
        <v>192</v>
      </c>
      <c r="B32" s="92">
        <v>123.67</v>
      </c>
      <c r="C32" s="92">
        <v>243.572</v>
      </c>
      <c r="D32" s="92">
        <v>30122.54924</v>
      </c>
      <c r="E32" s="126">
        <v>1</v>
      </c>
      <c r="F32" s="195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1">
        <v>0</v>
      </c>
      <c r="Q32" s="80">
        <v>0</v>
      </c>
      <c r="R32" s="72">
        <v>1</v>
      </c>
      <c r="S32"/>
      <c r="T32"/>
    </row>
    <row r="33" spans="1:20" ht="15" customHeight="1" x14ac:dyDescent="0.15">
      <c r="A33" s="125"/>
      <c r="B33" s="92"/>
      <c r="C33" s="92"/>
      <c r="D33" s="92"/>
      <c r="E33" s="126"/>
      <c r="F33" s="195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1">
        <v>0</v>
      </c>
      <c r="Q33" s="80">
        <v>0</v>
      </c>
      <c r="R33" s="72">
        <v>1</v>
      </c>
      <c r="S33"/>
      <c r="T33"/>
    </row>
    <row r="34" spans="1:20" ht="15" customHeight="1" x14ac:dyDescent="0.15">
      <c r="A34" s="127"/>
      <c r="B34" s="92"/>
      <c r="C34" s="92"/>
      <c r="D34" s="92"/>
      <c r="E34" s="126"/>
      <c r="F34" s="195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1">
        <v>0</v>
      </c>
      <c r="Q34" s="80">
        <v>0</v>
      </c>
      <c r="R34" s="72">
        <v>1</v>
      </c>
      <c r="S34"/>
      <c r="T34"/>
    </row>
    <row r="35" spans="1:20" ht="15" customHeight="1" x14ac:dyDescent="0.15">
      <c r="A35" s="128"/>
      <c r="B35" s="92"/>
      <c r="C35" s="92"/>
      <c r="D35" s="92"/>
      <c r="E35" s="126"/>
      <c r="F35" s="195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1">
        <v>0</v>
      </c>
      <c r="Q35" s="80">
        <v>0</v>
      </c>
      <c r="R35" s="72">
        <v>1</v>
      </c>
      <c r="S35"/>
      <c r="T35"/>
    </row>
    <row r="36" spans="1:20" ht="15" customHeight="1" x14ac:dyDescent="0.15">
      <c r="A36" s="129"/>
      <c r="B36" s="92"/>
      <c r="C36" s="92"/>
      <c r="D36" s="92"/>
      <c r="E36" s="126"/>
      <c r="F36" s="195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1">
        <v>0</v>
      </c>
      <c r="Q36" s="80">
        <v>0</v>
      </c>
      <c r="R36" s="72">
        <v>1</v>
      </c>
      <c r="S36"/>
      <c r="T36"/>
    </row>
    <row r="37" spans="1:20" ht="15" customHeight="1" x14ac:dyDescent="0.15">
      <c r="A37" s="129"/>
      <c r="B37" s="92"/>
      <c r="C37" s="92"/>
      <c r="D37" s="92"/>
      <c r="E37" s="126"/>
      <c r="F37" s="195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1">
        <v>0</v>
      </c>
      <c r="Q37" s="80">
        <v>0</v>
      </c>
      <c r="R37" s="72">
        <v>1</v>
      </c>
      <c r="S37"/>
      <c r="T37"/>
    </row>
    <row r="38" spans="1:20" ht="15" customHeight="1" x14ac:dyDescent="0.15">
      <c r="A38" s="130"/>
      <c r="B38" s="92"/>
      <c r="C38" s="92"/>
      <c r="D38" s="92"/>
      <c r="E38" s="126"/>
      <c r="F38" s="195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71">
        <v>0</v>
      </c>
      <c r="Q38" s="80">
        <v>0</v>
      </c>
      <c r="R38" s="72">
        <v>1</v>
      </c>
      <c r="S38"/>
      <c r="T38"/>
    </row>
    <row r="39" spans="1:20" ht="15" customHeight="1" x14ac:dyDescent="0.15">
      <c r="A39" s="130"/>
      <c r="B39" s="92"/>
      <c r="C39" s="92"/>
      <c r="D39" s="92"/>
      <c r="E39" s="126"/>
      <c r="F39" s="195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71">
        <v>0</v>
      </c>
      <c r="Q39" s="80">
        <v>0</v>
      </c>
      <c r="R39" s="72">
        <v>1</v>
      </c>
      <c r="S39"/>
      <c r="T39"/>
    </row>
    <row r="40" spans="1:20" ht="15" customHeight="1" x14ac:dyDescent="0.15">
      <c r="A40" s="130"/>
      <c r="B40" s="92"/>
      <c r="C40" s="92"/>
      <c r="D40" s="92"/>
      <c r="E40" s="126"/>
      <c r="F40" s="195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1</v>
      </c>
      <c r="L40" s="80">
        <v>0</v>
      </c>
      <c r="M40" s="80">
        <v>1</v>
      </c>
      <c r="N40" s="80">
        <v>0</v>
      </c>
      <c r="O40" s="80">
        <v>1</v>
      </c>
      <c r="P40" s="71">
        <v>0</v>
      </c>
      <c r="Q40" s="80">
        <v>0</v>
      </c>
      <c r="R40" s="72">
        <v>1</v>
      </c>
      <c r="S40"/>
      <c r="T40"/>
    </row>
    <row r="41" spans="1:20" ht="15" customHeight="1" thickBot="1" x14ac:dyDescent="0.2">
      <c r="A41" s="130"/>
      <c r="B41" s="92"/>
      <c r="C41" s="92"/>
      <c r="D41" s="93"/>
      <c r="E41" s="131"/>
      <c r="F41" s="195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1</v>
      </c>
      <c r="L41" s="80">
        <v>0</v>
      </c>
      <c r="M41" s="80">
        <v>1</v>
      </c>
      <c r="N41" s="80">
        <v>0</v>
      </c>
      <c r="O41" s="80">
        <v>1</v>
      </c>
      <c r="P41" s="71">
        <v>0</v>
      </c>
      <c r="Q41" s="80">
        <v>0</v>
      </c>
      <c r="R41" s="72">
        <v>1</v>
      </c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30122.54924</v>
      </c>
      <c r="E42" s="134">
        <f>SUM(E32:E41)</f>
        <v>1</v>
      </c>
      <c r="F42" s="195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1</v>
      </c>
      <c r="L42" s="80">
        <v>0</v>
      </c>
      <c r="M42" s="80">
        <v>1</v>
      </c>
      <c r="N42" s="80">
        <v>0</v>
      </c>
      <c r="O42" s="80">
        <v>1</v>
      </c>
      <c r="P42" s="71">
        <v>0</v>
      </c>
      <c r="Q42" s="80">
        <v>0</v>
      </c>
      <c r="R42" s="72">
        <v>1</v>
      </c>
      <c r="S42"/>
      <c r="T42"/>
    </row>
    <row r="43" spans="1:20" ht="15" customHeight="1" x14ac:dyDescent="0.15">
      <c r="A43" s="80"/>
      <c r="F43" s="195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1</v>
      </c>
      <c r="L43" s="80">
        <v>0</v>
      </c>
      <c r="M43" s="80">
        <v>1</v>
      </c>
      <c r="N43" s="80">
        <v>0</v>
      </c>
      <c r="O43" s="80">
        <v>1</v>
      </c>
      <c r="P43" s="71">
        <v>0</v>
      </c>
      <c r="Q43" s="80">
        <v>0</v>
      </c>
      <c r="R43" s="72">
        <v>1</v>
      </c>
      <c r="S43"/>
      <c r="T43"/>
    </row>
    <row r="44" spans="1:20" ht="15" customHeight="1" x14ac:dyDescent="0.15">
      <c r="A44" s="80"/>
      <c r="F44" s="195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1</v>
      </c>
      <c r="L44" s="80">
        <v>0</v>
      </c>
      <c r="M44" s="80">
        <v>1</v>
      </c>
      <c r="N44" s="80">
        <v>0</v>
      </c>
      <c r="O44" s="80">
        <v>1</v>
      </c>
      <c r="P44" s="71">
        <v>0</v>
      </c>
      <c r="Q44" s="80">
        <v>0</v>
      </c>
      <c r="R44" s="72">
        <v>1</v>
      </c>
    </row>
    <row r="45" spans="1:20" ht="15" customHeight="1" x14ac:dyDescent="0.15">
      <c r="A45" s="80"/>
      <c r="F45" s="195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1</v>
      </c>
      <c r="L45" s="80">
        <v>0</v>
      </c>
      <c r="M45" s="80">
        <v>1</v>
      </c>
      <c r="N45" s="80">
        <v>0</v>
      </c>
      <c r="O45" s="80">
        <v>1</v>
      </c>
      <c r="P45" s="71">
        <v>0</v>
      </c>
      <c r="Q45" s="80">
        <v>0</v>
      </c>
      <c r="R45" s="72">
        <v>1</v>
      </c>
    </row>
    <row r="46" spans="1:20" ht="15" customHeight="1" x14ac:dyDescent="0.15">
      <c r="A46" s="80"/>
      <c r="F46" s="195" t="s">
        <v>232</v>
      </c>
      <c r="G46" s="80">
        <v>0</v>
      </c>
      <c r="H46" s="80">
        <v>0</v>
      </c>
      <c r="I46" s="80">
        <v>0</v>
      </c>
      <c r="J46" s="80">
        <v>0</v>
      </c>
      <c r="K46" s="80">
        <v>1</v>
      </c>
      <c r="L46" s="80">
        <v>0</v>
      </c>
      <c r="M46" s="80">
        <v>1</v>
      </c>
      <c r="N46" s="80">
        <v>0</v>
      </c>
      <c r="O46" s="80">
        <v>1</v>
      </c>
      <c r="P46" s="71">
        <v>0</v>
      </c>
      <c r="Q46" s="80">
        <v>0</v>
      </c>
      <c r="R46" s="72">
        <v>1</v>
      </c>
    </row>
    <row r="47" spans="1:20" ht="15" customHeight="1" x14ac:dyDescent="0.15">
      <c r="A47" s="80"/>
      <c r="F47" s="195" t="s">
        <v>233</v>
      </c>
      <c r="G47" s="80">
        <v>0</v>
      </c>
      <c r="H47" s="80">
        <v>0</v>
      </c>
      <c r="I47" s="80">
        <v>0</v>
      </c>
      <c r="J47" s="80">
        <v>0</v>
      </c>
      <c r="K47" s="80">
        <v>1</v>
      </c>
      <c r="L47" s="80">
        <v>0</v>
      </c>
      <c r="M47" s="80">
        <v>1</v>
      </c>
      <c r="N47" s="80">
        <v>0</v>
      </c>
      <c r="O47" s="80">
        <v>1</v>
      </c>
      <c r="P47" s="71">
        <v>0</v>
      </c>
      <c r="Q47" s="80">
        <v>0</v>
      </c>
      <c r="R47" s="72">
        <v>1</v>
      </c>
    </row>
    <row r="48" spans="1:20" ht="15" customHeight="1" x14ac:dyDescent="0.15">
      <c r="A48" s="80"/>
      <c r="F48" s="195" t="s">
        <v>234</v>
      </c>
      <c r="G48" s="80">
        <v>0</v>
      </c>
      <c r="H48" s="80">
        <v>0</v>
      </c>
      <c r="I48" s="80">
        <v>0</v>
      </c>
      <c r="J48" s="80">
        <v>0</v>
      </c>
      <c r="K48" s="80">
        <v>1</v>
      </c>
      <c r="L48" s="80">
        <v>0</v>
      </c>
      <c r="M48" s="80">
        <v>1</v>
      </c>
      <c r="N48" s="80">
        <v>0</v>
      </c>
      <c r="O48" s="80">
        <v>1</v>
      </c>
      <c r="P48" s="71">
        <v>0</v>
      </c>
      <c r="Q48" s="80">
        <v>0</v>
      </c>
      <c r="R48" s="72">
        <v>1</v>
      </c>
    </row>
    <row r="49" spans="6:18" s="80" customFormat="1" ht="15" customHeight="1" x14ac:dyDescent="0.15">
      <c r="F49" s="195" t="s">
        <v>235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1</v>
      </c>
      <c r="M49" s="80">
        <v>0</v>
      </c>
      <c r="N49" s="80">
        <v>1</v>
      </c>
      <c r="O49" s="80">
        <v>0</v>
      </c>
      <c r="P49" s="71">
        <v>1</v>
      </c>
      <c r="Q49" s="80">
        <v>0</v>
      </c>
      <c r="R49" s="72">
        <v>1</v>
      </c>
    </row>
    <row r="50" spans="6:18" s="80" customFormat="1" ht="15" customHeight="1" x14ac:dyDescent="0.15">
      <c r="F50" s="195" t="s">
        <v>236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1</v>
      </c>
      <c r="O50" s="80">
        <v>0</v>
      </c>
      <c r="P50" s="71">
        <v>1</v>
      </c>
      <c r="Q50" s="80">
        <v>0</v>
      </c>
      <c r="R50" s="72">
        <v>1</v>
      </c>
    </row>
    <row r="51" spans="6:18" s="80" customFormat="1" ht="15" customHeight="1" x14ac:dyDescent="0.15">
      <c r="F51" s="195" t="s">
        <v>237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1</v>
      </c>
      <c r="M51" s="80">
        <v>0</v>
      </c>
      <c r="N51" s="80">
        <v>0</v>
      </c>
      <c r="O51" s="80">
        <v>0</v>
      </c>
      <c r="P51" s="71">
        <v>0</v>
      </c>
      <c r="Q51" s="80">
        <v>0</v>
      </c>
      <c r="R51" s="72">
        <v>1</v>
      </c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B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83203125" bestFit="1" customWidth="1"/>
    <col min="2" max="2" width="2.33203125" style="109" customWidth="1"/>
    <col min="3" max="5" width="7.83203125" style="109" customWidth="1"/>
    <col min="6" max="8" width="8.83203125" style="6"/>
    <col min="9" max="9" width="7.5" style="6" customWidth="1"/>
    <col min="10" max="10" width="18.83203125" style="6" customWidth="1"/>
    <col min="11" max="11" width="18.5" style="6" customWidth="1"/>
    <col min="12" max="12" width="4.1640625" style="6" customWidth="1"/>
    <col min="13" max="13" width="7.5" style="6" customWidth="1"/>
    <col min="14" max="14" width="15.83203125" style="6" customWidth="1"/>
    <col min="15" max="15" width="15.5" style="6" customWidth="1"/>
    <col min="16" max="16" width="18" style="6" customWidth="1"/>
    <col min="17" max="17" width="9.5" style="6" customWidth="1"/>
    <col min="18" max="18" width="15.33203125" style="6" customWidth="1"/>
    <col min="19" max="19" width="16.6640625" style="6" customWidth="1"/>
    <col min="20" max="20" width="16.33203125" style="6" customWidth="1"/>
    <col min="21" max="21" width="10.5" style="6" customWidth="1"/>
    <col min="22" max="22" width="13.83203125" style="6" customWidth="1"/>
    <col min="23" max="23" width="13.5" style="6" customWidth="1"/>
    <col min="24" max="24" width="15.1640625" style="6" customWidth="1"/>
    <col min="25" max="25" width="21.83203125" style="6" customWidth="1"/>
    <col min="26" max="26" width="21.5" style="6" customWidth="1"/>
    <col min="27" max="27" width="8.83203125" style="6" customWidth="1"/>
    <col min="28" max="28" width="11.83203125" style="6" customWidth="1"/>
    <col min="29" max="30" width="7.1640625" style="6" customWidth="1"/>
    <col min="31" max="31" width="8.5" style="6" customWidth="1"/>
    <col min="32" max="32" width="7.6640625" style="6" customWidth="1"/>
    <col min="33" max="33" width="7.1640625" style="6" customWidth="1"/>
    <col min="34" max="34" width="17.83203125" style="6" customWidth="1"/>
    <col min="35" max="35" width="16.33203125" style="6" customWidth="1"/>
    <col min="36" max="36" width="9" style="6" customWidth="1"/>
    <col min="37" max="37" width="8.83203125" style="6" customWidth="1"/>
    <col min="38" max="38" width="21.5" style="6" customWidth="1"/>
    <col min="39" max="39" width="21.33203125" customWidth="1"/>
    <col min="40" max="40" width="11" customWidth="1"/>
    <col min="41" max="41" width="10.83203125" customWidth="1"/>
    <col min="42" max="42" width="7.5" customWidth="1"/>
    <col min="43" max="43" width="7.33203125" customWidth="1"/>
    <col min="44" max="44" width="14.5" customWidth="1"/>
    <col min="45" max="45" width="12.83203125" customWidth="1"/>
    <col min="46" max="46" width="13" customWidth="1"/>
    <col min="47" max="47" width="13.6640625" customWidth="1"/>
    <col min="48" max="48" width="17.33203125" customWidth="1"/>
    <col min="49" max="49" width="8.6640625" customWidth="1"/>
    <col min="50" max="50" width="8.33203125" customWidth="1"/>
    <col min="51" max="51" width="9.83203125" customWidth="1"/>
    <col min="52" max="52" width="7.6640625" customWidth="1"/>
    <col min="53" max="53" width="21.6640625" customWidth="1"/>
    <col min="54" max="54" width="6.5" customWidth="1"/>
    <col min="81" max="81" width="22.1640625" bestFit="1" customWidth="1"/>
  </cols>
  <sheetData>
    <row r="1" spans="1:54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  <c r="AR1" s="200" t="s">
        <v>227</v>
      </c>
      <c r="AS1" s="200" t="s">
        <v>228</v>
      </c>
      <c r="AT1" s="200" t="s">
        <v>229</v>
      </c>
      <c r="AU1" s="200" t="s">
        <v>230</v>
      </c>
      <c r="AV1" s="200" t="s">
        <v>231</v>
      </c>
      <c r="AW1" s="200" t="s">
        <v>232</v>
      </c>
      <c r="AX1" s="200" t="s">
        <v>233</v>
      </c>
      <c r="AY1" s="200" t="s">
        <v>234</v>
      </c>
      <c r="AZ1" s="200" t="s">
        <v>235</v>
      </c>
      <c r="BA1" s="200" t="s">
        <v>236</v>
      </c>
      <c r="BB1" s="200" t="s">
        <v>237</v>
      </c>
    </row>
    <row r="2" spans="1:54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4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4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4" x14ac:dyDescent="0.15">
      <c r="A5" s="199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4" x14ac:dyDescent="0.15">
      <c r="A6" s="199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4" x14ac:dyDescent="0.15">
      <c r="A7" s="199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4" x14ac:dyDescent="0.15">
      <c r="A8" s="199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4" x14ac:dyDescent="0.15">
      <c r="A9" s="199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4" x14ac:dyDescent="0.15">
      <c r="A10" s="199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4" x14ac:dyDescent="0.15">
      <c r="A11" s="199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4" x14ac:dyDescent="0.15">
      <c r="A12" s="199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4" x14ac:dyDescent="0.15">
      <c r="A13" s="199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4" x14ac:dyDescent="0.15">
      <c r="A14" s="199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4" x14ac:dyDescent="0.15">
      <c r="A15" s="199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4" x14ac:dyDescent="0.15">
      <c r="A16" s="199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9">
        <v>0</v>
      </c>
      <c r="C36"/>
      <c r="D36"/>
    </row>
    <row r="37" spans="1:38" ht="15" customHeight="1" x14ac:dyDescent="0.15">
      <c r="A37" s="199" t="s">
        <v>224</v>
      </c>
      <c r="B37" s="109">
        <v>0</v>
      </c>
      <c r="C37"/>
      <c r="D37"/>
    </row>
    <row r="38" spans="1:38" ht="15" customHeight="1" x14ac:dyDescent="0.15">
      <c r="A38" s="199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9">
        <v>0</v>
      </c>
      <c r="C39"/>
      <c r="D39"/>
    </row>
    <row r="40" spans="1:38" ht="15" customHeight="1" x14ac:dyDescent="0.15">
      <c r="A40" s="199" t="s">
        <v>227</v>
      </c>
      <c r="B40" s="109">
        <v>0</v>
      </c>
      <c r="C40"/>
      <c r="D40"/>
    </row>
    <row r="41" spans="1:38" ht="15" customHeight="1" x14ac:dyDescent="0.15">
      <c r="A41" s="199" t="s">
        <v>228</v>
      </c>
      <c r="B41" s="109">
        <v>0</v>
      </c>
      <c r="C41"/>
      <c r="D41"/>
    </row>
    <row r="42" spans="1:38" ht="15" customHeight="1" x14ac:dyDescent="0.15">
      <c r="A42" s="199" t="s">
        <v>229</v>
      </c>
      <c r="B42" s="109">
        <v>0</v>
      </c>
    </row>
    <row r="43" spans="1:38" ht="15" customHeight="1" x14ac:dyDescent="0.15">
      <c r="A43" s="199" t="s">
        <v>230</v>
      </c>
      <c r="B43" s="109">
        <v>0</v>
      </c>
    </row>
    <row r="44" spans="1:38" ht="15" customHeight="1" x14ac:dyDescent="0.15">
      <c r="A44" s="199" t="s">
        <v>231</v>
      </c>
      <c r="B44" s="109">
        <v>0</v>
      </c>
    </row>
    <row r="45" spans="1:38" ht="15" customHeight="1" x14ac:dyDescent="0.15">
      <c r="A45" s="199" t="s">
        <v>232</v>
      </c>
      <c r="B45" s="109">
        <v>0</v>
      </c>
    </row>
    <row r="46" spans="1:38" ht="15" customHeight="1" x14ac:dyDescent="0.15">
      <c r="A46" s="199" t="s">
        <v>233</v>
      </c>
      <c r="B46" s="109">
        <v>0</v>
      </c>
    </row>
    <row r="47" spans="1:38" ht="15" customHeight="1" x14ac:dyDescent="0.15">
      <c r="A47" s="199" t="s">
        <v>234</v>
      </c>
      <c r="B47" s="109">
        <v>0</v>
      </c>
    </row>
    <row r="48" spans="1:38" ht="15" customHeight="1" x14ac:dyDescent="0.15">
      <c r="A48" s="199" t="s">
        <v>235</v>
      </c>
      <c r="B48" s="109">
        <v>0</v>
      </c>
    </row>
    <row r="49" spans="1:38" ht="15" customHeight="1" x14ac:dyDescent="0.15">
      <c r="A49" s="199" t="s">
        <v>236</v>
      </c>
      <c r="B49" s="109">
        <v>0</v>
      </c>
    </row>
    <row r="50" spans="1:38" ht="15" customHeight="1" x14ac:dyDescent="0.15">
      <c r="A50" s="199" t="s">
        <v>237</v>
      </c>
      <c r="B50" s="109">
        <v>0</v>
      </c>
    </row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2022-10-24T04:26:17Z</dcterms:modified>
</cp:coreProperties>
</file>