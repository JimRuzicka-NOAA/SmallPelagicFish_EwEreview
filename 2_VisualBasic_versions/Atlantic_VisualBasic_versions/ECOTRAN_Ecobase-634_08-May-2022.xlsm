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376242E3-3D00-144E-A29C-89A52D7208BD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Main!$C$2:$N$44</definedName>
    <definedName name="matDetritus">Detritus!$C$2:$E$44</definedName>
    <definedName name="matDiet">Diets!$B$2:$AK$40</definedName>
    <definedName name="matDiscards">Discards!$C$2:$G$39</definedName>
    <definedName name="matFishery">Fishing!$C$2:$G$39</definedName>
    <definedName name="matFishing">Fishing!#REF!</definedName>
    <definedName name="matMort">Mortalities!$A$1:$AT$39</definedName>
    <definedName name="matOut">MainOutputs!$A$2:$I$44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<sst xmlns="http://schemas.openxmlformats.org/spreadsheetml/2006/main" count="1152" uniqueCount="244">
  <si>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</si>
  <si>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</si>
  <si>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</si>
  <si>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</si>
  <si>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</si>
  <si>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</si>
  <si>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</si>
  <si>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</si>
  <si>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</si>
  <si>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</si>
  <si>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</si>
  <si>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</si>
  <si>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</si>
  <si>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</si>
  <si>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</si>
  <si>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</si>
  <si>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</si>
  <si>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</si>
  <si>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</si>
  <si>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</si>
  <si>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</si>
  <si>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</si>
  <si>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</si>
  <si>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</si>
  <si>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</si>
  <si>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</si>
  <si>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</si>
  <si>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</si>
  <si>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</si>
  <si>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</si>
  <si>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</si>
  <si>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</si>
  <si>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</si>
  <si>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</si>
  <si>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</si>
  <si>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</si>
  <si>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</si>
  <si>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</si>
  <si>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</si>
  <si>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</si>
  <si>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</si>
  <si>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</si>
  <si>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</si>
  <si>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</si>
  <si>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</si>
  <si>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</si>
  <si>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</si>
  <si>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</si>
  <si>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</si>
  <si>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</si>
  <si>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</si>
  <si>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</si>
  <si>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</si>
  <si>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</si>
  <si>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</si>
  <si>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</si>
  <si>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</si>
  <si>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</si>
  <si>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</si>
  <si>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</si>
  <si>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</si>
  <si>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</si>
  <si>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</si>
  <si>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</si>
  <si>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</si>
  <si>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</si>
  <si>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</si>
  <si>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</si>
  <si>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</si>
  <si>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</si>
  <si>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</si>
  <si>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</si>
  <si>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</si>
  <si>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</si>
  <si>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</si>
  <si>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</si>
  <si>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</si>
  <si>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</si>
  <si>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</si>
  <si>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</si>
  <si>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</si>
  <si>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</si>
  <si>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</si>
  <si>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</si>
  <si>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</si>
  <si>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</si>
  <si>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</si>
  <si>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</si>
  <si>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</si>
  <si>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</si>
  <si>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</si>
  <si>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</si>
  <si>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</si>
  <si>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</si>
  <si>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</si>
  <si>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</si>
  <si>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</si>
  <si>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</si>
  <si>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</si>
  <si>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</si>
  <si>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</si>
  <si>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</si>
  <si>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</si>
  <si>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</si>
  <si>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</si>
  <si>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</si>
  <si>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</si>
  <si>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</si>
  <si>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</si>
  <si>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</si>
  <si>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</si>
  <si>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</si>
  <si>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</si>
  <si>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</si>
  <si>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</si>
  <si>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</si>
  <si>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</si>
  <si>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</si>
  <si>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</si>
  <si>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</si>
  <si>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</si>
  <si>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</si>
  <si>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</si>
  <si>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</si>
  <si>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</si>
  <si>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</si>
  <si>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</si>
  <si>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</si>
  <si>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</si>
  <si>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</si>
  <si>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</si>
  <si>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</si>
  <si>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</si>
  <si>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</si>
  <si>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</si>
  <si>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</si>
  <si>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</si>
  <si>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</si>
  <si>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</si>
  <si>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</si>
  <si>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</si>
  <si>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</si>
  <si>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</si>
  <si>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</si>
  <si>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</si>
  <si>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</si>
  <si>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</si>
  <si>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</si>
  <si>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</si>
  <si>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</si>
  <si>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</si>
  <si>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</si>
  <si>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</si>
  <si>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</si>
  <si>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</si>
  <si>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</si>
  <si>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</si>
  <si>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</si>
  <si>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</si>
  <si>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</si>
  <si>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</si>
  <si>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</si>
  <si>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</si>
  <si>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</si>
  <si>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</si>
  <si>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</si>
  <si>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</si>
  <si>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</si>
  <si>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</si>
  <si>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</si>
  <si>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</si>
  <si>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</si>
  <si>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</si>
  <si>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</si>
  <si>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</si>
  <si>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</si>
  <si>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</si>
  <si>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</si>
  <si>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</si>
  <si>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</si>
  <si>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</si>
  <si>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</si>
  <si>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</si>
  <si>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</si>
  <si>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</si>
  <si>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Bay of Biscay</t>
  </si>
  <si>
    <t>France</t>
  </si>
  <si>
    <t>BOX(-7.97840162507826 43.4130962922917,-0.494956364117968 48.0017991170639)</t>
  </si>
  <si>
    <t>continental shelf</t>
  </si>
  <si>
    <t>WetWeight</t>
  </si>
  <si>
    <t>; 5/23/01 12:04:38 PM; 5/23/01 1:53:49 PM; 5/23/01 2:53:28 PM; 5/23/01 5:00:44 PM; 5/23/01 5:22:18 PM; 5/23/01 6:17:04 PM; 5/23/01 6:52:36 PM; 5/23/01 7:12:46 PM; 5/23/01 7:46:40 PM; 5/24/01 3:42:23 PM; 5/24/01 8:05:53 PM; 5/24/01 8:23:38 PM; 5/25/01 1:57:00 PM; 5/25/01 7:18:10 PM</t>
  </si>
  <si>
    <t>Ainsworth C.,Feriss B.,Leblond E.,Guénette S.(2001). The Bay of Biscay, France: 1998 and 1970 models Fisheries Impacts on North Atlantic Ecosystems: Models and Analyses. pp 271-313. In Guénette S.,Christensen V.,Pauly D.,Guénette S.,Christensen V.,Pauly D.,Guénette S.,Christensen V.,Pauly D.,Guénette S.,Christensen V.,Pauly D.</t>
  </si>
  <si>
    <t>Large Deepwater</t>
  </si>
  <si>
    <t>Medium Deepwater</t>
  </si>
  <si>
    <t>Small Deepwater</t>
  </si>
  <si>
    <t>Extra Large Pelagic</t>
  </si>
  <si>
    <t>Large Pelagic</t>
  </si>
  <si>
    <t>Medium Pelagic</t>
  </si>
  <si>
    <t>Anchovy</t>
  </si>
  <si>
    <t>Small Pelagic High Troph</t>
  </si>
  <si>
    <t>Small Pelagic Low Troph</t>
  </si>
  <si>
    <t>Sardine</t>
  </si>
  <si>
    <t>Extra Large Demersal High Troph</t>
  </si>
  <si>
    <t>Extra Large Demersal Low Troph</t>
  </si>
  <si>
    <t>Large Demersal</t>
  </si>
  <si>
    <t>Medium (Big end) Demersal  High Troph</t>
  </si>
  <si>
    <t>Medium (Small end) Demersal</t>
  </si>
  <si>
    <t>Small Demersal</t>
  </si>
  <si>
    <t>Really Small Demersal High Troph</t>
  </si>
  <si>
    <t>Really Small Demersal Low Troph</t>
  </si>
  <si>
    <t>Rays/Skates</t>
  </si>
  <si>
    <t>Small Sharks</t>
  </si>
  <si>
    <t>Large Sharks</t>
  </si>
  <si>
    <t>Tuna-like fish</t>
  </si>
  <si>
    <t>Crabs</t>
  </si>
  <si>
    <t>Shrimps/Prawns</t>
  </si>
  <si>
    <t>Worms</t>
  </si>
  <si>
    <t>Molluscs</t>
  </si>
  <si>
    <t>Cephalopods</t>
  </si>
  <si>
    <t>Echinoderms</t>
  </si>
  <si>
    <t>Sponges/Epibenthic</t>
  </si>
  <si>
    <t>Zooplankton Large</t>
  </si>
  <si>
    <t>Zooplankton Small</t>
  </si>
  <si>
    <t>Benthic Infauna</t>
  </si>
  <si>
    <t>Birds</t>
  </si>
  <si>
    <t>Toothed Cetaceans</t>
  </si>
  <si>
    <t>Baleen Whales</t>
  </si>
  <si>
    <t>Primary Producers</t>
  </si>
  <si>
    <t>Detritus</t>
  </si>
  <si>
    <t>detritus_TerminalBenthic</t>
  </si>
  <si>
    <t>Large mesh gill nets</t>
  </si>
  <si>
    <t>Small mesh gill nets</t>
  </si>
  <si>
    <t>Coastal trawl</t>
  </si>
  <si>
    <t>Offshore trawl (Manche)</t>
  </si>
  <si>
    <t>Offshore trawl (Bristol/Small channels)</t>
  </si>
  <si>
    <t>Import</t>
  </si>
  <si>
    <t>export</t>
  </si>
  <si>
    <t>sum</t>
  </si>
  <si>
    <t>TOTAL</t>
  </si>
  <si>
    <t>F Large mesh gill nets</t>
  </si>
  <si>
    <t>F Small mesh gill nets</t>
  </si>
  <si>
    <t>F Coastal trawl</t>
  </si>
  <si>
    <t>F Offshore trawl (Manche)</t>
  </si>
  <si>
    <t>F Offshore trawl (Bristol/Small channels)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</si>
</sst>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F6C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9" borderId="0" xfId="0" applyFill="1"/>
    <xf numFmtId="0" fontId="0" fillId="50" borderId="0" xfId="0" applyFill="1"/>
    <xf numFmtId="0" fontId="0" fillId="5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85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48" t="s">
        <v>171</v>
      </c>
      <c r="C53" s="110">
        <v>634</v>
      </c>
      <c r="D53" s="110"/>
    </row>
    <row r="54" spans="2:4" x14ac:dyDescent="0.15">
      <c r="B54" s="148" t="s">
        <v>172</v>
      </c>
      <c r="C54" s="148" t="s">
        <v>185</v>
      </c>
      <c r="D54" s="110"/>
    </row>
    <row r="55" spans="2:4" x14ac:dyDescent="0.15">
      <c r="B55" s="148" t="s">
        <v>173</v>
      </c>
      <c r="C55" s="148" t="s">
        <v>186</v>
      </c>
      <c r="D55" s="110"/>
    </row>
    <row r="56" spans="2:4" x14ac:dyDescent="0.15">
      <c r="B56" s="148" t="s">
        <v>174</v>
      </c>
      <c r="C56" s="110">
        <v>96587</v>
      </c>
      <c r="D56" s="110"/>
    </row>
    <row r="57" spans="2:4" x14ac:dyDescent="0.15">
      <c r="B57" s="148" t="s">
        <v>175</v>
      </c>
      <c r="C57" s="148" t="s">
        <v>187</v>
      </c>
      <c r="D57" s="110"/>
    </row>
    <row r="58" spans="2:4" x14ac:dyDescent="0.15">
      <c r="B58" s="148" t="s">
        <v>176</v>
      </c>
      <c r="C58" s="148" t="s">
        <v>188</v>
      </c>
      <c r="D58" s="110"/>
    </row>
    <row r="59" spans="2:4" x14ac:dyDescent="0.15">
      <c r="B59" s="148" t="s">
        <v>177</v>
      </c>
      <c r="C59" s="148" t="s">
        <v>189</v>
      </c>
      <c r="D59" s="110"/>
    </row>
    <row r="60" spans="2:4" x14ac:dyDescent="0.15">
      <c r="B60" s="148" t="s">
        <v>178</v>
      </c>
      <c r="C60" s="148" t="s">
        <v>190</v>
      </c>
      <c r="D60" s="110"/>
    </row>
    <row r="61" spans="2:4" x14ac:dyDescent="0.15">
      <c r="B61" s="148" t="s">
        <v>179</v>
      </c>
      <c r="C61" s="110">
        <v>37</v>
      </c>
      <c r="D61" s="110"/>
    </row>
    <row r="62" spans="2:4" x14ac:dyDescent="0.15">
      <c r="B62" s="148" t="s">
        <v>180</v>
      </c>
      <c r="C62" s="110">
        <v>5</v>
      </c>
      <c r="D62" s="110"/>
    </row>
    <row r="63" spans="2:4" x14ac:dyDescent="0.15">
      <c r="B63" s="148" t="s">
        <v>181</v>
      </c>
      <c r="C63" s="110">
        <v>1998</v>
      </c>
      <c r="D63" s="110"/>
    </row>
    <row r="64" spans="2:4" x14ac:dyDescent="0.15">
      <c r="B64" s="148" t="s">
        <v>182</v>
      </c>
      <c r="C64" s="110">
        <v>1</v>
      </c>
      <c r="D64" s="110"/>
    </row>
    <row r="65" spans="2:4" x14ac:dyDescent="0.15">
      <c r="B65" s="148" t="s">
        <v>183</v>
      </c>
      <c r="C65" s="148" t="s">
        <v>191</v>
      </c>
      <c r="D65" s="110"/>
    </row>
    <row r="66" spans="2:4" x14ac:dyDescent="0.15">
      <c r="B66" s="148" t="s">
        <v>184</v>
      </c>
      <c r="D66" s="110"/>
    </row>
    <row r="67" spans="2:4" x14ac:dyDescent="0.15">
      <c r="B67" s="110"/>
      <c r="C67" s="110"/>
      <c r="D67" s="110"/>
    </row>
    <row r="68" spans="2:4" x14ac:dyDescent="0.15">
      <c r="B68" s="110"/>
      <c r="C68" s="110"/>
      <c r="D68" s="11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34.33203125" style="84" bestFit="1" customWidth="1"/>
    <col min="6" max="6" width="2.33203125" style="84" bestFit="1" customWidth="1"/>
    <col min="7" max="7" width="11.83203125" style="84" bestFit="1" customWidth="1"/>
    <col min="8" max="8" width="10.83203125" style="84" customWidth="1"/>
    <col min="9" max="9" width="8.83203125" style="84" customWidth="1"/>
    <col min="10" max="10" width="11.83203125" style="84" customWidth="1"/>
    <col min="11" max="11" width="13.83203125" style="84" customWidth="1"/>
    <col min="12" max="12" width="2.33203125" style="84" customWidth="1"/>
    <col min="13" max="13" width="5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49" t="s">
        <v>192</v>
      </c>
      <c r="F2" s="84">
        <v>0</v>
      </c>
      <c r="G2" s="84">
        <v>0.40100000000000002</v>
      </c>
      <c r="H2" s="84">
        <v>0.26780999999999999</v>
      </c>
      <c r="I2" s="6">
        <v>3.5324179999999998</v>
      </c>
      <c r="J2" s="6">
        <v>0.98099729999999996</v>
      </c>
      <c r="K2" s="6">
        <v>7.5814919999999994E-2</v>
      </c>
      <c r="L2" s="6">
        <v>0</v>
      </c>
      <c r="M2" s="84">
        <v>0.2</v>
      </c>
      <c r="N2" s="84">
        <v>0</v>
      </c>
    </row>
    <row r="3" spans="1:46" ht="15" customHeight="1" x14ac:dyDescent="0.15">
      <c r="A3" s="1" t="s">
        <v>9</v>
      </c>
      <c r="B3" s="4">
        <v>36</v>
      </c>
      <c r="C3" s="84">
        <v>2</v>
      </c>
      <c r="D3"/>
      <c r="E3" s="149" t="s">
        <v>193</v>
      </c>
      <c r="F3" s="84">
        <v>0</v>
      </c>
      <c r="G3" s="84">
        <v>0.74387925899999996</v>
      </c>
      <c r="H3" s="84">
        <v>0.502</v>
      </c>
      <c r="I3" s="84">
        <v>6.5129999999999999</v>
      </c>
      <c r="J3" s="84">
        <v>0.95</v>
      </c>
      <c r="K3" s="84">
        <v>7.7076613899999993E-2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2</v>
      </c>
      <c r="C4" s="84">
        <v>3</v>
      </c>
      <c r="D4"/>
      <c r="E4" s="149" t="s">
        <v>194</v>
      </c>
      <c r="F4" s="84">
        <v>0</v>
      </c>
      <c r="G4" s="84">
        <v>5.7023570000000001</v>
      </c>
      <c r="H4" s="84">
        <v>1.5369999999999999</v>
      </c>
      <c r="I4" s="84">
        <v>12.646000000000001</v>
      </c>
      <c r="J4" s="84">
        <v>0.95</v>
      </c>
      <c r="K4" s="84">
        <v>0.121540405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5</v>
      </c>
      <c r="C5" s="84">
        <v>4</v>
      </c>
      <c r="D5"/>
      <c r="E5" s="149" t="s">
        <v>195</v>
      </c>
      <c r="F5" s="84">
        <v>0</v>
      </c>
      <c r="G5" s="84">
        <v>0.23345279999999999</v>
      </c>
      <c r="H5" s="84">
        <v>0.124</v>
      </c>
      <c r="I5" s="84">
        <v>2.4918550000000002</v>
      </c>
      <c r="J5" s="84">
        <v>0.95</v>
      </c>
      <c r="K5" s="84">
        <v>4.9762126099999998E-2</v>
      </c>
      <c r="L5" s="84">
        <v>0</v>
      </c>
      <c r="M5" s="84">
        <v>0.2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49" t="s">
        <v>196</v>
      </c>
      <c r="F6" s="84">
        <v>0</v>
      </c>
      <c r="G6" s="84">
        <v>0.90800000000000003</v>
      </c>
      <c r="H6" s="84">
        <v>0.47599999999999998</v>
      </c>
      <c r="I6" s="84">
        <v>5.0330000000000004</v>
      </c>
      <c r="J6" s="84">
        <v>0.80818389999999996</v>
      </c>
      <c r="K6" s="84">
        <v>9.4575800000000002E-2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0.99720734357833862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495</v>
      </c>
      <c r="C7" s="84">
        <v>6</v>
      </c>
      <c r="D7"/>
      <c r="E7" s="149" t="s">
        <v>197</v>
      </c>
      <c r="F7" s="84">
        <v>0</v>
      </c>
      <c r="G7" s="84">
        <v>0.65466880000000005</v>
      </c>
      <c r="H7" s="84">
        <v>0.54100000000000004</v>
      </c>
      <c r="I7" s="84">
        <v>6.5030000000000001</v>
      </c>
      <c r="J7" s="84">
        <v>0.95</v>
      </c>
      <c r="K7" s="84">
        <v>8.3192379999999996E-2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148</v>
      </c>
      <c r="C8" s="84">
        <v>7</v>
      </c>
      <c r="D8"/>
      <c r="E8" s="149" t="s">
        <v>198</v>
      </c>
      <c r="F8" s="84">
        <v>0</v>
      </c>
      <c r="G8" s="84">
        <v>0.7</v>
      </c>
      <c r="H8" s="84">
        <v>0.91100000000000003</v>
      </c>
      <c r="I8" s="84">
        <v>8.6838519999999999</v>
      </c>
      <c r="J8" s="84">
        <v>0.9644528</v>
      </c>
      <c r="K8" s="84">
        <v>0.104907364</v>
      </c>
      <c r="L8" s="84">
        <v>0</v>
      </c>
      <c r="M8" s="84">
        <v>0.2</v>
      </c>
      <c r="N8" s="84">
        <v>0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49" t="s">
        <v>199</v>
      </c>
      <c r="F9" s="84">
        <v>0</v>
      </c>
      <c r="G9" s="84">
        <v>1</v>
      </c>
      <c r="H9" s="84">
        <v>2.1459999999999999</v>
      </c>
      <c r="I9" s="84">
        <v>10.14963</v>
      </c>
      <c r="J9" s="84">
        <v>0.52371769999999995</v>
      </c>
      <c r="K9" s="84">
        <v>0.21143627200000001</v>
      </c>
      <c r="L9" s="84">
        <v>0</v>
      </c>
      <c r="M9" s="84">
        <v>0.2</v>
      </c>
      <c r="N9" s="84">
        <v>0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49" t="s">
        <v>200</v>
      </c>
      <c r="F10" s="84">
        <v>0</v>
      </c>
      <c r="G10" s="84">
        <v>1</v>
      </c>
      <c r="H10" s="84">
        <v>0.94</v>
      </c>
      <c r="I10" s="84">
        <v>10.994</v>
      </c>
      <c r="J10" s="84">
        <v>0.90950319999999996</v>
      </c>
      <c r="K10" s="84">
        <v>8.5501179999999996E-2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49" t="s">
        <v>201</v>
      </c>
      <c r="F11" s="84">
        <v>0</v>
      </c>
      <c r="G11" s="84">
        <v>0.321361065</v>
      </c>
      <c r="H11" s="84">
        <v>0.95135999999999998</v>
      </c>
      <c r="I11" s="84">
        <v>8.9648489999999992</v>
      </c>
      <c r="J11" s="84">
        <v>0.97858100000000003</v>
      </c>
      <c r="K11" s="84">
        <v>0.10612112999999999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49" t="s">
        <v>202</v>
      </c>
      <c r="F12" s="84">
        <v>0</v>
      </c>
      <c r="G12" s="84">
        <v>0.40899999999999997</v>
      </c>
      <c r="H12" s="84">
        <v>0.45</v>
      </c>
      <c r="I12" s="84">
        <v>3.7789999999999999</v>
      </c>
      <c r="J12" s="84">
        <v>0.93391740000000001</v>
      </c>
      <c r="K12" s="84">
        <v>0.11907912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49" t="s">
        <v>203</v>
      </c>
      <c r="F13" s="84">
        <v>0</v>
      </c>
      <c r="G13" s="84">
        <v>0.30586360000000001</v>
      </c>
      <c r="H13" s="84">
        <v>0.41199999999999998</v>
      </c>
      <c r="I13" s="84">
        <v>3.1469999999999998</v>
      </c>
      <c r="J13" s="84">
        <v>0.95</v>
      </c>
      <c r="K13" s="84">
        <v>0.13091833899999999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49" t="s">
        <v>204</v>
      </c>
      <c r="F14" s="84">
        <v>0</v>
      </c>
      <c r="G14" s="84">
        <v>0.3</v>
      </c>
      <c r="H14" s="84">
        <v>0.443</v>
      </c>
      <c r="I14" s="84">
        <v>4.9169999999999998</v>
      </c>
      <c r="J14" s="84">
        <v>0.97073469999999995</v>
      </c>
      <c r="K14" s="84">
        <v>9.0095590000000003E-2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49" t="s">
        <v>205</v>
      </c>
      <c r="F15" s="84">
        <v>0</v>
      </c>
      <c r="G15" s="84">
        <v>0.93384856000000005</v>
      </c>
      <c r="H15" s="84">
        <v>0.7</v>
      </c>
      <c r="I15" s="84">
        <v>6.08</v>
      </c>
      <c r="J15" s="84">
        <v>0.95</v>
      </c>
      <c r="K15" s="84">
        <v>0.115131579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49" t="s">
        <v>206</v>
      </c>
      <c r="F16" s="84">
        <v>0</v>
      </c>
      <c r="G16" s="84">
        <v>0.77080315399999999</v>
      </c>
      <c r="H16" s="84">
        <v>1.2385500700000001</v>
      </c>
      <c r="I16" s="84">
        <v>8.2569999999999997</v>
      </c>
      <c r="J16" s="84">
        <v>0.96</v>
      </c>
      <c r="K16" s="84">
        <v>0.15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49" t="s">
        <v>207</v>
      </c>
      <c r="F17" s="84">
        <v>0</v>
      </c>
      <c r="G17" s="84">
        <v>0.98627656699999999</v>
      </c>
      <c r="H17" s="84">
        <v>1.2</v>
      </c>
      <c r="I17" s="84">
        <v>8.6259329999999999</v>
      </c>
      <c r="J17" s="84">
        <v>0.95</v>
      </c>
      <c r="K17" s="84">
        <v>0.1391154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49" t="s">
        <v>208</v>
      </c>
      <c r="F18" s="84">
        <v>0</v>
      </c>
      <c r="G18" s="84">
        <v>1.44943333</v>
      </c>
      <c r="H18" s="84">
        <v>1.3440000000000001</v>
      </c>
      <c r="I18" s="84">
        <v>11.24</v>
      </c>
      <c r="J18" s="84">
        <v>0.95</v>
      </c>
      <c r="K18" s="84">
        <v>0.119572952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49" t="s">
        <v>209</v>
      </c>
      <c r="F19" s="84">
        <v>0</v>
      </c>
      <c r="G19" s="84">
        <v>1.5</v>
      </c>
      <c r="H19" s="84">
        <v>1.88581</v>
      </c>
      <c r="I19" s="84">
        <v>11.30125</v>
      </c>
      <c r="J19" s="84">
        <v>0.99720739999999997</v>
      </c>
      <c r="K19" s="84">
        <v>0.16686737500000001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49" t="s">
        <v>210</v>
      </c>
      <c r="F20" s="84">
        <v>0</v>
      </c>
      <c r="G20" s="84">
        <v>0.52800000000000002</v>
      </c>
      <c r="H20" s="84">
        <v>0.23100000000000001</v>
      </c>
      <c r="I20" s="84">
        <v>3.6120000000000001</v>
      </c>
      <c r="J20" s="84">
        <v>0.92915535000000005</v>
      </c>
      <c r="K20" s="84">
        <v>6.3953490000000002E-2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49" t="s">
        <v>211</v>
      </c>
      <c r="F21" s="84">
        <v>0</v>
      </c>
      <c r="G21" s="84">
        <v>0.41</v>
      </c>
      <c r="H21" s="84">
        <v>0.39</v>
      </c>
      <c r="I21" s="84">
        <v>4.3054030000000001</v>
      </c>
      <c r="J21" s="84">
        <v>0.96574425699999999</v>
      </c>
      <c r="K21" s="84">
        <v>9.0583845999999996E-2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49" t="s">
        <v>212</v>
      </c>
      <c r="F22" s="84">
        <v>0</v>
      </c>
      <c r="G22" s="84">
        <v>0.48</v>
      </c>
      <c r="H22" s="84">
        <v>0.13</v>
      </c>
      <c r="I22" s="84">
        <v>2.379</v>
      </c>
      <c r="J22" s="84">
        <v>0.99058239999999997</v>
      </c>
      <c r="K22" s="84">
        <v>5.4644810000000002E-2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49" t="s">
        <v>213</v>
      </c>
      <c r="F23" s="84">
        <v>0</v>
      </c>
      <c r="G23" s="84">
        <v>0.2</v>
      </c>
      <c r="H23" s="84">
        <v>0.34795999999999999</v>
      </c>
      <c r="I23" s="84">
        <v>2.5989520000000002</v>
      </c>
      <c r="J23" s="84">
        <v>0.87616499999999997</v>
      </c>
      <c r="K23" s="84">
        <v>0.13388472800000001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49" t="s">
        <v>214</v>
      </c>
      <c r="F24" s="84">
        <v>0</v>
      </c>
      <c r="G24" s="84">
        <v>4.2</v>
      </c>
      <c r="H24" s="84">
        <v>0.9</v>
      </c>
      <c r="I24" s="84">
        <v>5.2830000000000004</v>
      </c>
      <c r="J24" s="84">
        <v>0.95411330000000005</v>
      </c>
      <c r="K24" s="84">
        <v>0.170357749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49" t="s">
        <v>215</v>
      </c>
      <c r="F25" s="84">
        <v>0</v>
      </c>
      <c r="G25" s="84">
        <v>10</v>
      </c>
      <c r="H25" s="84">
        <v>1.45</v>
      </c>
      <c r="I25" s="84">
        <v>9.6669999999999998</v>
      </c>
      <c r="J25" s="84">
        <v>0.80937959999999998</v>
      </c>
      <c r="K25" s="84">
        <v>0.14999483499999999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49" t="s">
        <v>216</v>
      </c>
      <c r="F26" s="84">
        <v>0</v>
      </c>
      <c r="G26" s="84">
        <v>20</v>
      </c>
      <c r="H26" s="84">
        <v>2.2799999999999998</v>
      </c>
      <c r="I26" s="84">
        <v>22.2</v>
      </c>
      <c r="J26" s="84">
        <v>0.74880474799999996</v>
      </c>
      <c r="K26" s="84">
        <v>0.10270269999999999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49" t="s">
        <v>217</v>
      </c>
      <c r="F27" s="84">
        <v>0</v>
      </c>
      <c r="G27" s="84">
        <v>42.1</v>
      </c>
      <c r="H27" s="84">
        <v>0.6</v>
      </c>
      <c r="I27" s="84">
        <v>6.3</v>
      </c>
      <c r="J27" s="84">
        <v>0.93420009999999998</v>
      </c>
      <c r="K27" s="84">
        <v>9.5238100000000006E-2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49" t="s">
        <v>218</v>
      </c>
      <c r="F28" s="84">
        <v>0</v>
      </c>
      <c r="G28" s="84">
        <v>2.420417</v>
      </c>
      <c r="H28" s="84">
        <v>2.5</v>
      </c>
      <c r="I28" s="84">
        <v>8</v>
      </c>
      <c r="J28" s="84">
        <v>0.95</v>
      </c>
      <c r="K28" s="84">
        <v>0.3125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49" t="s">
        <v>219</v>
      </c>
      <c r="F29" s="84">
        <v>0</v>
      </c>
      <c r="G29" s="84">
        <v>22</v>
      </c>
      <c r="H29" s="84">
        <v>0.64888999999999997</v>
      </c>
      <c r="I29" s="84">
        <v>4.7030000000000003</v>
      </c>
      <c r="J29" s="84">
        <v>0.86048190000000002</v>
      </c>
      <c r="K29" s="84">
        <v>0.13797363600000001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49" t="s">
        <v>220</v>
      </c>
      <c r="F30" s="84">
        <v>0</v>
      </c>
      <c r="G30" s="84">
        <v>22.13682</v>
      </c>
      <c r="H30" s="84">
        <v>2.7</v>
      </c>
      <c r="I30" s="84">
        <v>9</v>
      </c>
      <c r="J30" s="84">
        <v>0.95</v>
      </c>
      <c r="K30" s="84">
        <v>0.3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49" t="s">
        <v>221</v>
      </c>
      <c r="F31" s="84">
        <v>0</v>
      </c>
      <c r="G31" s="84">
        <v>18.343</v>
      </c>
      <c r="H31" s="84">
        <v>5</v>
      </c>
      <c r="I31" s="84">
        <v>28.416699999999999</v>
      </c>
      <c r="J31" s="84">
        <v>0.57139819999999997</v>
      </c>
      <c r="K31" s="84">
        <v>0.17595286700000001</v>
      </c>
      <c r="L31" s="84">
        <v>0</v>
      </c>
      <c r="M31" s="84">
        <v>0.4</v>
      </c>
      <c r="N31" s="84">
        <v>0</v>
      </c>
    </row>
    <row r="32" spans="1:22" customFormat="1" ht="15" customHeight="1" x14ac:dyDescent="0.15">
      <c r="C32" s="84">
        <v>31</v>
      </c>
      <c r="E32" s="149" t="s">
        <v>222</v>
      </c>
      <c r="F32" s="84">
        <v>0</v>
      </c>
      <c r="G32" s="84">
        <v>32</v>
      </c>
      <c r="H32" s="84">
        <v>18</v>
      </c>
      <c r="I32" s="84">
        <v>60</v>
      </c>
      <c r="J32" s="84">
        <v>0.82523643999999996</v>
      </c>
      <c r="K32" s="84">
        <v>0.3</v>
      </c>
      <c r="L32" s="84">
        <v>0</v>
      </c>
      <c r="M32" s="84">
        <v>0.4</v>
      </c>
      <c r="N32" s="84">
        <v>0</v>
      </c>
    </row>
    <row r="33" spans="3:14" customFormat="1" ht="15" customHeight="1" x14ac:dyDescent="0.15">
      <c r="C33" s="84">
        <v>32</v>
      </c>
      <c r="E33" s="149" t="s">
        <v>223</v>
      </c>
      <c r="F33" s="84">
        <v>0</v>
      </c>
      <c r="G33" s="84">
        <v>32</v>
      </c>
      <c r="H33" s="84">
        <v>2.5</v>
      </c>
      <c r="I33" s="84">
        <v>12.5</v>
      </c>
      <c r="J33" s="84">
        <v>0.92781275500000004</v>
      </c>
      <c r="K33" s="84">
        <v>0.2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49" t="s">
        <v>224</v>
      </c>
      <c r="F34" s="84">
        <v>0</v>
      </c>
      <c r="G34" s="84">
        <v>8.9999999999999993E-3</v>
      </c>
      <c r="H34" s="84">
        <v>0.25</v>
      </c>
      <c r="I34" s="84">
        <v>79.184700000000007</v>
      </c>
      <c r="J34" s="84">
        <v>0.50529515700000005</v>
      </c>
      <c r="K34" s="84">
        <v>3.1571756100000001E-3</v>
      </c>
      <c r="L34" s="84">
        <v>0</v>
      </c>
      <c r="M34" s="84">
        <v>1E-3</v>
      </c>
      <c r="N34" s="84">
        <v>0</v>
      </c>
    </row>
    <row r="35" spans="3:14" customFormat="1" ht="15" customHeight="1" x14ac:dyDescent="0.15">
      <c r="C35" s="84">
        <v>34</v>
      </c>
      <c r="E35" s="149" t="s">
        <v>225</v>
      </c>
      <c r="F35" s="84">
        <v>0</v>
      </c>
      <c r="G35" s="84">
        <v>0.15</v>
      </c>
      <c r="H35" s="84">
        <v>0.2</v>
      </c>
      <c r="I35" s="84">
        <v>11.693</v>
      </c>
      <c r="J35" s="84">
        <v>0.62965190000000004</v>
      </c>
      <c r="K35" s="84">
        <v>1.7104251300000001E-2</v>
      </c>
      <c r="L35" s="84">
        <v>0</v>
      </c>
      <c r="M35" s="84">
        <v>0.2</v>
      </c>
      <c r="N35" s="84">
        <v>0</v>
      </c>
    </row>
    <row r="36" spans="3:14" customFormat="1" ht="15" customHeight="1" x14ac:dyDescent="0.15">
      <c r="C36" s="84">
        <v>35</v>
      </c>
      <c r="E36" s="149" t="s">
        <v>226</v>
      </c>
      <c r="F36" s="84">
        <v>0</v>
      </c>
      <c r="G36" s="84">
        <v>5.3999999999999999E-2</v>
      </c>
      <c r="H36" s="84">
        <v>0.17899999999999999</v>
      </c>
      <c r="I36" s="84">
        <v>4.7770000000000001</v>
      </c>
      <c r="J36" s="84">
        <v>0.117475793</v>
      </c>
      <c r="K36" s="84">
        <v>3.7471216199999997E-2</v>
      </c>
      <c r="L36" s="84">
        <v>0</v>
      </c>
      <c r="M36" s="84">
        <v>0.2</v>
      </c>
      <c r="N36" s="84">
        <v>0</v>
      </c>
    </row>
    <row r="37" spans="3:14" customFormat="1" ht="15" customHeight="1" x14ac:dyDescent="0.15">
      <c r="C37" s="84">
        <v>36</v>
      </c>
      <c r="E37" s="149" t="s">
        <v>227</v>
      </c>
      <c r="F37" s="84">
        <v>1</v>
      </c>
      <c r="G37" s="84">
        <v>28.86</v>
      </c>
      <c r="H37" s="84">
        <v>93.1</v>
      </c>
      <c r="I37" s="84">
        <v>0</v>
      </c>
      <c r="J37" s="84">
        <v>0.97853845399999995</v>
      </c>
      <c r="K37" s="84">
        <v>0</v>
      </c>
      <c r="L37" s="84">
        <v>0</v>
      </c>
      <c r="M37" s="84">
        <v>0</v>
      </c>
      <c r="N37" s="84">
        <v>0</v>
      </c>
    </row>
    <row r="38" spans="3:14" customFormat="1" ht="15" customHeight="1" x14ac:dyDescent="0.15">
      <c r="C38" s="84">
        <v>37</v>
      </c>
      <c r="E38" s="149" t="s">
        <v>228</v>
      </c>
      <c r="F38" s="84">
        <v>2</v>
      </c>
      <c r="G38" s="84">
        <v>50</v>
      </c>
      <c r="H38" s="84">
        <v>0</v>
      </c>
      <c r="I38" s="84">
        <v>0</v>
      </c>
      <c r="J38" s="84">
        <v>0</v>
      </c>
      <c r="K38" s="84">
        <v>0</v>
      </c>
      <c r="L38" s="84">
        <v>0</v>
      </c>
      <c r="M38" s="84">
        <v>0</v>
      </c>
      <c r="N38" s="84">
        <v>0</v>
      </c>
    </row>
    <row r="39" spans="3:14" customFormat="1" ht="15" customHeight="1" x14ac:dyDescent="0.15">
      <c r="C39" s="84">
        <v>38</v>
      </c>
      <c r="E39" s="149" t="s">
        <v>229</v>
      </c>
      <c r="F39" s="84">
        <v>2</v>
      </c>
      <c r="G39" s="84">
        <v>5</v>
      </c>
      <c r="H39" s="84">
        <v>0</v>
      </c>
      <c r="I39" s="84">
        <v>0</v>
      </c>
      <c r="J39" s="84">
        <v>0</v>
      </c>
      <c r="K39" s="84">
        <v>0</v>
      </c>
      <c r="L39" s="84">
        <v>0</v>
      </c>
      <c r="M39" s="84">
        <v>0</v>
      </c>
      <c r="N39" s="84">
        <v>0</v>
      </c>
    </row>
    <row r="40" spans="3:14" customFormat="1" ht="15" customHeight="1" x14ac:dyDescent="0.15">
      <c r="C40" s="84">
        <v>39</v>
      </c>
      <c r="E40" s="149" t="s">
        <v>230</v>
      </c>
      <c r="F40" s="84">
        <v>3</v>
      </c>
      <c r="G40" s="84">
        <v>0</v>
      </c>
      <c r="H40" s="84">
        <v>0</v>
      </c>
      <c r="I40" s="84">
        <v>0</v>
      </c>
      <c r="J40" s="84">
        <v>0</v>
      </c>
      <c r="K40" s="84">
        <v>0</v>
      </c>
      <c r="L40" s="84">
        <v>0</v>
      </c>
      <c r="M40" s="84">
        <v>0</v>
      </c>
      <c r="N40" s="84">
        <v>0</v>
      </c>
    </row>
    <row r="41" spans="3:14" customFormat="1" ht="15" customHeight="1" x14ac:dyDescent="0.15">
      <c r="C41" s="84">
        <v>40</v>
      </c>
      <c r="E41" s="149" t="s">
        <v>231</v>
      </c>
      <c r="F41" s="84">
        <v>3</v>
      </c>
      <c r="G41" s="84">
        <v>0</v>
      </c>
      <c r="H41" s="84">
        <v>0</v>
      </c>
      <c r="I41" s="84">
        <v>0</v>
      </c>
      <c r="J41" s="84">
        <v>0</v>
      </c>
      <c r="K41" s="84">
        <v>0</v>
      </c>
      <c r="L41" s="84">
        <v>0</v>
      </c>
      <c r="M41" s="84">
        <v>0</v>
      </c>
      <c r="N41" s="84">
        <v>0</v>
      </c>
    </row>
    <row r="42" spans="3:14" customFormat="1" ht="15" customHeight="1" x14ac:dyDescent="0.15">
      <c r="C42" s="84">
        <v>41</v>
      </c>
      <c r="E42" s="149" t="s">
        <v>232</v>
      </c>
      <c r="F42" s="84">
        <v>3</v>
      </c>
      <c r="G42" s="84">
        <v>0</v>
      </c>
      <c r="H42" s="84">
        <v>0</v>
      </c>
      <c r="I42" s="84">
        <v>0</v>
      </c>
      <c r="J42" s="84">
        <v>0</v>
      </c>
      <c r="K42" s="84">
        <v>0</v>
      </c>
      <c r="L42" s="84">
        <v>0</v>
      </c>
      <c r="M42" s="84">
        <v>0</v>
      </c>
      <c r="N42" s="84">
        <v>0</v>
      </c>
    </row>
    <row r="43" spans="3:14" customFormat="1" ht="15" customHeight="1" x14ac:dyDescent="0.15">
      <c r="C43" s="84">
        <v>42</v>
      </c>
      <c r="E43" s="149" t="s">
        <v>233</v>
      </c>
      <c r="F43" s="84">
        <v>3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0</v>
      </c>
      <c r="M43" s="84">
        <v>0</v>
      </c>
      <c r="N43" s="84">
        <v>0</v>
      </c>
    </row>
    <row r="44" spans="3:14" customFormat="1" ht="15" customHeight="1" x14ac:dyDescent="0.15">
      <c r="C44" s="84">
        <v>43</v>
      </c>
      <c r="E44" s="149" t="s">
        <v>234</v>
      </c>
      <c r="F44" s="84">
        <v>3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0</v>
      </c>
      <c r="M44" s="84">
        <v>0</v>
      </c>
      <c r="N44" s="84">
        <v>0</v>
      </c>
    </row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M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4.33203125" style="144" bestFit="1" customWidth="1"/>
    <col min="2" max="2" width="15.83203125" style="144" bestFit="1" customWidth="1"/>
    <col min="3" max="3" width="14.83203125" style="144" bestFit="1" customWidth="1"/>
    <col min="4" max="4" width="15.83203125" style="144" bestFit="1" customWidth="1"/>
    <col min="5" max="5" width="15.5" style="144" bestFit="1" customWidth="1"/>
    <col min="6" max="9" width="14.83203125" style="144" bestFit="1" customWidth="1"/>
    <col min="10" max="10" width="4.83203125" style="144" bestFit="1" customWidth="1"/>
    <col min="11" max="11" width="2.33203125" style="144" bestFit="1" customWidth="1"/>
    <col min="12" max="15" width="14.83203125" style="144" bestFit="1" customWidth="1"/>
    <col min="16" max="17" width="15.83203125" style="144" bestFit="1" customWidth="1"/>
    <col min="18" max="18" width="14.83203125" style="144" bestFit="1" customWidth="1"/>
    <col min="19" max="19" width="3.83203125" style="144" bestFit="1" customWidth="1"/>
    <col min="20" max="22" width="15.83203125" style="144" bestFit="1" customWidth="1"/>
    <col min="23" max="26" width="14.83203125" style="144" bestFit="1" customWidth="1"/>
    <col min="27" max="27" width="13.83203125" style="144" bestFit="1" customWidth="1"/>
    <col min="28" max="28" width="14.83203125" style="144" bestFit="1" customWidth="1"/>
    <col min="29" max="29" width="13.83203125" style="144" bestFit="1" customWidth="1"/>
    <col min="30" max="30" width="14.83203125" style="144" customWidth="1"/>
    <col min="31" max="31" width="13.83203125" style="144" customWidth="1"/>
    <col min="32" max="32" width="2.33203125" style="144" customWidth="1"/>
    <col min="33" max="33" width="13.83203125" style="144" customWidth="1"/>
    <col min="34" max="35" width="14.83203125" style="144" customWidth="1"/>
    <col min="36" max="36" width="13.83203125" style="144" customWidth="1"/>
    <col min="37" max="39" width="2.33203125" style="144" customWidth="1"/>
    <col min="40" max="16384" width="8.83203125" style="144"/>
  </cols>
  <sheetData>
    <row r="1" spans="1:39" x14ac:dyDescent="0.15">
      <c r="A1" s="143" t="s">
        <v>19</v>
      </c>
      <c r="B1" s="151" t="s">
        <v>192</v>
      </c>
      <c r="C1" s="151" t="s">
        <v>193</v>
      </c>
      <c r="D1" s="151" t="s">
        <v>194</v>
      </c>
      <c r="E1" s="151" t="s">
        <v>195</v>
      </c>
      <c r="F1" s="151" t="s">
        <v>196</v>
      </c>
      <c r="G1" s="151" t="s">
        <v>197</v>
      </c>
      <c r="H1" s="151" t="s">
        <v>198</v>
      </c>
      <c r="I1" s="151" t="s">
        <v>199</v>
      </c>
      <c r="J1" s="151" t="s">
        <v>200</v>
      </c>
      <c r="K1" s="151" t="s">
        <v>201</v>
      </c>
      <c r="L1" s="151" t="s">
        <v>202</v>
      </c>
      <c r="M1" s="151" t="s">
        <v>203</v>
      </c>
      <c r="N1" s="151" t="s">
        <v>204</v>
      </c>
      <c r="O1" s="151" t="s">
        <v>205</v>
      </c>
      <c r="P1" s="151" t="s">
        <v>206</v>
      </c>
      <c r="Q1" s="151" t="s">
        <v>207</v>
      </c>
      <c r="R1" s="151" t="s">
        <v>208</v>
      </c>
      <c r="S1" s="151" t="s">
        <v>209</v>
      </c>
      <c r="T1" s="151" t="s">
        <v>210</v>
      </c>
      <c r="U1" s="151" t="s">
        <v>211</v>
      </c>
      <c r="V1" s="151" t="s">
        <v>212</v>
      </c>
      <c r="W1" s="151" t="s">
        <v>213</v>
      </c>
      <c r="X1" s="151" t="s">
        <v>214</v>
      </c>
      <c r="Y1" s="151" t="s">
        <v>215</v>
      </c>
      <c r="Z1" s="151" t="s">
        <v>216</v>
      </c>
      <c r="AA1" s="151" t="s">
        <v>217</v>
      </c>
      <c r="AB1" s="151" t="s">
        <v>218</v>
      </c>
      <c r="AC1" s="151" t="s">
        <v>219</v>
      </c>
      <c r="AD1" s="151" t="s">
        <v>220</v>
      </c>
      <c r="AE1" s="151" t="s">
        <v>221</v>
      </c>
      <c r="AF1" s="151" t="s">
        <v>222</v>
      </c>
      <c r="AG1" s="151" t="s">
        <v>223</v>
      </c>
      <c r="AH1" s="151" t="s">
        <v>224</v>
      </c>
      <c r="AI1" s="151" t="s">
        <v>225</v>
      </c>
      <c r="AJ1" s="151" t="s">
        <v>226</v>
      </c>
      <c r="AK1" s="151" t="s">
        <v>227</v>
      </c>
      <c r="AL1" s="151" t="s">
        <v>228</v>
      </c>
      <c r="AM1" s="151" t="s">
        <v>229</v>
      </c>
    </row>
    <row r="2" spans="1:39" customFormat="1" x14ac:dyDescent="0.15">
      <c r="A2" s="150" t="s">
        <v>192</v>
      </c>
      <c r="B2" s="144">
        <v>1.1391682403728762E-3</v>
      </c>
      <c r="C2" s="144">
        <v>0</v>
      </c>
      <c r="D2" s="144">
        <v>0</v>
      </c>
      <c r="E2" s="144">
        <v>0</v>
      </c>
      <c r="F2" s="144">
        <v>0</v>
      </c>
      <c r="G2" s="144">
        <v>0</v>
      </c>
      <c r="H2" s="144">
        <v>0</v>
      </c>
      <c r="I2" s="144">
        <v>0</v>
      </c>
      <c r="J2" s="144">
        <v>0</v>
      </c>
      <c r="K2" s="144">
        <v>0</v>
      </c>
      <c r="L2" s="144">
        <v>0</v>
      </c>
      <c r="M2" s="144">
        <v>0</v>
      </c>
      <c r="N2" s="144">
        <v>0</v>
      </c>
      <c r="O2" s="144">
        <v>0</v>
      </c>
      <c r="P2" s="144">
        <v>0</v>
      </c>
      <c r="Q2" s="144">
        <v>0</v>
      </c>
      <c r="R2" s="144">
        <v>0</v>
      </c>
      <c r="S2" s="144">
        <v>0</v>
      </c>
      <c r="T2" s="144">
        <v>0</v>
      </c>
      <c r="U2" s="144">
        <v>4.0000743145928398E-3</v>
      </c>
      <c r="V2" s="144">
        <v>2.9985081871668814E-3</v>
      </c>
      <c r="W2" s="144">
        <v>1.3998457684447465E-2</v>
      </c>
      <c r="X2" s="144">
        <v>0</v>
      </c>
      <c r="Y2" s="144">
        <v>0</v>
      </c>
      <c r="Z2" s="144">
        <v>0</v>
      </c>
      <c r="AA2" s="144">
        <v>0</v>
      </c>
      <c r="AB2" s="144">
        <v>0</v>
      </c>
      <c r="AC2" s="144">
        <v>0</v>
      </c>
      <c r="AD2" s="144">
        <v>0</v>
      </c>
      <c r="AE2" s="144">
        <v>0</v>
      </c>
      <c r="AF2" s="144">
        <v>0</v>
      </c>
      <c r="AG2" s="144">
        <v>0</v>
      </c>
      <c r="AH2" s="144">
        <v>0</v>
      </c>
      <c r="AI2" s="144">
        <v>5.0052777205822465E-3</v>
      </c>
      <c r="AJ2" s="144">
        <v>0</v>
      </c>
      <c r="AK2" s="144">
        <v>0</v>
      </c>
      <c r="AL2" s="144">
        <v>0</v>
      </c>
      <c r="AM2" s="144">
        <v>0</v>
      </c>
    </row>
    <row r="3" spans="1:39" customFormat="1" x14ac:dyDescent="0.15">
      <c r="A3" s="150" t="s">
        <v>193</v>
      </c>
      <c r="B3" s="144">
        <v>0.10357479730761626</v>
      </c>
      <c r="C3" s="144">
        <v>0</v>
      </c>
      <c r="D3" s="144">
        <v>0</v>
      </c>
      <c r="E3" s="144">
        <v>0</v>
      </c>
      <c r="F3" s="144">
        <v>0</v>
      </c>
      <c r="G3" s="144">
        <v>0</v>
      </c>
      <c r="H3" s="144">
        <v>0</v>
      </c>
      <c r="I3" s="144">
        <v>0</v>
      </c>
      <c r="J3" s="144">
        <v>0</v>
      </c>
      <c r="K3" s="144">
        <v>0</v>
      </c>
      <c r="L3" s="144">
        <v>0</v>
      </c>
      <c r="M3" s="144">
        <v>0</v>
      </c>
      <c r="N3" s="144">
        <v>5.4824363999755139E-3</v>
      </c>
      <c r="O3" s="144">
        <v>0</v>
      </c>
      <c r="P3" s="144">
        <v>0</v>
      </c>
      <c r="Q3" s="144">
        <v>0</v>
      </c>
      <c r="R3" s="144">
        <v>0</v>
      </c>
      <c r="S3" s="144">
        <v>0</v>
      </c>
      <c r="T3" s="144">
        <v>2.8801570558247197E-2</v>
      </c>
      <c r="U3" s="144">
        <v>0</v>
      </c>
      <c r="V3" s="144">
        <v>3.0979253433725002E-2</v>
      </c>
      <c r="W3" s="144">
        <v>0</v>
      </c>
      <c r="X3" s="144">
        <v>0</v>
      </c>
      <c r="Y3" s="144">
        <v>0</v>
      </c>
      <c r="Z3" s="144">
        <v>0</v>
      </c>
      <c r="AA3" s="144">
        <v>0</v>
      </c>
      <c r="AB3" s="144">
        <v>0</v>
      </c>
      <c r="AC3" s="144">
        <v>0</v>
      </c>
      <c r="AD3" s="144">
        <v>0</v>
      </c>
      <c r="AE3" s="144">
        <v>0</v>
      </c>
      <c r="AF3" s="144">
        <v>0</v>
      </c>
      <c r="AG3" s="144">
        <v>0</v>
      </c>
      <c r="AH3" s="144">
        <v>0</v>
      </c>
      <c r="AI3" s="144">
        <v>5.5057320336400227E-2</v>
      </c>
      <c r="AJ3" s="144">
        <v>0</v>
      </c>
      <c r="AK3" s="144">
        <v>0</v>
      </c>
      <c r="AL3" s="144">
        <v>0</v>
      </c>
      <c r="AM3" s="144">
        <v>0</v>
      </c>
    </row>
    <row r="4" spans="1:39" customFormat="1" x14ac:dyDescent="0.15">
      <c r="A4" s="150" t="s">
        <v>194</v>
      </c>
      <c r="B4" s="144">
        <v>0.19613100483782694</v>
      </c>
      <c r="C4" s="144">
        <v>0.2508733023230868</v>
      </c>
      <c r="D4" s="144">
        <v>0</v>
      </c>
      <c r="E4" s="144">
        <v>3.9972121686347867E-2</v>
      </c>
      <c r="F4" s="144">
        <v>7.3833586978729618E-2</v>
      </c>
      <c r="G4" s="144">
        <v>8.5289241076350233E-2</v>
      </c>
      <c r="H4" s="144">
        <v>0.26602769422719902</v>
      </c>
      <c r="I4" s="144">
        <v>3.360806822112495E-2</v>
      </c>
      <c r="J4" s="144">
        <v>0</v>
      </c>
      <c r="K4" s="144">
        <v>0</v>
      </c>
      <c r="L4" s="144">
        <v>0.21537278548238065</v>
      </c>
      <c r="M4" s="144">
        <v>0</v>
      </c>
      <c r="N4" s="144">
        <v>0.23208980305562951</v>
      </c>
      <c r="O4" s="144">
        <v>3.9051008971832529E-2</v>
      </c>
      <c r="P4" s="144">
        <v>5.558883353822925E-2</v>
      </c>
      <c r="Q4" s="144">
        <v>0</v>
      </c>
      <c r="R4" s="144">
        <v>7.5593187097221612E-2</v>
      </c>
      <c r="S4" s="144">
        <v>0</v>
      </c>
      <c r="T4" s="144">
        <v>6.8680887515812306E-2</v>
      </c>
      <c r="U4" s="144">
        <v>0.17699181794683833</v>
      </c>
      <c r="V4" s="144">
        <v>4.8776465744627004E-2</v>
      </c>
      <c r="W4" s="144">
        <v>9.7425909635422456E-2</v>
      </c>
      <c r="X4" s="144">
        <v>0</v>
      </c>
      <c r="Y4" s="144">
        <v>0</v>
      </c>
      <c r="Z4" s="144">
        <v>0</v>
      </c>
      <c r="AA4" s="144">
        <v>0</v>
      </c>
      <c r="AB4" s="144">
        <v>3.4879602605308153E-2</v>
      </c>
      <c r="AC4" s="144">
        <v>0</v>
      </c>
      <c r="AD4" s="144">
        <v>0</v>
      </c>
      <c r="AE4" s="144">
        <v>0</v>
      </c>
      <c r="AF4" s="144">
        <v>0</v>
      </c>
      <c r="AG4" s="144">
        <v>0</v>
      </c>
      <c r="AH4" s="144">
        <v>8.0125314774226963E-2</v>
      </c>
      <c r="AI4" s="144">
        <v>0.22036293234641752</v>
      </c>
      <c r="AJ4" s="144">
        <v>0</v>
      </c>
      <c r="AK4" s="144">
        <v>0</v>
      </c>
      <c r="AL4" s="144">
        <v>0</v>
      </c>
      <c r="AM4" s="144">
        <v>0</v>
      </c>
    </row>
    <row r="5" spans="1:39" customFormat="1" x14ac:dyDescent="0.15">
      <c r="A5" s="150" t="s">
        <v>195</v>
      </c>
      <c r="B5" s="144">
        <v>0</v>
      </c>
      <c r="C5" s="144">
        <v>0</v>
      </c>
      <c r="D5" s="144">
        <v>0</v>
      </c>
      <c r="E5" s="144">
        <v>0</v>
      </c>
      <c r="F5" s="144">
        <v>0</v>
      </c>
      <c r="G5" s="144">
        <v>0</v>
      </c>
      <c r="H5" s="144">
        <v>0</v>
      </c>
      <c r="I5" s="144">
        <v>0</v>
      </c>
      <c r="J5" s="144">
        <v>0</v>
      </c>
      <c r="K5" s="144">
        <v>0</v>
      </c>
      <c r="L5" s="144">
        <v>0</v>
      </c>
      <c r="M5" s="144">
        <v>0</v>
      </c>
      <c r="N5" s="144">
        <v>0</v>
      </c>
      <c r="O5" s="144">
        <v>0</v>
      </c>
      <c r="P5" s="144">
        <v>0</v>
      </c>
      <c r="Q5" s="144">
        <v>0</v>
      </c>
      <c r="R5" s="144">
        <v>0</v>
      </c>
      <c r="S5" s="144">
        <v>0</v>
      </c>
      <c r="T5" s="144">
        <v>0</v>
      </c>
      <c r="U5" s="144">
        <v>0</v>
      </c>
      <c r="V5" s="144">
        <v>0</v>
      </c>
      <c r="W5" s="144">
        <v>0</v>
      </c>
      <c r="X5" s="144">
        <v>0</v>
      </c>
      <c r="Y5" s="144">
        <v>0</v>
      </c>
      <c r="Z5" s="144">
        <v>0</v>
      </c>
      <c r="AA5" s="144">
        <v>0</v>
      </c>
      <c r="AB5" s="144">
        <v>0</v>
      </c>
      <c r="AC5" s="144">
        <v>0</v>
      </c>
      <c r="AD5" s="144">
        <v>0</v>
      </c>
      <c r="AE5" s="144">
        <v>0</v>
      </c>
      <c r="AF5" s="144">
        <v>0</v>
      </c>
      <c r="AG5" s="144">
        <v>0</v>
      </c>
      <c r="AH5" s="144">
        <v>0</v>
      </c>
      <c r="AI5" s="144">
        <v>1.3002678879446368E-2</v>
      </c>
      <c r="AJ5" s="144">
        <v>0</v>
      </c>
      <c r="AK5" s="144">
        <v>0</v>
      </c>
      <c r="AL5" s="144">
        <v>0</v>
      </c>
      <c r="AM5" s="144">
        <v>0</v>
      </c>
    </row>
    <row r="6" spans="1:39" customFormat="1" x14ac:dyDescent="0.15">
      <c r="A6" s="150" t="s">
        <v>196</v>
      </c>
      <c r="B6" s="144">
        <v>3.4160489810159206E-2</v>
      </c>
      <c r="C6" s="144">
        <v>0</v>
      </c>
      <c r="D6" s="144">
        <v>0</v>
      </c>
      <c r="E6" s="144">
        <v>3.8220288012441331E-2</v>
      </c>
      <c r="F6" s="144">
        <v>4.0124154858119584E-3</v>
      </c>
      <c r="G6" s="144">
        <v>0</v>
      </c>
      <c r="H6" s="144">
        <v>0</v>
      </c>
      <c r="I6" s="144">
        <v>0</v>
      </c>
      <c r="J6" s="144">
        <v>0</v>
      </c>
      <c r="K6" s="144">
        <v>0</v>
      </c>
      <c r="L6" s="144">
        <v>5.4692693986882895E-3</v>
      </c>
      <c r="M6" s="144">
        <v>0</v>
      </c>
      <c r="N6" s="144">
        <v>0</v>
      </c>
      <c r="O6" s="144">
        <v>0</v>
      </c>
      <c r="P6" s="144">
        <v>0</v>
      </c>
      <c r="Q6" s="144">
        <v>0</v>
      </c>
      <c r="R6" s="144">
        <v>0</v>
      </c>
      <c r="S6" s="144">
        <v>0</v>
      </c>
      <c r="T6" s="144">
        <v>4.9058620925549693E-3</v>
      </c>
      <c r="U6" s="144">
        <v>1.0021827334396936E-3</v>
      </c>
      <c r="V6" s="144">
        <v>8.9939765614040195E-3</v>
      </c>
      <c r="W6" s="144">
        <v>2.6993094769617074E-2</v>
      </c>
      <c r="X6" s="144">
        <v>0</v>
      </c>
      <c r="Y6" s="144">
        <v>0</v>
      </c>
      <c r="Z6" s="144">
        <v>0</v>
      </c>
      <c r="AA6" s="144">
        <v>0</v>
      </c>
      <c r="AB6" s="144">
        <v>0</v>
      </c>
      <c r="AC6" s="144">
        <v>0</v>
      </c>
      <c r="AD6" s="144">
        <v>0</v>
      </c>
      <c r="AE6" s="144">
        <v>0</v>
      </c>
      <c r="AF6" s="144">
        <v>0</v>
      </c>
      <c r="AG6" s="144">
        <v>0</v>
      </c>
      <c r="AH6" s="144">
        <v>5.5359306389466036E-3</v>
      </c>
      <c r="AI6" s="144">
        <v>1.1018971967325918E-2</v>
      </c>
      <c r="AJ6" s="144">
        <v>0</v>
      </c>
      <c r="AK6" s="144">
        <v>0</v>
      </c>
      <c r="AL6" s="144">
        <v>0</v>
      </c>
      <c r="AM6" s="144">
        <v>0</v>
      </c>
    </row>
    <row r="7" spans="1:39" customFormat="1" x14ac:dyDescent="0.15">
      <c r="A7" s="150" t="s">
        <v>197</v>
      </c>
      <c r="B7" s="144">
        <v>1.1996956446433265E-2</v>
      </c>
      <c r="C7" s="144">
        <v>0</v>
      </c>
      <c r="D7" s="144">
        <v>0</v>
      </c>
      <c r="E7" s="144">
        <v>4.6015964941326135E-2</v>
      </c>
      <c r="F7" s="144">
        <v>4.0027171562088135E-3</v>
      </c>
      <c r="G7" s="144">
        <v>4.9978057530723086E-3</v>
      </c>
      <c r="H7" s="144">
        <v>0</v>
      </c>
      <c r="I7" s="144">
        <v>0</v>
      </c>
      <c r="J7" s="144">
        <v>0</v>
      </c>
      <c r="K7" s="144">
        <v>0</v>
      </c>
      <c r="L7" s="144">
        <v>1.4981554050824937E-2</v>
      </c>
      <c r="M7" s="144">
        <v>0</v>
      </c>
      <c r="N7" s="144">
        <v>1.3000051683506694E-2</v>
      </c>
      <c r="O7" s="144">
        <v>0</v>
      </c>
      <c r="P7" s="144">
        <v>0</v>
      </c>
      <c r="Q7" s="144">
        <v>0</v>
      </c>
      <c r="R7" s="144">
        <v>0</v>
      </c>
      <c r="S7" s="144">
        <v>0</v>
      </c>
      <c r="T7" s="144">
        <v>0</v>
      </c>
      <c r="U7" s="144">
        <v>0</v>
      </c>
      <c r="V7" s="144">
        <v>9.9941986238378782E-3</v>
      </c>
      <c r="W7" s="144">
        <v>5.8016570437838817E-2</v>
      </c>
      <c r="X7" s="144">
        <v>0</v>
      </c>
      <c r="Y7" s="144">
        <v>0</v>
      </c>
      <c r="Z7" s="144">
        <v>0</v>
      </c>
      <c r="AA7" s="144">
        <v>0</v>
      </c>
      <c r="AB7" s="144">
        <v>9.9986609695379989E-4</v>
      </c>
      <c r="AC7" s="144">
        <v>0</v>
      </c>
      <c r="AD7" s="144">
        <v>0</v>
      </c>
      <c r="AE7" s="144">
        <v>0</v>
      </c>
      <c r="AF7" s="144">
        <v>0</v>
      </c>
      <c r="AG7" s="144">
        <v>0</v>
      </c>
      <c r="AH7" s="144">
        <v>5.1418863646461713E-2</v>
      </c>
      <c r="AI7" s="144">
        <v>2.2037943934651836E-2</v>
      </c>
      <c r="AJ7" s="144">
        <v>1.8823954817873717E-2</v>
      </c>
      <c r="AK7" s="144">
        <v>0</v>
      </c>
      <c r="AL7" s="144">
        <v>0</v>
      </c>
      <c r="AM7" s="144">
        <v>0</v>
      </c>
    </row>
    <row r="8" spans="1:39" customFormat="1" x14ac:dyDescent="0.15">
      <c r="A8" s="150" t="s">
        <v>198</v>
      </c>
      <c r="B8" s="144">
        <v>2.203789465486162E-3</v>
      </c>
      <c r="C8" s="144">
        <v>0</v>
      </c>
      <c r="D8" s="144">
        <v>0</v>
      </c>
      <c r="E8" s="144">
        <v>5.0015786910071027E-3</v>
      </c>
      <c r="F8" s="144">
        <v>5.0076924050852269E-3</v>
      </c>
      <c r="G8" s="144">
        <v>1.9991223052289234E-2</v>
      </c>
      <c r="H8" s="144">
        <v>7.9996918264066859E-3</v>
      </c>
      <c r="I8" s="144">
        <v>4.0000451482776105E-3</v>
      </c>
      <c r="J8" s="144">
        <v>0</v>
      </c>
      <c r="K8" s="144">
        <v>0</v>
      </c>
      <c r="L8" s="144">
        <v>9.9936043680245046E-3</v>
      </c>
      <c r="M8" s="144">
        <v>0</v>
      </c>
      <c r="N8" s="144">
        <v>0</v>
      </c>
      <c r="O8" s="144">
        <v>3.1687199394290549E-3</v>
      </c>
      <c r="P8" s="144">
        <v>0</v>
      </c>
      <c r="Q8" s="144">
        <v>0</v>
      </c>
      <c r="R8" s="144">
        <v>1.0001327215949033E-3</v>
      </c>
      <c r="S8" s="144">
        <v>0</v>
      </c>
      <c r="T8" s="144">
        <v>4.9965848192735276E-3</v>
      </c>
      <c r="U8" s="144">
        <v>3.032973707772983E-3</v>
      </c>
      <c r="V8" s="144">
        <v>8.5607665343630478E-3</v>
      </c>
      <c r="W8" s="144">
        <v>9.9980125788034432E-2</v>
      </c>
      <c r="X8" s="144">
        <v>0</v>
      </c>
      <c r="Y8" s="144">
        <v>0</v>
      </c>
      <c r="Z8" s="144">
        <v>0</v>
      </c>
      <c r="AA8" s="144">
        <v>0</v>
      </c>
      <c r="AB8" s="144">
        <v>2.0004674138318279E-3</v>
      </c>
      <c r="AC8" s="144">
        <v>0</v>
      </c>
      <c r="AD8" s="144">
        <v>0</v>
      </c>
      <c r="AE8" s="144">
        <v>0</v>
      </c>
      <c r="AF8" s="144">
        <v>0</v>
      </c>
      <c r="AG8" s="144">
        <v>0</v>
      </c>
      <c r="AH8" s="144">
        <v>2.9041146805936405E-2</v>
      </c>
      <c r="AI8" s="144">
        <v>1.0001401461108563E-2</v>
      </c>
      <c r="AJ8" s="144">
        <v>5.0018145584631649E-2</v>
      </c>
      <c r="AK8" s="144">
        <v>0</v>
      </c>
      <c r="AL8" s="144">
        <v>0</v>
      </c>
      <c r="AM8" s="144">
        <v>0</v>
      </c>
    </row>
    <row r="9" spans="1:39" customFormat="1" x14ac:dyDescent="0.15">
      <c r="A9" s="150" t="s">
        <v>199</v>
      </c>
      <c r="B9" s="144">
        <v>5.8980051861278589E-2</v>
      </c>
      <c r="C9" s="144">
        <v>0</v>
      </c>
      <c r="D9" s="144">
        <v>0</v>
      </c>
      <c r="E9" s="144">
        <v>4.9999354609377766E-2</v>
      </c>
      <c r="F9" s="144">
        <v>3.8001092444995291E-2</v>
      </c>
      <c r="G9" s="144">
        <v>6.4956250819747888E-2</v>
      </c>
      <c r="H9" s="144">
        <v>0</v>
      </c>
      <c r="I9" s="144">
        <v>5.000007735349591E-3</v>
      </c>
      <c r="J9" s="144">
        <v>0</v>
      </c>
      <c r="K9" s="144">
        <v>0</v>
      </c>
      <c r="L9" s="144">
        <v>2.9999979206697159E-2</v>
      </c>
      <c r="M9" s="144">
        <v>0</v>
      </c>
      <c r="N9" s="144">
        <v>0</v>
      </c>
      <c r="O9" s="144">
        <v>0</v>
      </c>
      <c r="P9" s="144">
        <v>0</v>
      </c>
      <c r="Q9" s="144">
        <v>0</v>
      </c>
      <c r="R9" s="144">
        <v>4.9996341480140483E-3</v>
      </c>
      <c r="S9" s="144">
        <v>0</v>
      </c>
      <c r="T9" s="144">
        <v>0</v>
      </c>
      <c r="U9" s="144">
        <v>1.0109916325909562E-2</v>
      </c>
      <c r="V9" s="144">
        <v>2.7999901747753873E-2</v>
      </c>
      <c r="W9" s="144">
        <v>0</v>
      </c>
      <c r="X9" s="144">
        <v>0</v>
      </c>
      <c r="Y9" s="144">
        <v>0</v>
      </c>
      <c r="Z9" s="144">
        <v>0</v>
      </c>
      <c r="AA9" s="144">
        <v>0</v>
      </c>
      <c r="AB9" s="144">
        <v>4.998322994872832E-3</v>
      </c>
      <c r="AC9" s="144">
        <v>0</v>
      </c>
      <c r="AD9" s="144">
        <v>0</v>
      </c>
      <c r="AE9" s="144">
        <v>0</v>
      </c>
      <c r="AF9" s="144">
        <v>0</v>
      </c>
      <c r="AG9" s="144">
        <v>0</v>
      </c>
      <c r="AH9" s="144">
        <v>4.7000189034647664E-2</v>
      </c>
      <c r="AI9" s="144">
        <v>0.11501286270272858</v>
      </c>
      <c r="AJ9" s="144">
        <v>0</v>
      </c>
      <c r="AK9" s="144">
        <v>0</v>
      </c>
      <c r="AL9" s="144">
        <v>0</v>
      </c>
      <c r="AM9" s="144">
        <v>0</v>
      </c>
    </row>
    <row r="10" spans="1:39" customFormat="1" x14ac:dyDescent="0.15">
      <c r="A10" s="150" t="s">
        <v>200</v>
      </c>
      <c r="B10" s="144">
        <v>1.9994931410722394E-2</v>
      </c>
      <c r="C10" s="144">
        <v>0</v>
      </c>
      <c r="D10" s="144">
        <v>0</v>
      </c>
      <c r="E10" s="144">
        <v>4.5015621899123559E-2</v>
      </c>
      <c r="F10" s="144">
        <v>2.0001337981545249E-2</v>
      </c>
      <c r="G10" s="144">
        <v>9.3426631179044078E-3</v>
      </c>
      <c r="H10" s="144">
        <v>1.2999967417900707E-2</v>
      </c>
      <c r="I10" s="144">
        <v>1.0000053270697182E-2</v>
      </c>
      <c r="J10" s="144">
        <v>0</v>
      </c>
      <c r="K10" s="144">
        <v>0</v>
      </c>
      <c r="L10" s="144">
        <v>1.1809978416667949E-2</v>
      </c>
      <c r="M10" s="144">
        <v>0</v>
      </c>
      <c r="N10" s="144">
        <v>0</v>
      </c>
      <c r="O10" s="144">
        <v>0</v>
      </c>
      <c r="P10" s="144">
        <v>0</v>
      </c>
      <c r="Q10" s="144">
        <v>0</v>
      </c>
      <c r="R10" s="144">
        <v>5.0000128079995083E-3</v>
      </c>
      <c r="S10" s="144">
        <v>0</v>
      </c>
      <c r="T10" s="144">
        <v>1.4989754557820579E-2</v>
      </c>
      <c r="U10" s="144">
        <v>1.2175610726879906E-3</v>
      </c>
      <c r="V10" s="144">
        <v>4.9771903106762203E-3</v>
      </c>
      <c r="W10" s="144">
        <v>0.13898503674562016</v>
      </c>
      <c r="X10" s="144">
        <v>0</v>
      </c>
      <c r="Y10" s="144">
        <v>0</v>
      </c>
      <c r="Z10" s="144">
        <v>0</v>
      </c>
      <c r="AA10" s="144">
        <v>0</v>
      </c>
      <c r="AB10" s="144">
        <v>4.998322994872832E-3</v>
      </c>
      <c r="AC10" s="144">
        <v>0</v>
      </c>
      <c r="AD10" s="144">
        <v>0</v>
      </c>
      <c r="AE10" s="144">
        <v>0</v>
      </c>
      <c r="AF10" s="144">
        <v>0</v>
      </c>
      <c r="AG10" s="144">
        <v>0</v>
      </c>
      <c r="AH10" s="144">
        <v>4.3061007191561106E-2</v>
      </c>
      <c r="AI10" s="144">
        <v>8.0016220488899101E-2</v>
      </c>
      <c r="AJ10" s="144">
        <v>4.5016675286161496E-2</v>
      </c>
      <c r="AK10" s="144">
        <v>0</v>
      </c>
      <c r="AL10" s="144">
        <v>0</v>
      </c>
      <c r="AM10" s="144">
        <v>0</v>
      </c>
    </row>
    <row r="11" spans="1:39" customFormat="1" x14ac:dyDescent="0.15">
      <c r="A11" s="150" t="s">
        <v>201</v>
      </c>
      <c r="B11" s="144">
        <v>7.9972955642411917E-3</v>
      </c>
      <c r="C11" s="144">
        <v>0</v>
      </c>
      <c r="D11" s="144">
        <v>0</v>
      </c>
      <c r="E11" s="144">
        <v>2.99996112656266E-2</v>
      </c>
      <c r="F11" s="144">
        <v>2.0000577581576365E-3</v>
      </c>
      <c r="G11" s="144">
        <v>2.997980727834517E-3</v>
      </c>
      <c r="H11" s="144">
        <v>1.9999949566001096E-3</v>
      </c>
      <c r="I11" s="144">
        <v>1.0000015070699203E-3</v>
      </c>
      <c r="J11" s="144">
        <v>0</v>
      </c>
      <c r="K11" s="144">
        <v>0</v>
      </c>
      <c r="L11" s="144">
        <v>8.9948112312997121E-3</v>
      </c>
      <c r="M11" s="144">
        <v>0</v>
      </c>
      <c r="N11" s="144">
        <v>9.1392471835325118E-3</v>
      </c>
      <c r="O11" s="144">
        <v>1.060456429968603E-3</v>
      </c>
      <c r="P11" s="144">
        <v>0</v>
      </c>
      <c r="Q11" s="144">
        <v>0</v>
      </c>
      <c r="R11" s="144">
        <v>0</v>
      </c>
      <c r="S11" s="144">
        <v>0</v>
      </c>
      <c r="T11" s="144">
        <v>1.9996039276743262E-3</v>
      </c>
      <c r="U11" s="144">
        <v>1.0109916325909562E-2</v>
      </c>
      <c r="V11" s="144">
        <v>3.9518897066769558E-3</v>
      </c>
      <c r="W11" s="144">
        <v>1.0011540990141402E-2</v>
      </c>
      <c r="X11" s="144">
        <v>0</v>
      </c>
      <c r="Y11" s="144">
        <v>0</v>
      </c>
      <c r="Z11" s="144">
        <v>0</v>
      </c>
      <c r="AA11" s="144">
        <v>0</v>
      </c>
      <c r="AB11" s="144">
        <v>9.9987819695255284E-4</v>
      </c>
      <c r="AC11" s="144">
        <v>0</v>
      </c>
      <c r="AD11" s="144">
        <v>0</v>
      </c>
      <c r="AE11" s="144">
        <v>0</v>
      </c>
      <c r="AF11" s="144">
        <v>0</v>
      </c>
      <c r="AG11" s="144">
        <v>0</v>
      </c>
      <c r="AH11" s="144">
        <v>2.0001085995529171E-2</v>
      </c>
      <c r="AI11" s="144">
        <v>5.0005590305534156E-3</v>
      </c>
      <c r="AJ11" s="144">
        <v>2.9988319391237118E-2</v>
      </c>
      <c r="AK11" s="144">
        <v>0</v>
      </c>
      <c r="AL11" s="144">
        <v>0</v>
      </c>
      <c r="AM11" s="144">
        <v>0</v>
      </c>
    </row>
    <row r="12" spans="1:39" customFormat="1" x14ac:dyDescent="0.15">
      <c r="A12" s="150" t="s">
        <v>202</v>
      </c>
      <c r="B12" s="144">
        <v>3.3055788332218097E-3</v>
      </c>
      <c r="C12" s="144">
        <v>0</v>
      </c>
      <c r="D12" s="144">
        <v>0</v>
      </c>
      <c r="E12" s="144">
        <v>0</v>
      </c>
      <c r="F12" s="144">
        <v>0</v>
      </c>
      <c r="G12" s="144">
        <v>1.9119968841294008E-3</v>
      </c>
      <c r="H12" s="144">
        <v>0</v>
      </c>
      <c r="I12" s="144">
        <v>0</v>
      </c>
      <c r="J12" s="144">
        <v>0</v>
      </c>
      <c r="K12" s="144">
        <v>0</v>
      </c>
      <c r="L12" s="144">
        <v>5.4942060321018652E-3</v>
      </c>
      <c r="M12" s="144">
        <v>0</v>
      </c>
      <c r="N12" s="144">
        <v>8.2236540649632019E-3</v>
      </c>
      <c r="O12" s="144">
        <v>1.0566019198233266E-3</v>
      </c>
      <c r="P12" s="144">
        <v>0</v>
      </c>
      <c r="Q12" s="144">
        <v>0</v>
      </c>
      <c r="R12" s="144">
        <v>0</v>
      </c>
      <c r="S12" s="144">
        <v>0</v>
      </c>
      <c r="T12" s="144">
        <v>3.9995171553374644E-3</v>
      </c>
      <c r="U12" s="144">
        <v>5.0000850882418015E-3</v>
      </c>
      <c r="V12" s="144">
        <v>9.9980846240804444E-3</v>
      </c>
      <c r="W12" s="144">
        <v>9.998814988882802E-3</v>
      </c>
      <c r="X12" s="144">
        <v>0</v>
      </c>
      <c r="Y12" s="144">
        <v>0</v>
      </c>
      <c r="Z12" s="144">
        <v>0</v>
      </c>
      <c r="AA12" s="144">
        <v>0</v>
      </c>
      <c r="AB12" s="144">
        <v>0</v>
      </c>
      <c r="AC12" s="144">
        <v>0</v>
      </c>
      <c r="AD12" s="144">
        <v>0</v>
      </c>
      <c r="AE12" s="144">
        <v>0</v>
      </c>
      <c r="AF12" s="144">
        <v>0</v>
      </c>
      <c r="AG12" s="144">
        <v>0</v>
      </c>
      <c r="AH12" s="144">
        <v>0</v>
      </c>
      <c r="AI12" s="144">
        <v>1.0001128561106895E-2</v>
      </c>
      <c r="AJ12" s="144">
        <v>0</v>
      </c>
      <c r="AK12" s="144">
        <v>0</v>
      </c>
      <c r="AL12" s="144">
        <v>0</v>
      </c>
      <c r="AM12" s="144">
        <v>0</v>
      </c>
    </row>
    <row r="13" spans="1:39" customFormat="1" x14ac:dyDescent="0.15">
      <c r="A13" s="150" t="s">
        <v>203</v>
      </c>
      <c r="B13" s="144">
        <v>1.8726065221198806E-2</v>
      </c>
      <c r="C13" s="144">
        <v>0</v>
      </c>
      <c r="D13" s="144">
        <v>0</v>
      </c>
      <c r="E13" s="144">
        <v>0</v>
      </c>
      <c r="F13" s="144">
        <v>0</v>
      </c>
      <c r="G13" s="144">
        <v>0</v>
      </c>
      <c r="H13" s="144">
        <v>0</v>
      </c>
      <c r="I13" s="144">
        <v>0</v>
      </c>
      <c r="J13" s="144">
        <v>0</v>
      </c>
      <c r="K13" s="144">
        <v>0</v>
      </c>
      <c r="L13" s="144">
        <v>2.0694411432857985E-2</v>
      </c>
      <c r="M13" s="144">
        <v>0</v>
      </c>
      <c r="N13" s="144">
        <v>0</v>
      </c>
      <c r="O13" s="144">
        <v>0</v>
      </c>
      <c r="P13" s="144">
        <v>0</v>
      </c>
      <c r="Q13" s="144">
        <v>0</v>
      </c>
      <c r="R13" s="144">
        <v>0</v>
      </c>
      <c r="S13" s="144">
        <v>0</v>
      </c>
      <c r="T13" s="144">
        <v>0</v>
      </c>
      <c r="U13" s="144">
        <v>1.5008007553978471E-2</v>
      </c>
      <c r="V13" s="144">
        <v>3.9992352496322657E-3</v>
      </c>
      <c r="W13" s="144">
        <v>2.0994994976405001E-2</v>
      </c>
      <c r="X13" s="144">
        <v>0</v>
      </c>
      <c r="Y13" s="144">
        <v>0</v>
      </c>
      <c r="Z13" s="144">
        <v>0</v>
      </c>
      <c r="AA13" s="144">
        <v>0</v>
      </c>
      <c r="AB13" s="144">
        <v>0</v>
      </c>
      <c r="AC13" s="144">
        <v>0</v>
      </c>
      <c r="AD13" s="144">
        <v>0</v>
      </c>
      <c r="AE13" s="144">
        <v>0</v>
      </c>
      <c r="AF13" s="144">
        <v>0</v>
      </c>
      <c r="AG13" s="144">
        <v>0</v>
      </c>
      <c r="AH13" s="144">
        <v>0</v>
      </c>
      <c r="AI13" s="144">
        <v>7.0142900428573117E-3</v>
      </c>
      <c r="AJ13" s="144">
        <v>0</v>
      </c>
      <c r="AK13" s="144">
        <v>0</v>
      </c>
      <c r="AL13" s="144">
        <v>0</v>
      </c>
      <c r="AM13" s="144">
        <v>0</v>
      </c>
    </row>
    <row r="14" spans="1:39" customFormat="1" x14ac:dyDescent="0.15">
      <c r="A14" s="150" t="s">
        <v>204</v>
      </c>
      <c r="B14" s="144">
        <v>1.2047716250014574E-4</v>
      </c>
      <c r="C14" s="144">
        <v>0</v>
      </c>
      <c r="D14" s="144">
        <v>0</v>
      </c>
      <c r="E14" s="144">
        <v>0</v>
      </c>
      <c r="F14" s="144">
        <v>0</v>
      </c>
      <c r="G14" s="144">
        <v>0</v>
      </c>
      <c r="H14" s="144">
        <v>0</v>
      </c>
      <c r="I14" s="144">
        <v>0</v>
      </c>
      <c r="J14" s="144">
        <v>0</v>
      </c>
      <c r="K14" s="144">
        <v>0</v>
      </c>
      <c r="L14" s="144">
        <v>1.9999987437798288E-3</v>
      </c>
      <c r="M14" s="144">
        <v>6.0000041968601373E-3</v>
      </c>
      <c r="N14" s="144">
        <v>0</v>
      </c>
      <c r="O14" s="144">
        <v>1.0010565577298219E-3</v>
      </c>
      <c r="P14" s="144">
        <v>0</v>
      </c>
      <c r="Q14" s="144">
        <v>0</v>
      </c>
      <c r="R14" s="144">
        <v>0</v>
      </c>
      <c r="S14" s="144">
        <v>0</v>
      </c>
      <c r="T14" s="144">
        <v>0</v>
      </c>
      <c r="U14" s="144">
        <v>2.9960139113340599E-3</v>
      </c>
      <c r="V14" s="144">
        <v>1.9999930048395635E-3</v>
      </c>
      <c r="W14" s="144">
        <v>1.0998815487782851E-2</v>
      </c>
      <c r="X14" s="144">
        <v>0</v>
      </c>
      <c r="Y14" s="144">
        <v>0</v>
      </c>
      <c r="Z14" s="144">
        <v>0</v>
      </c>
      <c r="AA14" s="144">
        <v>0</v>
      </c>
      <c r="AB14" s="144">
        <v>0</v>
      </c>
      <c r="AC14" s="144">
        <v>0</v>
      </c>
      <c r="AD14" s="144">
        <v>0</v>
      </c>
      <c r="AE14" s="144">
        <v>0</v>
      </c>
      <c r="AF14" s="144">
        <v>0</v>
      </c>
      <c r="AG14" s="144">
        <v>0</v>
      </c>
      <c r="AH14" s="144">
        <v>5.0000206738986513E-3</v>
      </c>
      <c r="AI14" s="144">
        <v>0</v>
      </c>
      <c r="AJ14" s="144">
        <v>0</v>
      </c>
      <c r="AK14" s="144">
        <v>0</v>
      </c>
      <c r="AL14" s="144">
        <v>0</v>
      </c>
      <c r="AM14" s="144">
        <v>0</v>
      </c>
    </row>
    <row r="15" spans="1:39" customFormat="1" x14ac:dyDescent="0.15">
      <c r="A15" s="150" t="s">
        <v>205</v>
      </c>
      <c r="B15" s="144">
        <v>1.5922787123416322E-3</v>
      </c>
      <c r="C15" s="144">
        <v>0</v>
      </c>
      <c r="D15" s="144">
        <v>0</v>
      </c>
      <c r="E15" s="144">
        <v>1.9986060843173933E-2</v>
      </c>
      <c r="F15" s="144">
        <v>1.9003323422384005E-2</v>
      </c>
      <c r="G15" s="144">
        <v>3.7367113871572982E-3</v>
      </c>
      <c r="H15" s="144">
        <v>0</v>
      </c>
      <c r="I15" s="144">
        <v>0</v>
      </c>
      <c r="J15" s="144">
        <v>0</v>
      </c>
      <c r="K15" s="144">
        <v>0</v>
      </c>
      <c r="L15" s="144">
        <v>4.2854810366395005E-2</v>
      </c>
      <c r="M15" s="144">
        <v>2.1124150693083384E-2</v>
      </c>
      <c r="N15" s="144">
        <v>4.9341930889780054E-2</v>
      </c>
      <c r="O15" s="144">
        <v>5.9980812260676817E-3</v>
      </c>
      <c r="P15" s="144">
        <v>0</v>
      </c>
      <c r="Q15" s="144">
        <v>0</v>
      </c>
      <c r="R15" s="144">
        <v>0</v>
      </c>
      <c r="S15" s="144">
        <v>0</v>
      </c>
      <c r="T15" s="144">
        <v>3.6992772061971435E-2</v>
      </c>
      <c r="U15" s="144">
        <v>0</v>
      </c>
      <c r="V15" s="144">
        <v>4.3807095834438932E-2</v>
      </c>
      <c r="W15" s="144">
        <v>0</v>
      </c>
      <c r="X15" s="144">
        <v>0</v>
      </c>
      <c r="Y15" s="144">
        <v>0</v>
      </c>
      <c r="Z15" s="144">
        <v>0</v>
      </c>
      <c r="AA15" s="144">
        <v>0</v>
      </c>
      <c r="AB15" s="144">
        <v>2.999567120864612E-3</v>
      </c>
      <c r="AC15" s="144">
        <v>0</v>
      </c>
      <c r="AD15" s="144">
        <v>0</v>
      </c>
      <c r="AE15" s="144">
        <v>0</v>
      </c>
      <c r="AF15" s="144">
        <v>0</v>
      </c>
      <c r="AG15" s="144">
        <v>0</v>
      </c>
      <c r="AH15" s="144">
        <v>5.9729780804423697E-2</v>
      </c>
      <c r="AI15" s="144">
        <v>3.3003725301652756E-2</v>
      </c>
      <c r="AJ15" s="144">
        <v>0</v>
      </c>
      <c r="AK15" s="144">
        <v>0</v>
      </c>
      <c r="AL15" s="144">
        <v>0</v>
      </c>
      <c r="AM15" s="144">
        <v>0</v>
      </c>
    </row>
    <row r="16" spans="1:39" customFormat="1" x14ac:dyDescent="0.15">
      <c r="A16" s="150" t="s">
        <v>206</v>
      </c>
      <c r="B16" s="144">
        <v>0</v>
      </c>
      <c r="C16" s="144">
        <v>0</v>
      </c>
      <c r="D16" s="144">
        <v>0</v>
      </c>
      <c r="E16" s="144">
        <v>2.600821109723701E-2</v>
      </c>
      <c r="F16" s="144">
        <v>2.1001405140622501E-2</v>
      </c>
      <c r="G16" s="144">
        <v>0</v>
      </c>
      <c r="H16" s="144">
        <v>0</v>
      </c>
      <c r="I16" s="144">
        <v>0</v>
      </c>
      <c r="J16" s="144">
        <v>0</v>
      </c>
      <c r="K16" s="144">
        <v>0</v>
      </c>
      <c r="L16" s="144">
        <v>1.7734381027659424E-2</v>
      </c>
      <c r="M16" s="144">
        <v>2.1124150693083384E-2</v>
      </c>
      <c r="N16" s="144">
        <v>6.036575171736485E-2</v>
      </c>
      <c r="O16" s="144">
        <v>5.6981772147643002E-2</v>
      </c>
      <c r="P16" s="144">
        <v>5.8356613714398463E-4</v>
      </c>
      <c r="Q16" s="144">
        <v>0</v>
      </c>
      <c r="R16" s="144">
        <v>0</v>
      </c>
      <c r="S16" s="144">
        <v>0</v>
      </c>
      <c r="T16" s="144">
        <v>5.6971302039348012E-2</v>
      </c>
      <c r="U16" s="144">
        <v>0</v>
      </c>
      <c r="V16" s="144">
        <v>1.8916701180780492E-2</v>
      </c>
      <c r="W16" s="144">
        <v>7.0985777020493343E-2</v>
      </c>
      <c r="X16" s="144">
        <v>0</v>
      </c>
      <c r="Y16" s="144">
        <v>0</v>
      </c>
      <c r="Z16" s="144">
        <v>0</v>
      </c>
      <c r="AA16" s="144">
        <v>0</v>
      </c>
      <c r="AB16" s="144">
        <v>5.813267400884661E-3</v>
      </c>
      <c r="AC16" s="144">
        <v>0</v>
      </c>
      <c r="AD16" s="144">
        <v>0</v>
      </c>
      <c r="AE16" s="144">
        <v>0</v>
      </c>
      <c r="AF16" s="144">
        <v>0</v>
      </c>
      <c r="AG16" s="144">
        <v>0</v>
      </c>
      <c r="AH16" s="144">
        <v>0</v>
      </c>
      <c r="AI16" s="144">
        <v>3.5004906613879977E-2</v>
      </c>
      <c r="AJ16" s="144">
        <v>0</v>
      </c>
      <c r="AK16" s="144">
        <v>0</v>
      </c>
      <c r="AL16" s="144">
        <v>0</v>
      </c>
      <c r="AM16" s="144">
        <v>0</v>
      </c>
    </row>
    <row r="17" spans="1:39" customFormat="1" x14ac:dyDescent="0.15">
      <c r="A17" s="150" t="s">
        <v>207</v>
      </c>
      <c r="B17" s="144">
        <v>0</v>
      </c>
      <c r="C17" s="144">
        <v>0</v>
      </c>
      <c r="D17" s="144">
        <v>0</v>
      </c>
      <c r="E17" s="144">
        <v>0</v>
      </c>
      <c r="F17" s="144">
        <v>3.2020928689703597E-2</v>
      </c>
      <c r="G17" s="144">
        <v>0</v>
      </c>
      <c r="H17" s="144">
        <v>0</v>
      </c>
      <c r="I17" s="144">
        <v>0</v>
      </c>
      <c r="J17" s="144">
        <v>0</v>
      </c>
      <c r="K17" s="144">
        <v>0</v>
      </c>
      <c r="L17" s="144">
        <v>8.8689252140671752E-3</v>
      </c>
      <c r="M17" s="144">
        <v>2.1020886289695277E-2</v>
      </c>
      <c r="N17" s="144">
        <v>1.4372790261276339E-2</v>
      </c>
      <c r="O17" s="144">
        <v>2.9998327830636981E-2</v>
      </c>
      <c r="P17" s="144">
        <v>7.998132509081133E-3</v>
      </c>
      <c r="Q17" s="144">
        <v>0</v>
      </c>
      <c r="R17" s="144">
        <v>0</v>
      </c>
      <c r="S17" s="144">
        <v>0</v>
      </c>
      <c r="T17" s="144">
        <v>2.865657296349176E-2</v>
      </c>
      <c r="U17" s="144">
        <v>3.4058452118468141E-2</v>
      </c>
      <c r="V17" s="144">
        <v>1.7921083818634054E-2</v>
      </c>
      <c r="W17" s="144">
        <v>0</v>
      </c>
      <c r="X17" s="144">
        <v>9.9131819715491641E-3</v>
      </c>
      <c r="Y17" s="144">
        <v>0</v>
      </c>
      <c r="Z17" s="144">
        <v>0</v>
      </c>
      <c r="AA17" s="144">
        <v>0</v>
      </c>
      <c r="AB17" s="144">
        <v>1.1626534801769322E-2</v>
      </c>
      <c r="AC17" s="144">
        <v>0</v>
      </c>
      <c r="AD17" s="144">
        <v>0</v>
      </c>
      <c r="AE17" s="144">
        <v>0</v>
      </c>
      <c r="AF17" s="144">
        <v>0</v>
      </c>
      <c r="AG17" s="144">
        <v>0</v>
      </c>
      <c r="AH17" s="144">
        <v>6.624178567971073E-2</v>
      </c>
      <c r="AI17" s="144">
        <v>3.2129582196311741E-2</v>
      </c>
      <c r="AJ17" s="144">
        <v>4.705893904470354E-2</v>
      </c>
      <c r="AK17" s="144">
        <v>0</v>
      </c>
      <c r="AL17" s="144">
        <v>0</v>
      </c>
      <c r="AM17" s="144">
        <v>0</v>
      </c>
    </row>
    <row r="18" spans="1:39" customFormat="1" x14ac:dyDescent="0.15">
      <c r="A18" s="150" t="s">
        <v>208</v>
      </c>
      <c r="B18" s="144">
        <v>3.645107257176898E-2</v>
      </c>
      <c r="C18" s="144">
        <v>0</v>
      </c>
      <c r="D18" s="144">
        <v>0</v>
      </c>
      <c r="E18" s="144">
        <v>0</v>
      </c>
      <c r="F18" s="144">
        <v>3.3560744026694352E-2</v>
      </c>
      <c r="G18" s="144">
        <v>0</v>
      </c>
      <c r="H18" s="144">
        <v>0</v>
      </c>
      <c r="I18" s="144">
        <v>0</v>
      </c>
      <c r="J18" s="144">
        <v>0</v>
      </c>
      <c r="K18" s="144">
        <v>0</v>
      </c>
      <c r="L18" s="144">
        <v>7.6918873329424589E-3</v>
      </c>
      <c r="M18" s="144">
        <v>2.1124150693083384E-2</v>
      </c>
      <c r="N18" s="144">
        <v>6.036575171736485E-2</v>
      </c>
      <c r="O18" s="144">
        <v>0</v>
      </c>
      <c r="P18" s="144">
        <v>0</v>
      </c>
      <c r="Q18" s="144">
        <v>4.5077558121843539E-2</v>
      </c>
      <c r="R18" s="144">
        <v>2.5000157739993943E-2</v>
      </c>
      <c r="S18" s="144">
        <v>0</v>
      </c>
      <c r="T18" s="144">
        <v>2.8801570558247197E-2</v>
      </c>
      <c r="U18" s="144">
        <v>2.3968111290672479E-2</v>
      </c>
      <c r="V18" s="144">
        <v>1.8916701180780492E-2</v>
      </c>
      <c r="W18" s="144">
        <v>0.15298187712990763</v>
      </c>
      <c r="X18" s="144">
        <v>0</v>
      </c>
      <c r="Y18" s="144">
        <v>0</v>
      </c>
      <c r="Z18" s="144">
        <v>0</v>
      </c>
      <c r="AA18" s="144">
        <v>0</v>
      </c>
      <c r="AB18" s="144">
        <v>2.441571588371632E-2</v>
      </c>
      <c r="AC18" s="144">
        <v>0</v>
      </c>
      <c r="AD18" s="144">
        <v>0</v>
      </c>
      <c r="AE18" s="144">
        <v>0</v>
      </c>
      <c r="AF18" s="144">
        <v>0</v>
      </c>
      <c r="AG18" s="144">
        <v>0</v>
      </c>
      <c r="AH18" s="144">
        <v>3.091380168380185E-2</v>
      </c>
      <c r="AI18" s="144">
        <v>2.3041371440782776E-2</v>
      </c>
      <c r="AJ18" s="144">
        <v>0</v>
      </c>
      <c r="AK18" s="144">
        <v>0</v>
      </c>
      <c r="AL18" s="144">
        <v>0</v>
      </c>
      <c r="AM18" s="144">
        <v>0</v>
      </c>
    </row>
    <row r="19" spans="1:39" customFormat="1" x14ac:dyDescent="0.15">
      <c r="A19" s="150" t="s">
        <v>209</v>
      </c>
      <c r="B19" s="144">
        <v>0</v>
      </c>
      <c r="C19" s="144">
        <v>0</v>
      </c>
      <c r="D19" s="144">
        <v>0</v>
      </c>
      <c r="E19" s="144">
        <v>0</v>
      </c>
      <c r="F19" s="144">
        <v>4.8038408034268336E-2</v>
      </c>
      <c r="G19" s="144">
        <v>0</v>
      </c>
      <c r="H19" s="144">
        <v>0</v>
      </c>
      <c r="I19" s="144">
        <v>0</v>
      </c>
      <c r="J19" s="144">
        <v>0</v>
      </c>
      <c r="K19" s="144">
        <v>0</v>
      </c>
      <c r="L19" s="144">
        <v>9.6937963269837807E-2</v>
      </c>
      <c r="M19" s="144">
        <v>3.2979741082065306E-2</v>
      </c>
      <c r="N19" s="144">
        <v>0.14600056790707355</v>
      </c>
      <c r="O19" s="144">
        <v>0</v>
      </c>
      <c r="P19" s="144">
        <v>0</v>
      </c>
      <c r="Q19" s="144">
        <v>4.5077558121843539E-2</v>
      </c>
      <c r="R19" s="144">
        <v>3.8000208540791988E-2</v>
      </c>
      <c r="S19" s="144">
        <v>0</v>
      </c>
      <c r="T19" s="144">
        <v>0.12797499537114443</v>
      </c>
      <c r="U19" s="144">
        <v>4.9023873076549825E-2</v>
      </c>
      <c r="V19" s="144">
        <v>8.0959185053472354E-2</v>
      </c>
      <c r="W19" s="144">
        <v>2.0997690276671567E-2</v>
      </c>
      <c r="X19" s="144">
        <v>0</v>
      </c>
      <c r="Y19" s="144">
        <v>0</v>
      </c>
      <c r="Z19" s="144">
        <v>0</v>
      </c>
      <c r="AA19" s="144">
        <v>0</v>
      </c>
      <c r="AB19" s="144">
        <v>3.2995574499476092E-2</v>
      </c>
      <c r="AC19" s="144">
        <v>0</v>
      </c>
      <c r="AD19" s="144">
        <v>0</v>
      </c>
      <c r="AE19" s="144">
        <v>0</v>
      </c>
      <c r="AF19" s="144">
        <v>0</v>
      </c>
      <c r="AG19" s="144">
        <v>0</v>
      </c>
      <c r="AH19" s="144">
        <v>0.14102159980257126</v>
      </c>
      <c r="AI19" s="144">
        <v>0</v>
      </c>
      <c r="AJ19" s="144">
        <v>0.11004074476617288</v>
      </c>
      <c r="AK19" s="144">
        <v>0</v>
      </c>
      <c r="AL19" s="144">
        <v>0</v>
      </c>
      <c r="AM19" s="144">
        <v>0</v>
      </c>
    </row>
    <row r="20" spans="1:39" customFormat="1" x14ac:dyDescent="0.15">
      <c r="A20" s="150" t="s">
        <v>210</v>
      </c>
      <c r="B20" s="144">
        <v>0</v>
      </c>
      <c r="C20" s="144">
        <v>0</v>
      </c>
      <c r="D20" s="144">
        <v>0</v>
      </c>
      <c r="E20" s="144">
        <v>3.8179535610722067E-3</v>
      </c>
      <c r="F20" s="144">
        <v>0</v>
      </c>
      <c r="G20" s="144">
        <v>0</v>
      </c>
      <c r="H20" s="144">
        <v>0</v>
      </c>
      <c r="I20" s="144">
        <v>0</v>
      </c>
      <c r="J20" s="144">
        <v>0</v>
      </c>
      <c r="K20" s="144">
        <v>0</v>
      </c>
      <c r="L20" s="144">
        <v>4.3953672516818245E-3</v>
      </c>
      <c r="M20" s="144">
        <v>3.9975448911594479E-3</v>
      </c>
      <c r="N20" s="144">
        <v>0</v>
      </c>
      <c r="O20" s="144">
        <v>0</v>
      </c>
      <c r="P20" s="144">
        <v>5.835660371439782E-4</v>
      </c>
      <c r="Q20" s="144">
        <v>0</v>
      </c>
      <c r="R20" s="144">
        <v>0</v>
      </c>
      <c r="S20" s="144">
        <v>0</v>
      </c>
      <c r="T20" s="144">
        <v>0</v>
      </c>
      <c r="U20" s="144">
        <v>0</v>
      </c>
      <c r="V20" s="144">
        <v>2.1997289273070798E-2</v>
      </c>
      <c r="W20" s="144">
        <v>0</v>
      </c>
      <c r="X20" s="144">
        <v>0</v>
      </c>
      <c r="Y20" s="144">
        <v>0</v>
      </c>
      <c r="Z20" s="144">
        <v>0</v>
      </c>
      <c r="AA20" s="144">
        <v>0</v>
      </c>
      <c r="AB20" s="144">
        <v>0</v>
      </c>
      <c r="AC20" s="144">
        <v>0</v>
      </c>
      <c r="AD20" s="144">
        <v>0</v>
      </c>
      <c r="AE20" s="144">
        <v>0</v>
      </c>
      <c r="AF20" s="144">
        <v>0</v>
      </c>
      <c r="AG20" s="144">
        <v>0</v>
      </c>
      <c r="AH20" s="144">
        <v>0</v>
      </c>
      <c r="AI20" s="144">
        <v>0</v>
      </c>
      <c r="AJ20" s="144">
        <v>0</v>
      </c>
      <c r="AK20" s="144">
        <v>0</v>
      </c>
      <c r="AL20" s="144">
        <v>0</v>
      </c>
      <c r="AM20" s="144">
        <v>0</v>
      </c>
    </row>
    <row r="21" spans="1:39" customFormat="1" x14ac:dyDescent="0.15">
      <c r="A21" s="150" t="s">
        <v>211</v>
      </c>
      <c r="B21" s="144">
        <v>1.4998454758200979E-2</v>
      </c>
      <c r="C21" s="144">
        <v>0</v>
      </c>
      <c r="D21" s="144">
        <v>0</v>
      </c>
      <c r="E21" s="144">
        <v>2.4959173652980117E-3</v>
      </c>
      <c r="F21" s="144">
        <v>0</v>
      </c>
      <c r="G21" s="144">
        <v>0</v>
      </c>
      <c r="H21" s="144">
        <v>0</v>
      </c>
      <c r="I21" s="144">
        <v>0</v>
      </c>
      <c r="J21" s="144">
        <v>0</v>
      </c>
      <c r="K21" s="144">
        <v>0</v>
      </c>
      <c r="L21" s="144">
        <v>1.5766980458341961E-2</v>
      </c>
      <c r="M21" s="144">
        <v>4.9964307539328923E-3</v>
      </c>
      <c r="N21" s="144">
        <v>0</v>
      </c>
      <c r="O21" s="144">
        <v>0</v>
      </c>
      <c r="P21" s="144">
        <v>5.8356613714398463E-4</v>
      </c>
      <c r="Q21" s="144">
        <v>0</v>
      </c>
      <c r="R21" s="144">
        <v>0</v>
      </c>
      <c r="S21" s="144">
        <v>0</v>
      </c>
      <c r="T21" s="144">
        <v>0</v>
      </c>
      <c r="U21" s="144">
        <v>8.000136229186874E-3</v>
      </c>
      <c r="V21" s="144">
        <v>2.699523028504228E-2</v>
      </c>
      <c r="W21" s="144">
        <v>0</v>
      </c>
      <c r="X21" s="144">
        <v>0</v>
      </c>
      <c r="Y21" s="144">
        <v>0</v>
      </c>
      <c r="Z21" s="144">
        <v>0</v>
      </c>
      <c r="AA21" s="144">
        <v>0</v>
      </c>
      <c r="AB21" s="144">
        <v>0</v>
      </c>
      <c r="AC21" s="144">
        <v>0</v>
      </c>
      <c r="AD21" s="144">
        <v>0</v>
      </c>
      <c r="AE21" s="144">
        <v>0</v>
      </c>
      <c r="AF21" s="144">
        <v>0</v>
      </c>
      <c r="AG21" s="144">
        <v>0</v>
      </c>
      <c r="AH21" s="144">
        <v>0</v>
      </c>
      <c r="AI21" s="144">
        <v>0</v>
      </c>
      <c r="AJ21" s="144">
        <v>0</v>
      </c>
      <c r="AK21" s="144">
        <v>0</v>
      </c>
      <c r="AL21" s="144">
        <v>0</v>
      </c>
      <c r="AM21" s="144">
        <v>0</v>
      </c>
    </row>
    <row r="22" spans="1:39" customFormat="1" x14ac:dyDescent="0.15">
      <c r="A22" s="150" t="s">
        <v>212</v>
      </c>
      <c r="B22" s="144">
        <v>0</v>
      </c>
      <c r="C22" s="144">
        <v>0</v>
      </c>
      <c r="D22" s="144">
        <v>0</v>
      </c>
      <c r="E22" s="144">
        <v>0</v>
      </c>
      <c r="F22" s="144">
        <v>0</v>
      </c>
      <c r="G22" s="144">
        <v>0</v>
      </c>
      <c r="H22" s="144">
        <v>0</v>
      </c>
      <c r="I22" s="144">
        <v>0</v>
      </c>
      <c r="J22" s="144">
        <v>0</v>
      </c>
      <c r="K22" s="144">
        <v>0</v>
      </c>
      <c r="L22" s="144">
        <v>0</v>
      </c>
      <c r="M22" s="144">
        <v>0</v>
      </c>
      <c r="N22" s="144">
        <v>0</v>
      </c>
      <c r="O22" s="144">
        <v>0</v>
      </c>
      <c r="P22" s="144">
        <v>0</v>
      </c>
      <c r="Q22" s="144">
        <v>0</v>
      </c>
      <c r="R22" s="144">
        <v>0</v>
      </c>
      <c r="S22" s="144">
        <v>0</v>
      </c>
      <c r="T22" s="144">
        <v>0</v>
      </c>
      <c r="U22" s="144">
        <v>0</v>
      </c>
      <c r="V22" s="144">
        <v>0</v>
      </c>
      <c r="W22" s="144">
        <v>0</v>
      </c>
      <c r="X22" s="144">
        <v>0</v>
      </c>
      <c r="Y22" s="144">
        <v>0</v>
      </c>
      <c r="Z22" s="144">
        <v>0</v>
      </c>
      <c r="AA22" s="144">
        <v>0</v>
      </c>
      <c r="AB22" s="144">
        <v>0</v>
      </c>
      <c r="AC22" s="144">
        <v>0</v>
      </c>
      <c r="AD22" s="144">
        <v>0</v>
      </c>
      <c r="AE22" s="144">
        <v>0</v>
      </c>
      <c r="AF22" s="144">
        <v>0</v>
      </c>
      <c r="AG22" s="144">
        <v>0</v>
      </c>
      <c r="AH22" s="144">
        <v>0</v>
      </c>
      <c r="AI22" s="144">
        <v>4.0010250244462628E-3</v>
      </c>
      <c r="AJ22" s="144">
        <v>0</v>
      </c>
      <c r="AK22" s="144">
        <v>0</v>
      </c>
      <c r="AL22" s="144">
        <v>0</v>
      </c>
      <c r="AM22" s="144">
        <v>0</v>
      </c>
    </row>
    <row r="23" spans="1:39" customFormat="1" x14ac:dyDescent="0.15">
      <c r="A23" s="150" t="s">
        <v>213</v>
      </c>
      <c r="B23" s="144">
        <v>0</v>
      </c>
      <c r="C23" s="144">
        <v>0</v>
      </c>
      <c r="D23" s="144">
        <v>0</v>
      </c>
      <c r="E23" s="144">
        <v>0</v>
      </c>
      <c r="F23" s="144">
        <v>0</v>
      </c>
      <c r="G23" s="144">
        <v>0</v>
      </c>
      <c r="H23" s="144">
        <v>0</v>
      </c>
      <c r="I23" s="144">
        <v>0</v>
      </c>
      <c r="J23" s="144">
        <v>0</v>
      </c>
      <c r="K23" s="144">
        <v>0</v>
      </c>
      <c r="L23" s="144">
        <v>0</v>
      </c>
      <c r="M23" s="144">
        <v>0</v>
      </c>
      <c r="N23" s="144">
        <v>0</v>
      </c>
      <c r="O23" s="144">
        <v>0</v>
      </c>
      <c r="P23" s="144">
        <v>0</v>
      </c>
      <c r="Q23" s="144">
        <v>0</v>
      </c>
      <c r="R23" s="144">
        <v>0</v>
      </c>
      <c r="S23" s="144">
        <v>0</v>
      </c>
      <c r="T23" s="144">
        <v>0</v>
      </c>
      <c r="U23" s="144">
        <v>0</v>
      </c>
      <c r="V23" s="144">
        <v>3.1989676996795648E-2</v>
      </c>
      <c r="W23" s="144">
        <v>0</v>
      </c>
      <c r="X23" s="144">
        <v>0</v>
      </c>
      <c r="Y23" s="144">
        <v>0</v>
      </c>
      <c r="Z23" s="144">
        <v>0</v>
      </c>
      <c r="AA23" s="144">
        <v>0</v>
      </c>
      <c r="AB23" s="144">
        <v>0</v>
      </c>
      <c r="AC23" s="144">
        <v>0</v>
      </c>
      <c r="AD23" s="144">
        <v>0</v>
      </c>
      <c r="AE23" s="144">
        <v>0</v>
      </c>
      <c r="AF23" s="144">
        <v>0</v>
      </c>
      <c r="AG23" s="144">
        <v>0</v>
      </c>
      <c r="AH23" s="144">
        <v>0</v>
      </c>
      <c r="AI23" s="144">
        <v>0</v>
      </c>
      <c r="AJ23" s="144">
        <v>0</v>
      </c>
      <c r="AK23" s="144">
        <v>0</v>
      </c>
      <c r="AL23" s="144">
        <v>0</v>
      </c>
      <c r="AM23" s="144">
        <v>0</v>
      </c>
    </row>
    <row r="24" spans="1:39" customFormat="1" x14ac:dyDescent="0.15">
      <c r="A24" s="150" t="s">
        <v>214</v>
      </c>
      <c r="B24" s="144">
        <v>0.11900083039598461</v>
      </c>
      <c r="C24" s="144">
        <v>0</v>
      </c>
      <c r="D24" s="144">
        <v>9.9912910129886759E-4</v>
      </c>
      <c r="E24" s="144">
        <v>1.2004165506432936E-2</v>
      </c>
      <c r="F24" s="144">
        <v>9.01737463100903E-2</v>
      </c>
      <c r="G24" s="144">
        <v>3.9235465695151579E-2</v>
      </c>
      <c r="H24" s="144">
        <v>0</v>
      </c>
      <c r="I24" s="144">
        <v>2.3000121782603557E-2</v>
      </c>
      <c r="J24" s="144">
        <v>0</v>
      </c>
      <c r="K24" s="144">
        <v>0</v>
      </c>
      <c r="L24" s="144">
        <v>0.13007755880631705</v>
      </c>
      <c r="M24" s="144">
        <v>8.6206072828421243E-2</v>
      </c>
      <c r="N24" s="144">
        <v>0.10380080244220392</v>
      </c>
      <c r="O24" s="144">
        <v>1.056914349835102E-2</v>
      </c>
      <c r="P24" s="144">
        <v>5.168726998989473E-3</v>
      </c>
      <c r="Q24" s="144">
        <v>2.4370745684592878E-2</v>
      </c>
      <c r="R24" s="144">
        <v>2.9000068886397352E-2</v>
      </c>
      <c r="S24" s="144">
        <v>0</v>
      </c>
      <c r="T24" s="144">
        <v>0.12198526758779289</v>
      </c>
      <c r="U24" s="144">
        <v>0.10723353666804875</v>
      </c>
      <c r="V24" s="144">
        <v>6.7689788125196576E-2</v>
      </c>
      <c r="W24" s="144">
        <v>0</v>
      </c>
      <c r="X24" s="144">
        <v>5.0038434456389684E-3</v>
      </c>
      <c r="Y24" s="144">
        <v>1.9986879176540576E-3</v>
      </c>
      <c r="Z24" s="144">
        <v>0</v>
      </c>
      <c r="AA24" s="144">
        <v>0</v>
      </c>
      <c r="AB24" s="144">
        <v>2.3004780929127278E-2</v>
      </c>
      <c r="AC24" s="144">
        <v>0</v>
      </c>
      <c r="AD24" s="144">
        <v>0</v>
      </c>
      <c r="AE24" s="144">
        <v>0</v>
      </c>
      <c r="AF24" s="144">
        <v>0</v>
      </c>
      <c r="AG24" s="144">
        <v>0</v>
      </c>
      <c r="AH24" s="144">
        <v>4.0965889728204669E-2</v>
      </c>
      <c r="AI24" s="144">
        <v>0</v>
      </c>
      <c r="AJ24" s="144">
        <v>0</v>
      </c>
      <c r="AK24" s="144">
        <v>0</v>
      </c>
      <c r="AL24" s="144">
        <v>0</v>
      </c>
      <c r="AM24" s="144">
        <v>0</v>
      </c>
    </row>
    <row r="25" spans="1:39" customFormat="1" x14ac:dyDescent="0.15">
      <c r="A25" s="150" t="s">
        <v>215</v>
      </c>
      <c r="B25" s="144">
        <v>0.11789896431824354</v>
      </c>
      <c r="C25" s="144">
        <v>0.10402734696329324</v>
      </c>
      <c r="D25" s="144">
        <v>1.7934266523314545E-2</v>
      </c>
      <c r="E25" s="144">
        <v>0.24959174852980165</v>
      </c>
      <c r="F25" s="144">
        <v>0.13002274367946931</v>
      </c>
      <c r="G25" s="144">
        <v>0.19244064642860095</v>
      </c>
      <c r="H25" s="144">
        <v>0</v>
      </c>
      <c r="I25" s="144">
        <v>0</v>
      </c>
      <c r="J25" s="144">
        <v>0</v>
      </c>
      <c r="K25" s="144">
        <v>0</v>
      </c>
      <c r="L25" s="144">
        <v>6.9996479581818108E-2</v>
      </c>
      <c r="M25" s="144">
        <v>0</v>
      </c>
      <c r="N25" s="144">
        <v>0.11238994455449783</v>
      </c>
      <c r="O25" s="144">
        <v>0.10569144398351053</v>
      </c>
      <c r="P25" s="144">
        <v>0.11795217550765597</v>
      </c>
      <c r="Q25" s="144">
        <v>7.0913877045373302E-2</v>
      </c>
      <c r="R25" s="144">
        <v>5.4977861888850101E-2</v>
      </c>
      <c r="S25" s="144">
        <v>0</v>
      </c>
      <c r="T25" s="144">
        <v>2.5323326684055278E-2</v>
      </c>
      <c r="U25" s="144">
        <v>0.13981412452890912</v>
      </c>
      <c r="V25" s="144">
        <v>1.2997433411299797E-2</v>
      </c>
      <c r="W25" s="144">
        <v>3.9992578555266015E-2</v>
      </c>
      <c r="X25" s="144">
        <v>1.2162831565092671E-2</v>
      </c>
      <c r="Y25" s="144">
        <v>1.0217248079049378E-2</v>
      </c>
      <c r="Z25" s="144">
        <v>0</v>
      </c>
      <c r="AA25" s="144">
        <v>0</v>
      </c>
      <c r="AB25" s="144">
        <v>0.11298368835590107</v>
      </c>
      <c r="AC25" s="144">
        <v>0</v>
      </c>
      <c r="AD25" s="144">
        <v>6.5695005605004124E-3</v>
      </c>
      <c r="AE25" s="144">
        <v>0</v>
      </c>
      <c r="AF25" s="144">
        <v>0</v>
      </c>
      <c r="AG25" s="144">
        <v>0</v>
      </c>
      <c r="AH25" s="144">
        <v>0</v>
      </c>
      <c r="AI25" s="144">
        <v>0</v>
      </c>
      <c r="AJ25" s="144">
        <v>0</v>
      </c>
      <c r="AK25" s="144">
        <v>0</v>
      </c>
      <c r="AL25" s="144">
        <v>0</v>
      </c>
      <c r="AM25" s="144">
        <v>0</v>
      </c>
    </row>
    <row r="26" spans="1:39" customFormat="1" x14ac:dyDescent="0.15">
      <c r="A26" s="150" t="s">
        <v>216</v>
      </c>
      <c r="B26" s="144">
        <v>2.7261714123422983E-4</v>
      </c>
      <c r="C26" s="144">
        <v>6.928221064155328E-2</v>
      </c>
      <c r="D26" s="144">
        <v>5.9857330077814526E-2</v>
      </c>
      <c r="E26" s="144">
        <v>0</v>
      </c>
      <c r="F26" s="144">
        <v>3.5006123067549438E-2</v>
      </c>
      <c r="G26" s="144">
        <v>7.7536760978513919E-2</v>
      </c>
      <c r="H26" s="144">
        <v>0</v>
      </c>
      <c r="I26" s="144">
        <v>0</v>
      </c>
      <c r="J26" s="144">
        <v>0</v>
      </c>
      <c r="K26" s="144">
        <v>0</v>
      </c>
      <c r="L26" s="144">
        <v>3.9380145390748113E-2</v>
      </c>
      <c r="M26" s="144">
        <v>0.48679973297189921</v>
      </c>
      <c r="N26" s="144">
        <v>7.4738534578640242E-2</v>
      </c>
      <c r="O26" s="144">
        <v>0.20292756764834005</v>
      </c>
      <c r="P26" s="144">
        <v>0.33620127239921094</v>
      </c>
      <c r="Q26" s="144">
        <v>0.1386745512221248</v>
      </c>
      <c r="R26" s="144">
        <v>0.23498276497666182</v>
      </c>
      <c r="S26" s="144">
        <v>0</v>
      </c>
      <c r="T26" s="144">
        <v>6.0967994494787646E-2</v>
      </c>
      <c r="U26" s="144">
        <v>2.7962804905783747E-2</v>
      </c>
      <c r="V26" s="144">
        <v>2.993400626848068E-3</v>
      </c>
      <c r="W26" s="144">
        <v>0</v>
      </c>
      <c r="X26" s="144">
        <v>5.4996609842159719E-2</v>
      </c>
      <c r="Y26" s="144">
        <v>5.9982539428719367E-2</v>
      </c>
      <c r="Z26" s="144">
        <v>1.5022086202798164E-2</v>
      </c>
      <c r="AA26" s="144">
        <v>0</v>
      </c>
      <c r="AB26" s="144">
        <v>0.10502182317645088</v>
      </c>
      <c r="AC26" s="144">
        <v>0</v>
      </c>
      <c r="AD26" s="144">
        <v>2.093597729938312E-2</v>
      </c>
      <c r="AE26" s="144">
        <v>0</v>
      </c>
      <c r="AF26" s="144">
        <v>0</v>
      </c>
      <c r="AG26" s="144">
        <v>0</v>
      </c>
      <c r="AH26" s="144">
        <v>1.311141444487355E-3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</row>
    <row r="27" spans="1:39" customFormat="1" x14ac:dyDescent="0.15">
      <c r="A27" s="150" t="s">
        <v>217</v>
      </c>
      <c r="B27" s="144">
        <v>0</v>
      </c>
      <c r="C27" s="144">
        <v>0.10402734696329324</v>
      </c>
      <c r="D27" s="144">
        <v>3.7936470049317404E-2</v>
      </c>
      <c r="E27" s="144">
        <v>8.6607393653801389E-5</v>
      </c>
      <c r="F27" s="144">
        <v>2.7967254455579946E-2</v>
      </c>
      <c r="G27" s="144">
        <v>2.7617726348535712E-3</v>
      </c>
      <c r="H27" s="144">
        <v>0</v>
      </c>
      <c r="I27" s="144">
        <v>0</v>
      </c>
      <c r="J27" s="144">
        <v>0</v>
      </c>
      <c r="K27" s="144">
        <v>0</v>
      </c>
      <c r="L27" s="144">
        <v>5.4942060321018652E-3</v>
      </c>
      <c r="M27" s="144">
        <v>0</v>
      </c>
      <c r="N27" s="144">
        <v>1.7247354933532463E-2</v>
      </c>
      <c r="O27" s="144">
        <v>4.1161873951391037E-2</v>
      </c>
      <c r="P27" s="144">
        <v>6.66932742450269E-3</v>
      </c>
      <c r="Q27" s="144">
        <v>6.150976743719553E-2</v>
      </c>
      <c r="R27" s="144">
        <v>6.1995455519374507E-2</v>
      </c>
      <c r="S27" s="144">
        <v>0</v>
      </c>
      <c r="T27" s="144">
        <v>0</v>
      </c>
      <c r="U27" s="144">
        <v>1.897476427178146E-2</v>
      </c>
      <c r="V27" s="144">
        <v>3.9824652485854813E-3</v>
      </c>
      <c r="W27" s="144">
        <v>1.8557321835319129E-3</v>
      </c>
      <c r="X27" s="144">
        <v>8.7999379747441764E-2</v>
      </c>
      <c r="Y27" s="144">
        <v>4.8959163782882453E-2</v>
      </c>
      <c r="Z27" s="144">
        <v>5.0108960676470971E-3</v>
      </c>
      <c r="AA27" s="144">
        <v>0</v>
      </c>
      <c r="AB27" s="144">
        <v>0.10702224497028742</v>
      </c>
      <c r="AC27" s="144">
        <v>4.2995555828441771E-2</v>
      </c>
      <c r="AD27" s="144">
        <v>1.4316272942241342E-2</v>
      </c>
      <c r="AE27" s="144">
        <v>0</v>
      </c>
      <c r="AF27" s="144">
        <v>0</v>
      </c>
      <c r="AG27" s="144">
        <v>0</v>
      </c>
      <c r="AH27" s="144">
        <v>7.403505107143396E-2</v>
      </c>
      <c r="AI27" s="144">
        <v>0</v>
      </c>
      <c r="AJ27" s="144">
        <v>0</v>
      </c>
      <c r="AK27" s="144">
        <v>0</v>
      </c>
      <c r="AL27" s="144">
        <v>0</v>
      </c>
      <c r="AM27" s="144">
        <v>0</v>
      </c>
    </row>
    <row r="28" spans="1:39" customFormat="1" x14ac:dyDescent="0.15">
      <c r="A28" s="150" t="s">
        <v>218</v>
      </c>
      <c r="B28" s="144">
        <v>0.18074501275228363</v>
      </c>
      <c r="C28" s="144">
        <v>7.7512346917764333E-2</v>
      </c>
      <c r="D28" s="144">
        <v>0</v>
      </c>
      <c r="E28" s="144">
        <v>0.4316988772125554</v>
      </c>
      <c r="F28" s="144">
        <v>7.1091437090938389E-2</v>
      </c>
      <c r="G28" s="144">
        <v>0.10557209133231979</v>
      </c>
      <c r="H28" s="144">
        <v>0</v>
      </c>
      <c r="I28" s="144">
        <v>0</v>
      </c>
      <c r="J28" s="144">
        <v>0</v>
      </c>
      <c r="K28" s="144">
        <v>0</v>
      </c>
      <c r="L28" s="144">
        <v>1.1825229718755699E-2</v>
      </c>
      <c r="M28" s="144">
        <v>0</v>
      </c>
      <c r="N28" s="144">
        <v>0</v>
      </c>
      <c r="O28" s="144">
        <v>3.1698061194699928E-3</v>
      </c>
      <c r="P28" s="144">
        <v>3.0017969710643771E-3</v>
      </c>
      <c r="Q28" s="144">
        <v>0</v>
      </c>
      <c r="R28" s="144">
        <v>0</v>
      </c>
      <c r="S28" s="144">
        <v>0</v>
      </c>
      <c r="T28" s="144">
        <v>8.0891547074152751E-3</v>
      </c>
      <c r="U28" s="144">
        <v>0.32055011311499659</v>
      </c>
      <c r="V28" s="144">
        <v>0.29687031853064533</v>
      </c>
      <c r="W28" s="144">
        <v>0.15896813672194871</v>
      </c>
      <c r="X28" s="144">
        <v>4.9565909857745821E-3</v>
      </c>
      <c r="Y28" s="144">
        <v>0</v>
      </c>
      <c r="Z28" s="144">
        <v>0</v>
      </c>
      <c r="AA28" s="144">
        <v>0</v>
      </c>
      <c r="AB28" s="144">
        <v>0.11393996625734706</v>
      </c>
      <c r="AC28" s="144">
        <v>0</v>
      </c>
      <c r="AD28" s="144">
        <v>0</v>
      </c>
      <c r="AE28" s="144">
        <v>0</v>
      </c>
      <c r="AF28" s="144">
        <v>0</v>
      </c>
      <c r="AG28" s="144">
        <v>0</v>
      </c>
      <c r="AH28" s="144">
        <v>0.15634634080309165</v>
      </c>
      <c r="AI28" s="144">
        <v>0.31928780195084844</v>
      </c>
      <c r="AJ28" s="144">
        <v>4.8942274306471835E-2</v>
      </c>
      <c r="AK28" s="144">
        <v>0</v>
      </c>
      <c r="AL28" s="144">
        <v>0</v>
      </c>
      <c r="AM28" s="144">
        <v>0</v>
      </c>
    </row>
    <row r="29" spans="1:39" customFormat="1" x14ac:dyDescent="0.15">
      <c r="A29" s="150" t="s">
        <v>219</v>
      </c>
      <c r="B29" s="144">
        <v>6.8157204808763432E-4</v>
      </c>
      <c r="C29" s="144">
        <v>0</v>
      </c>
      <c r="D29" s="144">
        <v>3.7970560049361723E-2</v>
      </c>
      <c r="E29" s="144">
        <v>3.2644331377202311E-5</v>
      </c>
      <c r="F29" s="144">
        <v>0</v>
      </c>
      <c r="G29" s="144">
        <v>3.830352478339049E-2</v>
      </c>
      <c r="H29" s="144">
        <v>0</v>
      </c>
      <c r="I29" s="144">
        <v>0</v>
      </c>
      <c r="J29" s="144">
        <v>0</v>
      </c>
      <c r="K29" s="144">
        <v>0</v>
      </c>
      <c r="L29" s="144">
        <v>2.6372175510087113E-2</v>
      </c>
      <c r="M29" s="144">
        <v>0.18900012120109397</v>
      </c>
      <c r="N29" s="144">
        <v>2.5871028750298227E-2</v>
      </c>
      <c r="O29" s="144">
        <v>5.2771621988962443E-3</v>
      </c>
      <c r="P29" s="144">
        <v>3.9682492525790647E-2</v>
      </c>
      <c r="Q29" s="144">
        <v>5.5514225286999799E-2</v>
      </c>
      <c r="R29" s="144">
        <v>6.1990109719579786E-2</v>
      </c>
      <c r="S29" s="144">
        <v>0</v>
      </c>
      <c r="T29" s="144">
        <v>9.9339946406874161E-4</v>
      </c>
      <c r="U29" s="144">
        <v>2.9960139113340599E-3</v>
      </c>
      <c r="V29" s="144">
        <v>0</v>
      </c>
      <c r="W29" s="144">
        <v>0</v>
      </c>
      <c r="X29" s="144">
        <v>4.7773294962890631E-3</v>
      </c>
      <c r="Y29" s="144">
        <v>0</v>
      </c>
      <c r="Z29" s="144">
        <v>0</v>
      </c>
      <c r="AA29" s="144">
        <v>0</v>
      </c>
      <c r="AB29" s="144">
        <v>0</v>
      </c>
      <c r="AC29" s="144">
        <v>6.9992763567230845E-2</v>
      </c>
      <c r="AD29" s="144">
        <v>0</v>
      </c>
      <c r="AE29" s="144">
        <v>0</v>
      </c>
      <c r="AF29" s="144">
        <v>0</v>
      </c>
      <c r="AG29" s="144">
        <v>0</v>
      </c>
      <c r="AH29" s="144">
        <v>1.311141444487355E-3</v>
      </c>
      <c r="AI29" s="144">
        <v>0</v>
      </c>
      <c r="AJ29" s="144">
        <v>0</v>
      </c>
      <c r="AK29" s="144">
        <v>0</v>
      </c>
      <c r="AL29" s="144">
        <v>0</v>
      </c>
      <c r="AM29" s="144">
        <v>0</v>
      </c>
    </row>
    <row r="30" spans="1:39" customFormat="1" x14ac:dyDescent="0.15">
      <c r="A30" s="150" t="s">
        <v>220</v>
      </c>
      <c r="B30" s="144">
        <v>1.1419417205685562E-2</v>
      </c>
      <c r="C30" s="144">
        <v>0.24259177124639983</v>
      </c>
      <c r="D30" s="144">
        <v>2.35480778306125E-2</v>
      </c>
      <c r="E30" s="144">
        <v>5.3273054147488938E-5</v>
      </c>
      <c r="F30" s="144">
        <v>8.8169866392089055E-2</v>
      </c>
      <c r="G30" s="144">
        <v>5.8891237543207423E-2</v>
      </c>
      <c r="H30" s="144">
        <v>0</v>
      </c>
      <c r="I30" s="144">
        <v>0</v>
      </c>
      <c r="J30" s="144">
        <v>0</v>
      </c>
      <c r="K30" s="144">
        <v>0</v>
      </c>
      <c r="L30" s="144">
        <v>2.9668707761349413E-2</v>
      </c>
      <c r="M30" s="144">
        <v>0</v>
      </c>
      <c r="N30" s="144">
        <v>0</v>
      </c>
      <c r="O30" s="144">
        <v>0.18786699308070701</v>
      </c>
      <c r="P30" s="144">
        <v>0.16965099779828599</v>
      </c>
      <c r="Q30" s="144">
        <v>0.19141306702477454</v>
      </c>
      <c r="R30" s="144">
        <v>0.34994425056214074</v>
      </c>
      <c r="S30" s="144">
        <v>0</v>
      </c>
      <c r="T30" s="144">
        <v>0.28588544265952359</v>
      </c>
      <c r="U30" s="144">
        <v>2.3968111290672479E-2</v>
      </c>
      <c r="V30" s="144">
        <v>5.9268373699531897E-2</v>
      </c>
      <c r="W30" s="144">
        <v>8.8147308717768831E-3</v>
      </c>
      <c r="X30" s="144">
        <v>0.12721915463488101</v>
      </c>
      <c r="Y30" s="144">
        <v>0</v>
      </c>
      <c r="Z30" s="144">
        <v>7.096444095801996E-3</v>
      </c>
      <c r="AA30" s="144">
        <v>0</v>
      </c>
      <c r="AB30" s="144">
        <v>4.6506142107076986E-3</v>
      </c>
      <c r="AC30" s="144">
        <v>0.19481299378546549</v>
      </c>
      <c r="AD30" s="144">
        <v>8.4461234349543432E-2</v>
      </c>
      <c r="AE30" s="144">
        <v>0</v>
      </c>
      <c r="AF30" s="144">
        <v>0</v>
      </c>
      <c r="AG30" s="144">
        <v>0</v>
      </c>
      <c r="AH30" s="144">
        <v>1.1829409928485883E-2</v>
      </c>
      <c r="AI30" s="144">
        <v>0</v>
      </c>
      <c r="AJ30" s="144">
        <v>0</v>
      </c>
      <c r="AK30" s="144">
        <v>0</v>
      </c>
      <c r="AL30" s="144">
        <v>0</v>
      </c>
      <c r="AM30" s="144">
        <v>0</v>
      </c>
    </row>
    <row r="31" spans="1:39" customFormat="1" x14ac:dyDescent="0.15">
      <c r="A31" s="150" t="s">
        <v>221</v>
      </c>
      <c r="B31" s="144">
        <v>1.1846401635811023E-2</v>
      </c>
      <c r="C31" s="144">
        <v>7.5011950694610668E-2</v>
      </c>
      <c r="D31" s="144">
        <v>2.1069342327390141E-2</v>
      </c>
      <c r="E31" s="144">
        <v>0</v>
      </c>
      <c r="F31" s="144">
        <v>4.4056668197201131E-2</v>
      </c>
      <c r="G31" s="144">
        <v>8.4453621065804702E-2</v>
      </c>
      <c r="H31" s="144">
        <v>0</v>
      </c>
      <c r="I31" s="144">
        <v>0.13100148006609166</v>
      </c>
      <c r="J31" s="144">
        <v>0</v>
      </c>
      <c r="K31" s="144">
        <v>0</v>
      </c>
      <c r="L31" s="144">
        <v>0</v>
      </c>
      <c r="M31" s="144">
        <v>0</v>
      </c>
      <c r="N31" s="144">
        <v>4.7909316204256449E-3</v>
      </c>
      <c r="O31" s="144">
        <v>3.6940141392273938E-2</v>
      </c>
      <c r="P31" s="144">
        <v>7.74809097316599E-2</v>
      </c>
      <c r="Q31" s="144">
        <v>8.471470647036175E-2</v>
      </c>
      <c r="R31" s="144">
        <v>0</v>
      </c>
      <c r="S31" s="144">
        <v>0</v>
      </c>
      <c r="T31" s="144">
        <v>1.4216932885773539E-2</v>
      </c>
      <c r="U31" s="144">
        <v>0</v>
      </c>
      <c r="V31" s="144">
        <v>0.11348201308354727</v>
      </c>
      <c r="W31" s="144">
        <v>5.8000115736211444E-2</v>
      </c>
      <c r="X31" s="144">
        <v>6.1131279824553214E-2</v>
      </c>
      <c r="Y31" s="144">
        <v>0</v>
      </c>
      <c r="Z31" s="144">
        <v>0</v>
      </c>
      <c r="AA31" s="144">
        <v>0</v>
      </c>
      <c r="AB31" s="144">
        <v>0.15403202112545991</v>
      </c>
      <c r="AC31" s="144">
        <v>0</v>
      </c>
      <c r="AD31" s="144">
        <v>0</v>
      </c>
      <c r="AE31" s="144">
        <v>4.0000006335999955E-2</v>
      </c>
      <c r="AF31" s="144">
        <v>0</v>
      </c>
      <c r="AG31" s="144">
        <v>5.4017523095204072E-2</v>
      </c>
      <c r="AH31" s="144">
        <v>0.12855479161565647</v>
      </c>
      <c r="AI31" s="144">
        <v>0</v>
      </c>
      <c r="AJ31" s="144">
        <v>0.42915873828807766</v>
      </c>
      <c r="AK31" s="144">
        <v>0</v>
      </c>
      <c r="AL31" s="144">
        <v>0</v>
      </c>
      <c r="AM31" s="144">
        <v>0</v>
      </c>
    </row>
    <row r="32" spans="1:39" customFormat="1" x14ac:dyDescent="0.15">
      <c r="A32" s="150" t="s">
        <v>222</v>
      </c>
      <c r="B32" s="144">
        <v>0</v>
      </c>
      <c r="C32" s="144">
        <v>7.5011950694610668E-2</v>
      </c>
      <c r="D32" s="144">
        <v>5.9999492077999338E-2</v>
      </c>
      <c r="E32" s="144">
        <v>0</v>
      </c>
      <c r="F32" s="144">
        <v>5.0184047946468753E-2</v>
      </c>
      <c r="G32" s="144">
        <v>7.5393320951463713E-2</v>
      </c>
      <c r="H32" s="144">
        <v>0.71097265157189338</v>
      </c>
      <c r="I32" s="144">
        <v>0.78878935824937924</v>
      </c>
      <c r="J32" s="144">
        <v>0.75</v>
      </c>
      <c r="K32" s="144">
        <v>1</v>
      </c>
      <c r="L32" s="144">
        <v>4.3755712389719474E-2</v>
      </c>
      <c r="M32" s="144">
        <v>9.9958883279650954E-2</v>
      </c>
      <c r="N32" s="144">
        <v>9.5818632408512898E-3</v>
      </c>
      <c r="O32" s="144">
        <v>4.2217297191169942E-2</v>
      </c>
      <c r="P32" s="144">
        <v>0</v>
      </c>
      <c r="Q32" s="144">
        <v>0.1849733922930836</v>
      </c>
      <c r="R32" s="144">
        <v>0</v>
      </c>
      <c r="S32" s="144">
        <v>0.4</v>
      </c>
      <c r="T32" s="144">
        <v>7.9471957125499329E-3</v>
      </c>
      <c r="U32" s="144">
        <v>1.0985392941557391E-2</v>
      </c>
      <c r="V32" s="144">
        <v>0</v>
      </c>
      <c r="W32" s="144">
        <v>0</v>
      </c>
      <c r="X32" s="144">
        <v>3.9999715885200807E-2</v>
      </c>
      <c r="Y32" s="144">
        <v>0</v>
      </c>
      <c r="Z32" s="144">
        <v>1.0001725635023296E-2</v>
      </c>
      <c r="AA32" s="144">
        <v>8.0033321690747103E-2</v>
      </c>
      <c r="AB32" s="144">
        <v>0.12003178762952395</v>
      </c>
      <c r="AC32" s="144">
        <v>0</v>
      </c>
      <c r="AD32" s="144">
        <v>0.10002884330807038</v>
      </c>
      <c r="AE32" s="144">
        <v>3.9999999735999998E-2</v>
      </c>
      <c r="AF32" s="144">
        <v>0</v>
      </c>
      <c r="AG32" s="144">
        <v>0.92029855273310701</v>
      </c>
      <c r="AH32" s="144">
        <v>0</v>
      </c>
      <c r="AI32" s="144">
        <v>0</v>
      </c>
      <c r="AJ32" s="144">
        <v>0.22095220851467021</v>
      </c>
      <c r="AK32" s="144">
        <v>0</v>
      </c>
      <c r="AL32" s="144">
        <v>0</v>
      </c>
      <c r="AM32" s="144">
        <v>0</v>
      </c>
    </row>
    <row r="33" spans="1:39" customFormat="1" x14ac:dyDescent="0.15">
      <c r="A33" s="150" t="s">
        <v>223</v>
      </c>
      <c r="B33" s="144">
        <v>2.6920491899348389E-3</v>
      </c>
      <c r="C33" s="144">
        <v>1.6617735553880234E-3</v>
      </c>
      <c r="D33" s="144">
        <v>0.11299904414689875</v>
      </c>
      <c r="E33" s="144">
        <v>0</v>
      </c>
      <c r="F33" s="144">
        <v>8.0545736704068449E-2</v>
      </c>
      <c r="G33" s="144">
        <v>6.7122330847083814E-2</v>
      </c>
      <c r="H33" s="144">
        <v>0</v>
      </c>
      <c r="I33" s="144">
        <v>3.6008640194062679E-3</v>
      </c>
      <c r="J33" s="144">
        <v>0</v>
      </c>
      <c r="K33" s="144">
        <v>0</v>
      </c>
      <c r="L33" s="144">
        <v>8.7907296533629845E-2</v>
      </c>
      <c r="M33" s="144">
        <v>5.6681304259713593E-3</v>
      </c>
      <c r="N33" s="144">
        <v>4.6509331522958434E-2</v>
      </c>
      <c r="O33" s="144">
        <v>5.2771611988962061E-2</v>
      </c>
      <c r="P33" s="144">
        <v>0.16735004965183065</v>
      </c>
      <c r="Q33" s="144">
        <v>9.7427465940684618E-2</v>
      </c>
      <c r="R33" s="144">
        <v>5.7516155391379629E-2</v>
      </c>
      <c r="S33" s="144">
        <v>0</v>
      </c>
      <c r="T33" s="144">
        <v>2.6554853639510947E-2</v>
      </c>
      <c r="U33" s="144">
        <v>1.9973444675558602E-3</v>
      </c>
      <c r="V33" s="144">
        <v>9.9561626214636728E-4</v>
      </c>
      <c r="W33" s="144">
        <v>0</v>
      </c>
      <c r="X33" s="144">
        <v>5.4696202143021892E-2</v>
      </c>
      <c r="Y33" s="144">
        <v>9.6405156028107564E-2</v>
      </c>
      <c r="Z33" s="144">
        <v>1.0004933135066597E-2</v>
      </c>
      <c r="AA33" s="144">
        <v>3.0595405749612743E-2</v>
      </c>
      <c r="AB33" s="144">
        <v>0.12095941853392232</v>
      </c>
      <c r="AC33" s="144">
        <v>9.9478971726620805E-2</v>
      </c>
      <c r="AD33" s="144">
        <v>3.0473921261294667E-2</v>
      </c>
      <c r="AE33" s="144">
        <v>1.89999998746E-2</v>
      </c>
      <c r="AF33" s="144">
        <v>0</v>
      </c>
      <c r="AG33" s="144">
        <v>2.5683924171688854E-2</v>
      </c>
      <c r="AH33" s="144">
        <v>6.5557072324367738E-3</v>
      </c>
      <c r="AI33" s="144">
        <v>0</v>
      </c>
      <c r="AJ33" s="144">
        <v>0</v>
      </c>
      <c r="AK33" s="144">
        <v>0</v>
      </c>
      <c r="AL33" s="144">
        <v>0</v>
      </c>
      <c r="AM33" s="144">
        <v>0</v>
      </c>
    </row>
    <row r="34" spans="1:39" customFormat="1" x14ac:dyDescent="0.15">
      <c r="A34" s="150" t="s">
        <v>224</v>
      </c>
      <c r="B34" s="144">
        <v>0</v>
      </c>
      <c r="C34" s="144">
        <v>0</v>
      </c>
      <c r="D34" s="144">
        <v>0</v>
      </c>
      <c r="E34" s="144">
        <v>0</v>
      </c>
      <c r="F34" s="144">
        <v>0</v>
      </c>
      <c r="G34" s="144">
        <v>0</v>
      </c>
      <c r="H34" s="144">
        <v>0</v>
      </c>
      <c r="I34" s="144">
        <v>0</v>
      </c>
      <c r="J34" s="144">
        <v>0</v>
      </c>
      <c r="K34" s="144">
        <v>0</v>
      </c>
      <c r="L34" s="144">
        <v>0</v>
      </c>
      <c r="M34" s="144">
        <v>0</v>
      </c>
      <c r="N34" s="144">
        <v>0</v>
      </c>
      <c r="O34" s="144">
        <v>0</v>
      </c>
      <c r="P34" s="144">
        <v>0</v>
      </c>
      <c r="Q34" s="144">
        <v>0</v>
      </c>
      <c r="R34" s="144">
        <v>0</v>
      </c>
      <c r="S34" s="144">
        <v>0</v>
      </c>
      <c r="T34" s="144">
        <v>0</v>
      </c>
      <c r="U34" s="144">
        <v>0</v>
      </c>
      <c r="V34" s="144">
        <v>9.9561626214636728E-4</v>
      </c>
      <c r="W34" s="144">
        <v>0</v>
      </c>
      <c r="X34" s="144">
        <v>0</v>
      </c>
      <c r="Y34" s="144">
        <v>0</v>
      </c>
      <c r="Z34" s="144">
        <v>0</v>
      </c>
      <c r="AA34" s="144">
        <v>0</v>
      </c>
      <c r="AB34" s="144">
        <v>0</v>
      </c>
      <c r="AC34" s="144">
        <v>0</v>
      </c>
      <c r="AD34" s="144">
        <v>0</v>
      </c>
      <c r="AE34" s="144">
        <v>0</v>
      </c>
      <c r="AF34" s="144">
        <v>0</v>
      </c>
      <c r="AG34" s="144">
        <v>0</v>
      </c>
      <c r="AH34" s="144">
        <v>0</v>
      </c>
      <c r="AI34" s="144">
        <v>0</v>
      </c>
      <c r="AJ34" s="144">
        <v>0</v>
      </c>
      <c r="AK34" s="144">
        <v>0</v>
      </c>
      <c r="AL34" s="144">
        <v>0</v>
      </c>
      <c r="AM34" s="144">
        <v>0</v>
      </c>
    </row>
    <row r="35" spans="1:39" customFormat="1" x14ac:dyDescent="0.15">
      <c r="A35" s="150" t="s">
        <v>225</v>
      </c>
      <c r="B35" s="144">
        <v>0</v>
      </c>
      <c r="C35" s="144">
        <v>0</v>
      </c>
      <c r="D35" s="144">
        <v>0</v>
      </c>
      <c r="E35" s="144">
        <v>0</v>
      </c>
      <c r="F35" s="144">
        <v>0</v>
      </c>
      <c r="G35" s="144">
        <v>0</v>
      </c>
      <c r="H35" s="144">
        <v>0</v>
      </c>
      <c r="I35" s="144">
        <v>0</v>
      </c>
      <c r="J35" s="144">
        <v>0</v>
      </c>
      <c r="K35" s="144">
        <v>0</v>
      </c>
      <c r="L35" s="144">
        <v>0</v>
      </c>
      <c r="M35" s="144">
        <v>0</v>
      </c>
      <c r="N35" s="144">
        <v>0</v>
      </c>
      <c r="O35" s="144">
        <v>0</v>
      </c>
      <c r="P35" s="144">
        <v>0</v>
      </c>
      <c r="Q35" s="144">
        <v>0</v>
      </c>
      <c r="R35" s="144">
        <v>0</v>
      </c>
      <c r="S35" s="144">
        <v>0</v>
      </c>
      <c r="T35" s="144">
        <v>0</v>
      </c>
      <c r="U35" s="144">
        <v>9.9867220377793326E-4</v>
      </c>
      <c r="V35" s="144">
        <v>1.4998150936184585E-2</v>
      </c>
      <c r="W35" s="144">
        <v>0</v>
      </c>
      <c r="X35" s="144">
        <v>0</v>
      </c>
      <c r="Y35" s="144">
        <v>0</v>
      </c>
      <c r="Z35" s="144">
        <v>0</v>
      </c>
      <c r="AA35" s="144">
        <v>0</v>
      </c>
      <c r="AB35" s="144">
        <v>0</v>
      </c>
      <c r="AC35" s="144">
        <v>0</v>
      </c>
      <c r="AD35" s="144">
        <v>0</v>
      </c>
      <c r="AE35" s="144">
        <v>0</v>
      </c>
      <c r="AF35" s="144">
        <v>0</v>
      </c>
      <c r="AG35" s="144">
        <v>0</v>
      </c>
      <c r="AH35" s="144">
        <v>0</v>
      </c>
      <c r="AI35" s="144">
        <v>0</v>
      </c>
      <c r="AJ35" s="144">
        <v>0</v>
      </c>
      <c r="AK35" s="144">
        <v>0</v>
      </c>
      <c r="AL35" s="144">
        <v>0</v>
      </c>
      <c r="AM35" s="144">
        <v>0</v>
      </c>
    </row>
    <row r="36" spans="1:39" customFormat="1" x14ac:dyDescent="0.15">
      <c r="A36" s="150" t="s">
        <v>226</v>
      </c>
      <c r="B36" s="144">
        <v>0</v>
      </c>
      <c r="C36" s="144">
        <v>0</v>
      </c>
      <c r="D36" s="144">
        <v>0</v>
      </c>
      <c r="E36" s="144">
        <v>0</v>
      </c>
      <c r="F36" s="144">
        <v>0</v>
      </c>
      <c r="G36" s="144">
        <v>0</v>
      </c>
      <c r="H36" s="144">
        <v>0</v>
      </c>
      <c r="I36" s="144">
        <v>0</v>
      </c>
      <c r="J36" s="144">
        <v>0</v>
      </c>
      <c r="K36" s="144">
        <v>0</v>
      </c>
      <c r="L36" s="144">
        <v>0</v>
      </c>
      <c r="M36" s="144">
        <v>0</v>
      </c>
      <c r="N36" s="144">
        <v>0</v>
      </c>
      <c r="O36" s="144">
        <v>0</v>
      </c>
      <c r="P36" s="144">
        <v>0</v>
      </c>
      <c r="Q36" s="144">
        <v>0</v>
      </c>
      <c r="R36" s="144">
        <v>0</v>
      </c>
      <c r="S36" s="144">
        <v>0</v>
      </c>
      <c r="T36" s="144">
        <v>0</v>
      </c>
      <c r="U36" s="144">
        <v>0</v>
      </c>
      <c r="V36" s="144">
        <v>9.9439646207022739E-4</v>
      </c>
      <c r="W36" s="144">
        <v>0</v>
      </c>
      <c r="X36" s="144">
        <v>0</v>
      </c>
      <c r="Y36" s="144">
        <v>0</v>
      </c>
      <c r="Z36" s="144">
        <v>0</v>
      </c>
      <c r="AA36" s="144">
        <v>0</v>
      </c>
      <c r="AB36" s="144">
        <v>0</v>
      </c>
      <c r="AC36" s="144">
        <v>0</v>
      </c>
      <c r="AD36" s="144">
        <v>0</v>
      </c>
      <c r="AE36" s="144">
        <v>0</v>
      </c>
      <c r="AF36" s="144">
        <v>0</v>
      </c>
      <c r="AG36" s="144">
        <v>0</v>
      </c>
      <c r="AH36" s="144">
        <v>0</v>
      </c>
      <c r="AI36" s="144">
        <v>0</v>
      </c>
      <c r="AJ36" s="144">
        <v>0</v>
      </c>
      <c r="AK36" s="144">
        <v>0</v>
      </c>
      <c r="AL36" s="144">
        <v>0</v>
      </c>
      <c r="AM36" s="144">
        <v>0</v>
      </c>
    </row>
    <row r="37" spans="1:39" customFormat="1" x14ac:dyDescent="0.15">
      <c r="A37" s="150" t="s">
        <v>227</v>
      </c>
      <c r="B37" s="144">
        <v>0</v>
      </c>
      <c r="C37" s="144">
        <v>0</v>
      </c>
      <c r="D37" s="144">
        <v>0.17491258722738634</v>
      </c>
      <c r="E37" s="144">
        <v>0</v>
      </c>
      <c r="F37" s="144">
        <v>0</v>
      </c>
      <c r="G37" s="144">
        <v>0</v>
      </c>
      <c r="H37" s="144">
        <v>0</v>
      </c>
      <c r="I37" s="144">
        <v>0</v>
      </c>
      <c r="J37" s="144">
        <v>0.25</v>
      </c>
      <c r="K37" s="144">
        <v>0</v>
      </c>
      <c r="L37" s="144">
        <v>0</v>
      </c>
      <c r="M37" s="144">
        <v>0</v>
      </c>
      <c r="N37" s="144">
        <v>4.7718502279546051E-3</v>
      </c>
      <c r="O37" s="144">
        <v>4.1161873951391037E-2</v>
      </c>
      <c r="P37" s="144">
        <v>0</v>
      </c>
      <c r="Q37" s="144">
        <v>3.3308535112199883E-4</v>
      </c>
      <c r="R37" s="144">
        <v>0</v>
      </c>
      <c r="S37" s="144">
        <v>0.6</v>
      </c>
      <c r="T37" s="144">
        <v>0</v>
      </c>
      <c r="U37" s="144">
        <v>0</v>
      </c>
      <c r="V37" s="144">
        <v>0</v>
      </c>
      <c r="W37" s="144">
        <v>0</v>
      </c>
      <c r="X37" s="144">
        <v>9.9131819715491641E-3</v>
      </c>
      <c r="Y37" s="144">
        <v>0.47852568028474191</v>
      </c>
      <c r="Z37" s="144">
        <v>0.42477277473443248</v>
      </c>
      <c r="AA37" s="144">
        <v>0.41017176157754176</v>
      </c>
      <c r="AB37" s="144">
        <v>1.1626534801769322E-2</v>
      </c>
      <c r="AC37" s="144">
        <v>0</v>
      </c>
      <c r="AD37" s="144">
        <v>0</v>
      </c>
      <c r="AE37" s="144">
        <v>0.65099999570339995</v>
      </c>
      <c r="AF37" s="144">
        <v>1</v>
      </c>
      <c r="AG37" s="144">
        <v>0</v>
      </c>
      <c r="AH37" s="144">
        <v>0</v>
      </c>
      <c r="AI37" s="144">
        <v>0</v>
      </c>
      <c r="AJ37" s="144">
        <v>0</v>
      </c>
      <c r="AK37" s="144">
        <v>0</v>
      </c>
      <c r="AL37" s="144">
        <v>0</v>
      </c>
      <c r="AM37" s="144">
        <v>0</v>
      </c>
    </row>
    <row r="38" spans="1:39" customFormat="1" x14ac:dyDescent="0.15">
      <c r="A38" s="150" t="s">
        <v>228</v>
      </c>
      <c r="B38" s="144">
        <v>4.40707231093658E-2</v>
      </c>
      <c r="C38" s="144">
        <v>0</v>
      </c>
      <c r="D38" s="144">
        <v>0.45277370058860578</v>
      </c>
      <c r="E38" s="144">
        <v>0</v>
      </c>
      <c r="F38" s="144">
        <v>8.2298666632338563E-2</v>
      </c>
      <c r="G38" s="144">
        <v>6.5065354921124779E-2</v>
      </c>
      <c r="H38" s="144">
        <v>0</v>
      </c>
      <c r="I38" s="144">
        <v>0</v>
      </c>
      <c r="J38" s="144">
        <v>0</v>
      </c>
      <c r="K38" s="144">
        <v>0</v>
      </c>
      <c r="L38" s="144">
        <v>3.6461574991225008E-2</v>
      </c>
      <c r="M38" s="144">
        <v>0</v>
      </c>
      <c r="N38" s="144">
        <v>1.9163732481703359E-3</v>
      </c>
      <c r="O38" s="144">
        <v>0.13192905997240628</v>
      </c>
      <c r="P38" s="144">
        <v>1.1504586632266937E-2</v>
      </c>
      <c r="Q38" s="144">
        <v>0</v>
      </c>
      <c r="R38" s="144">
        <v>0</v>
      </c>
      <c r="S38" s="144">
        <v>0</v>
      </c>
      <c r="T38" s="144">
        <v>4.026543854359909E-2</v>
      </c>
      <c r="U38" s="144">
        <v>0</v>
      </c>
      <c r="V38" s="144">
        <v>0</v>
      </c>
      <c r="W38" s="144">
        <v>0</v>
      </c>
      <c r="X38" s="144">
        <v>0.52723069848684778</v>
      </c>
      <c r="Y38" s="144">
        <v>0.30391152447884517</v>
      </c>
      <c r="Z38" s="144">
        <v>0.52809114012923042</v>
      </c>
      <c r="AA38" s="144">
        <v>0.4791995109820984</v>
      </c>
      <c r="AB38" s="144">
        <v>0</v>
      </c>
      <c r="AC38" s="144">
        <v>0.59271971509224108</v>
      </c>
      <c r="AD38" s="144">
        <v>0.7432142502789667</v>
      </c>
      <c r="AE38" s="144">
        <v>0.24999999834999997</v>
      </c>
      <c r="AF38" s="144">
        <v>0</v>
      </c>
      <c r="AG38" s="144">
        <v>0</v>
      </c>
      <c r="AH38" s="144">
        <v>0</v>
      </c>
      <c r="AI38" s="144">
        <v>0</v>
      </c>
      <c r="AJ38" s="144">
        <v>0</v>
      </c>
      <c r="AK38" s="144">
        <v>0</v>
      </c>
      <c r="AL38" s="144">
        <v>0</v>
      </c>
      <c r="AM38" s="144">
        <v>0</v>
      </c>
    </row>
    <row r="39" spans="1:39" x14ac:dyDescent="0.15">
      <c r="A39" s="150" t="s">
        <v>229</v>
      </c>
      <c r="B39" s="144">
        <v>0</v>
      </c>
      <c r="C39" s="144">
        <v>0</v>
      </c>
      <c r="D39" s="144">
        <v>0</v>
      </c>
      <c r="E39" s="144">
        <v>0</v>
      </c>
      <c r="F39" s="144">
        <v>0</v>
      </c>
      <c r="G39" s="144">
        <v>0</v>
      </c>
      <c r="H39" s="144">
        <v>0</v>
      </c>
      <c r="I39" s="144">
        <v>0</v>
      </c>
      <c r="J39" s="144">
        <v>0</v>
      </c>
      <c r="K39" s="144">
        <v>0</v>
      </c>
      <c r="L39" s="144">
        <v>0</v>
      </c>
      <c r="M39" s="144">
        <v>0</v>
      </c>
      <c r="N39" s="144">
        <v>0</v>
      </c>
      <c r="O39" s="144">
        <v>0</v>
      </c>
      <c r="P39" s="144">
        <v>0</v>
      </c>
      <c r="Q39" s="144">
        <v>0</v>
      </c>
      <c r="R39" s="144">
        <v>0</v>
      </c>
      <c r="S39" s="144">
        <v>0</v>
      </c>
      <c r="T39" s="144">
        <v>0</v>
      </c>
      <c r="U39" s="144">
        <v>0</v>
      </c>
      <c r="V39" s="144">
        <v>0</v>
      </c>
      <c r="W39" s="144">
        <v>0</v>
      </c>
      <c r="X39" s="144">
        <v>0</v>
      </c>
      <c r="Y39" s="144">
        <v>0</v>
      </c>
      <c r="Z39" s="144">
        <v>0</v>
      </c>
      <c r="AA39" s="144">
        <v>0</v>
      </c>
      <c r="AB39" s="144">
        <v>0</v>
      </c>
      <c r="AC39" s="144">
        <v>0</v>
      </c>
      <c r="AD39" s="144">
        <v>0</v>
      </c>
      <c r="AE39" s="144">
        <v>0</v>
      </c>
      <c r="AF39" s="144">
        <v>0</v>
      </c>
      <c r="AG39" s="144">
        <v>0</v>
      </c>
      <c r="AH39" s="144">
        <v>0</v>
      </c>
      <c r="AI39" s="144">
        <v>0</v>
      </c>
      <c r="AJ39" s="144">
        <v>0</v>
      </c>
      <c r="AK39" s="144">
        <v>0</v>
      </c>
      <c r="AL39" s="144">
        <v>0</v>
      </c>
      <c r="AM39" s="144">
        <v>0</v>
      </c>
    </row>
    <row r="40" spans="1:39" x14ac:dyDescent="0.15">
      <c r="A40" s="150" t="s">
        <v>235</v>
      </c>
      <c r="B40" s="144">
        <v>0</v>
      </c>
      <c r="C40" s="144">
        <v>0</v>
      </c>
      <c r="D40" s="144">
        <v>0</v>
      </c>
      <c r="E40" s="144">
        <v>0</v>
      </c>
      <c r="F40" s="144">
        <v>0</v>
      </c>
      <c r="G40" s="144">
        <v>0</v>
      </c>
      <c r="H40" s="144">
        <v>0</v>
      </c>
      <c r="I40" s="144">
        <v>0</v>
      </c>
      <c r="J40" s="144">
        <v>0</v>
      </c>
      <c r="K40" s="144">
        <v>0</v>
      </c>
      <c r="L40" s="144">
        <v>0</v>
      </c>
      <c r="M40" s="144">
        <v>0</v>
      </c>
      <c r="N40" s="144">
        <v>0</v>
      </c>
      <c r="O40" s="144">
        <v>0</v>
      </c>
      <c r="P40" s="144">
        <v>0</v>
      </c>
      <c r="Q40" s="144">
        <v>0</v>
      </c>
      <c r="R40" s="144">
        <v>0</v>
      </c>
      <c r="S40" s="144">
        <v>0</v>
      </c>
      <c r="T40" s="144">
        <v>0</v>
      </c>
      <c r="U40" s="144">
        <v>0</v>
      </c>
      <c r="V40" s="144">
        <v>0</v>
      </c>
      <c r="W40" s="144">
        <v>0</v>
      </c>
      <c r="X40" s="144">
        <v>0</v>
      </c>
      <c r="Y40" s="144">
        <v>0</v>
      </c>
      <c r="Z40" s="144">
        <v>0</v>
      </c>
      <c r="AA40" s="144">
        <v>0</v>
      </c>
      <c r="AB40" s="144">
        <v>0</v>
      </c>
      <c r="AC40" s="144">
        <v>0</v>
      </c>
      <c r="AD40" s="144">
        <v>0</v>
      </c>
      <c r="AE40" s="144">
        <v>0</v>
      </c>
      <c r="AF40" s="144">
        <v>0</v>
      </c>
      <c r="AG40" s="144">
        <v>0</v>
      </c>
      <c r="AH40" s="144">
        <v>0</v>
      </c>
      <c r="AI40" s="144">
        <v>0</v>
      </c>
      <c r="AJ40" s="144">
        <v>0</v>
      </c>
      <c r="AK40" s="144">
        <v>0</v>
      </c>
      <c r="AL40" s="144">
        <v>0</v>
      </c>
      <c r="AM40" s="144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3" activePane="bottomRight" state="frozen"/>
      <selection pane="topRight" activeCell="C1" sqref="C1"/>
      <selection pane="bottomLeft" activeCell="A2" sqref="A2"/>
      <selection pane="bottomRight" activeCell="H46" sqref="H46"/>
    </sheetView>
  </sheetViews>
  <sheetFormatPr baseColWidth="10" defaultColWidth="8.83203125" defaultRowHeight="13" x14ac:dyDescent="0.15"/>
  <cols>
    <col min="1" max="1" width="3.33203125" customWidth="1"/>
    <col min="2" max="2" width="34.33203125" customWidth="1"/>
    <col min="3" max="4" width="15.5" style="112" customWidth="1"/>
    <col min="5" max="6" width="15.5" style="111" customWidth="1"/>
    <col min="7" max="8" width="8.83203125" style="112"/>
  </cols>
  <sheetData>
    <row r="1" spans="1:8" ht="70" x14ac:dyDescent="0.15">
      <c r="A1" s="5" t="s">
        <v>20</v>
      </c>
      <c r="B1" s="1" t="s">
        <v>0</v>
      </c>
      <c r="C1" s="153" t="s">
        <v>228</v>
      </c>
      <c r="D1" s="153" t="s">
        <v>229</v>
      </c>
      <c r="E1" s="153" t="s">
        <v>236</v>
      </c>
      <c r="F1" s="153" t="s">
        <v>237</v>
      </c>
      <c r="G1"/>
      <c r="H1"/>
    </row>
    <row r="2" spans="1:8" x14ac:dyDescent="0.15">
      <c r="A2">
        <v>1</v>
      </c>
      <c r="B2" s="152" t="s">
        <v>192</v>
      </c>
      <c r="C2" s="112">
        <v>1</v>
      </c>
      <c r="D2" s="112">
        <v>0</v>
      </c>
      <c r="E2" s="111">
        <v>0</v>
      </c>
      <c r="F2" s="111">
        <v>1</v>
      </c>
      <c r="G2"/>
      <c r="H2"/>
    </row>
    <row r="3" spans="1:8" x14ac:dyDescent="0.15">
      <c r="A3">
        <v>2</v>
      </c>
      <c r="B3" s="152" t="s">
        <v>193</v>
      </c>
      <c r="C3" s="112">
        <v>1</v>
      </c>
      <c r="D3" s="112">
        <v>0</v>
      </c>
      <c r="E3" s="111">
        <v>0</v>
      </c>
      <c r="F3" s="111">
        <v>1</v>
      </c>
      <c r="G3"/>
      <c r="H3"/>
    </row>
    <row r="4" spans="1:8" x14ac:dyDescent="0.15">
      <c r="A4">
        <v>3</v>
      </c>
      <c r="B4" s="152" t="s">
        <v>194</v>
      </c>
      <c r="C4" s="112">
        <v>1</v>
      </c>
      <c r="D4" s="112">
        <v>0</v>
      </c>
      <c r="E4" s="111">
        <v>0</v>
      </c>
      <c r="F4" s="111">
        <v>1</v>
      </c>
      <c r="G4"/>
      <c r="H4"/>
    </row>
    <row r="5" spans="1:8" x14ac:dyDescent="0.15">
      <c r="A5">
        <v>4</v>
      </c>
      <c r="B5" s="152" t="s">
        <v>195</v>
      </c>
      <c r="C5" s="112">
        <v>1</v>
      </c>
      <c r="D5" s="112">
        <v>0</v>
      </c>
      <c r="E5" s="111">
        <v>0</v>
      </c>
      <c r="F5" s="111">
        <v>1</v>
      </c>
      <c r="G5"/>
      <c r="H5"/>
    </row>
    <row r="6" spans="1:8" x14ac:dyDescent="0.15">
      <c r="A6">
        <v>5</v>
      </c>
      <c r="B6" s="152" t="s">
        <v>196</v>
      </c>
      <c r="C6" s="112">
        <v>1</v>
      </c>
      <c r="D6" s="112">
        <v>0</v>
      </c>
      <c r="E6" s="111">
        <v>0</v>
      </c>
      <c r="F6" s="111">
        <v>1</v>
      </c>
      <c r="G6"/>
      <c r="H6"/>
    </row>
    <row r="7" spans="1:8" x14ac:dyDescent="0.15">
      <c r="A7">
        <v>6</v>
      </c>
      <c r="B7" s="152" t="s">
        <v>197</v>
      </c>
      <c r="C7" s="112">
        <v>1</v>
      </c>
      <c r="D7" s="112">
        <v>0</v>
      </c>
      <c r="E7" s="111">
        <v>0</v>
      </c>
      <c r="F7" s="111">
        <v>1</v>
      </c>
      <c r="G7"/>
      <c r="H7"/>
    </row>
    <row r="8" spans="1:8" x14ac:dyDescent="0.15">
      <c r="A8">
        <v>7</v>
      </c>
      <c r="B8" s="152" t="s">
        <v>198</v>
      </c>
      <c r="C8" s="112">
        <v>1</v>
      </c>
      <c r="D8" s="112">
        <v>0</v>
      </c>
      <c r="E8" s="111">
        <v>0</v>
      </c>
      <c r="F8" s="111">
        <v>1</v>
      </c>
      <c r="G8"/>
      <c r="H8"/>
    </row>
    <row r="9" spans="1:8" x14ac:dyDescent="0.15">
      <c r="A9">
        <v>8</v>
      </c>
      <c r="B9" s="152" t="s">
        <v>199</v>
      </c>
      <c r="C9" s="112">
        <v>1</v>
      </c>
      <c r="D9" s="112">
        <v>0</v>
      </c>
      <c r="E9" s="111">
        <v>0</v>
      </c>
      <c r="F9" s="111">
        <v>1</v>
      </c>
      <c r="G9"/>
      <c r="H9"/>
    </row>
    <row r="10" spans="1:8" x14ac:dyDescent="0.15">
      <c r="A10">
        <v>9</v>
      </c>
      <c r="B10" s="152" t="s">
        <v>200</v>
      </c>
      <c r="C10" s="112">
        <v>1</v>
      </c>
      <c r="D10" s="112">
        <v>0</v>
      </c>
      <c r="E10" s="111">
        <v>0</v>
      </c>
      <c r="F10" s="111">
        <v>1</v>
      </c>
      <c r="G10"/>
      <c r="H10"/>
    </row>
    <row r="11" spans="1:8" x14ac:dyDescent="0.15">
      <c r="A11">
        <v>10</v>
      </c>
      <c r="B11" s="152" t="s">
        <v>201</v>
      </c>
      <c r="C11" s="112">
        <v>1</v>
      </c>
      <c r="D11" s="112">
        <v>0</v>
      </c>
      <c r="E11" s="111">
        <v>0</v>
      </c>
      <c r="F11" s="111">
        <v>1</v>
      </c>
      <c r="G11"/>
      <c r="H11"/>
    </row>
    <row r="12" spans="1:8" x14ac:dyDescent="0.15">
      <c r="A12">
        <v>11</v>
      </c>
      <c r="B12" s="152" t="s">
        <v>202</v>
      </c>
      <c r="C12" s="112">
        <v>1</v>
      </c>
      <c r="D12" s="112">
        <v>0</v>
      </c>
      <c r="E12" s="111">
        <v>0</v>
      </c>
      <c r="F12" s="111">
        <v>1</v>
      </c>
      <c r="G12"/>
      <c r="H12"/>
    </row>
    <row r="13" spans="1:8" x14ac:dyDescent="0.15">
      <c r="A13">
        <v>12</v>
      </c>
      <c r="B13" s="152" t="s">
        <v>203</v>
      </c>
      <c r="C13" s="112">
        <v>1</v>
      </c>
      <c r="D13" s="112">
        <v>0</v>
      </c>
      <c r="E13" s="111">
        <v>0</v>
      </c>
      <c r="F13" s="111">
        <v>1</v>
      </c>
      <c r="G13"/>
      <c r="H13"/>
    </row>
    <row r="14" spans="1:8" x14ac:dyDescent="0.15">
      <c r="A14">
        <v>13</v>
      </c>
      <c r="B14" s="152" t="s">
        <v>204</v>
      </c>
      <c r="C14" s="112">
        <v>1</v>
      </c>
      <c r="D14" s="112">
        <v>0</v>
      </c>
      <c r="E14" s="111">
        <v>0</v>
      </c>
      <c r="F14" s="111">
        <v>1</v>
      </c>
      <c r="G14"/>
      <c r="H14"/>
    </row>
    <row r="15" spans="1:8" x14ac:dyDescent="0.15">
      <c r="A15">
        <v>14</v>
      </c>
      <c r="B15" s="152" t="s">
        <v>205</v>
      </c>
      <c r="C15" s="112">
        <v>1</v>
      </c>
      <c r="D15" s="112">
        <v>0</v>
      </c>
      <c r="E15" s="111">
        <v>0</v>
      </c>
      <c r="F15" s="111">
        <v>1</v>
      </c>
      <c r="G15"/>
      <c r="H15"/>
    </row>
    <row r="16" spans="1:8" x14ac:dyDescent="0.15">
      <c r="A16">
        <v>15</v>
      </c>
      <c r="B16" s="152" t="s">
        <v>206</v>
      </c>
      <c r="C16" s="112">
        <v>1</v>
      </c>
      <c r="D16" s="112">
        <v>0</v>
      </c>
      <c r="E16" s="111">
        <v>0</v>
      </c>
      <c r="F16" s="111">
        <v>1</v>
      </c>
      <c r="G16"/>
      <c r="H16"/>
    </row>
    <row r="17" spans="1:8" ht="15" customHeight="1" x14ac:dyDescent="0.15">
      <c r="A17">
        <v>16</v>
      </c>
      <c r="B17" s="152" t="s">
        <v>207</v>
      </c>
      <c r="C17" s="112">
        <v>1</v>
      </c>
      <c r="D17" s="112">
        <v>0</v>
      </c>
      <c r="E17" s="111">
        <v>0</v>
      </c>
      <c r="F17" s="111">
        <v>1</v>
      </c>
      <c r="G17"/>
      <c r="H17"/>
    </row>
    <row r="18" spans="1:8" ht="15" customHeight="1" x14ac:dyDescent="0.15">
      <c r="A18">
        <v>17</v>
      </c>
      <c r="B18" s="152" t="s">
        <v>208</v>
      </c>
      <c r="C18" s="112">
        <v>1</v>
      </c>
      <c r="D18" s="112">
        <v>0</v>
      </c>
      <c r="E18" s="111">
        <v>0</v>
      </c>
      <c r="F18" s="111">
        <v>1</v>
      </c>
      <c r="G18"/>
      <c r="H18"/>
    </row>
    <row r="19" spans="1:8" ht="15" customHeight="1" x14ac:dyDescent="0.15">
      <c r="A19">
        <v>18</v>
      </c>
      <c r="B19" s="152" t="s">
        <v>209</v>
      </c>
      <c r="C19" s="112">
        <v>1</v>
      </c>
      <c r="D19" s="112">
        <v>0</v>
      </c>
      <c r="E19" s="111">
        <v>0</v>
      </c>
      <c r="F19" s="111">
        <v>1</v>
      </c>
      <c r="G19"/>
      <c r="H19"/>
    </row>
    <row r="20" spans="1:8" ht="15" customHeight="1" x14ac:dyDescent="0.15">
      <c r="A20">
        <v>19</v>
      </c>
      <c r="B20" s="152" t="s">
        <v>210</v>
      </c>
      <c r="C20" s="112">
        <v>1</v>
      </c>
      <c r="D20" s="112">
        <v>0</v>
      </c>
      <c r="E20" s="111">
        <v>0</v>
      </c>
      <c r="F20" s="111">
        <v>1</v>
      </c>
      <c r="G20"/>
      <c r="H20"/>
    </row>
    <row r="21" spans="1:8" ht="15" customHeight="1" x14ac:dyDescent="0.15">
      <c r="A21">
        <v>20</v>
      </c>
      <c r="B21" s="152" t="s">
        <v>211</v>
      </c>
      <c r="C21" s="112">
        <v>1</v>
      </c>
      <c r="D21" s="112">
        <v>0</v>
      </c>
      <c r="E21" s="111">
        <v>0</v>
      </c>
      <c r="F21" s="111">
        <v>1</v>
      </c>
      <c r="G21"/>
      <c r="H21"/>
    </row>
    <row r="22" spans="1:8" ht="15" customHeight="1" x14ac:dyDescent="0.15">
      <c r="A22">
        <v>21</v>
      </c>
      <c r="B22" s="152" t="s">
        <v>212</v>
      </c>
      <c r="C22" s="112">
        <v>1</v>
      </c>
      <c r="D22" s="112">
        <v>0</v>
      </c>
      <c r="E22" s="111">
        <v>0</v>
      </c>
      <c r="F22" s="111">
        <v>1</v>
      </c>
      <c r="G22"/>
      <c r="H22"/>
    </row>
    <row r="23" spans="1:8" ht="15" customHeight="1" x14ac:dyDescent="0.15">
      <c r="A23">
        <v>22</v>
      </c>
      <c r="B23" s="152" t="s">
        <v>213</v>
      </c>
      <c r="C23" s="112">
        <v>1</v>
      </c>
      <c r="D23" s="112">
        <v>0</v>
      </c>
      <c r="E23" s="111">
        <v>0</v>
      </c>
      <c r="F23" s="111">
        <v>1</v>
      </c>
      <c r="G23"/>
      <c r="H23"/>
    </row>
    <row r="24" spans="1:8" ht="15" customHeight="1" x14ac:dyDescent="0.15">
      <c r="A24">
        <v>23</v>
      </c>
      <c r="B24" s="152" t="s">
        <v>214</v>
      </c>
      <c r="C24" s="112">
        <v>1</v>
      </c>
      <c r="D24" s="112">
        <v>0</v>
      </c>
      <c r="E24" s="111">
        <v>0</v>
      </c>
      <c r="F24" s="111">
        <v>1</v>
      </c>
      <c r="G24"/>
      <c r="H24"/>
    </row>
    <row r="25" spans="1:8" ht="15" customHeight="1" x14ac:dyDescent="0.15">
      <c r="A25">
        <v>24</v>
      </c>
      <c r="B25" s="152" t="s">
        <v>215</v>
      </c>
      <c r="C25" s="112">
        <v>1</v>
      </c>
      <c r="D25" s="112">
        <v>0</v>
      </c>
      <c r="E25" s="111">
        <v>0</v>
      </c>
      <c r="F25" s="111">
        <v>1</v>
      </c>
      <c r="G25"/>
      <c r="H25"/>
    </row>
    <row r="26" spans="1:8" ht="15" customHeight="1" x14ac:dyDescent="0.15">
      <c r="A26">
        <v>25</v>
      </c>
      <c r="B26" s="152" t="s">
        <v>216</v>
      </c>
      <c r="C26" s="112">
        <v>1</v>
      </c>
      <c r="D26" s="112">
        <v>0</v>
      </c>
      <c r="E26" s="111">
        <v>0</v>
      </c>
      <c r="F26" s="111">
        <v>1</v>
      </c>
      <c r="G26"/>
      <c r="H26"/>
    </row>
    <row r="27" spans="1:8" ht="15" customHeight="1" x14ac:dyDescent="0.15">
      <c r="A27">
        <v>26</v>
      </c>
      <c r="B27" s="152" t="s">
        <v>217</v>
      </c>
      <c r="C27" s="112">
        <v>1</v>
      </c>
      <c r="D27" s="112">
        <v>0</v>
      </c>
      <c r="E27" s="111">
        <v>0</v>
      </c>
      <c r="F27" s="111">
        <v>1</v>
      </c>
      <c r="G27"/>
      <c r="H27"/>
    </row>
    <row r="28" spans="1:8" ht="15" customHeight="1" x14ac:dyDescent="0.15">
      <c r="A28">
        <v>27</v>
      </c>
      <c r="B28" s="152" t="s">
        <v>218</v>
      </c>
      <c r="C28" s="112">
        <v>1</v>
      </c>
      <c r="D28" s="112">
        <v>0</v>
      </c>
      <c r="E28" s="111">
        <v>0</v>
      </c>
      <c r="F28" s="111">
        <v>1</v>
      </c>
      <c r="G28"/>
      <c r="H28"/>
    </row>
    <row r="29" spans="1:8" ht="15" customHeight="1" x14ac:dyDescent="0.15">
      <c r="A29">
        <v>28</v>
      </c>
      <c r="B29" s="152" t="s">
        <v>219</v>
      </c>
      <c r="C29" s="112">
        <v>1</v>
      </c>
      <c r="D29" s="112">
        <v>0</v>
      </c>
      <c r="E29" s="111">
        <v>0</v>
      </c>
      <c r="F29" s="111">
        <v>1</v>
      </c>
      <c r="G29"/>
      <c r="H29"/>
    </row>
    <row r="30" spans="1:8" ht="15" customHeight="1" x14ac:dyDescent="0.15">
      <c r="A30">
        <v>29</v>
      </c>
      <c r="B30" s="152" t="s">
        <v>220</v>
      </c>
      <c r="C30" s="112">
        <v>1</v>
      </c>
      <c r="D30" s="112">
        <v>0</v>
      </c>
      <c r="E30" s="111">
        <v>0</v>
      </c>
      <c r="F30" s="111">
        <v>1</v>
      </c>
      <c r="G30"/>
      <c r="H30"/>
    </row>
    <row r="31" spans="1:8" ht="15" customHeight="1" x14ac:dyDescent="0.15">
      <c r="A31">
        <v>30</v>
      </c>
      <c r="B31" s="152" t="s">
        <v>221</v>
      </c>
      <c r="C31" s="112">
        <v>1</v>
      </c>
      <c r="D31" s="112">
        <v>0</v>
      </c>
      <c r="E31" s="111">
        <v>0</v>
      </c>
      <c r="F31" s="111">
        <v>1</v>
      </c>
      <c r="G31"/>
      <c r="H31"/>
    </row>
    <row r="32" spans="1:8" ht="15" customHeight="1" x14ac:dyDescent="0.15">
      <c r="A32">
        <v>31</v>
      </c>
      <c r="B32" s="152" t="s">
        <v>222</v>
      </c>
      <c r="C32" s="112">
        <v>1</v>
      </c>
      <c r="D32" s="112">
        <v>0</v>
      </c>
      <c r="E32" s="111">
        <v>0</v>
      </c>
      <c r="F32" s="111">
        <v>1</v>
      </c>
    </row>
    <row r="33" spans="1:8" ht="15" customHeight="1" x14ac:dyDescent="0.15">
      <c r="A33">
        <v>32</v>
      </c>
      <c r="B33" s="152" t="s">
        <v>223</v>
      </c>
      <c r="C33" s="112">
        <v>1</v>
      </c>
      <c r="D33" s="112">
        <v>0</v>
      </c>
      <c r="E33" s="111">
        <v>0</v>
      </c>
      <c r="F33" s="111">
        <v>1</v>
      </c>
    </row>
    <row r="34" spans="1:8" ht="15" customHeight="1" x14ac:dyDescent="0.15">
      <c r="A34">
        <v>33</v>
      </c>
      <c r="B34" s="152" t="s">
        <v>224</v>
      </c>
      <c r="C34" s="112">
        <v>1</v>
      </c>
      <c r="D34" s="112">
        <v>0</v>
      </c>
      <c r="E34" s="111">
        <v>0</v>
      </c>
      <c r="F34" s="111">
        <v>1</v>
      </c>
    </row>
    <row r="35" spans="1:8" ht="15" customHeight="1" x14ac:dyDescent="0.15">
      <c r="A35">
        <v>34</v>
      </c>
      <c r="B35" s="152" t="s">
        <v>225</v>
      </c>
      <c r="C35" s="112">
        <v>1</v>
      </c>
      <c r="D35" s="112">
        <v>0</v>
      </c>
      <c r="E35" s="111">
        <v>0</v>
      </c>
      <c r="F35" s="111">
        <v>1</v>
      </c>
    </row>
    <row r="36" spans="1:8" ht="15" customHeight="1" x14ac:dyDescent="0.15">
      <c r="A36">
        <v>35</v>
      </c>
      <c r="B36" s="152" t="s">
        <v>226</v>
      </c>
      <c r="C36" s="112">
        <v>1</v>
      </c>
      <c r="D36" s="112">
        <v>0</v>
      </c>
      <c r="E36" s="112">
        <v>0</v>
      </c>
      <c r="F36" s="112">
        <v>1</v>
      </c>
      <c r="G36"/>
      <c r="H36"/>
    </row>
    <row r="37" spans="1:8" ht="15" customHeight="1" x14ac:dyDescent="0.15">
      <c r="A37">
        <v>36</v>
      </c>
      <c r="B37" s="152" t="s">
        <v>227</v>
      </c>
      <c r="C37" s="112">
        <v>1</v>
      </c>
      <c r="D37" s="112">
        <v>0</v>
      </c>
      <c r="E37" s="112">
        <v>0</v>
      </c>
      <c r="F37" s="112">
        <v>1</v>
      </c>
      <c r="G37"/>
      <c r="H37"/>
    </row>
    <row r="38" spans="1:8" ht="15" customHeight="1" x14ac:dyDescent="0.15">
      <c r="A38">
        <v>37</v>
      </c>
      <c r="B38" s="152" t="s">
        <v>228</v>
      </c>
      <c r="C38" s="112">
        <v>0</v>
      </c>
      <c r="D38" s="112">
        <v>1</v>
      </c>
      <c r="E38" s="112">
        <v>0</v>
      </c>
      <c r="F38" s="112">
        <v>1</v>
      </c>
      <c r="G38"/>
      <c r="H38"/>
    </row>
    <row r="39" spans="1:8" ht="15" customHeight="1" x14ac:dyDescent="0.15">
      <c r="A39">
        <v>38</v>
      </c>
      <c r="B39" s="152" t="s">
        <v>229</v>
      </c>
      <c r="C39" s="112">
        <v>0</v>
      </c>
      <c r="D39" s="112">
        <v>0</v>
      </c>
      <c r="E39" s="112">
        <v>1</v>
      </c>
      <c r="F39" s="112">
        <v>1</v>
      </c>
      <c r="G39"/>
      <c r="H39"/>
    </row>
    <row r="40" spans="1:8" ht="15" customHeight="1" x14ac:dyDescent="0.15">
      <c r="A40">
        <v>39</v>
      </c>
      <c r="B40" s="152" t="s">
        <v>230</v>
      </c>
      <c r="C40" s="112">
        <v>0</v>
      </c>
      <c r="D40" s="112">
        <v>1</v>
      </c>
      <c r="E40" s="112">
        <v>0</v>
      </c>
      <c r="F40" s="112">
        <v>1</v>
      </c>
      <c r="G40"/>
      <c r="H40"/>
    </row>
    <row r="41" spans="1:8" ht="15" customHeight="1" x14ac:dyDescent="0.15">
      <c r="A41">
        <v>40</v>
      </c>
      <c r="B41" s="152" t="s">
        <v>231</v>
      </c>
      <c r="C41" s="112">
        <v>0</v>
      </c>
      <c r="D41" s="112">
        <v>1</v>
      </c>
      <c r="E41" s="112">
        <v>0</v>
      </c>
      <c r="F41" s="112">
        <v>1</v>
      </c>
      <c r="G41"/>
      <c r="H41"/>
    </row>
    <row r="42" spans="1:8" ht="15" customHeight="1" x14ac:dyDescent="0.15">
      <c r="A42">
        <v>41</v>
      </c>
      <c r="B42" s="152" t="s">
        <v>232</v>
      </c>
      <c r="C42" s="112">
        <v>0</v>
      </c>
      <c r="D42" s="112">
        <v>1</v>
      </c>
      <c r="E42" s="112">
        <v>0</v>
      </c>
      <c r="F42" s="112">
        <v>1</v>
      </c>
      <c r="G42"/>
      <c r="H42"/>
    </row>
    <row r="43" spans="1:8" ht="15" customHeight="1" x14ac:dyDescent="0.15">
      <c r="A43">
        <v>42</v>
      </c>
      <c r="B43" s="152" t="s">
        <v>233</v>
      </c>
      <c r="C43" s="112">
        <v>0</v>
      </c>
      <c r="D43" s="112">
        <v>1</v>
      </c>
      <c r="E43" s="112">
        <v>0</v>
      </c>
      <c r="F43" s="112">
        <v>1</v>
      </c>
      <c r="G43"/>
      <c r="H43"/>
    </row>
    <row r="44" spans="1:8" ht="15" customHeight="1" x14ac:dyDescent="0.15">
      <c r="A44">
        <v>43</v>
      </c>
      <c r="B44" s="152" t="s">
        <v>234</v>
      </c>
      <c r="C44" s="112">
        <v>0</v>
      </c>
      <c r="D44" s="112">
        <v>1</v>
      </c>
      <c r="E44" s="111">
        <v>0</v>
      </c>
      <c r="F44" s="111">
        <v>1</v>
      </c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2"/>
      <c r="F46" s="112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H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4.33203125" bestFit="1" customWidth="1"/>
    <col min="3" max="5" width="10.83203125" bestFit="1" customWidth="1"/>
    <col min="6" max="8" width="10.83203125" customWidth="1"/>
  </cols>
  <sheetData>
    <row r="1" spans="1:8" s="113" customFormat="1" ht="112" x14ac:dyDescent="0.15">
      <c r="A1" s="5" t="s">
        <v>21</v>
      </c>
      <c r="B1" s="3" t="s">
        <v>0</v>
      </c>
      <c r="C1" s="155" t="s">
        <v>230</v>
      </c>
      <c r="D1" s="155" t="s">
        <v>231</v>
      </c>
      <c r="E1" s="155" t="s">
        <v>232</v>
      </c>
      <c r="F1" s="155" t="s">
        <v>233</v>
      </c>
      <c r="G1" s="155" t="s">
        <v>234</v>
      </c>
      <c r="H1" s="155" t="s">
        <v>238</v>
      </c>
    </row>
    <row r="2" spans="1:8" ht="15" customHeight="1" x14ac:dyDescent="0.15">
      <c r="A2">
        <v>1</v>
      </c>
      <c r="B2" s="154" t="s">
        <v>192</v>
      </c>
      <c r="C2">
        <v>1.6966399999999999E-3</v>
      </c>
      <c r="D2">
        <v>1.6966399999999999E-3</v>
      </c>
      <c r="E2">
        <v>2.460128E-2</v>
      </c>
      <c r="F2">
        <v>2.460128E-2</v>
      </c>
      <c r="G2">
        <v>2.460128E-2</v>
      </c>
      <c r="H2">
        <v>7.7197119999999994E-2</v>
      </c>
    </row>
    <row r="3" spans="1:8" ht="15" customHeight="1" x14ac:dyDescent="0.15">
      <c r="A3">
        <v>2</v>
      </c>
      <c r="B3" s="154" t="s">
        <v>193</v>
      </c>
      <c r="C3">
        <v>2.8753999999999997E-4</v>
      </c>
      <c r="D3">
        <v>2.8753999999999997E-4</v>
      </c>
      <c r="E3">
        <v>4.1693299999999997E-3</v>
      </c>
      <c r="F3">
        <v>4.1693299999999997E-3</v>
      </c>
      <c r="G3">
        <v>4.1693299999999997E-3</v>
      </c>
      <c r="H3">
        <v>1.3083069999999999E-2</v>
      </c>
    </row>
    <row r="4" spans="1:8" ht="15" customHeight="1" x14ac:dyDescent="0.15">
      <c r="A4">
        <v>3</v>
      </c>
      <c r="B4" s="154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ht="15" customHeight="1" x14ac:dyDescent="0.15">
      <c r="A5">
        <v>4</v>
      </c>
      <c r="B5" s="154" t="s">
        <v>195</v>
      </c>
      <c r="C5">
        <v>1.0318E-4</v>
      </c>
      <c r="D5">
        <v>1.0318E-4</v>
      </c>
      <c r="E5">
        <v>1.4961099999999999E-3</v>
      </c>
      <c r="F5">
        <v>1.4961099999999999E-3</v>
      </c>
      <c r="G5">
        <v>1.4961099999999999E-3</v>
      </c>
      <c r="H5">
        <v>4.6946899999999996E-3</v>
      </c>
    </row>
    <row r="6" spans="1:8" ht="15" customHeight="1" x14ac:dyDescent="0.15">
      <c r="A6">
        <v>5</v>
      </c>
      <c r="B6" s="154" t="s">
        <v>196</v>
      </c>
      <c r="C6">
        <v>4.2459999999999998E-3</v>
      </c>
      <c r="D6">
        <v>4.2459999999999998E-3</v>
      </c>
      <c r="E6">
        <v>6.1566999999999997E-2</v>
      </c>
      <c r="F6">
        <v>6.1566999999999997E-2</v>
      </c>
      <c r="G6">
        <v>6.1566999999999997E-2</v>
      </c>
      <c r="H6">
        <v>0.193193</v>
      </c>
    </row>
    <row r="7" spans="1:8" ht="15" customHeight="1" x14ac:dyDescent="0.15">
      <c r="A7">
        <v>6</v>
      </c>
      <c r="B7" s="154" t="s">
        <v>197</v>
      </c>
      <c r="C7">
        <v>1.5322999999999999E-3</v>
      </c>
      <c r="D7">
        <v>1.5322999999999999E-3</v>
      </c>
      <c r="E7">
        <v>2.2218350000000001E-2</v>
      </c>
      <c r="F7">
        <v>2.2218350000000001E-2</v>
      </c>
      <c r="G7">
        <v>2.2218350000000001E-2</v>
      </c>
      <c r="H7">
        <v>6.9719650000000008E-2</v>
      </c>
    </row>
    <row r="8" spans="1:8" ht="15" customHeight="1" x14ac:dyDescent="0.15">
      <c r="A8">
        <v>7</v>
      </c>
      <c r="B8" s="154" t="s">
        <v>198</v>
      </c>
      <c r="C8">
        <v>7.0466399999999998E-3</v>
      </c>
      <c r="D8">
        <v>7.0466399999999998E-3</v>
      </c>
      <c r="E8">
        <v>6.0483660000000002E-2</v>
      </c>
      <c r="F8">
        <v>6.0483660000000002E-2</v>
      </c>
      <c r="G8">
        <v>6.0483660000000002E-2</v>
      </c>
      <c r="H8">
        <v>0.19554426</v>
      </c>
    </row>
    <row r="9" spans="1:8" ht="15" customHeight="1" x14ac:dyDescent="0.15">
      <c r="A9">
        <v>8</v>
      </c>
      <c r="B9" s="154" t="s">
        <v>199</v>
      </c>
      <c r="C9">
        <v>2.4119999999999999E-5</v>
      </c>
      <c r="D9">
        <v>2.4119999999999999E-5</v>
      </c>
      <c r="E9">
        <v>2.0703E-4</v>
      </c>
      <c r="F9">
        <v>2.0703E-4</v>
      </c>
      <c r="G9">
        <v>2.0703E-4</v>
      </c>
      <c r="H9">
        <v>6.6932999999999999E-4</v>
      </c>
    </row>
    <row r="10" spans="1:8" ht="15" customHeight="1" x14ac:dyDescent="0.15">
      <c r="A10">
        <v>9</v>
      </c>
      <c r="B10" s="154" t="s">
        <v>200</v>
      </c>
      <c r="C10">
        <v>3.3120000000000001E-5</v>
      </c>
      <c r="D10">
        <v>3.3120000000000001E-5</v>
      </c>
      <c r="E10">
        <v>2.8427999999999998E-4</v>
      </c>
      <c r="F10">
        <v>2.8427999999999998E-4</v>
      </c>
      <c r="G10">
        <v>2.8427999999999998E-4</v>
      </c>
      <c r="H10">
        <v>9.1908000000000007E-4</v>
      </c>
    </row>
    <row r="11" spans="1:8" ht="15" customHeight="1" x14ac:dyDescent="0.15">
      <c r="A11">
        <v>10</v>
      </c>
      <c r="B11" s="154" t="s">
        <v>201</v>
      </c>
      <c r="C11">
        <v>4.0103999999999999E-3</v>
      </c>
      <c r="D11">
        <v>4.0103999999999999E-3</v>
      </c>
      <c r="E11">
        <v>3.4422599999999998E-2</v>
      </c>
      <c r="F11">
        <v>3.4422599999999998E-2</v>
      </c>
      <c r="G11">
        <v>3.4422599999999998E-2</v>
      </c>
      <c r="H11">
        <v>0.11128859999999999</v>
      </c>
    </row>
    <row r="12" spans="1:8" ht="15" customHeight="1" x14ac:dyDescent="0.15">
      <c r="A12">
        <v>11</v>
      </c>
      <c r="B12" s="154" t="s">
        <v>202</v>
      </c>
      <c r="C12">
        <v>3.11904E-3</v>
      </c>
      <c r="D12">
        <v>3.11904E-3</v>
      </c>
      <c r="E12">
        <v>2.5198559999999998E-2</v>
      </c>
      <c r="F12">
        <v>2.5198559999999998E-2</v>
      </c>
      <c r="G12">
        <v>2.5198559999999998E-2</v>
      </c>
      <c r="H12">
        <v>8.1833759999999992E-2</v>
      </c>
    </row>
    <row r="13" spans="1:8" ht="15" customHeight="1" x14ac:dyDescent="0.15">
      <c r="A13">
        <v>12</v>
      </c>
      <c r="B13" s="154" t="s">
        <v>203</v>
      </c>
      <c r="C13">
        <v>2.6410000000000002E-4</v>
      </c>
      <c r="D13">
        <v>2.6410000000000002E-4</v>
      </c>
      <c r="E13">
        <v>2.13365E-3</v>
      </c>
      <c r="F13">
        <v>2.13365E-3</v>
      </c>
      <c r="G13">
        <v>2.13365E-3</v>
      </c>
      <c r="H13">
        <v>6.9291499999999994E-3</v>
      </c>
    </row>
    <row r="14" spans="1:8" ht="15" customHeight="1" x14ac:dyDescent="0.15">
      <c r="A14">
        <v>13</v>
      </c>
      <c r="B14" s="154" t="s">
        <v>204</v>
      </c>
      <c r="C14">
        <v>3.7137400000000001E-3</v>
      </c>
      <c r="D14">
        <v>3.7137400000000001E-3</v>
      </c>
      <c r="E14">
        <v>3.000311E-2</v>
      </c>
      <c r="F14">
        <v>3.000311E-2</v>
      </c>
      <c r="G14">
        <v>3.000311E-2</v>
      </c>
      <c r="H14">
        <v>9.7436809999999999E-2</v>
      </c>
    </row>
    <row r="15" spans="1:8" ht="15" customHeight="1" x14ac:dyDescent="0.15">
      <c r="A15">
        <v>14</v>
      </c>
      <c r="B15" s="154" t="s">
        <v>205</v>
      </c>
      <c r="C15">
        <v>1.2141000000000001E-3</v>
      </c>
      <c r="D15">
        <v>1.2141000000000001E-3</v>
      </c>
      <c r="E15">
        <v>9.8086500000000004E-3</v>
      </c>
      <c r="F15">
        <v>9.8086500000000004E-3</v>
      </c>
      <c r="G15">
        <v>9.8086500000000004E-3</v>
      </c>
      <c r="H15">
        <v>3.1854150000000005E-2</v>
      </c>
    </row>
    <row r="16" spans="1:8" ht="15" customHeight="1" x14ac:dyDescent="0.15">
      <c r="A16">
        <v>15</v>
      </c>
      <c r="B16" s="154" t="s">
        <v>206</v>
      </c>
      <c r="C16">
        <v>9.1200000000000008E-6</v>
      </c>
      <c r="D16">
        <v>9.1200000000000008E-6</v>
      </c>
      <c r="E16">
        <v>7.3679999999999999E-5</v>
      </c>
      <c r="F16">
        <v>7.3679999999999999E-5</v>
      </c>
      <c r="G16">
        <v>7.3679999999999999E-5</v>
      </c>
      <c r="H16">
        <v>2.3928000000000003E-4</v>
      </c>
    </row>
    <row r="17" spans="1:8" ht="15" customHeight="1" x14ac:dyDescent="0.15">
      <c r="A17">
        <v>16</v>
      </c>
      <c r="B17" s="154" t="s">
        <v>207</v>
      </c>
      <c r="C17">
        <v>2.1431999999999999E-4</v>
      </c>
      <c r="D17">
        <v>2.1431999999999999E-4</v>
      </c>
      <c r="E17">
        <v>1.7314800000000001E-3</v>
      </c>
      <c r="F17">
        <v>1.7314800000000001E-3</v>
      </c>
      <c r="G17">
        <v>1.7314800000000001E-3</v>
      </c>
      <c r="H17">
        <v>5.6230800000000008E-3</v>
      </c>
    </row>
    <row r="18" spans="1:8" ht="15" customHeight="1" x14ac:dyDescent="0.15">
      <c r="A18">
        <v>17</v>
      </c>
      <c r="B18" s="154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ht="15" customHeight="1" x14ac:dyDescent="0.15">
      <c r="A19">
        <v>18</v>
      </c>
      <c r="B19" s="154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ht="15" customHeight="1" x14ac:dyDescent="0.15">
      <c r="A20">
        <v>19</v>
      </c>
      <c r="B20" s="154" t="s">
        <v>210</v>
      </c>
      <c r="C20">
        <v>9.3028000000000002E-4</v>
      </c>
      <c r="D20">
        <v>9.3028000000000002E-4</v>
      </c>
      <c r="E20">
        <v>2.3257E-2</v>
      </c>
      <c r="F20">
        <v>2.3257E-2</v>
      </c>
      <c r="G20">
        <v>2.3257E-2</v>
      </c>
      <c r="H20">
        <v>7.1631559999999997E-2</v>
      </c>
    </row>
    <row r="21" spans="1:8" ht="15" customHeight="1" x14ac:dyDescent="0.15">
      <c r="A21">
        <v>20</v>
      </c>
      <c r="B21" s="154" t="s">
        <v>211</v>
      </c>
      <c r="C21">
        <v>6.9979000000000005E-4</v>
      </c>
      <c r="D21">
        <v>6.9979000000000005E-4</v>
      </c>
      <c r="E21">
        <v>1.749475E-2</v>
      </c>
      <c r="F21">
        <v>1.749475E-2</v>
      </c>
      <c r="G21">
        <v>1.749475E-2</v>
      </c>
      <c r="H21">
        <v>5.3883830000000008E-2</v>
      </c>
    </row>
    <row r="22" spans="1:8" ht="15" customHeight="1" x14ac:dyDescent="0.15">
      <c r="A22">
        <v>21</v>
      </c>
      <c r="B22" s="154" t="s">
        <v>212</v>
      </c>
      <c r="C22">
        <v>7.1162000000000005E-4</v>
      </c>
      <c r="D22">
        <v>7.1162000000000005E-4</v>
      </c>
      <c r="E22">
        <v>1.7790500000000001E-2</v>
      </c>
      <c r="F22">
        <v>1.7790500000000001E-2</v>
      </c>
      <c r="G22">
        <v>1.7790500000000001E-2</v>
      </c>
      <c r="H22">
        <v>5.4794740000000002E-2</v>
      </c>
    </row>
    <row r="23" spans="1:8" ht="15" customHeight="1" x14ac:dyDescent="0.15">
      <c r="A23">
        <v>22</v>
      </c>
      <c r="B23" s="154" t="s">
        <v>213</v>
      </c>
      <c r="C23">
        <v>5.3724000000000003E-4</v>
      </c>
      <c r="D23">
        <v>5.3724000000000003E-4</v>
      </c>
      <c r="E23">
        <v>7.7899800000000002E-3</v>
      </c>
      <c r="F23">
        <v>7.7899800000000002E-3</v>
      </c>
      <c r="G23">
        <v>7.7899800000000002E-3</v>
      </c>
      <c r="H23">
        <v>2.4444420000000001E-2</v>
      </c>
    </row>
    <row r="24" spans="1:8" ht="15" customHeight="1" x14ac:dyDescent="0.15">
      <c r="A24">
        <v>23</v>
      </c>
      <c r="B24" s="154" t="s">
        <v>214</v>
      </c>
      <c r="C24">
        <v>0</v>
      </c>
      <c r="D24">
        <v>0</v>
      </c>
      <c r="E24">
        <v>1.9473839999999999E-2</v>
      </c>
      <c r="F24">
        <v>1.9473839999999999E-2</v>
      </c>
      <c r="G24">
        <v>1.9473839999999999E-2</v>
      </c>
      <c r="H24">
        <v>5.8421519999999998E-2</v>
      </c>
    </row>
    <row r="25" spans="1:8" ht="15" customHeight="1" x14ac:dyDescent="0.15">
      <c r="A25">
        <v>24</v>
      </c>
      <c r="B25" s="154" t="s">
        <v>215</v>
      </c>
      <c r="C25">
        <v>5.7070000000000001E-5</v>
      </c>
      <c r="D25">
        <v>5.7070000000000001E-5</v>
      </c>
      <c r="E25">
        <v>1.4267500000000001E-3</v>
      </c>
      <c r="F25">
        <v>1.4267500000000001E-3</v>
      </c>
      <c r="G25">
        <v>1.4267500000000001E-3</v>
      </c>
      <c r="H25">
        <v>4.3943899999999998E-3</v>
      </c>
    </row>
    <row r="26" spans="1:8" ht="15" customHeight="1" x14ac:dyDescent="0.15">
      <c r="A26">
        <v>25</v>
      </c>
      <c r="B26" s="154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ht="15" customHeight="1" x14ac:dyDescent="0.15">
      <c r="A27">
        <v>26</v>
      </c>
      <c r="B27" s="154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ht="15" customHeight="1" x14ac:dyDescent="0.15">
      <c r="A28">
        <v>27</v>
      </c>
      <c r="B28" s="154" t="s">
        <v>218</v>
      </c>
      <c r="C28">
        <v>1.18476E-3</v>
      </c>
      <c r="D28">
        <v>1.18476E-3</v>
      </c>
      <c r="E28">
        <v>1.016919E-2</v>
      </c>
      <c r="F28">
        <v>1.016919E-2</v>
      </c>
      <c r="G28">
        <v>1.016919E-2</v>
      </c>
      <c r="H28">
        <v>3.2877089999999998E-2</v>
      </c>
    </row>
    <row r="29" spans="1:8" ht="15" customHeight="1" x14ac:dyDescent="0.15">
      <c r="A29">
        <v>28</v>
      </c>
      <c r="B29" s="154" t="s">
        <v>219</v>
      </c>
      <c r="C29">
        <v>0</v>
      </c>
      <c r="D29">
        <v>0</v>
      </c>
      <c r="E29">
        <v>1.2E-4</v>
      </c>
      <c r="F29">
        <v>0</v>
      </c>
      <c r="G29">
        <v>0</v>
      </c>
      <c r="H29">
        <v>1.2E-4</v>
      </c>
    </row>
    <row r="30" spans="1:8" ht="15" customHeight="1" x14ac:dyDescent="0.15">
      <c r="A30">
        <v>29</v>
      </c>
      <c r="B30" s="154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ht="15" customHeight="1" x14ac:dyDescent="0.15">
      <c r="A31">
        <v>30</v>
      </c>
      <c r="B31" s="154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ht="15" customHeight="1" x14ac:dyDescent="0.15">
      <c r="A32">
        <v>31</v>
      </c>
      <c r="B32" s="154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ht="15" customHeight="1" x14ac:dyDescent="0.15">
      <c r="A33">
        <v>32</v>
      </c>
      <c r="B33" s="154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ht="15" customHeight="1" x14ac:dyDescent="0.15">
      <c r="A34">
        <v>33</v>
      </c>
      <c r="B34" s="154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ht="15" customHeight="1" x14ac:dyDescent="0.15">
      <c r="A35">
        <v>34</v>
      </c>
      <c r="B35" s="154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ht="15" customHeight="1" x14ac:dyDescent="0.15">
      <c r="A36">
        <v>35</v>
      </c>
      <c r="B36" s="154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ht="15" customHeight="1" x14ac:dyDescent="0.15">
      <c r="A37">
        <v>36</v>
      </c>
      <c r="B37" s="154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ht="15" customHeight="1" x14ac:dyDescent="0.15">
      <c r="A38">
        <v>37</v>
      </c>
      <c r="B38" s="154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ht="15" customHeight="1" x14ac:dyDescent="0.15">
      <c r="A39">
        <v>38</v>
      </c>
      <c r="B39" s="154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ht="15" customHeight="1" x14ac:dyDescent="0.15"/>
    <row r="41" spans="1:8" ht="15" customHeight="1" x14ac:dyDescent="0.15"/>
    <row r="42" spans="1:8" ht="15" customHeight="1" x14ac:dyDescent="0.15"/>
    <row r="43" spans="1:8" ht="15" customHeight="1" x14ac:dyDescent="0.15"/>
    <row r="44" spans="1:8" ht="15" customHeight="1" x14ac:dyDescent="0.15"/>
    <row r="45" spans="1:8" ht="15" customHeight="1" x14ac:dyDescent="0.15"/>
    <row r="46" spans="1:8" ht="15" customHeight="1" x14ac:dyDescent="0.15"/>
    <row r="47" spans="1:8" ht="15" customHeight="1" x14ac:dyDescent="0.15"/>
    <row r="48" spans="1: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H3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4.33203125" bestFit="1" customWidth="1"/>
    <col min="3" max="5" width="2.33203125" bestFit="1" customWidth="1"/>
    <col min="6" max="8" width="2.33203125" customWidth="1"/>
  </cols>
  <sheetData>
    <row r="1" spans="1:8" s="113" customFormat="1" ht="112" x14ac:dyDescent="0.15">
      <c r="A1" s="5" t="s">
        <v>22</v>
      </c>
      <c r="B1" s="3" t="s">
        <v>0</v>
      </c>
      <c r="C1" s="157" t="s">
        <v>230</v>
      </c>
      <c r="D1" s="157" t="s">
        <v>231</v>
      </c>
      <c r="E1" s="157" t="s">
        <v>232</v>
      </c>
      <c r="F1" s="157" t="s">
        <v>233</v>
      </c>
      <c r="G1" s="157" t="s">
        <v>234</v>
      </c>
      <c r="H1" s="157" t="s">
        <v>238</v>
      </c>
    </row>
    <row r="2" spans="1:8" x14ac:dyDescent="0.15">
      <c r="A2">
        <v>1</v>
      </c>
      <c r="B2" s="15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5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15">
      <c r="A4">
        <v>3</v>
      </c>
      <c r="B4" s="15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56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56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15">
      <c r="A7">
        <v>6</v>
      </c>
      <c r="B7" s="156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15">
      <c r="A8">
        <v>7</v>
      </c>
      <c r="B8" s="156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56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56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15">
      <c r="A11">
        <v>10</v>
      </c>
      <c r="B11" s="156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56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15">
      <c r="A13">
        <v>12</v>
      </c>
      <c r="B13" s="156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15">
      <c r="A14">
        <v>13</v>
      </c>
      <c r="B14" s="156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15">
      <c r="A15">
        <v>14</v>
      </c>
      <c r="B15" s="156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15">
      <c r="A16">
        <v>15</v>
      </c>
      <c r="B16" s="156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15">
      <c r="A17">
        <v>16</v>
      </c>
      <c r="B17" s="15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15">
      <c r="A18">
        <v>17</v>
      </c>
      <c r="B18" s="15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15">
      <c r="A19">
        <v>18</v>
      </c>
      <c r="B19" s="156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15">
      <c r="A20">
        <v>19</v>
      </c>
      <c r="B20" s="156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15">
      <c r="A21">
        <v>20</v>
      </c>
      <c r="B21" s="156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56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x14ac:dyDescent="0.15">
      <c r="A23">
        <v>22</v>
      </c>
      <c r="B23" s="156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15">
      <c r="A24">
        <v>23</v>
      </c>
      <c r="B24" s="156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56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15">
      <c r="A26">
        <v>25</v>
      </c>
      <c r="B26" s="156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15">
      <c r="A27">
        <v>26</v>
      </c>
      <c r="B27" s="15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15">
      <c r="A28">
        <v>27</v>
      </c>
      <c r="B28" s="15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15">
      <c r="A29">
        <v>28</v>
      </c>
      <c r="B29" s="15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15">
      <c r="A30">
        <v>29</v>
      </c>
      <c r="B30" s="15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15">
      <c r="A31">
        <v>30</v>
      </c>
      <c r="B31" s="156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15">
      <c r="A32">
        <v>31</v>
      </c>
      <c r="B32" s="156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15">
      <c r="A33">
        <v>32</v>
      </c>
      <c r="B33" s="156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15">
      <c r="A34">
        <v>33</v>
      </c>
      <c r="B34" s="156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15">
      <c r="A35">
        <v>34</v>
      </c>
      <c r="B35" s="156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15">
      <c r="A36">
        <v>35</v>
      </c>
      <c r="B36" s="156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15">
      <c r="A37">
        <v>36</v>
      </c>
      <c r="B37" s="156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15">
      <c r="A38">
        <v>37</v>
      </c>
      <c r="B38" s="156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15">
      <c r="A39">
        <v>38</v>
      </c>
      <c r="B39" s="156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4.33203125" bestFit="1" customWidth="1"/>
    <col min="6" max="6" width="4.83203125" bestFit="1" customWidth="1"/>
    <col min="7" max="9" width="3.83203125" bestFit="1" customWidth="1"/>
    <col min="10" max="11" width="4.83203125" style="11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4" customFormat="1" ht="14" thickBot="1" x14ac:dyDescent="0.2">
      <c r="D1" s="115" t="s">
        <v>8</v>
      </c>
      <c r="E1" s="115" t="s">
        <v>0</v>
      </c>
      <c r="F1" s="116" t="s">
        <v>99</v>
      </c>
      <c r="G1" s="117" t="s">
        <v>84</v>
      </c>
      <c r="H1" s="117" t="s">
        <v>85</v>
      </c>
      <c r="I1" s="117" t="s">
        <v>86</v>
      </c>
      <c r="J1" s="117" t="s">
        <v>87</v>
      </c>
      <c r="K1" s="117" t="s">
        <v>88</v>
      </c>
      <c r="L1" s="118" t="s">
        <v>89</v>
      </c>
      <c r="M1" s="118" t="s">
        <v>93</v>
      </c>
      <c r="N1" s="118" t="s">
        <v>92</v>
      </c>
      <c r="O1" s="118" t="s">
        <v>90</v>
      </c>
      <c r="P1" s="118" t="s">
        <v>91</v>
      </c>
      <c r="Q1" s="119" t="s">
        <v>94</v>
      </c>
      <c r="R1" s="119" t="s">
        <v>95</v>
      </c>
      <c r="S1" s="119" t="s">
        <v>96</v>
      </c>
      <c r="T1" s="119" t="s">
        <v>97</v>
      </c>
      <c r="U1" s="119" t="s">
        <v>98</v>
      </c>
      <c r="V1" s="117" t="s">
        <v>100</v>
      </c>
      <c r="W1" s="117" t="s">
        <v>101</v>
      </c>
      <c r="X1" s="117" t="s">
        <v>102</v>
      </c>
      <c r="Y1" s="117" t="s">
        <v>134</v>
      </c>
      <c r="Z1" s="118" t="s">
        <v>103</v>
      </c>
      <c r="AA1" s="118" t="s">
        <v>104</v>
      </c>
      <c r="AB1" s="118" t="s">
        <v>105</v>
      </c>
      <c r="AC1" s="120" t="s">
        <v>135</v>
      </c>
      <c r="AD1" s="119" t="s">
        <v>106</v>
      </c>
      <c r="AE1" s="119" t="s">
        <v>107</v>
      </c>
      <c r="AF1" s="119" t="s">
        <v>108</v>
      </c>
      <c r="AG1" s="119" t="s">
        <v>136</v>
      </c>
      <c r="AH1" s="117" t="s">
        <v>109</v>
      </c>
      <c r="AI1" s="117" t="s">
        <v>111</v>
      </c>
      <c r="AJ1" s="117" t="s">
        <v>110</v>
      </c>
      <c r="AK1" s="118" t="s">
        <v>115</v>
      </c>
      <c r="AL1" s="118" t="s">
        <v>116</v>
      </c>
      <c r="AM1" s="118" t="s">
        <v>117</v>
      </c>
      <c r="AN1" s="119" t="s">
        <v>112</v>
      </c>
      <c r="AO1" s="119" t="s">
        <v>113</v>
      </c>
      <c r="AP1" s="119" t="s">
        <v>114</v>
      </c>
    </row>
    <row r="2" spans="1:42" x14ac:dyDescent="0.15">
      <c r="A2" s="121" t="s">
        <v>74</v>
      </c>
      <c r="B2" s="122">
        <v>1</v>
      </c>
      <c r="D2">
        <v>1</v>
      </c>
      <c r="E2" s="158" t="s">
        <v>192</v>
      </c>
      <c r="F2">
        <v>0.98</v>
      </c>
      <c r="G2">
        <v>0.8</v>
      </c>
      <c r="H2">
        <v>0.8</v>
      </c>
      <c r="I2">
        <v>0.8</v>
      </c>
      <c r="J2" s="112">
        <v>0.25</v>
      </c>
      <c r="K2" s="112">
        <v>0.05</v>
      </c>
    </row>
    <row r="3" spans="1:42" x14ac:dyDescent="0.15">
      <c r="A3" s="121" t="s">
        <v>75</v>
      </c>
      <c r="B3" s="123">
        <v>1</v>
      </c>
      <c r="D3">
        <v>2</v>
      </c>
      <c r="E3" s="158" t="s">
        <v>193</v>
      </c>
      <c r="F3">
        <v>0.98</v>
      </c>
      <c r="G3">
        <v>0.8</v>
      </c>
      <c r="H3">
        <v>0.8</v>
      </c>
      <c r="I3">
        <v>0.8</v>
      </c>
      <c r="J3" s="112">
        <v>0.25</v>
      </c>
      <c r="K3" s="112">
        <v>0.05</v>
      </c>
    </row>
    <row r="4" spans="1:42" x14ac:dyDescent="0.15">
      <c r="A4" s="121" t="s">
        <v>76</v>
      </c>
      <c r="B4" s="123">
        <v>1</v>
      </c>
      <c r="D4">
        <v>3</v>
      </c>
      <c r="E4" s="158" t="s">
        <v>194</v>
      </c>
      <c r="F4">
        <v>0.98</v>
      </c>
      <c r="G4">
        <v>0.8</v>
      </c>
      <c r="H4">
        <v>0.8</v>
      </c>
      <c r="I4">
        <v>0.8</v>
      </c>
      <c r="J4" s="112">
        <v>0.25</v>
      </c>
      <c r="K4" s="112">
        <v>0.05</v>
      </c>
    </row>
    <row r="5" spans="1:42" x14ac:dyDescent="0.15">
      <c r="A5" s="121" t="s">
        <v>77</v>
      </c>
      <c r="B5" s="123">
        <v>1</v>
      </c>
      <c r="D5">
        <v>4</v>
      </c>
      <c r="E5" s="158" t="s">
        <v>195</v>
      </c>
      <c r="F5">
        <v>0.98</v>
      </c>
      <c r="G5">
        <v>0.8</v>
      </c>
      <c r="H5">
        <v>0.8</v>
      </c>
      <c r="I5">
        <v>0.8</v>
      </c>
      <c r="J5" s="112">
        <v>0.25</v>
      </c>
      <c r="K5" s="112">
        <v>0.05</v>
      </c>
    </row>
    <row r="6" spans="1:42" x14ac:dyDescent="0.15">
      <c r="A6" s="121" t="s">
        <v>78</v>
      </c>
      <c r="B6" s="123">
        <v>1</v>
      </c>
      <c r="D6">
        <v>5</v>
      </c>
      <c r="E6" s="158" t="s">
        <v>196</v>
      </c>
      <c r="F6">
        <v>0.98</v>
      </c>
      <c r="G6">
        <v>0.8</v>
      </c>
      <c r="H6">
        <v>0.8</v>
      </c>
      <c r="I6">
        <v>0.8</v>
      </c>
      <c r="J6" s="112">
        <v>0.25</v>
      </c>
      <c r="K6" s="112">
        <v>0.05</v>
      </c>
    </row>
    <row r="7" spans="1:42" x14ac:dyDescent="0.15">
      <c r="A7" s="121" t="s">
        <v>79</v>
      </c>
      <c r="B7" s="123">
        <v>1</v>
      </c>
      <c r="D7">
        <v>6</v>
      </c>
      <c r="E7" s="158" t="s">
        <v>197</v>
      </c>
      <c r="F7">
        <v>0.98</v>
      </c>
      <c r="G7">
        <v>0.8</v>
      </c>
      <c r="H7">
        <v>0.8</v>
      </c>
      <c r="I7">
        <v>0.8</v>
      </c>
      <c r="J7" s="112">
        <v>0.25</v>
      </c>
      <c r="K7" s="112">
        <v>0.05</v>
      </c>
    </row>
    <row r="8" spans="1:42" x14ac:dyDescent="0.15">
      <c r="A8" s="121" t="s">
        <v>80</v>
      </c>
      <c r="B8" s="123">
        <v>1</v>
      </c>
      <c r="D8">
        <v>7</v>
      </c>
      <c r="E8" s="158" t="s">
        <v>198</v>
      </c>
      <c r="F8">
        <v>0.98</v>
      </c>
      <c r="G8">
        <v>0.8</v>
      </c>
      <c r="H8">
        <v>0.8</v>
      </c>
      <c r="I8">
        <v>0.8</v>
      </c>
      <c r="J8" s="112">
        <v>0.25</v>
      </c>
      <c r="K8" s="112">
        <v>0.05</v>
      </c>
    </row>
    <row r="9" spans="1:42" x14ac:dyDescent="0.15">
      <c r="A9" s="121" t="s">
        <v>81</v>
      </c>
      <c r="B9" s="123">
        <v>0.1</v>
      </c>
      <c r="C9" s="61" t="s">
        <v>150</v>
      </c>
      <c r="D9">
        <v>8</v>
      </c>
      <c r="E9" s="158" t="s">
        <v>199</v>
      </c>
      <c r="F9">
        <v>0.98</v>
      </c>
      <c r="G9">
        <v>0.8</v>
      </c>
      <c r="H9">
        <v>0.8</v>
      </c>
      <c r="I9">
        <v>0.8</v>
      </c>
      <c r="J9" s="112">
        <v>0.25</v>
      </c>
      <c r="K9" s="112">
        <v>0.05</v>
      </c>
    </row>
    <row r="10" spans="1:42" ht="14" thickBot="1" x14ac:dyDescent="0.2">
      <c r="A10" s="121" t="s">
        <v>149</v>
      </c>
      <c r="B10" s="124">
        <f>1/3</f>
        <v>0.33333333333333331</v>
      </c>
      <c r="C10" s="61" t="s">
        <v>150</v>
      </c>
      <c r="D10">
        <v>9</v>
      </c>
      <c r="E10" s="158" t="s">
        <v>200</v>
      </c>
      <c r="F10">
        <v>0.98</v>
      </c>
      <c r="G10">
        <v>0.8</v>
      </c>
      <c r="H10">
        <v>0.8</v>
      </c>
      <c r="I10">
        <v>0.8</v>
      </c>
      <c r="J10" s="112">
        <v>0.25</v>
      </c>
      <c r="K10" s="112">
        <v>0.05</v>
      </c>
    </row>
    <row r="11" spans="1:42" x14ac:dyDescent="0.15">
      <c r="D11">
        <v>10</v>
      </c>
      <c r="E11" s="158" t="s">
        <v>201</v>
      </c>
      <c r="F11">
        <v>0.98</v>
      </c>
      <c r="G11">
        <v>0.8</v>
      </c>
      <c r="H11">
        <v>0.8</v>
      </c>
      <c r="I11">
        <v>0.8</v>
      </c>
      <c r="J11" s="112">
        <v>0.25</v>
      </c>
      <c r="K11" s="112">
        <v>0.05</v>
      </c>
    </row>
    <row r="12" spans="1:42" x14ac:dyDescent="0.15">
      <c r="D12">
        <v>11</v>
      </c>
      <c r="E12" s="158" t="s">
        <v>202</v>
      </c>
      <c r="F12">
        <v>0.98</v>
      </c>
      <c r="G12">
        <v>0.8</v>
      </c>
      <c r="H12">
        <v>0.8</v>
      </c>
      <c r="I12">
        <v>0.8</v>
      </c>
      <c r="J12" s="112">
        <v>0.25</v>
      </c>
      <c r="K12" s="112">
        <v>0.05</v>
      </c>
    </row>
    <row r="13" spans="1:42" x14ac:dyDescent="0.15">
      <c r="D13">
        <v>12</v>
      </c>
      <c r="E13" s="158" t="s">
        <v>203</v>
      </c>
      <c r="F13">
        <v>0.98</v>
      </c>
      <c r="G13">
        <v>0.8</v>
      </c>
      <c r="H13">
        <v>0.8</v>
      </c>
      <c r="I13">
        <v>0.8</v>
      </c>
      <c r="J13" s="112">
        <v>0.25</v>
      </c>
      <c r="K13" s="112">
        <v>0.05</v>
      </c>
    </row>
    <row r="14" spans="1:42" x14ac:dyDescent="0.15">
      <c r="D14">
        <v>13</v>
      </c>
      <c r="E14" s="158" t="s">
        <v>204</v>
      </c>
      <c r="F14">
        <v>0.98</v>
      </c>
      <c r="G14">
        <v>0.8</v>
      </c>
      <c r="H14">
        <v>0.8</v>
      </c>
      <c r="I14">
        <v>0.8</v>
      </c>
      <c r="J14" s="112">
        <v>0.25</v>
      </c>
      <c r="K14" s="112">
        <v>0.05</v>
      </c>
    </row>
    <row r="15" spans="1:42" x14ac:dyDescent="0.15">
      <c r="D15">
        <v>14</v>
      </c>
      <c r="E15" s="158" t="s">
        <v>205</v>
      </c>
      <c r="F15">
        <v>0.98</v>
      </c>
      <c r="G15">
        <v>0.8</v>
      </c>
      <c r="H15">
        <v>0.8</v>
      </c>
      <c r="I15">
        <v>0.8</v>
      </c>
      <c r="J15" s="112">
        <v>0.25</v>
      </c>
      <c r="K15" s="112">
        <v>0.05</v>
      </c>
    </row>
    <row r="16" spans="1:42" x14ac:dyDescent="0.15">
      <c r="D16">
        <v>15</v>
      </c>
      <c r="E16" s="158" t="s">
        <v>206</v>
      </c>
      <c r="F16">
        <v>0.98</v>
      </c>
      <c r="G16">
        <v>0.8</v>
      </c>
      <c r="H16">
        <v>0.8</v>
      </c>
      <c r="I16">
        <v>0.8</v>
      </c>
      <c r="J16" s="112">
        <v>0.25</v>
      </c>
      <c r="K16" s="112">
        <v>0.05</v>
      </c>
    </row>
    <row r="17" spans="4:33" ht="15" customHeight="1" x14ac:dyDescent="0.15">
      <c r="D17">
        <v>16</v>
      </c>
      <c r="E17" s="158" t="s">
        <v>207</v>
      </c>
      <c r="F17">
        <v>0.98</v>
      </c>
      <c r="G17">
        <v>0.8</v>
      </c>
      <c r="H17">
        <v>0.8</v>
      </c>
      <c r="I17">
        <v>0.8</v>
      </c>
      <c r="J17" s="112">
        <v>0.25</v>
      </c>
      <c r="K17" s="112">
        <v>0.05</v>
      </c>
    </row>
    <row r="18" spans="4:33" ht="15" customHeight="1" x14ac:dyDescent="0.15">
      <c r="D18">
        <v>17</v>
      </c>
      <c r="E18" s="158" t="s">
        <v>208</v>
      </c>
      <c r="F18">
        <v>0.98</v>
      </c>
      <c r="G18">
        <v>0.8</v>
      </c>
      <c r="H18">
        <v>0.8</v>
      </c>
      <c r="I18">
        <v>0.8</v>
      </c>
      <c r="J18" s="112">
        <v>0.25</v>
      </c>
      <c r="K18" s="112">
        <v>0.05</v>
      </c>
    </row>
    <row r="19" spans="4:33" ht="15" customHeight="1" x14ac:dyDescent="0.15">
      <c r="D19">
        <v>18</v>
      </c>
      <c r="E19" s="158" t="s">
        <v>209</v>
      </c>
      <c r="F19">
        <v>0.98</v>
      </c>
      <c r="G19">
        <v>0.8</v>
      </c>
      <c r="H19">
        <v>0.8</v>
      </c>
      <c r="I19">
        <v>0.8</v>
      </c>
      <c r="J19" s="112">
        <v>0.25</v>
      </c>
      <c r="K19" s="112">
        <v>0.05</v>
      </c>
    </row>
    <row r="20" spans="4:33" ht="15" customHeight="1" x14ac:dyDescent="0.15">
      <c r="D20">
        <v>19</v>
      </c>
      <c r="E20" s="158" t="s">
        <v>210</v>
      </c>
      <c r="F20">
        <v>0.98</v>
      </c>
      <c r="G20">
        <v>0.8</v>
      </c>
      <c r="H20">
        <v>0.8</v>
      </c>
      <c r="I20">
        <v>0.8</v>
      </c>
      <c r="J20" s="112">
        <v>0.25</v>
      </c>
      <c r="K20" s="112">
        <v>0.05</v>
      </c>
    </row>
    <row r="21" spans="4:33" ht="15" customHeight="1" x14ac:dyDescent="0.15">
      <c r="D21">
        <v>20</v>
      </c>
      <c r="E21" s="158" t="s">
        <v>211</v>
      </c>
      <c r="F21">
        <v>0.98</v>
      </c>
      <c r="G21">
        <v>0.8</v>
      </c>
      <c r="H21">
        <v>0.8</v>
      </c>
      <c r="I21">
        <v>0.8</v>
      </c>
      <c r="J21" s="112">
        <v>0.25</v>
      </c>
      <c r="K21" s="112">
        <v>0.05</v>
      </c>
    </row>
    <row r="22" spans="4:33" ht="15" customHeight="1" x14ac:dyDescent="0.15">
      <c r="D22">
        <v>21</v>
      </c>
      <c r="E22" s="158" t="s">
        <v>212</v>
      </c>
      <c r="F22">
        <v>0.98</v>
      </c>
      <c r="G22">
        <v>0.8</v>
      </c>
      <c r="H22">
        <v>0.8</v>
      </c>
      <c r="I22">
        <v>0.8</v>
      </c>
      <c r="J22" s="112">
        <v>0.25</v>
      </c>
      <c r="K22" s="112">
        <v>0.05</v>
      </c>
    </row>
    <row r="23" spans="4:33" ht="15" customHeight="1" x14ac:dyDescent="0.15">
      <c r="D23">
        <v>22</v>
      </c>
      <c r="E23" s="158" t="s">
        <v>213</v>
      </c>
      <c r="F23">
        <v>0.98</v>
      </c>
      <c r="G23">
        <v>0.8</v>
      </c>
      <c r="H23">
        <v>0.8</v>
      </c>
      <c r="I23">
        <v>0.8</v>
      </c>
      <c r="J23" s="112">
        <v>0.25</v>
      </c>
      <c r="K23" s="112">
        <v>0.05</v>
      </c>
    </row>
    <row r="24" spans="4:33" ht="15" customHeight="1" x14ac:dyDescent="0.15">
      <c r="D24">
        <v>23</v>
      </c>
      <c r="E24" s="158" t="s">
        <v>214</v>
      </c>
      <c r="F24">
        <v>0.98</v>
      </c>
      <c r="G24">
        <v>0.8</v>
      </c>
      <c r="H24">
        <v>0.8</v>
      </c>
      <c r="I24">
        <v>0.8</v>
      </c>
      <c r="J24" s="112">
        <v>0.25</v>
      </c>
      <c r="K24" s="112">
        <v>0.05</v>
      </c>
    </row>
    <row r="25" spans="4:33" ht="15" customHeight="1" x14ac:dyDescent="0.15">
      <c r="D25">
        <v>24</v>
      </c>
      <c r="E25" s="158" t="s">
        <v>215</v>
      </c>
      <c r="F25">
        <v>0.98</v>
      </c>
      <c r="G25">
        <v>0.8</v>
      </c>
      <c r="H25">
        <v>0.8</v>
      </c>
      <c r="I25">
        <v>0.8</v>
      </c>
      <c r="J25" s="112">
        <v>0.25</v>
      </c>
      <c r="K25" s="112">
        <v>0.05</v>
      </c>
    </row>
    <row r="26" spans="4:33" ht="15" customHeight="1" x14ac:dyDescent="0.15">
      <c r="D26">
        <v>25</v>
      </c>
      <c r="E26" s="158" t="s">
        <v>216</v>
      </c>
      <c r="F26">
        <v>0.98</v>
      </c>
      <c r="G26">
        <v>0.8</v>
      </c>
      <c r="H26">
        <v>0.8</v>
      </c>
      <c r="I26">
        <v>0.8</v>
      </c>
      <c r="J26" s="112">
        <v>0.25</v>
      </c>
      <c r="K26" s="112">
        <v>0.05</v>
      </c>
    </row>
    <row r="27" spans="4:33" ht="15" customHeight="1" x14ac:dyDescent="0.15">
      <c r="D27">
        <v>26</v>
      </c>
      <c r="E27" s="158" t="s">
        <v>217</v>
      </c>
      <c r="F27">
        <v>0.98</v>
      </c>
      <c r="G27">
        <v>0.8</v>
      </c>
      <c r="H27">
        <v>0.8</v>
      </c>
      <c r="I27">
        <v>0.8</v>
      </c>
      <c r="J27" s="112">
        <v>0.25</v>
      </c>
      <c r="K27" s="112">
        <v>0.05</v>
      </c>
    </row>
    <row r="28" spans="4:33" ht="15" customHeight="1" x14ac:dyDescent="0.15">
      <c r="D28">
        <v>27</v>
      </c>
      <c r="E28" s="158" t="s">
        <v>218</v>
      </c>
      <c r="F28">
        <v>0.98</v>
      </c>
      <c r="G28">
        <v>0.8</v>
      </c>
      <c r="H28">
        <v>0.8</v>
      </c>
      <c r="I28">
        <v>0.8</v>
      </c>
      <c r="J28" s="112">
        <v>0.25</v>
      </c>
      <c r="K28" s="112">
        <v>0.05</v>
      </c>
    </row>
    <row r="29" spans="4:33" ht="15" customHeight="1" x14ac:dyDescent="0.15">
      <c r="D29">
        <v>28</v>
      </c>
      <c r="E29" s="158" t="s">
        <v>219</v>
      </c>
      <c r="F29">
        <v>0.98</v>
      </c>
      <c r="G29">
        <v>0.8</v>
      </c>
      <c r="H29">
        <v>0.8</v>
      </c>
      <c r="I29">
        <v>0.8</v>
      </c>
      <c r="J29" s="112">
        <v>0.25</v>
      </c>
      <c r="K29" s="112">
        <v>0.05</v>
      </c>
      <c r="Y29"/>
      <c r="AC29"/>
      <c r="AG29"/>
    </row>
    <row r="30" spans="4:33" ht="15" customHeight="1" x14ac:dyDescent="0.15">
      <c r="D30">
        <v>29</v>
      </c>
      <c r="E30" s="158" t="s">
        <v>220</v>
      </c>
      <c r="F30">
        <v>0.98</v>
      </c>
      <c r="G30">
        <v>0.8</v>
      </c>
      <c r="H30">
        <v>0.8</v>
      </c>
      <c r="I30">
        <v>0.8</v>
      </c>
      <c r="J30" s="112">
        <v>0.25</v>
      </c>
      <c r="K30" s="112">
        <v>0.05</v>
      </c>
      <c r="Y30"/>
      <c r="AC30"/>
      <c r="AG30"/>
    </row>
    <row r="31" spans="4:33" ht="15" customHeight="1" x14ac:dyDescent="0.15">
      <c r="D31">
        <v>30</v>
      </c>
      <c r="E31" s="158" t="s">
        <v>221</v>
      </c>
      <c r="F31">
        <v>0.98</v>
      </c>
      <c r="G31">
        <v>0.8</v>
      </c>
      <c r="H31">
        <v>0.8</v>
      </c>
      <c r="I31">
        <v>0.8</v>
      </c>
      <c r="J31" s="112">
        <v>0.25</v>
      </c>
      <c r="K31" s="112">
        <v>0.05</v>
      </c>
      <c r="Y31"/>
      <c r="AC31"/>
      <c r="AG31"/>
    </row>
    <row r="32" spans="4:33" ht="15" customHeight="1" x14ac:dyDescent="0.15">
      <c r="D32">
        <v>31</v>
      </c>
      <c r="E32" s="158" t="s">
        <v>222</v>
      </c>
      <c r="F32">
        <v>0.98</v>
      </c>
      <c r="G32">
        <v>0.8</v>
      </c>
      <c r="H32">
        <v>0.8</v>
      </c>
      <c r="I32">
        <v>0.8</v>
      </c>
      <c r="J32" s="112">
        <v>0.25</v>
      </c>
      <c r="K32" s="112">
        <v>0.05</v>
      </c>
      <c r="Y32"/>
      <c r="AC32"/>
      <c r="AG32"/>
    </row>
    <row r="33" spans="4:33" ht="15" customHeight="1" x14ac:dyDescent="0.15">
      <c r="D33">
        <v>32</v>
      </c>
      <c r="E33" s="158" t="s">
        <v>223</v>
      </c>
      <c r="F33">
        <v>0.98</v>
      </c>
      <c r="G33">
        <v>0.8</v>
      </c>
      <c r="H33">
        <v>0.8</v>
      </c>
      <c r="I33">
        <v>0.8</v>
      </c>
      <c r="J33" s="112">
        <v>0.25</v>
      </c>
      <c r="K33" s="112">
        <v>0.05</v>
      </c>
      <c r="Y33"/>
      <c r="AC33"/>
      <c r="AG33"/>
    </row>
    <row r="34" spans="4:33" ht="15" customHeight="1" x14ac:dyDescent="0.15">
      <c r="D34">
        <v>33</v>
      </c>
      <c r="E34" s="158" t="s">
        <v>224</v>
      </c>
      <c r="F34">
        <v>0.98</v>
      </c>
      <c r="G34">
        <v>0.8</v>
      </c>
      <c r="H34">
        <v>0.8</v>
      </c>
      <c r="I34">
        <v>0.8</v>
      </c>
      <c r="J34" s="112">
        <v>0.25</v>
      </c>
      <c r="K34" s="112">
        <v>0.05</v>
      </c>
      <c r="Y34"/>
      <c r="AC34"/>
      <c r="AG34"/>
    </row>
    <row r="35" spans="4:33" ht="15" customHeight="1" x14ac:dyDescent="0.15">
      <c r="D35">
        <v>34</v>
      </c>
      <c r="E35" s="158" t="s">
        <v>225</v>
      </c>
      <c r="F35">
        <v>0.98</v>
      </c>
      <c r="G35">
        <v>0.8</v>
      </c>
      <c r="H35">
        <v>0.8</v>
      </c>
      <c r="I35">
        <v>0.8</v>
      </c>
      <c r="J35" s="112">
        <v>0.25</v>
      </c>
      <c r="K35" s="112">
        <v>0.05</v>
      </c>
      <c r="Y35"/>
      <c r="AC35"/>
      <c r="AG35"/>
    </row>
    <row r="36" spans="4:33" ht="15" customHeight="1" x14ac:dyDescent="0.15">
      <c r="D36">
        <v>35</v>
      </c>
      <c r="E36" s="158" t="s">
        <v>226</v>
      </c>
      <c r="F36">
        <v>0.98</v>
      </c>
      <c r="G36">
        <v>0.8</v>
      </c>
      <c r="H36">
        <v>0.8</v>
      </c>
      <c r="I36">
        <v>0.8</v>
      </c>
      <c r="J36" s="112">
        <v>0.25</v>
      </c>
      <c r="K36" s="112">
        <v>0.05</v>
      </c>
      <c r="Y36"/>
      <c r="AC36"/>
      <c r="AG36"/>
    </row>
    <row r="37" spans="4:33" ht="15" customHeight="1" x14ac:dyDescent="0.15">
      <c r="D37">
        <v>36</v>
      </c>
      <c r="E37" s="158" t="s">
        <v>227</v>
      </c>
      <c r="F37">
        <v>0.98</v>
      </c>
      <c r="G37">
        <v>0.8</v>
      </c>
      <c r="H37">
        <v>0.8</v>
      </c>
      <c r="I37">
        <v>0</v>
      </c>
      <c r="J37" s="112">
        <v>0</v>
      </c>
      <c r="K37" s="112">
        <v>0</v>
      </c>
      <c r="Y37"/>
      <c r="AC37"/>
      <c r="AG37"/>
    </row>
    <row r="38" spans="4:33" ht="15" customHeight="1" x14ac:dyDescent="0.15">
      <c r="D38">
        <v>37</v>
      </c>
      <c r="E38" s="158" t="s">
        <v>228</v>
      </c>
      <c r="F38">
        <v>0.98</v>
      </c>
      <c r="G38">
        <v>0.8</v>
      </c>
      <c r="H38">
        <v>0</v>
      </c>
      <c r="I38">
        <v>0</v>
      </c>
      <c r="J38" s="112">
        <v>0</v>
      </c>
      <c r="K38" s="112">
        <v>0</v>
      </c>
      <c r="Y38"/>
      <c r="AC38"/>
      <c r="AG38"/>
    </row>
    <row r="39" spans="4:33" ht="15" customHeight="1" x14ac:dyDescent="0.15">
      <c r="D39">
        <v>38</v>
      </c>
      <c r="E39" s="158" t="s">
        <v>229</v>
      </c>
      <c r="F39">
        <v>0.98</v>
      </c>
      <c r="G39">
        <v>0.8</v>
      </c>
      <c r="H39">
        <v>0</v>
      </c>
      <c r="I39">
        <v>0</v>
      </c>
      <c r="J39" s="112">
        <v>0</v>
      </c>
      <c r="K39" s="112">
        <v>0</v>
      </c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34.33203125" style="110" bestFit="1" customWidth="1"/>
    <col min="2" max="36" width="3.83203125" style="110" customWidth="1"/>
    <col min="37" max="39" width="2.33203125" style="110" customWidth="1"/>
    <col min="40" max="16384" width="10.83203125" style="110"/>
  </cols>
  <sheetData>
    <row r="1" spans="1:39" x14ac:dyDescent="0.15">
      <c r="A1" s="63" t="s">
        <v>118</v>
      </c>
      <c r="B1" s="160" t="s">
        <v>192</v>
      </c>
      <c r="C1" s="160" t="s">
        <v>193</v>
      </c>
      <c r="D1" s="160" t="s">
        <v>194</v>
      </c>
      <c r="E1" s="160" t="s">
        <v>195</v>
      </c>
      <c r="F1" s="160" t="s">
        <v>196</v>
      </c>
      <c r="G1" s="160" t="s">
        <v>197</v>
      </c>
      <c r="H1" s="160" t="s">
        <v>198</v>
      </c>
      <c r="I1" s="160" t="s">
        <v>199</v>
      </c>
      <c r="J1" s="160" t="s">
        <v>200</v>
      </c>
      <c r="K1" s="160" t="s">
        <v>201</v>
      </c>
      <c r="L1" s="160" t="s">
        <v>202</v>
      </c>
      <c r="M1" s="160" t="s">
        <v>203</v>
      </c>
      <c r="N1" s="160" t="s">
        <v>204</v>
      </c>
      <c r="O1" s="160" t="s">
        <v>205</v>
      </c>
      <c r="P1" s="160" t="s">
        <v>206</v>
      </c>
      <c r="Q1" s="160" t="s">
        <v>207</v>
      </c>
      <c r="R1" s="160" t="s">
        <v>208</v>
      </c>
      <c r="S1" s="160" t="s">
        <v>209</v>
      </c>
      <c r="T1" s="160" t="s">
        <v>210</v>
      </c>
      <c r="U1" s="160" t="s">
        <v>211</v>
      </c>
      <c r="V1" s="160" t="s">
        <v>212</v>
      </c>
      <c r="W1" s="160" t="s">
        <v>213</v>
      </c>
      <c r="X1" s="160" t="s">
        <v>214</v>
      </c>
      <c r="Y1" s="160" t="s">
        <v>215</v>
      </c>
      <c r="Z1" s="160" t="s">
        <v>216</v>
      </c>
      <c r="AA1" s="160" t="s">
        <v>217</v>
      </c>
      <c r="AB1" s="160" t="s">
        <v>218</v>
      </c>
      <c r="AC1" s="160" t="s">
        <v>219</v>
      </c>
      <c r="AD1" s="160" t="s">
        <v>220</v>
      </c>
      <c r="AE1" s="160" t="s">
        <v>221</v>
      </c>
      <c r="AF1" s="160" t="s">
        <v>222</v>
      </c>
      <c r="AG1" s="160" t="s">
        <v>223</v>
      </c>
      <c r="AH1" s="160" t="s">
        <v>224</v>
      </c>
      <c r="AI1" s="160" t="s">
        <v>225</v>
      </c>
      <c r="AJ1" s="160" t="s">
        <v>226</v>
      </c>
      <c r="AK1" s="160" t="s">
        <v>227</v>
      </c>
      <c r="AL1" s="160" t="s">
        <v>228</v>
      </c>
      <c r="AM1" s="160" t="s">
        <v>229</v>
      </c>
    </row>
    <row r="2" spans="1:39" customFormat="1" x14ac:dyDescent="0.15">
      <c r="A2" s="159" t="s">
        <v>192</v>
      </c>
      <c r="B2" s="110">
        <v>0.8</v>
      </c>
      <c r="C2" s="110">
        <v>0</v>
      </c>
      <c r="D2" s="110">
        <v>0</v>
      </c>
      <c r="E2" s="110">
        <v>0</v>
      </c>
      <c r="F2" s="110">
        <v>0</v>
      </c>
      <c r="G2" s="110">
        <v>0</v>
      </c>
      <c r="H2" s="110">
        <v>0</v>
      </c>
      <c r="I2" s="110">
        <v>0</v>
      </c>
      <c r="J2" s="110">
        <v>0</v>
      </c>
      <c r="K2" s="110">
        <v>0</v>
      </c>
      <c r="L2" s="110">
        <v>0</v>
      </c>
      <c r="M2" s="110">
        <v>0</v>
      </c>
      <c r="N2" s="110">
        <v>0</v>
      </c>
      <c r="O2" s="110">
        <v>0</v>
      </c>
      <c r="P2" s="110">
        <v>0</v>
      </c>
      <c r="Q2" s="110">
        <v>0</v>
      </c>
      <c r="R2" s="110">
        <v>0</v>
      </c>
      <c r="S2" s="110">
        <v>0</v>
      </c>
      <c r="T2" s="110">
        <v>0</v>
      </c>
      <c r="U2" s="110">
        <v>0.8</v>
      </c>
      <c r="V2" s="110">
        <v>0.8</v>
      </c>
      <c r="W2" s="110">
        <v>0.8</v>
      </c>
      <c r="X2" s="110">
        <v>0</v>
      </c>
      <c r="Y2" s="110">
        <v>0</v>
      </c>
      <c r="Z2" s="110">
        <v>0</v>
      </c>
      <c r="AA2" s="110">
        <v>0</v>
      </c>
      <c r="AB2" s="110">
        <v>0</v>
      </c>
      <c r="AC2" s="110">
        <v>0</v>
      </c>
      <c r="AD2" s="110">
        <v>0</v>
      </c>
      <c r="AE2" s="110">
        <v>0</v>
      </c>
      <c r="AF2" s="110">
        <v>0</v>
      </c>
      <c r="AG2" s="110">
        <v>0</v>
      </c>
      <c r="AH2" s="110">
        <v>0</v>
      </c>
      <c r="AI2" s="110">
        <v>0.8</v>
      </c>
      <c r="AJ2" s="110">
        <v>0</v>
      </c>
      <c r="AK2" s="110">
        <v>0</v>
      </c>
      <c r="AL2" s="110">
        <v>0</v>
      </c>
      <c r="AM2" s="110">
        <v>0</v>
      </c>
    </row>
    <row r="3" spans="1:39" customFormat="1" x14ac:dyDescent="0.15">
      <c r="A3" s="159" t="s">
        <v>193</v>
      </c>
      <c r="B3" s="110">
        <v>0.8</v>
      </c>
      <c r="C3" s="110">
        <v>0</v>
      </c>
      <c r="D3" s="110">
        <v>0</v>
      </c>
      <c r="E3" s="110">
        <v>0</v>
      </c>
      <c r="F3" s="110">
        <v>0</v>
      </c>
      <c r="G3" s="110">
        <v>0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0.8</v>
      </c>
      <c r="O3" s="110">
        <v>0</v>
      </c>
      <c r="P3" s="110">
        <v>0</v>
      </c>
      <c r="Q3" s="110">
        <v>0</v>
      </c>
      <c r="R3" s="110">
        <v>0</v>
      </c>
      <c r="S3" s="110">
        <v>0</v>
      </c>
      <c r="T3" s="110">
        <v>0.8</v>
      </c>
      <c r="U3" s="110">
        <v>0</v>
      </c>
      <c r="V3" s="110">
        <v>0.8</v>
      </c>
      <c r="W3" s="110">
        <v>0</v>
      </c>
      <c r="X3" s="110">
        <v>0</v>
      </c>
      <c r="Y3" s="110">
        <v>0</v>
      </c>
      <c r="Z3" s="110">
        <v>0</v>
      </c>
      <c r="AA3" s="110">
        <v>0</v>
      </c>
      <c r="AB3" s="110">
        <v>0</v>
      </c>
      <c r="AC3" s="110">
        <v>0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0.8</v>
      </c>
      <c r="AJ3" s="110">
        <v>0</v>
      </c>
      <c r="AK3" s="110">
        <v>0</v>
      </c>
      <c r="AL3" s="110">
        <v>0</v>
      </c>
      <c r="AM3" s="110">
        <v>0</v>
      </c>
    </row>
    <row r="4" spans="1:39" customFormat="1" x14ac:dyDescent="0.15">
      <c r="A4" s="159" t="s">
        <v>194</v>
      </c>
      <c r="B4" s="110">
        <v>0.8</v>
      </c>
      <c r="C4" s="110">
        <v>0.8</v>
      </c>
      <c r="D4" s="110">
        <v>0</v>
      </c>
      <c r="E4" s="110">
        <v>0.8</v>
      </c>
      <c r="F4" s="110">
        <v>0.8</v>
      </c>
      <c r="G4" s="110">
        <v>0.8</v>
      </c>
      <c r="H4" s="110">
        <v>0.8</v>
      </c>
      <c r="I4" s="110">
        <v>0.8</v>
      </c>
      <c r="J4" s="110">
        <v>0</v>
      </c>
      <c r="K4" s="110">
        <v>0</v>
      </c>
      <c r="L4" s="110">
        <v>0.8</v>
      </c>
      <c r="M4" s="110">
        <v>0</v>
      </c>
      <c r="N4" s="110">
        <v>0.8</v>
      </c>
      <c r="O4" s="110">
        <v>0.8</v>
      </c>
      <c r="P4" s="110">
        <v>0.8</v>
      </c>
      <c r="Q4" s="110">
        <v>0</v>
      </c>
      <c r="R4" s="110">
        <v>0.8</v>
      </c>
      <c r="S4" s="110">
        <v>0</v>
      </c>
      <c r="T4" s="110">
        <v>0.8</v>
      </c>
      <c r="U4" s="110">
        <v>0.8</v>
      </c>
      <c r="V4" s="110">
        <v>0.8</v>
      </c>
      <c r="W4" s="110">
        <v>0.8</v>
      </c>
      <c r="X4" s="110">
        <v>0</v>
      </c>
      <c r="Y4" s="110">
        <v>0</v>
      </c>
      <c r="Z4" s="110">
        <v>0</v>
      </c>
      <c r="AA4" s="110">
        <v>0</v>
      </c>
      <c r="AB4" s="110">
        <v>0.8</v>
      </c>
      <c r="AC4" s="110">
        <v>0</v>
      </c>
      <c r="AD4" s="110">
        <v>0</v>
      </c>
      <c r="AE4" s="110">
        <v>0</v>
      </c>
      <c r="AF4" s="110">
        <v>0</v>
      </c>
      <c r="AG4" s="110">
        <v>0</v>
      </c>
      <c r="AH4" s="110">
        <v>0.8</v>
      </c>
      <c r="AI4" s="110">
        <v>0.8</v>
      </c>
      <c r="AJ4" s="110">
        <v>0</v>
      </c>
      <c r="AK4" s="110">
        <v>0</v>
      </c>
      <c r="AL4" s="110">
        <v>0</v>
      </c>
      <c r="AM4" s="110">
        <v>0</v>
      </c>
    </row>
    <row r="5" spans="1:39" customFormat="1" x14ac:dyDescent="0.15">
      <c r="A5" s="159" t="s">
        <v>195</v>
      </c>
      <c r="B5" s="110">
        <v>0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0.8</v>
      </c>
      <c r="AJ5" s="110">
        <v>0</v>
      </c>
      <c r="AK5" s="110">
        <v>0</v>
      </c>
      <c r="AL5" s="110">
        <v>0</v>
      </c>
      <c r="AM5" s="110">
        <v>0</v>
      </c>
    </row>
    <row r="6" spans="1:39" customFormat="1" x14ac:dyDescent="0.15">
      <c r="A6" s="159" t="s">
        <v>196</v>
      </c>
      <c r="B6" s="110">
        <v>0.8</v>
      </c>
      <c r="C6" s="110">
        <v>0</v>
      </c>
      <c r="D6" s="110">
        <v>0</v>
      </c>
      <c r="E6" s="110">
        <v>0.8</v>
      </c>
      <c r="F6" s="110">
        <v>0.8</v>
      </c>
      <c r="G6" s="110">
        <v>0</v>
      </c>
      <c r="H6" s="110">
        <v>0</v>
      </c>
      <c r="I6" s="110">
        <v>0</v>
      </c>
      <c r="J6" s="110">
        <v>0</v>
      </c>
      <c r="K6" s="110">
        <v>0</v>
      </c>
      <c r="L6" s="110">
        <v>0.8</v>
      </c>
      <c r="M6" s="110">
        <v>0</v>
      </c>
      <c r="N6" s="110">
        <v>0</v>
      </c>
      <c r="O6" s="110">
        <v>0</v>
      </c>
      <c r="P6" s="110">
        <v>0</v>
      </c>
      <c r="Q6" s="110">
        <v>0</v>
      </c>
      <c r="R6" s="110">
        <v>0</v>
      </c>
      <c r="S6" s="110">
        <v>0</v>
      </c>
      <c r="T6" s="110">
        <v>0.8</v>
      </c>
      <c r="U6" s="110">
        <v>0.8</v>
      </c>
      <c r="V6" s="110">
        <v>0.8</v>
      </c>
      <c r="W6" s="110">
        <v>0.8</v>
      </c>
      <c r="X6" s="110">
        <v>0</v>
      </c>
      <c r="Y6" s="110">
        <v>0</v>
      </c>
      <c r="Z6" s="110">
        <v>0</v>
      </c>
      <c r="AA6" s="110">
        <v>0</v>
      </c>
      <c r="AB6" s="110">
        <v>0</v>
      </c>
      <c r="AC6" s="110">
        <v>0</v>
      </c>
      <c r="AD6" s="110">
        <v>0</v>
      </c>
      <c r="AE6" s="110">
        <v>0</v>
      </c>
      <c r="AF6" s="110">
        <v>0</v>
      </c>
      <c r="AG6" s="110">
        <v>0</v>
      </c>
      <c r="AH6" s="110">
        <v>0.8</v>
      </c>
      <c r="AI6" s="110">
        <v>0.8</v>
      </c>
      <c r="AJ6" s="110">
        <v>0</v>
      </c>
      <c r="AK6" s="110">
        <v>0</v>
      </c>
      <c r="AL6" s="110">
        <v>0</v>
      </c>
      <c r="AM6" s="110">
        <v>0</v>
      </c>
    </row>
    <row r="7" spans="1:39" customFormat="1" x14ac:dyDescent="0.15">
      <c r="A7" s="159" t="s">
        <v>197</v>
      </c>
      <c r="B7" s="110">
        <v>0.8</v>
      </c>
      <c r="C7" s="110">
        <v>0</v>
      </c>
      <c r="D7" s="110">
        <v>0</v>
      </c>
      <c r="E7" s="110">
        <v>0.8</v>
      </c>
      <c r="F7" s="110">
        <v>0.8</v>
      </c>
      <c r="G7" s="110">
        <v>0.8</v>
      </c>
      <c r="H7" s="110">
        <v>0</v>
      </c>
      <c r="I7" s="110">
        <v>0</v>
      </c>
      <c r="J7" s="110">
        <v>0</v>
      </c>
      <c r="K7" s="110">
        <v>0</v>
      </c>
      <c r="L7" s="110">
        <v>0.8</v>
      </c>
      <c r="M7" s="110">
        <v>0</v>
      </c>
      <c r="N7" s="110">
        <v>0.8</v>
      </c>
      <c r="O7" s="110">
        <v>0</v>
      </c>
      <c r="P7" s="110">
        <v>0</v>
      </c>
      <c r="Q7" s="110">
        <v>0</v>
      </c>
      <c r="R7" s="110">
        <v>0</v>
      </c>
      <c r="S7" s="110">
        <v>0</v>
      </c>
      <c r="T7" s="110">
        <v>0</v>
      </c>
      <c r="U7" s="110">
        <v>0</v>
      </c>
      <c r="V7" s="110">
        <v>0.8</v>
      </c>
      <c r="W7" s="110">
        <v>0.8</v>
      </c>
      <c r="X7" s="110">
        <v>0</v>
      </c>
      <c r="Y7" s="110">
        <v>0</v>
      </c>
      <c r="Z7" s="110">
        <v>0</v>
      </c>
      <c r="AA7" s="110">
        <v>0</v>
      </c>
      <c r="AB7" s="110">
        <v>0.8</v>
      </c>
      <c r="AC7" s="110">
        <v>0</v>
      </c>
      <c r="AD7" s="110">
        <v>0</v>
      </c>
      <c r="AE7" s="110">
        <v>0</v>
      </c>
      <c r="AF7" s="110">
        <v>0</v>
      </c>
      <c r="AG7" s="110">
        <v>0</v>
      </c>
      <c r="AH7" s="110">
        <v>0.8</v>
      </c>
      <c r="AI7" s="110">
        <v>0.8</v>
      </c>
      <c r="AJ7" s="110">
        <v>0.8</v>
      </c>
      <c r="AK7" s="110">
        <v>0</v>
      </c>
      <c r="AL7" s="110">
        <v>0</v>
      </c>
      <c r="AM7" s="110">
        <v>0</v>
      </c>
    </row>
    <row r="8" spans="1:39" customFormat="1" x14ac:dyDescent="0.15">
      <c r="A8" s="159" t="s">
        <v>198</v>
      </c>
      <c r="B8" s="110">
        <v>0.8</v>
      </c>
      <c r="C8" s="110">
        <v>0</v>
      </c>
      <c r="D8" s="110">
        <v>0</v>
      </c>
      <c r="E8" s="110">
        <v>0.8</v>
      </c>
      <c r="F8" s="110">
        <v>0.8</v>
      </c>
      <c r="G8" s="110">
        <v>0.8</v>
      </c>
      <c r="H8" s="110">
        <v>0.8</v>
      </c>
      <c r="I8" s="110">
        <v>0.8</v>
      </c>
      <c r="J8" s="110">
        <v>0</v>
      </c>
      <c r="K8" s="110">
        <v>0</v>
      </c>
      <c r="L8" s="110">
        <v>0.8</v>
      </c>
      <c r="M8" s="110">
        <v>0</v>
      </c>
      <c r="N8" s="110">
        <v>0</v>
      </c>
      <c r="O8" s="110">
        <v>0.8</v>
      </c>
      <c r="P8" s="110">
        <v>0</v>
      </c>
      <c r="Q8" s="110">
        <v>0</v>
      </c>
      <c r="R8" s="110">
        <v>0.8</v>
      </c>
      <c r="S8" s="110">
        <v>0</v>
      </c>
      <c r="T8" s="110">
        <v>0.8</v>
      </c>
      <c r="U8" s="110">
        <v>0.8</v>
      </c>
      <c r="V8" s="110">
        <v>0.8</v>
      </c>
      <c r="W8" s="110">
        <v>0.8</v>
      </c>
      <c r="X8" s="110">
        <v>0</v>
      </c>
      <c r="Y8" s="110">
        <v>0</v>
      </c>
      <c r="Z8" s="110">
        <v>0</v>
      </c>
      <c r="AA8" s="110">
        <v>0</v>
      </c>
      <c r="AB8" s="110">
        <v>0.8</v>
      </c>
      <c r="AC8" s="110">
        <v>0</v>
      </c>
      <c r="AD8" s="110">
        <v>0</v>
      </c>
      <c r="AE8" s="110">
        <v>0</v>
      </c>
      <c r="AF8" s="110">
        <v>0</v>
      </c>
      <c r="AG8" s="110">
        <v>0</v>
      </c>
      <c r="AH8" s="110">
        <v>0.8</v>
      </c>
      <c r="AI8" s="110">
        <v>0.8</v>
      </c>
      <c r="AJ8" s="110">
        <v>0.8</v>
      </c>
      <c r="AK8" s="110">
        <v>0</v>
      </c>
      <c r="AL8" s="110">
        <v>0</v>
      </c>
      <c r="AM8" s="110">
        <v>0</v>
      </c>
    </row>
    <row r="9" spans="1:39" customFormat="1" x14ac:dyDescent="0.15">
      <c r="A9" s="159" t="s">
        <v>199</v>
      </c>
      <c r="B9" s="110">
        <v>0.8</v>
      </c>
      <c r="C9" s="110">
        <v>0</v>
      </c>
      <c r="D9" s="110">
        <v>0</v>
      </c>
      <c r="E9" s="110">
        <v>0.8</v>
      </c>
      <c r="F9" s="110">
        <v>0.8</v>
      </c>
      <c r="G9" s="110">
        <v>0.8</v>
      </c>
      <c r="H9" s="110">
        <v>0</v>
      </c>
      <c r="I9" s="110">
        <v>0.8</v>
      </c>
      <c r="J9" s="110">
        <v>0</v>
      </c>
      <c r="K9" s="110">
        <v>0</v>
      </c>
      <c r="L9" s="110">
        <v>0.8</v>
      </c>
      <c r="M9" s="110">
        <v>0</v>
      </c>
      <c r="N9" s="110">
        <v>0</v>
      </c>
      <c r="O9" s="110">
        <v>0</v>
      </c>
      <c r="P9" s="110">
        <v>0</v>
      </c>
      <c r="Q9" s="110">
        <v>0</v>
      </c>
      <c r="R9" s="110">
        <v>0.8</v>
      </c>
      <c r="S9" s="110">
        <v>0</v>
      </c>
      <c r="T9" s="110">
        <v>0</v>
      </c>
      <c r="U9" s="110">
        <v>0.8</v>
      </c>
      <c r="V9" s="110">
        <v>0.8</v>
      </c>
      <c r="W9" s="110">
        <v>0</v>
      </c>
      <c r="X9" s="110">
        <v>0</v>
      </c>
      <c r="Y9" s="110">
        <v>0</v>
      </c>
      <c r="Z9" s="110">
        <v>0</v>
      </c>
      <c r="AA9" s="110">
        <v>0</v>
      </c>
      <c r="AB9" s="110">
        <v>0.8</v>
      </c>
      <c r="AC9" s="110">
        <v>0</v>
      </c>
      <c r="AD9" s="110">
        <v>0</v>
      </c>
      <c r="AE9" s="110">
        <v>0</v>
      </c>
      <c r="AF9" s="110">
        <v>0</v>
      </c>
      <c r="AG9" s="110">
        <v>0</v>
      </c>
      <c r="AH9" s="110">
        <v>0.8</v>
      </c>
      <c r="AI9" s="110">
        <v>0.8</v>
      </c>
      <c r="AJ9" s="110">
        <v>0</v>
      </c>
      <c r="AK9" s="110">
        <v>0</v>
      </c>
      <c r="AL9" s="110">
        <v>0</v>
      </c>
      <c r="AM9" s="110">
        <v>0</v>
      </c>
    </row>
    <row r="10" spans="1:39" customFormat="1" x14ac:dyDescent="0.15">
      <c r="A10" s="159" t="s">
        <v>200</v>
      </c>
      <c r="B10" s="110">
        <v>0.8</v>
      </c>
      <c r="C10" s="110">
        <v>0</v>
      </c>
      <c r="D10" s="110">
        <v>0</v>
      </c>
      <c r="E10" s="110">
        <v>0.8</v>
      </c>
      <c r="F10" s="110">
        <v>0.8</v>
      </c>
      <c r="G10" s="110">
        <v>0.8</v>
      </c>
      <c r="H10" s="110">
        <v>0.8</v>
      </c>
      <c r="I10" s="110">
        <v>0.8</v>
      </c>
      <c r="J10" s="110">
        <v>0</v>
      </c>
      <c r="K10" s="110">
        <v>0</v>
      </c>
      <c r="L10" s="110">
        <v>0.8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0.8</v>
      </c>
      <c r="S10" s="110">
        <v>0</v>
      </c>
      <c r="T10" s="110">
        <v>0.8</v>
      </c>
      <c r="U10" s="110">
        <v>0.8</v>
      </c>
      <c r="V10" s="110">
        <v>0.8</v>
      </c>
      <c r="W10" s="110">
        <v>0.8</v>
      </c>
      <c r="X10" s="110">
        <v>0</v>
      </c>
      <c r="Y10" s="110">
        <v>0</v>
      </c>
      <c r="Z10" s="110">
        <v>0</v>
      </c>
      <c r="AA10" s="110">
        <v>0</v>
      </c>
      <c r="AB10" s="110">
        <v>0.8</v>
      </c>
      <c r="AC10" s="110">
        <v>0</v>
      </c>
      <c r="AD10" s="110">
        <v>0</v>
      </c>
      <c r="AE10" s="110">
        <v>0</v>
      </c>
      <c r="AF10" s="110">
        <v>0</v>
      </c>
      <c r="AG10" s="110">
        <v>0</v>
      </c>
      <c r="AH10" s="110">
        <v>0.8</v>
      </c>
      <c r="AI10" s="110">
        <v>0.8</v>
      </c>
      <c r="AJ10" s="110">
        <v>0.8</v>
      </c>
      <c r="AK10" s="110">
        <v>0</v>
      </c>
      <c r="AL10" s="110">
        <v>0</v>
      </c>
      <c r="AM10" s="110">
        <v>0</v>
      </c>
    </row>
    <row r="11" spans="1:39" customFormat="1" x14ac:dyDescent="0.15">
      <c r="A11" s="159" t="s">
        <v>201</v>
      </c>
      <c r="B11" s="110">
        <v>0.8</v>
      </c>
      <c r="C11" s="110">
        <v>0</v>
      </c>
      <c r="D11" s="110">
        <v>0</v>
      </c>
      <c r="E11" s="110">
        <v>0.8</v>
      </c>
      <c r="F11" s="110">
        <v>0.8</v>
      </c>
      <c r="G11" s="110">
        <v>0.8</v>
      </c>
      <c r="H11" s="110">
        <v>0.8</v>
      </c>
      <c r="I11" s="110">
        <v>0.8</v>
      </c>
      <c r="J11" s="110">
        <v>0</v>
      </c>
      <c r="K11" s="110">
        <v>0</v>
      </c>
      <c r="L11" s="110">
        <v>0.8</v>
      </c>
      <c r="M11" s="110">
        <v>0</v>
      </c>
      <c r="N11" s="110">
        <v>0.8</v>
      </c>
      <c r="O11" s="110">
        <v>0.8</v>
      </c>
      <c r="P11" s="110">
        <v>0</v>
      </c>
      <c r="Q11" s="110">
        <v>0</v>
      </c>
      <c r="R11" s="110">
        <v>0</v>
      </c>
      <c r="S11" s="110">
        <v>0</v>
      </c>
      <c r="T11" s="110">
        <v>0.8</v>
      </c>
      <c r="U11" s="110">
        <v>0.8</v>
      </c>
      <c r="V11" s="110">
        <v>0.8</v>
      </c>
      <c r="W11" s="110">
        <v>0.8</v>
      </c>
      <c r="X11" s="110">
        <v>0</v>
      </c>
      <c r="Y11" s="110">
        <v>0</v>
      </c>
      <c r="Z11" s="110">
        <v>0</v>
      </c>
      <c r="AA11" s="110">
        <v>0</v>
      </c>
      <c r="AB11" s="110">
        <v>0.8</v>
      </c>
      <c r="AC11" s="110">
        <v>0</v>
      </c>
      <c r="AD11" s="110">
        <v>0</v>
      </c>
      <c r="AE11" s="110">
        <v>0</v>
      </c>
      <c r="AF11" s="110">
        <v>0</v>
      </c>
      <c r="AG11" s="110">
        <v>0</v>
      </c>
      <c r="AH11" s="110">
        <v>0.8</v>
      </c>
      <c r="AI11" s="110">
        <v>0.8</v>
      </c>
      <c r="AJ11" s="110">
        <v>0.8</v>
      </c>
      <c r="AK11" s="110">
        <v>0</v>
      </c>
      <c r="AL11" s="110">
        <v>0</v>
      </c>
      <c r="AM11" s="110">
        <v>0</v>
      </c>
    </row>
    <row r="12" spans="1:39" customFormat="1" x14ac:dyDescent="0.15">
      <c r="A12" s="159" t="s">
        <v>202</v>
      </c>
      <c r="B12" s="110">
        <v>0.8</v>
      </c>
      <c r="C12" s="110">
        <v>0</v>
      </c>
      <c r="D12" s="110">
        <v>0</v>
      </c>
      <c r="E12" s="110">
        <v>0</v>
      </c>
      <c r="F12" s="110">
        <v>0</v>
      </c>
      <c r="G12" s="110">
        <v>0.8</v>
      </c>
      <c r="H12" s="110">
        <v>0</v>
      </c>
      <c r="I12" s="110">
        <v>0</v>
      </c>
      <c r="J12" s="110">
        <v>0</v>
      </c>
      <c r="K12" s="110">
        <v>0</v>
      </c>
      <c r="L12" s="110">
        <v>0.8</v>
      </c>
      <c r="M12" s="110">
        <v>0</v>
      </c>
      <c r="N12" s="110">
        <v>0.8</v>
      </c>
      <c r="O12" s="110">
        <v>0.8</v>
      </c>
      <c r="P12" s="110">
        <v>0</v>
      </c>
      <c r="Q12" s="110">
        <v>0</v>
      </c>
      <c r="R12" s="110">
        <v>0</v>
      </c>
      <c r="S12" s="110">
        <v>0</v>
      </c>
      <c r="T12" s="110">
        <v>0.8</v>
      </c>
      <c r="U12" s="110">
        <v>0.8</v>
      </c>
      <c r="V12" s="110">
        <v>0.8</v>
      </c>
      <c r="W12" s="110">
        <v>0.8</v>
      </c>
      <c r="X12" s="110">
        <v>0</v>
      </c>
      <c r="Y12" s="110">
        <v>0</v>
      </c>
      <c r="Z12" s="110">
        <v>0</v>
      </c>
      <c r="AA12" s="110">
        <v>0</v>
      </c>
      <c r="AB12" s="110">
        <v>0</v>
      </c>
      <c r="AC12" s="110">
        <v>0</v>
      </c>
      <c r="AD12" s="110">
        <v>0</v>
      </c>
      <c r="AE12" s="110">
        <v>0</v>
      </c>
      <c r="AF12" s="110">
        <v>0</v>
      </c>
      <c r="AG12" s="110">
        <v>0</v>
      </c>
      <c r="AH12" s="110">
        <v>0</v>
      </c>
      <c r="AI12" s="110">
        <v>0.8</v>
      </c>
      <c r="AJ12" s="110">
        <v>0</v>
      </c>
      <c r="AK12" s="110">
        <v>0</v>
      </c>
      <c r="AL12" s="110">
        <v>0</v>
      </c>
      <c r="AM12" s="110">
        <v>0</v>
      </c>
    </row>
    <row r="13" spans="1:39" customFormat="1" x14ac:dyDescent="0.15">
      <c r="A13" s="159" t="s">
        <v>203</v>
      </c>
      <c r="B13" s="110">
        <v>0.8</v>
      </c>
      <c r="C13" s="110">
        <v>0</v>
      </c>
      <c r="D13" s="110">
        <v>0</v>
      </c>
      <c r="E13" s="110">
        <v>0</v>
      </c>
      <c r="F13" s="110">
        <v>0</v>
      </c>
      <c r="G13" s="110">
        <v>0</v>
      </c>
      <c r="H13" s="110">
        <v>0</v>
      </c>
      <c r="I13" s="110">
        <v>0</v>
      </c>
      <c r="J13" s="110">
        <v>0</v>
      </c>
      <c r="K13" s="110">
        <v>0</v>
      </c>
      <c r="L13" s="110">
        <v>0.8</v>
      </c>
      <c r="M13" s="110">
        <v>0</v>
      </c>
      <c r="N13" s="110">
        <v>0</v>
      </c>
      <c r="O13" s="110">
        <v>0</v>
      </c>
      <c r="P13" s="110">
        <v>0</v>
      </c>
      <c r="Q13" s="110">
        <v>0</v>
      </c>
      <c r="R13" s="110">
        <v>0</v>
      </c>
      <c r="S13" s="110">
        <v>0</v>
      </c>
      <c r="T13" s="110">
        <v>0</v>
      </c>
      <c r="U13" s="110">
        <v>0.8</v>
      </c>
      <c r="V13" s="110">
        <v>0.8</v>
      </c>
      <c r="W13" s="110">
        <v>0.8</v>
      </c>
      <c r="X13" s="110">
        <v>0</v>
      </c>
      <c r="Y13" s="110">
        <v>0</v>
      </c>
      <c r="Z13" s="110">
        <v>0</v>
      </c>
      <c r="AA13" s="110">
        <v>0</v>
      </c>
      <c r="AB13" s="110">
        <v>0</v>
      </c>
      <c r="AC13" s="110">
        <v>0</v>
      </c>
      <c r="AD13" s="110">
        <v>0</v>
      </c>
      <c r="AE13" s="110">
        <v>0</v>
      </c>
      <c r="AF13" s="110">
        <v>0</v>
      </c>
      <c r="AG13" s="110">
        <v>0</v>
      </c>
      <c r="AH13" s="110">
        <v>0</v>
      </c>
      <c r="AI13" s="110">
        <v>0.8</v>
      </c>
      <c r="AJ13" s="110">
        <v>0</v>
      </c>
      <c r="AK13" s="110">
        <v>0</v>
      </c>
      <c r="AL13" s="110">
        <v>0</v>
      </c>
      <c r="AM13" s="110">
        <v>0</v>
      </c>
    </row>
    <row r="14" spans="1:39" customFormat="1" x14ac:dyDescent="0.15">
      <c r="A14" s="159" t="s">
        <v>204</v>
      </c>
      <c r="B14" s="110">
        <v>0.8</v>
      </c>
      <c r="C14" s="110">
        <v>0</v>
      </c>
      <c r="D14" s="110">
        <v>0</v>
      </c>
      <c r="E14" s="110">
        <v>0</v>
      </c>
      <c r="F14" s="110">
        <v>0</v>
      </c>
      <c r="G14" s="110">
        <v>0</v>
      </c>
      <c r="H14" s="110">
        <v>0</v>
      </c>
      <c r="I14" s="110">
        <v>0</v>
      </c>
      <c r="J14" s="110">
        <v>0</v>
      </c>
      <c r="K14" s="110">
        <v>0</v>
      </c>
      <c r="L14" s="110">
        <v>0.8</v>
      </c>
      <c r="M14" s="110">
        <v>0.8</v>
      </c>
      <c r="N14" s="110">
        <v>0</v>
      </c>
      <c r="O14" s="110">
        <v>0.8</v>
      </c>
      <c r="P14" s="110">
        <v>0</v>
      </c>
      <c r="Q14" s="110">
        <v>0</v>
      </c>
      <c r="R14" s="110">
        <v>0</v>
      </c>
      <c r="S14" s="110">
        <v>0</v>
      </c>
      <c r="T14" s="110">
        <v>0</v>
      </c>
      <c r="U14" s="110">
        <v>0.8</v>
      </c>
      <c r="V14" s="110">
        <v>0.8</v>
      </c>
      <c r="W14" s="110">
        <v>0.8</v>
      </c>
      <c r="X14" s="110">
        <v>0</v>
      </c>
      <c r="Y14" s="110">
        <v>0</v>
      </c>
      <c r="Z14" s="110">
        <v>0</v>
      </c>
      <c r="AA14" s="110">
        <v>0</v>
      </c>
      <c r="AB14" s="110">
        <v>0</v>
      </c>
      <c r="AC14" s="110">
        <v>0</v>
      </c>
      <c r="AD14" s="110">
        <v>0</v>
      </c>
      <c r="AE14" s="110">
        <v>0</v>
      </c>
      <c r="AF14" s="110">
        <v>0</v>
      </c>
      <c r="AG14" s="110">
        <v>0</v>
      </c>
      <c r="AH14" s="110">
        <v>0.8</v>
      </c>
      <c r="AI14" s="110">
        <v>0</v>
      </c>
      <c r="AJ14" s="110">
        <v>0</v>
      </c>
      <c r="AK14" s="110">
        <v>0</v>
      </c>
      <c r="AL14" s="110">
        <v>0</v>
      </c>
      <c r="AM14" s="110">
        <v>0</v>
      </c>
    </row>
    <row r="15" spans="1:39" customFormat="1" x14ac:dyDescent="0.15">
      <c r="A15" s="159" t="s">
        <v>205</v>
      </c>
      <c r="B15" s="110">
        <v>0.8</v>
      </c>
      <c r="C15" s="110">
        <v>0</v>
      </c>
      <c r="D15" s="110">
        <v>0</v>
      </c>
      <c r="E15" s="110">
        <v>0.8</v>
      </c>
      <c r="F15" s="110">
        <v>0.8</v>
      </c>
      <c r="G15" s="110">
        <v>0.8</v>
      </c>
      <c r="H15" s="110">
        <v>0</v>
      </c>
      <c r="I15" s="110">
        <v>0</v>
      </c>
      <c r="J15" s="110">
        <v>0</v>
      </c>
      <c r="K15" s="110">
        <v>0</v>
      </c>
      <c r="L15" s="110">
        <v>0.8</v>
      </c>
      <c r="M15" s="110">
        <v>0.8</v>
      </c>
      <c r="N15" s="110">
        <v>0.8</v>
      </c>
      <c r="O15" s="110">
        <v>0.8</v>
      </c>
      <c r="P15" s="110">
        <v>0</v>
      </c>
      <c r="Q15" s="110">
        <v>0</v>
      </c>
      <c r="R15" s="110">
        <v>0</v>
      </c>
      <c r="S15" s="110">
        <v>0</v>
      </c>
      <c r="T15" s="110">
        <v>0.8</v>
      </c>
      <c r="U15" s="110">
        <v>0</v>
      </c>
      <c r="V15" s="110">
        <v>0.8</v>
      </c>
      <c r="W15" s="110">
        <v>0</v>
      </c>
      <c r="X15" s="110">
        <v>0</v>
      </c>
      <c r="Y15" s="110">
        <v>0</v>
      </c>
      <c r="Z15" s="110">
        <v>0</v>
      </c>
      <c r="AA15" s="110">
        <v>0</v>
      </c>
      <c r="AB15" s="110">
        <v>0.8</v>
      </c>
      <c r="AC15" s="110">
        <v>0</v>
      </c>
      <c r="AD15" s="110">
        <v>0</v>
      </c>
      <c r="AE15" s="110">
        <v>0</v>
      </c>
      <c r="AF15" s="110">
        <v>0</v>
      </c>
      <c r="AG15" s="110">
        <v>0</v>
      </c>
      <c r="AH15" s="110">
        <v>0.8</v>
      </c>
      <c r="AI15" s="110">
        <v>0.8</v>
      </c>
      <c r="AJ15" s="110">
        <v>0</v>
      </c>
      <c r="AK15" s="110">
        <v>0</v>
      </c>
      <c r="AL15" s="110">
        <v>0</v>
      </c>
      <c r="AM15" s="110">
        <v>0</v>
      </c>
    </row>
    <row r="16" spans="1:39" customFormat="1" x14ac:dyDescent="0.15">
      <c r="A16" s="159" t="s">
        <v>206</v>
      </c>
      <c r="B16" s="110">
        <v>0</v>
      </c>
      <c r="C16" s="110">
        <v>0</v>
      </c>
      <c r="D16" s="110">
        <v>0</v>
      </c>
      <c r="E16" s="110">
        <v>0.8</v>
      </c>
      <c r="F16" s="110">
        <v>0.8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0.8</v>
      </c>
      <c r="M16" s="110">
        <v>0.8</v>
      </c>
      <c r="N16" s="110">
        <v>0.8</v>
      </c>
      <c r="O16" s="110">
        <v>0.8</v>
      </c>
      <c r="P16" s="110">
        <v>0.8</v>
      </c>
      <c r="Q16" s="110">
        <v>0</v>
      </c>
      <c r="R16" s="110">
        <v>0</v>
      </c>
      <c r="S16" s="110">
        <v>0</v>
      </c>
      <c r="T16" s="110">
        <v>0.8</v>
      </c>
      <c r="U16" s="110">
        <v>0</v>
      </c>
      <c r="V16" s="110">
        <v>0.8</v>
      </c>
      <c r="W16" s="110">
        <v>0.8</v>
      </c>
      <c r="X16" s="110">
        <v>0</v>
      </c>
      <c r="Y16" s="110">
        <v>0</v>
      </c>
      <c r="Z16" s="110">
        <v>0</v>
      </c>
      <c r="AA16" s="110">
        <v>0</v>
      </c>
      <c r="AB16" s="110">
        <v>0.8</v>
      </c>
      <c r="AC16" s="110">
        <v>0</v>
      </c>
      <c r="AD16" s="110">
        <v>0</v>
      </c>
      <c r="AE16" s="110">
        <v>0</v>
      </c>
      <c r="AF16" s="110">
        <v>0</v>
      </c>
      <c r="AG16" s="110">
        <v>0</v>
      </c>
      <c r="AH16" s="110">
        <v>0</v>
      </c>
      <c r="AI16" s="110">
        <v>0.8</v>
      </c>
      <c r="AJ16" s="110">
        <v>0</v>
      </c>
      <c r="AK16" s="110">
        <v>0</v>
      </c>
      <c r="AL16" s="110">
        <v>0</v>
      </c>
      <c r="AM16" s="110">
        <v>0</v>
      </c>
    </row>
    <row r="17" spans="1:39" customFormat="1" x14ac:dyDescent="0.15">
      <c r="A17" s="159" t="s">
        <v>207</v>
      </c>
      <c r="B17" s="110">
        <v>0</v>
      </c>
      <c r="C17" s="110">
        <v>0</v>
      </c>
      <c r="D17" s="110">
        <v>0</v>
      </c>
      <c r="E17" s="110">
        <v>0</v>
      </c>
      <c r="F17" s="110">
        <v>0.8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0.8</v>
      </c>
      <c r="M17" s="110">
        <v>0.8</v>
      </c>
      <c r="N17" s="110">
        <v>0.8</v>
      </c>
      <c r="O17" s="110">
        <v>0.8</v>
      </c>
      <c r="P17" s="110">
        <v>0.8</v>
      </c>
      <c r="Q17" s="110">
        <v>0</v>
      </c>
      <c r="R17" s="110">
        <v>0</v>
      </c>
      <c r="S17" s="110">
        <v>0</v>
      </c>
      <c r="T17" s="110">
        <v>0.8</v>
      </c>
      <c r="U17" s="110">
        <v>0.8</v>
      </c>
      <c r="V17" s="110">
        <v>0.8</v>
      </c>
      <c r="W17" s="110">
        <v>0</v>
      </c>
      <c r="X17" s="110">
        <v>0.8</v>
      </c>
      <c r="Y17" s="110">
        <v>0</v>
      </c>
      <c r="Z17" s="110">
        <v>0</v>
      </c>
      <c r="AA17" s="110">
        <v>0</v>
      </c>
      <c r="AB17" s="110">
        <v>0.8</v>
      </c>
      <c r="AC17" s="110">
        <v>0</v>
      </c>
      <c r="AD17" s="110">
        <v>0</v>
      </c>
      <c r="AE17" s="110">
        <v>0</v>
      </c>
      <c r="AF17" s="110">
        <v>0</v>
      </c>
      <c r="AG17" s="110">
        <v>0</v>
      </c>
      <c r="AH17" s="110">
        <v>0.8</v>
      </c>
      <c r="AI17" s="110">
        <v>0.8</v>
      </c>
      <c r="AJ17" s="110">
        <v>0.8</v>
      </c>
      <c r="AK17" s="110">
        <v>0</v>
      </c>
      <c r="AL17" s="110">
        <v>0</v>
      </c>
      <c r="AM17" s="110">
        <v>0</v>
      </c>
    </row>
    <row r="18" spans="1:39" customFormat="1" x14ac:dyDescent="0.15">
      <c r="A18" s="159" t="s">
        <v>208</v>
      </c>
      <c r="B18" s="110">
        <v>0.8</v>
      </c>
      <c r="C18" s="110">
        <v>0</v>
      </c>
      <c r="D18" s="110">
        <v>0</v>
      </c>
      <c r="E18" s="110">
        <v>0</v>
      </c>
      <c r="F18" s="110">
        <v>0.8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0.8</v>
      </c>
      <c r="M18" s="110">
        <v>0.8</v>
      </c>
      <c r="N18" s="110">
        <v>0.8</v>
      </c>
      <c r="O18" s="110">
        <v>0</v>
      </c>
      <c r="P18" s="110">
        <v>0</v>
      </c>
      <c r="Q18" s="110">
        <v>0.8</v>
      </c>
      <c r="R18" s="110">
        <v>0.8</v>
      </c>
      <c r="S18" s="110">
        <v>0</v>
      </c>
      <c r="T18" s="110">
        <v>0.8</v>
      </c>
      <c r="U18" s="110">
        <v>0.8</v>
      </c>
      <c r="V18" s="110">
        <v>0.8</v>
      </c>
      <c r="W18" s="110">
        <v>0.8</v>
      </c>
      <c r="X18" s="110">
        <v>0</v>
      </c>
      <c r="Y18" s="110">
        <v>0</v>
      </c>
      <c r="Z18" s="110">
        <v>0</v>
      </c>
      <c r="AA18" s="110">
        <v>0</v>
      </c>
      <c r="AB18" s="110">
        <v>0.8</v>
      </c>
      <c r="AC18" s="110">
        <v>0</v>
      </c>
      <c r="AD18" s="110">
        <v>0</v>
      </c>
      <c r="AE18" s="110">
        <v>0</v>
      </c>
      <c r="AF18" s="110">
        <v>0</v>
      </c>
      <c r="AG18" s="110">
        <v>0</v>
      </c>
      <c r="AH18" s="110">
        <v>0.8</v>
      </c>
      <c r="AI18" s="110">
        <v>0.8</v>
      </c>
      <c r="AJ18" s="110">
        <v>0</v>
      </c>
      <c r="AK18" s="110">
        <v>0</v>
      </c>
      <c r="AL18" s="110">
        <v>0</v>
      </c>
      <c r="AM18" s="110">
        <v>0</v>
      </c>
    </row>
    <row r="19" spans="1:39" customFormat="1" x14ac:dyDescent="0.15">
      <c r="A19" s="159" t="s">
        <v>209</v>
      </c>
      <c r="B19" s="110">
        <v>0</v>
      </c>
      <c r="C19" s="110">
        <v>0</v>
      </c>
      <c r="D19" s="110">
        <v>0</v>
      </c>
      <c r="E19" s="110">
        <v>0</v>
      </c>
      <c r="F19" s="110">
        <v>0.8</v>
      </c>
      <c r="G19" s="110">
        <v>0</v>
      </c>
      <c r="H19" s="110">
        <v>0</v>
      </c>
      <c r="I19" s="110">
        <v>0</v>
      </c>
      <c r="J19" s="110">
        <v>0</v>
      </c>
      <c r="K19" s="110">
        <v>0</v>
      </c>
      <c r="L19" s="110">
        <v>0.8</v>
      </c>
      <c r="M19" s="110">
        <v>0.8</v>
      </c>
      <c r="N19" s="110">
        <v>0.8</v>
      </c>
      <c r="O19" s="110">
        <v>0</v>
      </c>
      <c r="P19" s="110">
        <v>0</v>
      </c>
      <c r="Q19" s="110">
        <v>0.8</v>
      </c>
      <c r="R19" s="110">
        <v>0.8</v>
      </c>
      <c r="S19" s="110">
        <v>0</v>
      </c>
      <c r="T19" s="110">
        <v>0.8</v>
      </c>
      <c r="U19" s="110">
        <v>0.8</v>
      </c>
      <c r="V19" s="110">
        <v>0.8</v>
      </c>
      <c r="W19" s="110">
        <v>0.8</v>
      </c>
      <c r="X19" s="110">
        <v>0</v>
      </c>
      <c r="Y19" s="110">
        <v>0</v>
      </c>
      <c r="Z19" s="110">
        <v>0</v>
      </c>
      <c r="AA19" s="110">
        <v>0</v>
      </c>
      <c r="AB19" s="110">
        <v>0.8</v>
      </c>
      <c r="AC19" s="110">
        <v>0</v>
      </c>
      <c r="AD19" s="110">
        <v>0</v>
      </c>
      <c r="AE19" s="110">
        <v>0</v>
      </c>
      <c r="AF19" s="110">
        <v>0</v>
      </c>
      <c r="AG19" s="110">
        <v>0</v>
      </c>
      <c r="AH19" s="110">
        <v>0.8</v>
      </c>
      <c r="AI19" s="110">
        <v>0</v>
      </c>
      <c r="AJ19" s="110">
        <v>0.8</v>
      </c>
      <c r="AK19" s="110">
        <v>0</v>
      </c>
      <c r="AL19" s="110">
        <v>0</v>
      </c>
      <c r="AM19" s="110">
        <v>0</v>
      </c>
    </row>
    <row r="20" spans="1:39" customFormat="1" x14ac:dyDescent="0.15">
      <c r="A20" s="159" t="s">
        <v>210</v>
      </c>
      <c r="B20" s="110">
        <v>0</v>
      </c>
      <c r="C20" s="110">
        <v>0</v>
      </c>
      <c r="D20" s="110">
        <v>0</v>
      </c>
      <c r="E20" s="110">
        <v>0.8</v>
      </c>
      <c r="F20" s="110">
        <v>0</v>
      </c>
      <c r="G20" s="110">
        <v>0</v>
      </c>
      <c r="H20" s="110">
        <v>0</v>
      </c>
      <c r="I20" s="110">
        <v>0</v>
      </c>
      <c r="J20" s="110">
        <v>0</v>
      </c>
      <c r="K20" s="110">
        <v>0</v>
      </c>
      <c r="L20" s="110">
        <v>0.8</v>
      </c>
      <c r="M20" s="110">
        <v>0.8</v>
      </c>
      <c r="N20" s="110">
        <v>0</v>
      </c>
      <c r="O20" s="110">
        <v>0</v>
      </c>
      <c r="P20" s="110">
        <v>0.8</v>
      </c>
      <c r="Q20" s="110">
        <v>0</v>
      </c>
      <c r="R20" s="110">
        <v>0</v>
      </c>
      <c r="S20" s="110">
        <v>0</v>
      </c>
      <c r="T20" s="110">
        <v>0</v>
      </c>
      <c r="U20" s="110">
        <v>0</v>
      </c>
      <c r="V20" s="110">
        <v>0.8</v>
      </c>
      <c r="W20" s="110">
        <v>0</v>
      </c>
      <c r="X20" s="110">
        <v>0</v>
      </c>
      <c r="Y20" s="110">
        <v>0</v>
      </c>
      <c r="Z20" s="110">
        <v>0</v>
      </c>
      <c r="AA20" s="110">
        <v>0</v>
      </c>
      <c r="AB20" s="110">
        <v>0</v>
      </c>
      <c r="AC20" s="110">
        <v>0</v>
      </c>
      <c r="AD20" s="110">
        <v>0</v>
      </c>
      <c r="AE20" s="110">
        <v>0</v>
      </c>
      <c r="AF20" s="110">
        <v>0</v>
      </c>
      <c r="AG20" s="110">
        <v>0</v>
      </c>
      <c r="AH20" s="110">
        <v>0</v>
      </c>
      <c r="AI20" s="110">
        <v>0</v>
      </c>
      <c r="AJ20" s="110">
        <v>0</v>
      </c>
      <c r="AK20" s="110">
        <v>0</v>
      </c>
      <c r="AL20" s="110">
        <v>0</v>
      </c>
      <c r="AM20" s="110">
        <v>0</v>
      </c>
    </row>
    <row r="21" spans="1:39" customFormat="1" x14ac:dyDescent="0.15">
      <c r="A21" s="159" t="s">
        <v>211</v>
      </c>
      <c r="B21" s="110">
        <v>0.8</v>
      </c>
      <c r="C21" s="110">
        <v>0</v>
      </c>
      <c r="D21" s="110">
        <v>0</v>
      </c>
      <c r="E21" s="110">
        <v>0.8</v>
      </c>
      <c r="F21" s="110">
        <v>0</v>
      </c>
      <c r="G21" s="110">
        <v>0</v>
      </c>
      <c r="H21" s="110">
        <v>0</v>
      </c>
      <c r="I21" s="110">
        <v>0</v>
      </c>
      <c r="J21" s="110">
        <v>0</v>
      </c>
      <c r="K21" s="110">
        <v>0</v>
      </c>
      <c r="L21" s="110">
        <v>0.8</v>
      </c>
      <c r="M21" s="110">
        <v>0.8</v>
      </c>
      <c r="N21" s="110">
        <v>0</v>
      </c>
      <c r="O21" s="110">
        <v>0</v>
      </c>
      <c r="P21" s="110">
        <v>0.8</v>
      </c>
      <c r="Q21" s="110">
        <v>0</v>
      </c>
      <c r="R21" s="110">
        <v>0</v>
      </c>
      <c r="S21" s="110">
        <v>0</v>
      </c>
      <c r="T21" s="110">
        <v>0</v>
      </c>
      <c r="U21" s="110">
        <v>0.8</v>
      </c>
      <c r="V21" s="110">
        <v>0.8</v>
      </c>
      <c r="W21" s="110">
        <v>0</v>
      </c>
      <c r="X21" s="110">
        <v>0</v>
      </c>
      <c r="Y21" s="110">
        <v>0</v>
      </c>
      <c r="Z21" s="110">
        <v>0</v>
      </c>
      <c r="AA21" s="110">
        <v>0</v>
      </c>
      <c r="AB21" s="110">
        <v>0</v>
      </c>
      <c r="AC21" s="110">
        <v>0</v>
      </c>
      <c r="AD21" s="110">
        <v>0</v>
      </c>
      <c r="AE21" s="110">
        <v>0</v>
      </c>
      <c r="AF21" s="110">
        <v>0</v>
      </c>
      <c r="AG21" s="110">
        <v>0</v>
      </c>
      <c r="AH21" s="110">
        <v>0</v>
      </c>
      <c r="AI21" s="110">
        <v>0</v>
      </c>
      <c r="AJ21" s="110">
        <v>0</v>
      </c>
      <c r="AK21" s="110">
        <v>0</v>
      </c>
      <c r="AL21" s="110">
        <v>0</v>
      </c>
      <c r="AM21" s="110">
        <v>0</v>
      </c>
    </row>
    <row r="22" spans="1:39" customFormat="1" x14ac:dyDescent="0.15">
      <c r="A22" s="159" t="s">
        <v>212</v>
      </c>
      <c r="B22" s="110">
        <v>0</v>
      </c>
      <c r="C22" s="110">
        <v>0</v>
      </c>
      <c r="D22" s="110">
        <v>0</v>
      </c>
      <c r="E22" s="110">
        <v>0</v>
      </c>
      <c r="F22" s="110">
        <v>0</v>
      </c>
      <c r="G22" s="110">
        <v>0</v>
      </c>
      <c r="H22" s="110">
        <v>0</v>
      </c>
      <c r="I22" s="110">
        <v>0</v>
      </c>
      <c r="J22" s="110">
        <v>0</v>
      </c>
      <c r="K22" s="110">
        <v>0</v>
      </c>
      <c r="L22" s="110">
        <v>0</v>
      </c>
      <c r="M22" s="110">
        <v>0</v>
      </c>
      <c r="N22" s="110">
        <v>0</v>
      </c>
      <c r="O22" s="110">
        <v>0</v>
      </c>
      <c r="P22" s="110">
        <v>0</v>
      </c>
      <c r="Q22" s="110">
        <v>0</v>
      </c>
      <c r="R22" s="110">
        <v>0</v>
      </c>
      <c r="S22" s="110">
        <v>0</v>
      </c>
      <c r="T22" s="110">
        <v>0</v>
      </c>
      <c r="U22" s="110">
        <v>0</v>
      </c>
      <c r="V22" s="110">
        <v>0</v>
      </c>
      <c r="W22" s="110">
        <v>0</v>
      </c>
      <c r="X22" s="110">
        <v>0</v>
      </c>
      <c r="Y22" s="110">
        <v>0</v>
      </c>
      <c r="Z22" s="110">
        <v>0</v>
      </c>
      <c r="AA22" s="110">
        <v>0</v>
      </c>
      <c r="AB22" s="110">
        <v>0</v>
      </c>
      <c r="AC22" s="110">
        <v>0</v>
      </c>
      <c r="AD22" s="110">
        <v>0</v>
      </c>
      <c r="AE22" s="110">
        <v>0</v>
      </c>
      <c r="AF22" s="110">
        <v>0</v>
      </c>
      <c r="AG22" s="110">
        <v>0</v>
      </c>
      <c r="AH22" s="110">
        <v>0</v>
      </c>
      <c r="AI22" s="110">
        <v>0.8</v>
      </c>
      <c r="AJ22" s="110">
        <v>0</v>
      </c>
      <c r="AK22" s="110">
        <v>0</v>
      </c>
      <c r="AL22" s="110">
        <v>0</v>
      </c>
      <c r="AM22" s="110">
        <v>0</v>
      </c>
    </row>
    <row r="23" spans="1:39" customFormat="1" x14ac:dyDescent="0.15">
      <c r="A23" s="159" t="s">
        <v>213</v>
      </c>
      <c r="B23" s="110">
        <v>0</v>
      </c>
      <c r="C23" s="110">
        <v>0</v>
      </c>
      <c r="D23" s="110">
        <v>0</v>
      </c>
      <c r="E23" s="110">
        <v>0</v>
      </c>
      <c r="F23" s="110">
        <v>0</v>
      </c>
      <c r="G23" s="110">
        <v>0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10">
        <v>0</v>
      </c>
      <c r="P23" s="110">
        <v>0</v>
      </c>
      <c r="Q23" s="110">
        <v>0</v>
      </c>
      <c r="R23" s="110">
        <v>0</v>
      </c>
      <c r="S23" s="110">
        <v>0</v>
      </c>
      <c r="T23" s="110">
        <v>0</v>
      </c>
      <c r="U23" s="110">
        <v>0</v>
      </c>
      <c r="V23" s="110">
        <v>0.8</v>
      </c>
      <c r="W23" s="110">
        <v>0</v>
      </c>
      <c r="X23" s="110">
        <v>0</v>
      </c>
      <c r="Y23" s="110">
        <v>0</v>
      </c>
      <c r="Z23" s="110">
        <v>0</v>
      </c>
      <c r="AA23" s="110">
        <v>0</v>
      </c>
      <c r="AB23" s="110">
        <v>0</v>
      </c>
      <c r="AC23" s="110">
        <v>0</v>
      </c>
      <c r="AD23" s="110">
        <v>0</v>
      </c>
      <c r="AE23" s="110">
        <v>0</v>
      </c>
      <c r="AF23" s="110">
        <v>0</v>
      </c>
      <c r="AG23" s="110">
        <v>0</v>
      </c>
      <c r="AH23" s="110">
        <v>0</v>
      </c>
      <c r="AI23" s="110">
        <v>0</v>
      </c>
      <c r="AJ23" s="110">
        <v>0</v>
      </c>
      <c r="AK23" s="110">
        <v>0</v>
      </c>
      <c r="AL23" s="110">
        <v>0</v>
      </c>
      <c r="AM23" s="110">
        <v>0</v>
      </c>
    </row>
    <row r="24" spans="1:39" customFormat="1" x14ac:dyDescent="0.15">
      <c r="A24" s="159" t="s">
        <v>214</v>
      </c>
      <c r="B24" s="110">
        <v>0.8</v>
      </c>
      <c r="C24" s="110">
        <v>0</v>
      </c>
      <c r="D24" s="110">
        <v>0.8</v>
      </c>
      <c r="E24" s="110">
        <v>0.8</v>
      </c>
      <c r="F24" s="110">
        <v>0.8</v>
      </c>
      <c r="G24" s="110">
        <v>0.8</v>
      </c>
      <c r="H24" s="110">
        <v>0</v>
      </c>
      <c r="I24" s="110">
        <v>0.8</v>
      </c>
      <c r="J24" s="110">
        <v>0</v>
      </c>
      <c r="K24" s="110">
        <v>0</v>
      </c>
      <c r="L24" s="110">
        <v>0.8</v>
      </c>
      <c r="M24" s="110">
        <v>0.8</v>
      </c>
      <c r="N24" s="110">
        <v>0.8</v>
      </c>
      <c r="O24" s="110">
        <v>0.8</v>
      </c>
      <c r="P24" s="110">
        <v>0.8</v>
      </c>
      <c r="Q24" s="110">
        <v>0.8</v>
      </c>
      <c r="R24" s="110">
        <v>0.8</v>
      </c>
      <c r="S24" s="110">
        <v>0</v>
      </c>
      <c r="T24" s="110">
        <v>0.8</v>
      </c>
      <c r="U24" s="110">
        <v>0.8</v>
      </c>
      <c r="V24" s="110">
        <v>0.8</v>
      </c>
      <c r="W24" s="110">
        <v>0</v>
      </c>
      <c r="X24" s="110">
        <v>0.8</v>
      </c>
      <c r="Y24" s="110">
        <v>0.8</v>
      </c>
      <c r="Z24" s="110">
        <v>0</v>
      </c>
      <c r="AA24" s="110">
        <v>0</v>
      </c>
      <c r="AB24" s="110">
        <v>0.8</v>
      </c>
      <c r="AC24" s="110">
        <v>0</v>
      </c>
      <c r="AD24" s="110">
        <v>0</v>
      </c>
      <c r="AE24" s="110">
        <v>0</v>
      </c>
      <c r="AF24" s="110">
        <v>0</v>
      </c>
      <c r="AG24" s="110">
        <v>0</v>
      </c>
      <c r="AH24" s="110">
        <v>0.8</v>
      </c>
      <c r="AI24" s="110">
        <v>0</v>
      </c>
      <c r="AJ24" s="110">
        <v>0</v>
      </c>
      <c r="AK24" s="110">
        <v>0</v>
      </c>
      <c r="AL24" s="110">
        <v>0</v>
      </c>
      <c r="AM24" s="110">
        <v>0</v>
      </c>
    </row>
    <row r="25" spans="1:39" customFormat="1" x14ac:dyDescent="0.15">
      <c r="A25" s="159" t="s">
        <v>215</v>
      </c>
      <c r="B25" s="110">
        <v>0.8</v>
      </c>
      <c r="C25" s="110">
        <v>0.8</v>
      </c>
      <c r="D25" s="110">
        <v>0.8</v>
      </c>
      <c r="E25" s="110">
        <v>0.8</v>
      </c>
      <c r="F25" s="110">
        <v>0.8</v>
      </c>
      <c r="G25" s="110">
        <v>0.8</v>
      </c>
      <c r="H25" s="110">
        <v>0</v>
      </c>
      <c r="I25" s="110">
        <v>0</v>
      </c>
      <c r="J25" s="110">
        <v>0</v>
      </c>
      <c r="K25" s="110">
        <v>0</v>
      </c>
      <c r="L25" s="110">
        <v>0.8</v>
      </c>
      <c r="M25" s="110">
        <v>0</v>
      </c>
      <c r="N25" s="110">
        <v>0.8</v>
      </c>
      <c r="O25" s="110">
        <v>0.8</v>
      </c>
      <c r="P25" s="110">
        <v>0.8</v>
      </c>
      <c r="Q25" s="110">
        <v>0.8</v>
      </c>
      <c r="R25" s="110">
        <v>0.8</v>
      </c>
      <c r="S25" s="110">
        <v>0</v>
      </c>
      <c r="T25" s="110">
        <v>0.8</v>
      </c>
      <c r="U25" s="110">
        <v>0.8</v>
      </c>
      <c r="V25" s="110">
        <v>0.8</v>
      </c>
      <c r="W25" s="110">
        <v>0.8</v>
      </c>
      <c r="X25" s="110">
        <v>0.8</v>
      </c>
      <c r="Y25" s="110">
        <v>0.8</v>
      </c>
      <c r="Z25" s="110">
        <v>0</v>
      </c>
      <c r="AA25" s="110">
        <v>0</v>
      </c>
      <c r="AB25" s="110">
        <v>0.8</v>
      </c>
      <c r="AC25" s="110">
        <v>0</v>
      </c>
      <c r="AD25" s="110">
        <v>0.8</v>
      </c>
      <c r="AE25" s="110">
        <v>0</v>
      </c>
      <c r="AF25" s="110">
        <v>0</v>
      </c>
      <c r="AG25" s="110">
        <v>0</v>
      </c>
      <c r="AH25" s="110">
        <v>0</v>
      </c>
      <c r="AI25" s="110">
        <v>0</v>
      </c>
      <c r="AJ25" s="110">
        <v>0</v>
      </c>
      <c r="AK25" s="110">
        <v>0</v>
      </c>
      <c r="AL25" s="110">
        <v>0</v>
      </c>
      <c r="AM25" s="110">
        <v>0</v>
      </c>
    </row>
    <row r="26" spans="1:39" customFormat="1" x14ac:dyDescent="0.15">
      <c r="A26" s="159" t="s">
        <v>216</v>
      </c>
      <c r="B26" s="110">
        <v>0.8</v>
      </c>
      <c r="C26" s="110">
        <v>0.8</v>
      </c>
      <c r="D26" s="110">
        <v>0.8</v>
      </c>
      <c r="E26" s="110">
        <v>0</v>
      </c>
      <c r="F26" s="110">
        <v>0.8</v>
      </c>
      <c r="G26" s="110">
        <v>0.8</v>
      </c>
      <c r="H26" s="110">
        <v>0</v>
      </c>
      <c r="I26" s="110">
        <v>0</v>
      </c>
      <c r="J26" s="110">
        <v>0</v>
      </c>
      <c r="K26" s="110">
        <v>0</v>
      </c>
      <c r="L26" s="110">
        <v>0.8</v>
      </c>
      <c r="M26" s="110">
        <v>0.8</v>
      </c>
      <c r="N26" s="110">
        <v>0.8</v>
      </c>
      <c r="O26" s="110">
        <v>0.8</v>
      </c>
      <c r="P26" s="110">
        <v>0.8</v>
      </c>
      <c r="Q26" s="110">
        <v>0.8</v>
      </c>
      <c r="R26" s="110">
        <v>0.8</v>
      </c>
      <c r="S26" s="110">
        <v>0</v>
      </c>
      <c r="T26" s="110">
        <v>0.8</v>
      </c>
      <c r="U26" s="110">
        <v>0.8</v>
      </c>
      <c r="V26" s="110">
        <v>0.8</v>
      </c>
      <c r="W26" s="110">
        <v>0</v>
      </c>
      <c r="X26" s="110">
        <v>0.8</v>
      </c>
      <c r="Y26" s="110">
        <v>0.8</v>
      </c>
      <c r="Z26" s="110">
        <v>0.8</v>
      </c>
      <c r="AA26" s="110">
        <v>0</v>
      </c>
      <c r="AB26" s="110">
        <v>0.8</v>
      </c>
      <c r="AC26" s="110">
        <v>0</v>
      </c>
      <c r="AD26" s="110">
        <v>0.8</v>
      </c>
      <c r="AE26" s="110">
        <v>0</v>
      </c>
      <c r="AF26" s="110">
        <v>0</v>
      </c>
      <c r="AG26" s="110">
        <v>0</v>
      </c>
      <c r="AH26" s="110">
        <v>0.8</v>
      </c>
      <c r="AI26" s="110">
        <v>0</v>
      </c>
      <c r="AJ26" s="110">
        <v>0</v>
      </c>
      <c r="AK26" s="110">
        <v>0</v>
      </c>
      <c r="AL26" s="110">
        <v>0</v>
      </c>
      <c r="AM26" s="110">
        <v>0</v>
      </c>
    </row>
    <row r="27" spans="1:39" customFormat="1" x14ac:dyDescent="0.15">
      <c r="A27" s="159" t="s">
        <v>217</v>
      </c>
      <c r="B27" s="110">
        <v>0</v>
      </c>
      <c r="C27" s="110">
        <v>0.8</v>
      </c>
      <c r="D27" s="110">
        <v>0.8</v>
      </c>
      <c r="E27" s="110">
        <v>0.8</v>
      </c>
      <c r="F27" s="110">
        <v>0.8</v>
      </c>
      <c r="G27" s="110">
        <v>0.8</v>
      </c>
      <c r="H27" s="110">
        <v>0</v>
      </c>
      <c r="I27" s="110">
        <v>0</v>
      </c>
      <c r="J27" s="110">
        <v>0</v>
      </c>
      <c r="K27" s="110">
        <v>0</v>
      </c>
      <c r="L27" s="110">
        <v>0.8</v>
      </c>
      <c r="M27" s="110">
        <v>0</v>
      </c>
      <c r="N27" s="110">
        <v>0.8</v>
      </c>
      <c r="O27" s="110">
        <v>0.8</v>
      </c>
      <c r="P27" s="110">
        <v>0.8</v>
      </c>
      <c r="Q27" s="110">
        <v>0.8</v>
      </c>
      <c r="R27" s="110">
        <v>0.8</v>
      </c>
      <c r="S27" s="110">
        <v>0</v>
      </c>
      <c r="T27" s="110">
        <v>0</v>
      </c>
      <c r="U27" s="110">
        <v>0.8</v>
      </c>
      <c r="V27" s="110">
        <v>0.8</v>
      </c>
      <c r="W27" s="110">
        <v>0.8</v>
      </c>
      <c r="X27" s="110">
        <v>0.8</v>
      </c>
      <c r="Y27" s="110">
        <v>0.8</v>
      </c>
      <c r="Z27" s="110">
        <v>0.8</v>
      </c>
      <c r="AA27" s="110">
        <v>0</v>
      </c>
      <c r="AB27" s="110">
        <v>0.8</v>
      </c>
      <c r="AC27" s="110">
        <v>0.8</v>
      </c>
      <c r="AD27" s="110">
        <v>0.8</v>
      </c>
      <c r="AE27" s="110">
        <v>0</v>
      </c>
      <c r="AF27" s="110">
        <v>0</v>
      </c>
      <c r="AG27" s="110">
        <v>0</v>
      </c>
      <c r="AH27" s="110">
        <v>0.8</v>
      </c>
      <c r="AI27" s="110">
        <v>0</v>
      </c>
      <c r="AJ27" s="110">
        <v>0</v>
      </c>
      <c r="AK27" s="110">
        <v>0</v>
      </c>
      <c r="AL27" s="110">
        <v>0</v>
      </c>
      <c r="AM27" s="110">
        <v>0</v>
      </c>
    </row>
    <row r="28" spans="1:39" customFormat="1" x14ac:dyDescent="0.15">
      <c r="A28" s="159" t="s">
        <v>218</v>
      </c>
      <c r="B28" s="110">
        <v>0.8</v>
      </c>
      <c r="C28" s="110">
        <v>0.8</v>
      </c>
      <c r="D28" s="110">
        <v>0</v>
      </c>
      <c r="E28" s="110">
        <v>0.8</v>
      </c>
      <c r="F28" s="110">
        <v>0.8</v>
      </c>
      <c r="G28" s="110">
        <v>0.8</v>
      </c>
      <c r="H28" s="110">
        <v>0</v>
      </c>
      <c r="I28" s="110">
        <v>0</v>
      </c>
      <c r="J28" s="110">
        <v>0</v>
      </c>
      <c r="K28" s="110">
        <v>0</v>
      </c>
      <c r="L28" s="110">
        <v>0.8</v>
      </c>
      <c r="M28" s="110">
        <v>0</v>
      </c>
      <c r="N28" s="110">
        <v>0</v>
      </c>
      <c r="O28" s="110">
        <v>0.8</v>
      </c>
      <c r="P28" s="110">
        <v>0.8</v>
      </c>
      <c r="Q28" s="110">
        <v>0</v>
      </c>
      <c r="R28" s="110">
        <v>0</v>
      </c>
      <c r="S28" s="110">
        <v>0</v>
      </c>
      <c r="T28" s="110">
        <v>0.8</v>
      </c>
      <c r="U28" s="110">
        <v>0.8</v>
      </c>
      <c r="V28" s="110">
        <v>0.8</v>
      </c>
      <c r="W28" s="110">
        <v>0.8</v>
      </c>
      <c r="X28" s="110">
        <v>0.8</v>
      </c>
      <c r="Y28" s="110">
        <v>0</v>
      </c>
      <c r="Z28" s="110">
        <v>0</v>
      </c>
      <c r="AA28" s="110">
        <v>0</v>
      </c>
      <c r="AB28" s="110">
        <v>0.8</v>
      </c>
      <c r="AC28" s="110">
        <v>0</v>
      </c>
      <c r="AD28" s="110">
        <v>0</v>
      </c>
      <c r="AE28" s="110">
        <v>0</v>
      </c>
      <c r="AF28" s="110">
        <v>0</v>
      </c>
      <c r="AG28" s="110">
        <v>0</v>
      </c>
      <c r="AH28" s="110">
        <v>0.8</v>
      </c>
      <c r="AI28" s="110">
        <v>0.8</v>
      </c>
      <c r="AJ28" s="110">
        <v>0.8</v>
      </c>
      <c r="AK28" s="110">
        <v>0</v>
      </c>
      <c r="AL28" s="110">
        <v>0</v>
      </c>
      <c r="AM28" s="110">
        <v>0</v>
      </c>
    </row>
    <row r="29" spans="1:39" customFormat="1" x14ac:dyDescent="0.15">
      <c r="A29" s="159" t="s">
        <v>219</v>
      </c>
      <c r="B29" s="110">
        <v>0.8</v>
      </c>
      <c r="C29" s="110">
        <v>0</v>
      </c>
      <c r="D29" s="110">
        <v>0.8</v>
      </c>
      <c r="E29" s="110">
        <v>0.8</v>
      </c>
      <c r="F29" s="110">
        <v>0</v>
      </c>
      <c r="G29" s="110">
        <v>0.8</v>
      </c>
      <c r="H29" s="110">
        <v>0</v>
      </c>
      <c r="I29" s="110">
        <v>0</v>
      </c>
      <c r="J29" s="110">
        <v>0</v>
      </c>
      <c r="K29" s="110">
        <v>0</v>
      </c>
      <c r="L29" s="110">
        <v>0.8</v>
      </c>
      <c r="M29" s="110">
        <v>0.8</v>
      </c>
      <c r="N29" s="110">
        <v>0.8</v>
      </c>
      <c r="O29" s="110">
        <v>0.8</v>
      </c>
      <c r="P29" s="110">
        <v>0.8</v>
      </c>
      <c r="Q29" s="110">
        <v>0.8</v>
      </c>
      <c r="R29" s="110">
        <v>0.8</v>
      </c>
      <c r="S29" s="110">
        <v>0</v>
      </c>
      <c r="T29" s="110">
        <v>0.8</v>
      </c>
      <c r="U29" s="110">
        <v>0.8</v>
      </c>
      <c r="V29" s="110">
        <v>0</v>
      </c>
      <c r="W29" s="110">
        <v>0</v>
      </c>
      <c r="X29" s="110">
        <v>0.8</v>
      </c>
      <c r="Y29" s="110">
        <v>0</v>
      </c>
      <c r="Z29" s="110">
        <v>0</v>
      </c>
      <c r="AA29" s="110">
        <v>0</v>
      </c>
      <c r="AB29" s="110">
        <v>0</v>
      </c>
      <c r="AC29" s="110">
        <v>0.8</v>
      </c>
      <c r="AD29" s="110">
        <v>0</v>
      </c>
      <c r="AE29" s="110">
        <v>0</v>
      </c>
      <c r="AF29" s="110">
        <v>0</v>
      </c>
      <c r="AG29" s="110">
        <v>0</v>
      </c>
      <c r="AH29" s="110">
        <v>0.8</v>
      </c>
      <c r="AI29" s="110">
        <v>0</v>
      </c>
      <c r="AJ29" s="110">
        <v>0</v>
      </c>
      <c r="AK29" s="110">
        <v>0</v>
      </c>
      <c r="AL29" s="110">
        <v>0</v>
      </c>
      <c r="AM29" s="110">
        <v>0</v>
      </c>
    </row>
    <row r="30" spans="1:39" customFormat="1" x14ac:dyDescent="0.15">
      <c r="A30" s="159" t="s">
        <v>220</v>
      </c>
      <c r="B30" s="110">
        <v>0.8</v>
      </c>
      <c r="C30" s="110">
        <v>0.8</v>
      </c>
      <c r="D30" s="110">
        <v>0.8</v>
      </c>
      <c r="E30" s="110">
        <v>0.8</v>
      </c>
      <c r="F30" s="110">
        <v>0.8</v>
      </c>
      <c r="G30" s="110">
        <v>0.8</v>
      </c>
      <c r="H30" s="110">
        <v>0</v>
      </c>
      <c r="I30" s="110">
        <v>0</v>
      </c>
      <c r="J30" s="110">
        <v>0</v>
      </c>
      <c r="K30" s="110">
        <v>0</v>
      </c>
      <c r="L30" s="110">
        <v>0.8</v>
      </c>
      <c r="M30" s="110">
        <v>0</v>
      </c>
      <c r="N30" s="110">
        <v>0</v>
      </c>
      <c r="O30" s="110">
        <v>0.8</v>
      </c>
      <c r="P30" s="110">
        <v>0.8</v>
      </c>
      <c r="Q30" s="110">
        <v>0.8</v>
      </c>
      <c r="R30" s="110">
        <v>0.8</v>
      </c>
      <c r="S30" s="110">
        <v>0</v>
      </c>
      <c r="T30" s="110">
        <v>0.8</v>
      </c>
      <c r="U30" s="110">
        <v>0.8</v>
      </c>
      <c r="V30" s="110">
        <v>0.8</v>
      </c>
      <c r="W30" s="110">
        <v>0.8</v>
      </c>
      <c r="X30" s="110">
        <v>0.8</v>
      </c>
      <c r="Y30" s="110">
        <v>0</v>
      </c>
      <c r="Z30" s="110">
        <v>0.8</v>
      </c>
      <c r="AA30" s="110">
        <v>0</v>
      </c>
      <c r="AB30" s="110">
        <v>0.8</v>
      </c>
      <c r="AC30" s="110">
        <v>0.8</v>
      </c>
      <c r="AD30" s="110">
        <v>0.8</v>
      </c>
      <c r="AE30" s="110">
        <v>0</v>
      </c>
      <c r="AF30" s="110">
        <v>0</v>
      </c>
      <c r="AG30" s="110">
        <v>0</v>
      </c>
      <c r="AH30" s="110">
        <v>0.8</v>
      </c>
      <c r="AI30" s="110">
        <v>0</v>
      </c>
      <c r="AJ30" s="110">
        <v>0</v>
      </c>
      <c r="AK30" s="110">
        <v>0</v>
      </c>
      <c r="AL30" s="110">
        <v>0</v>
      </c>
      <c r="AM30" s="110">
        <v>0</v>
      </c>
    </row>
    <row r="31" spans="1:39" customFormat="1" x14ac:dyDescent="0.15">
      <c r="A31" s="159" t="s">
        <v>221</v>
      </c>
      <c r="B31" s="110">
        <v>0.8</v>
      </c>
      <c r="C31" s="110">
        <v>0.8</v>
      </c>
      <c r="D31" s="110">
        <v>0.8</v>
      </c>
      <c r="E31" s="110">
        <v>0</v>
      </c>
      <c r="F31" s="110">
        <v>0.8</v>
      </c>
      <c r="G31" s="110">
        <v>0.8</v>
      </c>
      <c r="H31" s="110">
        <v>0</v>
      </c>
      <c r="I31" s="110">
        <v>0.8</v>
      </c>
      <c r="J31" s="110">
        <v>0</v>
      </c>
      <c r="K31" s="110">
        <v>0</v>
      </c>
      <c r="L31" s="110">
        <v>0</v>
      </c>
      <c r="M31" s="110">
        <v>0</v>
      </c>
      <c r="N31" s="110">
        <v>0.8</v>
      </c>
      <c r="O31" s="110">
        <v>0.8</v>
      </c>
      <c r="P31" s="110">
        <v>0.8</v>
      </c>
      <c r="Q31" s="110">
        <v>0.8</v>
      </c>
      <c r="R31" s="110">
        <v>0</v>
      </c>
      <c r="S31" s="110">
        <v>0</v>
      </c>
      <c r="T31" s="110">
        <v>0.8</v>
      </c>
      <c r="U31" s="110">
        <v>0</v>
      </c>
      <c r="V31" s="110">
        <v>0.8</v>
      </c>
      <c r="W31" s="110">
        <v>0.8</v>
      </c>
      <c r="X31" s="110">
        <v>0.8</v>
      </c>
      <c r="Y31" s="110">
        <v>0</v>
      </c>
      <c r="Z31" s="110">
        <v>0</v>
      </c>
      <c r="AA31" s="110">
        <v>0</v>
      </c>
      <c r="AB31" s="110">
        <v>0.8</v>
      </c>
      <c r="AC31" s="110">
        <v>0</v>
      </c>
      <c r="AD31" s="110">
        <v>0</v>
      </c>
      <c r="AE31" s="110">
        <v>0.8</v>
      </c>
      <c r="AF31" s="110">
        <v>0</v>
      </c>
      <c r="AG31" s="110">
        <v>0.8</v>
      </c>
      <c r="AH31" s="110">
        <v>0.8</v>
      </c>
      <c r="AI31" s="110">
        <v>0</v>
      </c>
      <c r="AJ31" s="110">
        <v>0.8</v>
      </c>
      <c r="AK31" s="110">
        <v>0</v>
      </c>
      <c r="AL31" s="110">
        <v>0</v>
      </c>
      <c r="AM31" s="110">
        <v>0</v>
      </c>
    </row>
    <row r="32" spans="1:39" customFormat="1" x14ac:dyDescent="0.15">
      <c r="A32" s="159" t="s">
        <v>222</v>
      </c>
      <c r="B32" s="110">
        <v>0</v>
      </c>
      <c r="C32" s="110">
        <v>0.8</v>
      </c>
      <c r="D32" s="110">
        <v>0.8</v>
      </c>
      <c r="E32" s="110">
        <v>0</v>
      </c>
      <c r="F32" s="110">
        <v>0.8</v>
      </c>
      <c r="G32" s="110">
        <v>0.8</v>
      </c>
      <c r="H32" s="110">
        <v>0.8</v>
      </c>
      <c r="I32" s="110">
        <v>0.8</v>
      </c>
      <c r="J32" s="110">
        <v>0.8</v>
      </c>
      <c r="K32" s="110">
        <v>0.8</v>
      </c>
      <c r="L32" s="110">
        <v>0.8</v>
      </c>
      <c r="M32" s="110">
        <v>0.8</v>
      </c>
      <c r="N32" s="110">
        <v>0.8</v>
      </c>
      <c r="O32" s="110">
        <v>0.8</v>
      </c>
      <c r="P32" s="110">
        <v>0</v>
      </c>
      <c r="Q32" s="110">
        <v>0.8</v>
      </c>
      <c r="R32" s="110">
        <v>0</v>
      </c>
      <c r="S32" s="110">
        <v>0.8</v>
      </c>
      <c r="T32" s="110">
        <v>0.8</v>
      </c>
      <c r="U32" s="110">
        <v>0.8</v>
      </c>
      <c r="V32" s="110">
        <v>0</v>
      </c>
      <c r="W32" s="110">
        <v>0</v>
      </c>
      <c r="X32" s="110">
        <v>0.8</v>
      </c>
      <c r="Y32" s="110">
        <v>0</v>
      </c>
      <c r="Z32" s="110">
        <v>0.8</v>
      </c>
      <c r="AA32" s="110">
        <v>0.8</v>
      </c>
      <c r="AB32" s="110">
        <v>0.8</v>
      </c>
      <c r="AC32" s="110">
        <v>0</v>
      </c>
      <c r="AD32" s="110">
        <v>0.8</v>
      </c>
      <c r="AE32" s="110">
        <v>0.8</v>
      </c>
      <c r="AF32" s="110">
        <v>0</v>
      </c>
      <c r="AG32" s="110">
        <v>0.8</v>
      </c>
      <c r="AH32" s="110">
        <v>0</v>
      </c>
      <c r="AI32" s="110">
        <v>0</v>
      </c>
      <c r="AJ32" s="110">
        <v>0.8</v>
      </c>
      <c r="AK32" s="110">
        <v>0</v>
      </c>
      <c r="AL32" s="110">
        <v>0</v>
      </c>
      <c r="AM32" s="110">
        <v>0</v>
      </c>
    </row>
    <row r="33" spans="1:39" x14ac:dyDescent="0.15">
      <c r="A33" s="159" t="s">
        <v>223</v>
      </c>
      <c r="B33" s="110">
        <v>0.8</v>
      </c>
      <c r="C33" s="110">
        <v>0.8</v>
      </c>
      <c r="D33" s="110">
        <v>0.8</v>
      </c>
      <c r="E33" s="110">
        <v>0</v>
      </c>
      <c r="F33" s="110">
        <v>0.8</v>
      </c>
      <c r="G33" s="110">
        <v>0.8</v>
      </c>
      <c r="H33" s="110">
        <v>0</v>
      </c>
      <c r="I33" s="110">
        <v>0.8</v>
      </c>
      <c r="J33" s="110">
        <v>0</v>
      </c>
      <c r="K33" s="110">
        <v>0</v>
      </c>
      <c r="L33" s="110">
        <v>0.8</v>
      </c>
      <c r="M33" s="110">
        <v>0.8</v>
      </c>
      <c r="N33" s="110">
        <v>0.8</v>
      </c>
      <c r="O33" s="110">
        <v>0.8</v>
      </c>
      <c r="P33" s="110">
        <v>0.8</v>
      </c>
      <c r="Q33" s="110">
        <v>0.8</v>
      </c>
      <c r="R33" s="110">
        <v>0.8</v>
      </c>
      <c r="S33" s="110">
        <v>0</v>
      </c>
      <c r="T33" s="110">
        <v>0.8</v>
      </c>
      <c r="U33" s="110">
        <v>0.8</v>
      </c>
      <c r="V33" s="110">
        <v>0.8</v>
      </c>
      <c r="W33" s="110">
        <v>0</v>
      </c>
      <c r="X33" s="110">
        <v>0.8</v>
      </c>
      <c r="Y33" s="110">
        <v>0.8</v>
      </c>
      <c r="Z33" s="110">
        <v>0.8</v>
      </c>
      <c r="AA33" s="110">
        <v>0.8</v>
      </c>
      <c r="AB33" s="110">
        <v>0.8</v>
      </c>
      <c r="AC33" s="110">
        <v>0.8</v>
      </c>
      <c r="AD33" s="110">
        <v>0.8</v>
      </c>
      <c r="AE33" s="110">
        <v>0.8</v>
      </c>
      <c r="AF33" s="110">
        <v>0</v>
      </c>
      <c r="AG33" s="110">
        <v>0.8</v>
      </c>
      <c r="AH33" s="110">
        <v>0.8</v>
      </c>
      <c r="AI33" s="110">
        <v>0</v>
      </c>
      <c r="AJ33" s="110">
        <v>0</v>
      </c>
      <c r="AK33" s="110">
        <v>0</v>
      </c>
      <c r="AL33" s="110">
        <v>0</v>
      </c>
      <c r="AM33" s="110">
        <v>0</v>
      </c>
    </row>
    <row r="34" spans="1:39" x14ac:dyDescent="0.15">
      <c r="A34" s="159" t="s">
        <v>224</v>
      </c>
      <c r="B34" s="110">
        <v>0</v>
      </c>
      <c r="C34" s="110">
        <v>0</v>
      </c>
      <c r="D34" s="110">
        <v>0</v>
      </c>
      <c r="E34" s="110">
        <v>0</v>
      </c>
      <c r="F34" s="110">
        <v>0</v>
      </c>
      <c r="G34" s="110">
        <v>0</v>
      </c>
      <c r="H34" s="110">
        <v>0</v>
      </c>
      <c r="I34" s="110">
        <v>0</v>
      </c>
      <c r="J34" s="110">
        <v>0</v>
      </c>
      <c r="K34" s="110">
        <v>0</v>
      </c>
      <c r="L34" s="110">
        <v>0</v>
      </c>
      <c r="M34" s="110">
        <v>0</v>
      </c>
      <c r="N34" s="110">
        <v>0</v>
      </c>
      <c r="O34" s="110">
        <v>0</v>
      </c>
      <c r="P34" s="110">
        <v>0</v>
      </c>
      <c r="Q34" s="110">
        <v>0</v>
      </c>
      <c r="R34" s="110">
        <v>0</v>
      </c>
      <c r="S34" s="110">
        <v>0</v>
      </c>
      <c r="T34" s="110">
        <v>0</v>
      </c>
      <c r="U34" s="110">
        <v>0</v>
      </c>
      <c r="V34" s="110">
        <v>0.8</v>
      </c>
      <c r="W34" s="110">
        <v>0</v>
      </c>
      <c r="X34" s="110">
        <v>0</v>
      </c>
      <c r="Y34" s="110">
        <v>0</v>
      </c>
      <c r="Z34" s="110">
        <v>0</v>
      </c>
      <c r="AA34" s="110">
        <v>0</v>
      </c>
      <c r="AB34" s="110">
        <v>0</v>
      </c>
      <c r="AC34" s="110">
        <v>0</v>
      </c>
      <c r="AD34" s="110">
        <v>0</v>
      </c>
      <c r="AE34" s="110">
        <v>0</v>
      </c>
      <c r="AF34" s="110">
        <v>0</v>
      </c>
      <c r="AG34" s="110">
        <v>0</v>
      </c>
      <c r="AH34" s="110">
        <v>0</v>
      </c>
      <c r="AI34" s="110">
        <v>0</v>
      </c>
      <c r="AJ34" s="110">
        <v>0</v>
      </c>
      <c r="AK34" s="110">
        <v>0</v>
      </c>
      <c r="AL34" s="110">
        <v>0</v>
      </c>
      <c r="AM34" s="110">
        <v>0</v>
      </c>
    </row>
    <row r="35" spans="1:39" x14ac:dyDescent="0.15">
      <c r="A35" s="159" t="s">
        <v>225</v>
      </c>
      <c r="B35" s="110">
        <v>0</v>
      </c>
      <c r="C35" s="110">
        <v>0</v>
      </c>
      <c r="D35" s="110">
        <v>0</v>
      </c>
      <c r="E35" s="110">
        <v>0</v>
      </c>
      <c r="F35" s="110">
        <v>0</v>
      </c>
      <c r="G35" s="110">
        <v>0</v>
      </c>
      <c r="H35" s="110">
        <v>0</v>
      </c>
      <c r="I35" s="110">
        <v>0</v>
      </c>
      <c r="J35" s="110">
        <v>0</v>
      </c>
      <c r="K35" s="110">
        <v>0</v>
      </c>
      <c r="L35" s="110">
        <v>0</v>
      </c>
      <c r="M35" s="110">
        <v>0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0</v>
      </c>
      <c r="U35" s="110">
        <v>0.8</v>
      </c>
      <c r="V35" s="110">
        <v>0.8</v>
      </c>
      <c r="W35" s="110">
        <v>0</v>
      </c>
      <c r="X35" s="110">
        <v>0</v>
      </c>
      <c r="Y35" s="110">
        <v>0</v>
      </c>
      <c r="Z35" s="110">
        <v>0</v>
      </c>
      <c r="AA35" s="110">
        <v>0</v>
      </c>
      <c r="AB35" s="110">
        <v>0</v>
      </c>
      <c r="AC35" s="110">
        <v>0</v>
      </c>
      <c r="AD35" s="110">
        <v>0</v>
      </c>
      <c r="AE35" s="110">
        <v>0</v>
      </c>
      <c r="AF35" s="110">
        <v>0</v>
      </c>
      <c r="AG35" s="110">
        <v>0</v>
      </c>
      <c r="AH35" s="110">
        <v>0</v>
      </c>
      <c r="AI35" s="110">
        <v>0</v>
      </c>
      <c r="AJ35" s="110">
        <v>0</v>
      </c>
      <c r="AK35" s="110">
        <v>0</v>
      </c>
      <c r="AL35" s="110">
        <v>0</v>
      </c>
      <c r="AM35" s="110">
        <v>0</v>
      </c>
    </row>
    <row r="36" spans="1:39" x14ac:dyDescent="0.15">
      <c r="A36" s="159" t="s">
        <v>226</v>
      </c>
      <c r="B36" s="110">
        <v>0</v>
      </c>
      <c r="C36" s="110">
        <v>0</v>
      </c>
      <c r="D36" s="110">
        <v>0</v>
      </c>
      <c r="E36" s="110">
        <v>0</v>
      </c>
      <c r="F36" s="110">
        <v>0</v>
      </c>
      <c r="G36" s="110">
        <v>0</v>
      </c>
      <c r="H36" s="110">
        <v>0</v>
      </c>
      <c r="I36" s="110">
        <v>0</v>
      </c>
      <c r="J36" s="110">
        <v>0</v>
      </c>
      <c r="K36" s="110">
        <v>0</v>
      </c>
      <c r="L36" s="110">
        <v>0</v>
      </c>
      <c r="M36" s="110">
        <v>0</v>
      </c>
      <c r="N36" s="110">
        <v>0</v>
      </c>
      <c r="O36" s="110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0.8</v>
      </c>
      <c r="W36" s="110">
        <v>0</v>
      </c>
      <c r="X36" s="110">
        <v>0</v>
      </c>
      <c r="Y36" s="110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0">
        <v>0</v>
      </c>
      <c r="AJ36" s="110">
        <v>0</v>
      </c>
      <c r="AK36" s="110">
        <v>0</v>
      </c>
      <c r="AL36" s="110">
        <v>0</v>
      </c>
      <c r="AM36" s="110">
        <v>0</v>
      </c>
    </row>
    <row r="37" spans="1:39" x14ac:dyDescent="0.15">
      <c r="A37" s="159" t="s">
        <v>227</v>
      </c>
      <c r="B37" s="110">
        <v>0</v>
      </c>
      <c r="C37" s="110">
        <v>0</v>
      </c>
      <c r="D37" s="110">
        <v>0.8</v>
      </c>
      <c r="E37" s="110">
        <v>0</v>
      </c>
      <c r="F37" s="110">
        <v>0</v>
      </c>
      <c r="G37" s="110">
        <v>0</v>
      </c>
      <c r="H37" s="110">
        <v>0</v>
      </c>
      <c r="I37" s="110">
        <v>0</v>
      </c>
      <c r="J37" s="110">
        <v>0.8</v>
      </c>
      <c r="K37" s="110">
        <v>0</v>
      </c>
      <c r="L37" s="110">
        <v>0</v>
      </c>
      <c r="M37" s="110">
        <v>0</v>
      </c>
      <c r="N37" s="110">
        <v>0.8</v>
      </c>
      <c r="O37" s="110">
        <v>0.8</v>
      </c>
      <c r="P37" s="110">
        <v>0</v>
      </c>
      <c r="Q37" s="110">
        <v>0.8</v>
      </c>
      <c r="R37" s="110">
        <v>0</v>
      </c>
      <c r="S37" s="110">
        <v>0.8</v>
      </c>
      <c r="T37" s="110">
        <v>0</v>
      </c>
      <c r="U37" s="110">
        <v>0</v>
      </c>
      <c r="V37" s="110">
        <v>0</v>
      </c>
      <c r="W37" s="110">
        <v>0</v>
      </c>
      <c r="X37" s="110">
        <v>0.8</v>
      </c>
      <c r="Y37" s="110">
        <v>0.8</v>
      </c>
      <c r="Z37" s="110">
        <v>0.8</v>
      </c>
      <c r="AA37" s="110">
        <v>0.8</v>
      </c>
      <c r="AB37" s="110">
        <v>0.8</v>
      </c>
      <c r="AC37" s="110">
        <v>0</v>
      </c>
      <c r="AD37" s="110">
        <v>0</v>
      </c>
      <c r="AE37" s="110">
        <v>0.8</v>
      </c>
      <c r="AF37" s="110">
        <v>0.8</v>
      </c>
      <c r="AG37" s="110">
        <v>0</v>
      </c>
      <c r="AH37" s="110">
        <v>0</v>
      </c>
      <c r="AI37" s="110">
        <v>0</v>
      </c>
      <c r="AJ37" s="110">
        <v>0</v>
      </c>
      <c r="AK37" s="110">
        <v>0</v>
      </c>
      <c r="AL37" s="110">
        <v>0</v>
      </c>
      <c r="AM37" s="110">
        <v>0</v>
      </c>
    </row>
    <row r="38" spans="1:39" x14ac:dyDescent="0.15">
      <c r="A38" s="159" t="s">
        <v>228</v>
      </c>
      <c r="B38" s="110">
        <v>0.8</v>
      </c>
      <c r="C38" s="110">
        <v>0</v>
      </c>
      <c r="D38" s="110">
        <v>0.8</v>
      </c>
      <c r="E38" s="110">
        <v>0</v>
      </c>
      <c r="F38" s="110">
        <v>0.8</v>
      </c>
      <c r="G38" s="110">
        <v>0.8</v>
      </c>
      <c r="H38" s="110">
        <v>0</v>
      </c>
      <c r="I38" s="110">
        <v>0</v>
      </c>
      <c r="J38" s="110">
        <v>0</v>
      </c>
      <c r="K38" s="110">
        <v>0</v>
      </c>
      <c r="L38" s="110">
        <v>0.8</v>
      </c>
      <c r="M38" s="110">
        <v>0</v>
      </c>
      <c r="N38" s="110">
        <v>0.8</v>
      </c>
      <c r="O38" s="110">
        <v>0.8</v>
      </c>
      <c r="P38" s="110">
        <v>0.8</v>
      </c>
      <c r="Q38" s="110">
        <v>0</v>
      </c>
      <c r="R38" s="110">
        <v>0</v>
      </c>
      <c r="S38" s="110">
        <v>0</v>
      </c>
      <c r="T38" s="110">
        <v>0.8</v>
      </c>
      <c r="U38" s="110">
        <v>0</v>
      </c>
      <c r="V38" s="110">
        <v>0</v>
      </c>
      <c r="W38" s="110">
        <v>0</v>
      </c>
      <c r="X38" s="110">
        <v>0.8</v>
      </c>
      <c r="Y38" s="110">
        <v>0.8</v>
      </c>
      <c r="Z38" s="110">
        <v>0.8</v>
      </c>
      <c r="AA38" s="110">
        <v>0.8</v>
      </c>
      <c r="AB38" s="110">
        <v>0</v>
      </c>
      <c r="AC38" s="110">
        <v>0.8</v>
      </c>
      <c r="AD38" s="110">
        <v>0.8</v>
      </c>
      <c r="AE38" s="110">
        <v>0.8</v>
      </c>
      <c r="AF38" s="110">
        <v>0</v>
      </c>
      <c r="AG38" s="110">
        <v>0</v>
      </c>
      <c r="AH38" s="110">
        <v>0</v>
      </c>
      <c r="AI38" s="110">
        <v>0</v>
      </c>
      <c r="AJ38" s="110">
        <v>0</v>
      </c>
      <c r="AK38" s="110">
        <v>0</v>
      </c>
      <c r="AL38" s="110">
        <v>0</v>
      </c>
      <c r="AM38" s="110">
        <v>0</v>
      </c>
    </row>
    <row r="39" spans="1:39" x14ac:dyDescent="0.15">
      <c r="A39" s="159" t="s">
        <v>229</v>
      </c>
      <c r="B39" s="110">
        <v>0</v>
      </c>
      <c r="C39" s="110">
        <v>0</v>
      </c>
      <c r="D39" s="110">
        <v>0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110">
        <v>0</v>
      </c>
      <c r="O39" s="110">
        <v>0</v>
      </c>
      <c r="P39" s="110">
        <v>0</v>
      </c>
      <c r="Q39" s="110">
        <v>0</v>
      </c>
      <c r="R39" s="110">
        <v>0</v>
      </c>
      <c r="S39" s="110">
        <v>0</v>
      </c>
      <c r="T39" s="110">
        <v>0</v>
      </c>
      <c r="U39" s="110">
        <v>0</v>
      </c>
      <c r="V39" s="110">
        <v>0</v>
      </c>
      <c r="W39" s="110">
        <v>0</v>
      </c>
      <c r="X39" s="110">
        <v>0</v>
      </c>
      <c r="Y39" s="110">
        <v>0</v>
      </c>
      <c r="Z39" s="110">
        <v>0</v>
      </c>
      <c r="AA39" s="110">
        <v>0</v>
      </c>
      <c r="AB39" s="110">
        <v>0</v>
      </c>
      <c r="AC39" s="110">
        <v>0</v>
      </c>
      <c r="AD39" s="110">
        <v>0</v>
      </c>
      <c r="AE39" s="110">
        <v>0</v>
      </c>
      <c r="AF39" s="110">
        <v>0</v>
      </c>
      <c r="AG39" s="110">
        <v>0</v>
      </c>
      <c r="AH39" s="110">
        <v>0</v>
      </c>
      <c r="AI39" s="110">
        <v>0</v>
      </c>
      <c r="AJ39" s="110">
        <v>0</v>
      </c>
      <c r="AK39" s="110">
        <v>0</v>
      </c>
      <c r="AL39" s="110">
        <v>0</v>
      </c>
      <c r="AM39" s="110">
        <v>0</v>
      </c>
    </row>
    <row r="40" spans="1:39" x14ac:dyDescent="0.15">
      <c r="A40" s="159" t="s">
        <v>235</v>
      </c>
      <c r="B40" s="110">
        <v>0</v>
      </c>
      <c r="C40" s="110">
        <v>0</v>
      </c>
      <c r="D40" s="110">
        <v>0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10">
        <v>0</v>
      </c>
      <c r="P40" s="110">
        <v>0</v>
      </c>
      <c r="Q40" s="110">
        <v>0</v>
      </c>
      <c r="R40" s="110">
        <v>0</v>
      </c>
      <c r="S40" s="110">
        <v>0</v>
      </c>
      <c r="T40" s="110">
        <v>0</v>
      </c>
      <c r="U40" s="110">
        <v>0</v>
      </c>
      <c r="V40" s="110">
        <v>0</v>
      </c>
      <c r="W40" s="110">
        <v>0</v>
      </c>
      <c r="X40" s="110">
        <v>0</v>
      </c>
      <c r="Y40" s="110">
        <v>0</v>
      </c>
      <c r="Z40" s="110">
        <v>0</v>
      </c>
      <c r="AA40" s="110">
        <v>0</v>
      </c>
      <c r="AB40" s="110">
        <v>0</v>
      </c>
      <c r="AC40" s="110">
        <v>0</v>
      </c>
      <c r="AD40" s="110">
        <v>0</v>
      </c>
      <c r="AE40" s="110">
        <v>0</v>
      </c>
      <c r="AF40" s="110">
        <v>0</v>
      </c>
      <c r="AG40" s="110">
        <v>0</v>
      </c>
      <c r="AH40" s="110">
        <v>0</v>
      </c>
      <c r="AI40" s="110">
        <v>0</v>
      </c>
      <c r="AJ40" s="110">
        <v>0</v>
      </c>
      <c r="AK40" s="110">
        <v>0</v>
      </c>
      <c r="AL40" s="110">
        <v>0</v>
      </c>
      <c r="AM40" s="11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34.33203125" style="110" bestFit="1" customWidth="1"/>
    <col min="2" max="39" width="2.33203125" style="110" customWidth="1"/>
    <col min="40" max="16384" width="10.83203125" style="110"/>
  </cols>
  <sheetData>
    <row r="1" spans="1:39" x14ac:dyDescent="0.15">
      <c r="A1" s="63" t="s">
        <v>139</v>
      </c>
      <c r="B1" s="162" t="s">
        <v>192</v>
      </c>
      <c r="C1" s="162" t="s">
        <v>193</v>
      </c>
      <c r="D1" s="162" t="s">
        <v>194</v>
      </c>
      <c r="E1" s="162" t="s">
        <v>195</v>
      </c>
      <c r="F1" s="162" t="s">
        <v>196</v>
      </c>
      <c r="G1" s="162" t="s">
        <v>197</v>
      </c>
      <c r="H1" s="162" t="s">
        <v>198</v>
      </c>
      <c r="I1" s="162" t="s">
        <v>199</v>
      </c>
      <c r="J1" s="162" t="s">
        <v>200</v>
      </c>
      <c r="K1" s="162" t="s">
        <v>201</v>
      </c>
      <c r="L1" s="162" t="s">
        <v>202</v>
      </c>
      <c r="M1" s="162" t="s">
        <v>203</v>
      </c>
      <c r="N1" s="162" t="s">
        <v>204</v>
      </c>
      <c r="O1" s="162" t="s">
        <v>205</v>
      </c>
      <c r="P1" s="162" t="s">
        <v>206</v>
      </c>
      <c r="Q1" s="162" t="s">
        <v>207</v>
      </c>
      <c r="R1" s="162" t="s">
        <v>208</v>
      </c>
      <c r="S1" s="162" t="s">
        <v>209</v>
      </c>
      <c r="T1" s="162" t="s">
        <v>210</v>
      </c>
      <c r="U1" s="162" t="s">
        <v>211</v>
      </c>
      <c r="V1" s="162" t="s">
        <v>212</v>
      </c>
      <c r="W1" s="162" t="s">
        <v>213</v>
      </c>
      <c r="X1" s="162" t="s">
        <v>214</v>
      </c>
      <c r="Y1" s="162" t="s">
        <v>215</v>
      </c>
      <c r="Z1" s="162" t="s">
        <v>216</v>
      </c>
      <c r="AA1" s="162" t="s">
        <v>217</v>
      </c>
      <c r="AB1" s="162" t="s">
        <v>218</v>
      </c>
      <c r="AC1" s="162" t="s">
        <v>219</v>
      </c>
      <c r="AD1" s="162" t="s">
        <v>220</v>
      </c>
      <c r="AE1" s="162" t="s">
        <v>221</v>
      </c>
      <c r="AF1" s="162" t="s">
        <v>222</v>
      </c>
      <c r="AG1" s="162" t="s">
        <v>223</v>
      </c>
      <c r="AH1" s="162" t="s">
        <v>224</v>
      </c>
      <c r="AI1" s="162" t="s">
        <v>225</v>
      </c>
      <c r="AJ1" s="162" t="s">
        <v>226</v>
      </c>
      <c r="AK1" s="162" t="s">
        <v>227</v>
      </c>
      <c r="AL1" s="162" t="s">
        <v>228</v>
      </c>
      <c r="AM1" s="162" t="s">
        <v>229</v>
      </c>
    </row>
    <row r="2" spans="1:39" customFormat="1" x14ac:dyDescent="0.15">
      <c r="A2" s="161" t="s">
        <v>192</v>
      </c>
      <c r="B2" s="110">
        <v>1</v>
      </c>
      <c r="C2" s="110">
        <v>0</v>
      </c>
      <c r="D2" s="110">
        <v>0</v>
      </c>
      <c r="E2" s="110">
        <v>0</v>
      </c>
      <c r="F2" s="110">
        <v>0</v>
      </c>
      <c r="G2" s="110">
        <v>0</v>
      </c>
      <c r="H2" s="110">
        <v>0</v>
      </c>
      <c r="I2" s="110">
        <v>0</v>
      </c>
      <c r="J2" s="110">
        <v>0</v>
      </c>
      <c r="K2" s="110">
        <v>0</v>
      </c>
      <c r="L2" s="110">
        <v>0</v>
      </c>
      <c r="M2" s="110">
        <v>0</v>
      </c>
      <c r="N2" s="110">
        <v>0</v>
      </c>
      <c r="O2" s="110">
        <v>0</v>
      </c>
      <c r="P2" s="110">
        <v>0</v>
      </c>
      <c r="Q2" s="110">
        <v>0</v>
      </c>
      <c r="R2" s="110">
        <v>0</v>
      </c>
      <c r="S2" s="110">
        <v>0</v>
      </c>
      <c r="T2" s="110">
        <v>0</v>
      </c>
      <c r="U2" s="110">
        <v>1</v>
      </c>
      <c r="V2" s="110">
        <v>1</v>
      </c>
      <c r="W2" s="110">
        <v>1</v>
      </c>
      <c r="X2" s="110">
        <v>0</v>
      </c>
      <c r="Y2" s="110">
        <v>0</v>
      </c>
      <c r="Z2" s="110">
        <v>0</v>
      </c>
      <c r="AA2" s="110">
        <v>0</v>
      </c>
      <c r="AB2" s="110">
        <v>0</v>
      </c>
      <c r="AC2" s="110">
        <v>0</v>
      </c>
      <c r="AD2" s="110">
        <v>0</v>
      </c>
      <c r="AE2" s="110">
        <v>0</v>
      </c>
      <c r="AF2" s="110">
        <v>0</v>
      </c>
      <c r="AG2" s="110">
        <v>0</v>
      </c>
      <c r="AH2" s="110">
        <v>0</v>
      </c>
      <c r="AI2" s="110">
        <v>1</v>
      </c>
      <c r="AJ2" s="110">
        <v>0</v>
      </c>
      <c r="AK2" s="110">
        <v>0</v>
      </c>
      <c r="AL2" s="110">
        <v>0</v>
      </c>
      <c r="AM2" s="110">
        <v>0</v>
      </c>
    </row>
    <row r="3" spans="1:39" customFormat="1" x14ac:dyDescent="0.15">
      <c r="A3" s="161" t="s">
        <v>193</v>
      </c>
      <c r="B3" s="110">
        <v>1</v>
      </c>
      <c r="C3" s="110">
        <v>0</v>
      </c>
      <c r="D3" s="110">
        <v>0</v>
      </c>
      <c r="E3" s="110">
        <v>0</v>
      </c>
      <c r="F3" s="110">
        <v>0</v>
      </c>
      <c r="G3" s="110">
        <v>0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1</v>
      </c>
      <c r="O3" s="110">
        <v>0</v>
      </c>
      <c r="P3" s="110">
        <v>0</v>
      </c>
      <c r="Q3" s="110">
        <v>0</v>
      </c>
      <c r="R3" s="110">
        <v>0</v>
      </c>
      <c r="S3" s="110">
        <v>0</v>
      </c>
      <c r="T3" s="110">
        <v>1</v>
      </c>
      <c r="U3" s="110">
        <v>0</v>
      </c>
      <c r="V3" s="110">
        <v>1</v>
      </c>
      <c r="W3" s="110">
        <v>0</v>
      </c>
      <c r="X3" s="110">
        <v>0</v>
      </c>
      <c r="Y3" s="110">
        <v>0</v>
      </c>
      <c r="Z3" s="110">
        <v>0</v>
      </c>
      <c r="AA3" s="110">
        <v>0</v>
      </c>
      <c r="AB3" s="110">
        <v>0</v>
      </c>
      <c r="AC3" s="110">
        <v>0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1</v>
      </c>
      <c r="AJ3" s="110">
        <v>0</v>
      </c>
      <c r="AK3" s="110">
        <v>0</v>
      </c>
      <c r="AL3" s="110">
        <v>0</v>
      </c>
      <c r="AM3" s="110">
        <v>0</v>
      </c>
    </row>
    <row r="4" spans="1:39" customFormat="1" x14ac:dyDescent="0.15">
      <c r="A4" s="161" t="s">
        <v>194</v>
      </c>
      <c r="B4" s="110">
        <v>1</v>
      </c>
      <c r="C4" s="110">
        <v>1</v>
      </c>
      <c r="D4" s="110">
        <v>0</v>
      </c>
      <c r="E4" s="110">
        <v>1</v>
      </c>
      <c r="F4" s="110">
        <v>1</v>
      </c>
      <c r="G4" s="110">
        <v>1</v>
      </c>
      <c r="H4" s="110">
        <v>1</v>
      </c>
      <c r="I4" s="110">
        <v>1</v>
      </c>
      <c r="J4" s="110">
        <v>0</v>
      </c>
      <c r="K4" s="110">
        <v>0</v>
      </c>
      <c r="L4" s="110">
        <v>1</v>
      </c>
      <c r="M4" s="110">
        <v>0</v>
      </c>
      <c r="N4" s="110">
        <v>1</v>
      </c>
      <c r="O4" s="110">
        <v>1</v>
      </c>
      <c r="P4" s="110">
        <v>1</v>
      </c>
      <c r="Q4" s="110">
        <v>0</v>
      </c>
      <c r="R4" s="110">
        <v>1</v>
      </c>
      <c r="S4" s="110">
        <v>0</v>
      </c>
      <c r="T4" s="110">
        <v>1</v>
      </c>
      <c r="U4" s="110">
        <v>1</v>
      </c>
      <c r="V4" s="110">
        <v>1</v>
      </c>
      <c r="W4" s="110">
        <v>1</v>
      </c>
      <c r="X4" s="110">
        <v>0</v>
      </c>
      <c r="Y4" s="110">
        <v>0</v>
      </c>
      <c r="Z4" s="110">
        <v>0</v>
      </c>
      <c r="AA4" s="110">
        <v>0</v>
      </c>
      <c r="AB4" s="110">
        <v>1</v>
      </c>
      <c r="AC4" s="110">
        <v>0</v>
      </c>
      <c r="AD4" s="110">
        <v>0</v>
      </c>
      <c r="AE4" s="110">
        <v>0</v>
      </c>
      <c r="AF4" s="110">
        <v>0</v>
      </c>
      <c r="AG4" s="110">
        <v>0</v>
      </c>
      <c r="AH4" s="110">
        <v>1</v>
      </c>
      <c r="AI4" s="110">
        <v>1</v>
      </c>
      <c r="AJ4" s="110">
        <v>0</v>
      </c>
      <c r="AK4" s="110">
        <v>0</v>
      </c>
      <c r="AL4" s="110">
        <v>0</v>
      </c>
      <c r="AM4" s="110">
        <v>0</v>
      </c>
    </row>
    <row r="5" spans="1:39" customFormat="1" x14ac:dyDescent="0.15">
      <c r="A5" s="161" t="s">
        <v>195</v>
      </c>
      <c r="B5" s="110">
        <v>0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0</v>
      </c>
      <c r="AM5" s="110">
        <v>0</v>
      </c>
    </row>
    <row r="6" spans="1:39" customFormat="1" x14ac:dyDescent="0.15">
      <c r="A6" s="161" t="s">
        <v>196</v>
      </c>
      <c r="B6" s="110">
        <v>1</v>
      </c>
      <c r="C6" s="110">
        <v>0</v>
      </c>
      <c r="D6" s="110">
        <v>0</v>
      </c>
      <c r="E6" s="110">
        <v>1</v>
      </c>
      <c r="F6" s="110">
        <v>1</v>
      </c>
      <c r="G6" s="110">
        <v>0</v>
      </c>
      <c r="H6" s="110">
        <v>0</v>
      </c>
      <c r="I6" s="110">
        <v>0</v>
      </c>
      <c r="J6" s="110">
        <v>0</v>
      </c>
      <c r="K6" s="110">
        <v>0</v>
      </c>
      <c r="L6" s="110">
        <v>1</v>
      </c>
      <c r="M6" s="110">
        <v>0</v>
      </c>
      <c r="N6" s="110">
        <v>0</v>
      </c>
      <c r="O6" s="110">
        <v>0</v>
      </c>
      <c r="P6" s="110">
        <v>0</v>
      </c>
      <c r="Q6" s="110">
        <v>0</v>
      </c>
      <c r="R6" s="110">
        <v>0</v>
      </c>
      <c r="S6" s="110">
        <v>0</v>
      </c>
      <c r="T6" s="110">
        <v>1</v>
      </c>
      <c r="U6" s="110">
        <v>1</v>
      </c>
      <c r="V6" s="110">
        <v>1</v>
      </c>
      <c r="W6" s="110">
        <v>1</v>
      </c>
      <c r="X6" s="110">
        <v>0</v>
      </c>
      <c r="Y6" s="110">
        <v>0</v>
      </c>
      <c r="Z6" s="110">
        <v>0</v>
      </c>
      <c r="AA6" s="110">
        <v>0</v>
      </c>
      <c r="AB6" s="110">
        <v>0</v>
      </c>
      <c r="AC6" s="110">
        <v>0</v>
      </c>
      <c r="AD6" s="110">
        <v>0</v>
      </c>
      <c r="AE6" s="110">
        <v>0</v>
      </c>
      <c r="AF6" s="110">
        <v>0</v>
      </c>
      <c r="AG6" s="110">
        <v>0</v>
      </c>
      <c r="AH6" s="110">
        <v>1</v>
      </c>
      <c r="AI6" s="110">
        <v>1</v>
      </c>
      <c r="AJ6" s="110">
        <v>0</v>
      </c>
      <c r="AK6" s="110">
        <v>0</v>
      </c>
      <c r="AL6" s="110">
        <v>0</v>
      </c>
      <c r="AM6" s="110">
        <v>0</v>
      </c>
    </row>
    <row r="7" spans="1:39" customFormat="1" x14ac:dyDescent="0.15">
      <c r="A7" s="161" t="s">
        <v>197</v>
      </c>
      <c r="B7" s="110">
        <v>1</v>
      </c>
      <c r="C7" s="110">
        <v>0</v>
      </c>
      <c r="D7" s="110">
        <v>0</v>
      </c>
      <c r="E7" s="110">
        <v>1</v>
      </c>
      <c r="F7" s="110">
        <v>1</v>
      </c>
      <c r="G7" s="110">
        <v>1</v>
      </c>
      <c r="H7" s="110">
        <v>0</v>
      </c>
      <c r="I7" s="110">
        <v>0</v>
      </c>
      <c r="J7" s="110">
        <v>0</v>
      </c>
      <c r="K7" s="110">
        <v>0</v>
      </c>
      <c r="L7" s="110">
        <v>1</v>
      </c>
      <c r="M7" s="110">
        <v>0</v>
      </c>
      <c r="N7" s="110">
        <v>1</v>
      </c>
      <c r="O7" s="110">
        <v>0</v>
      </c>
      <c r="P7" s="110">
        <v>0</v>
      </c>
      <c r="Q7" s="110">
        <v>0</v>
      </c>
      <c r="R7" s="110">
        <v>0</v>
      </c>
      <c r="S7" s="110">
        <v>0</v>
      </c>
      <c r="T7" s="110">
        <v>0</v>
      </c>
      <c r="U7" s="110">
        <v>0</v>
      </c>
      <c r="V7" s="110">
        <v>1</v>
      </c>
      <c r="W7" s="110">
        <v>1</v>
      </c>
      <c r="X7" s="110">
        <v>0</v>
      </c>
      <c r="Y7" s="110">
        <v>0</v>
      </c>
      <c r="Z7" s="110">
        <v>0</v>
      </c>
      <c r="AA7" s="110">
        <v>0</v>
      </c>
      <c r="AB7" s="110">
        <v>1</v>
      </c>
      <c r="AC7" s="110">
        <v>0</v>
      </c>
      <c r="AD7" s="110">
        <v>0</v>
      </c>
      <c r="AE7" s="110">
        <v>0</v>
      </c>
      <c r="AF7" s="110">
        <v>0</v>
      </c>
      <c r="AG7" s="110">
        <v>0</v>
      </c>
      <c r="AH7" s="110">
        <v>1</v>
      </c>
      <c r="AI7" s="110">
        <v>1</v>
      </c>
      <c r="AJ7" s="110">
        <v>1</v>
      </c>
      <c r="AK7" s="110">
        <v>0</v>
      </c>
      <c r="AL7" s="110">
        <v>0</v>
      </c>
      <c r="AM7" s="110">
        <v>0</v>
      </c>
    </row>
    <row r="8" spans="1:39" customFormat="1" x14ac:dyDescent="0.15">
      <c r="A8" s="161" t="s">
        <v>198</v>
      </c>
      <c r="B8" s="110">
        <v>1</v>
      </c>
      <c r="C8" s="110">
        <v>0</v>
      </c>
      <c r="D8" s="110">
        <v>0</v>
      </c>
      <c r="E8" s="110">
        <v>1</v>
      </c>
      <c r="F8" s="110">
        <v>1</v>
      </c>
      <c r="G8" s="110">
        <v>1</v>
      </c>
      <c r="H8" s="110">
        <v>1</v>
      </c>
      <c r="I8" s="110">
        <v>1</v>
      </c>
      <c r="J8" s="110">
        <v>0</v>
      </c>
      <c r="K8" s="110">
        <v>0</v>
      </c>
      <c r="L8" s="110">
        <v>1</v>
      </c>
      <c r="M8" s="110">
        <v>0</v>
      </c>
      <c r="N8" s="110">
        <v>0</v>
      </c>
      <c r="O8" s="110">
        <v>1</v>
      </c>
      <c r="P8" s="110">
        <v>0</v>
      </c>
      <c r="Q8" s="110">
        <v>0</v>
      </c>
      <c r="R8" s="110">
        <v>1</v>
      </c>
      <c r="S8" s="110">
        <v>0</v>
      </c>
      <c r="T8" s="110">
        <v>1</v>
      </c>
      <c r="U8" s="110">
        <v>1</v>
      </c>
      <c r="V8" s="110">
        <v>1</v>
      </c>
      <c r="W8" s="110">
        <v>1</v>
      </c>
      <c r="X8" s="110">
        <v>0</v>
      </c>
      <c r="Y8" s="110">
        <v>0</v>
      </c>
      <c r="Z8" s="110">
        <v>0</v>
      </c>
      <c r="AA8" s="110">
        <v>0</v>
      </c>
      <c r="AB8" s="110">
        <v>1</v>
      </c>
      <c r="AC8" s="110">
        <v>0</v>
      </c>
      <c r="AD8" s="110">
        <v>0</v>
      </c>
      <c r="AE8" s="110">
        <v>0</v>
      </c>
      <c r="AF8" s="110">
        <v>0</v>
      </c>
      <c r="AG8" s="110">
        <v>0</v>
      </c>
      <c r="AH8" s="110">
        <v>1</v>
      </c>
      <c r="AI8" s="110">
        <v>1</v>
      </c>
      <c r="AJ8" s="110">
        <v>1</v>
      </c>
      <c r="AK8" s="110">
        <v>0</v>
      </c>
      <c r="AL8" s="110">
        <v>0</v>
      </c>
      <c r="AM8" s="110">
        <v>0</v>
      </c>
    </row>
    <row r="9" spans="1:39" customFormat="1" x14ac:dyDescent="0.15">
      <c r="A9" s="161" t="s">
        <v>199</v>
      </c>
      <c r="B9" s="110">
        <v>1</v>
      </c>
      <c r="C9" s="110">
        <v>0</v>
      </c>
      <c r="D9" s="110">
        <v>0</v>
      </c>
      <c r="E9" s="110">
        <v>1</v>
      </c>
      <c r="F9" s="110">
        <v>1</v>
      </c>
      <c r="G9" s="110">
        <v>1</v>
      </c>
      <c r="H9" s="110">
        <v>0</v>
      </c>
      <c r="I9" s="110">
        <v>1</v>
      </c>
      <c r="J9" s="110">
        <v>0</v>
      </c>
      <c r="K9" s="110">
        <v>0</v>
      </c>
      <c r="L9" s="110">
        <v>1</v>
      </c>
      <c r="M9" s="110">
        <v>0</v>
      </c>
      <c r="N9" s="110">
        <v>0</v>
      </c>
      <c r="O9" s="110">
        <v>0</v>
      </c>
      <c r="P9" s="110">
        <v>0</v>
      </c>
      <c r="Q9" s="110">
        <v>0</v>
      </c>
      <c r="R9" s="110">
        <v>1</v>
      </c>
      <c r="S9" s="110">
        <v>0</v>
      </c>
      <c r="T9" s="110">
        <v>0</v>
      </c>
      <c r="U9" s="110">
        <v>1</v>
      </c>
      <c r="V9" s="110">
        <v>1</v>
      </c>
      <c r="W9" s="110">
        <v>0</v>
      </c>
      <c r="X9" s="110">
        <v>0</v>
      </c>
      <c r="Y9" s="110">
        <v>0</v>
      </c>
      <c r="Z9" s="110">
        <v>0</v>
      </c>
      <c r="AA9" s="110">
        <v>0</v>
      </c>
      <c r="AB9" s="110">
        <v>1</v>
      </c>
      <c r="AC9" s="110">
        <v>0</v>
      </c>
      <c r="AD9" s="110">
        <v>0</v>
      </c>
      <c r="AE9" s="110">
        <v>0</v>
      </c>
      <c r="AF9" s="110">
        <v>0</v>
      </c>
      <c r="AG9" s="110">
        <v>0</v>
      </c>
      <c r="AH9" s="110">
        <v>1</v>
      </c>
      <c r="AI9" s="110">
        <v>1</v>
      </c>
      <c r="AJ9" s="110">
        <v>0</v>
      </c>
      <c r="AK9" s="110">
        <v>0</v>
      </c>
      <c r="AL9" s="110">
        <v>0</v>
      </c>
      <c r="AM9" s="110">
        <v>0</v>
      </c>
    </row>
    <row r="10" spans="1:39" customFormat="1" x14ac:dyDescent="0.15">
      <c r="A10" s="161" t="s">
        <v>200</v>
      </c>
      <c r="B10" s="110">
        <v>1</v>
      </c>
      <c r="C10" s="110">
        <v>0</v>
      </c>
      <c r="D10" s="110">
        <v>0</v>
      </c>
      <c r="E10" s="110">
        <v>1</v>
      </c>
      <c r="F10" s="110">
        <v>1</v>
      </c>
      <c r="G10" s="110">
        <v>1</v>
      </c>
      <c r="H10" s="110">
        <v>1</v>
      </c>
      <c r="I10" s="110">
        <v>1</v>
      </c>
      <c r="J10" s="110">
        <v>0</v>
      </c>
      <c r="K10" s="110">
        <v>0</v>
      </c>
      <c r="L10" s="110">
        <v>1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1</v>
      </c>
      <c r="S10" s="110">
        <v>0</v>
      </c>
      <c r="T10" s="110">
        <v>1</v>
      </c>
      <c r="U10" s="110">
        <v>1</v>
      </c>
      <c r="V10" s="110">
        <v>1</v>
      </c>
      <c r="W10" s="110">
        <v>1</v>
      </c>
      <c r="X10" s="110">
        <v>0</v>
      </c>
      <c r="Y10" s="110">
        <v>0</v>
      </c>
      <c r="Z10" s="110">
        <v>0</v>
      </c>
      <c r="AA10" s="110">
        <v>0</v>
      </c>
      <c r="AB10" s="110">
        <v>1</v>
      </c>
      <c r="AC10" s="110">
        <v>0</v>
      </c>
      <c r="AD10" s="110">
        <v>0</v>
      </c>
      <c r="AE10" s="110">
        <v>0</v>
      </c>
      <c r="AF10" s="110">
        <v>0</v>
      </c>
      <c r="AG10" s="110">
        <v>0</v>
      </c>
      <c r="AH10" s="110">
        <v>1</v>
      </c>
      <c r="AI10" s="110">
        <v>1</v>
      </c>
      <c r="AJ10" s="110">
        <v>1</v>
      </c>
      <c r="AK10" s="110">
        <v>0</v>
      </c>
      <c r="AL10" s="110">
        <v>0</v>
      </c>
      <c r="AM10" s="110">
        <v>0</v>
      </c>
    </row>
    <row r="11" spans="1:39" customFormat="1" x14ac:dyDescent="0.15">
      <c r="A11" s="161" t="s">
        <v>201</v>
      </c>
      <c r="B11" s="110">
        <v>1</v>
      </c>
      <c r="C11" s="110">
        <v>0</v>
      </c>
      <c r="D11" s="110">
        <v>0</v>
      </c>
      <c r="E11" s="110">
        <v>1</v>
      </c>
      <c r="F11" s="110">
        <v>1</v>
      </c>
      <c r="G11" s="110">
        <v>1</v>
      </c>
      <c r="H11" s="110">
        <v>1</v>
      </c>
      <c r="I11" s="110">
        <v>1</v>
      </c>
      <c r="J11" s="110">
        <v>0</v>
      </c>
      <c r="K11" s="110">
        <v>0</v>
      </c>
      <c r="L11" s="110">
        <v>1</v>
      </c>
      <c r="M11" s="110">
        <v>0</v>
      </c>
      <c r="N11" s="110">
        <v>1</v>
      </c>
      <c r="O11" s="110">
        <v>1</v>
      </c>
      <c r="P11" s="110">
        <v>0</v>
      </c>
      <c r="Q11" s="110">
        <v>0</v>
      </c>
      <c r="R11" s="110">
        <v>0</v>
      </c>
      <c r="S11" s="110">
        <v>0</v>
      </c>
      <c r="T11" s="110">
        <v>1</v>
      </c>
      <c r="U11" s="110">
        <v>1</v>
      </c>
      <c r="V11" s="110">
        <v>1</v>
      </c>
      <c r="W11" s="110">
        <v>1</v>
      </c>
      <c r="X11" s="110">
        <v>0</v>
      </c>
      <c r="Y11" s="110">
        <v>0</v>
      </c>
      <c r="Z11" s="110">
        <v>0</v>
      </c>
      <c r="AA11" s="110">
        <v>0</v>
      </c>
      <c r="AB11" s="110">
        <v>1</v>
      </c>
      <c r="AC11" s="110">
        <v>0</v>
      </c>
      <c r="AD11" s="110">
        <v>0</v>
      </c>
      <c r="AE11" s="110">
        <v>0</v>
      </c>
      <c r="AF11" s="110">
        <v>0</v>
      </c>
      <c r="AG11" s="110">
        <v>0</v>
      </c>
      <c r="AH11" s="110">
        <v>1</v>
      </c>
      <c r="AI11" s="110">
        <v>1</v>
      </c>
      <c r="AJ11" s="110">
        <v>1</v>
      </c>
      <c r="AK11" s="110">
        <v>0</v>
      </c>
      <c r="AL11" s="110">
        <v>0</v>
      </c>
      <c r="AM11" s="110">
        <v>0</v>
      </c>
    </row>
    <row r="12" spans="1:39" customFormat="1" x14ac:dyDescent="0.15">
      <c r="A12" s="161" t="s">
        <v>202</v>
      </c>
      <c r="B12" s="110">
        <v>1</v>
      </c>
      <c r="C12" s="110">
        <v>0</v>
      </c>
      <c r="D12" s="110">
        <v>0</v>
      </c>
      <c r="E12" s="110">
        <v>0</v>
      </c>
      <c r="F12" s="110">
        <v>0</v>
      </c>
      <c r="G12" s="110">
        <v>1</v>
      </c>
      <c r="H12" s="110">
        <v>0</v>
      </c>
      <c r="I12" s="110">
        <v>0</v>
      </c>
      <c r="J12" s="110">
        <v>0</v>
      </c>
      <c r="K12" s="110">
        <v>0</v>
      </c>
      <c r="L12" s="110">
        <v>1</v>
      </c>
      <c r="M12" s="110">
        <v>0</v>
      </c>
      <c r="N12" s="110">
        <v>1</v>
      </c>
      <c r="O12" s="110">
        <v>1</v>
      </c>
      <c r="P12" s="110">
        <v>0</v>
      </c>
      <c r="Q12" s="110">
        <v>0</v>
      </c>
      <c r="R12" s="110">
        <v>0</v>
      </c>
      <c r="S12" s="110">
        <v>0</v>
      </c>
      <c r="T12" s="110">
        <v>1</v>
      </c>
      <c r="U12" s="110">
        <v>1</v>
      </c>
      <c r="V12" s="110">
        <v>1</v>
      </c>
      <c r="W12" s="110">
        <v>1</v>
      </c>
      <c r="X12" s="110">
        <v>0</v>
      </c>
      <c r="Y12" s="110">
        <v>0</v>
      </c>
      <c r="Z12" s="110">
        <v>0</v>
      </c>
      <c r="AA12" s="110">
        <v>0</v>
      </c>
      <c r="AB12" s="110">
        <v>0</v>
      </c>
      <c r="AC12" s="110">
        <v>0</v>
      </c>
      <c r="AD12" s="110">
        <v>0</v>
      </c>
      <c r="AE12" s="110">
        <v>0</v>
      </c>
      <c r="AF12" s="110">
        <v>0</v>
      </c>
      <c r="AG12" s="110">
        <v>0</v>
      </c>
      <c r="AH12" s="110">
        <v>0</v>
      </c>
      <c r="AI12" s="110">
        <v>1</v>
      </c>
      <c r="AJ12" s="110">
        <v>0</v>
      </c>
      <c r="AK12" s="110">
        <v>0</v>
      </c>
      <c r="AL12" s="110">
        <v>0</v>
      </c>
      <c r="AM12" s="110">
        <v>0</v>
      </c>
    </row>
    <row r="13" spans="1:39" customFormat="1" x14ac:dyDescent="0.15">
      <c r="A13" s="161" t="s">
        <v>203</v>
      </c>
      <c r="B13" s="110">
        <v>1</v>
      </c>
      <c r="C13" s="110">
        <v>0</v>
      </c>
      <c r="D13" s="110">
        <v>0</v>
      </c>
      <c r="E13" s="110">
        <v>0</v>
      </c>
      <c r="F13" s="110">
        <v>0</v>
      </c>
      <c r="G13" s="110">
        <v>0</v>
      </c>
      <c r="H13" s="110">
        <v>0</v>
      </c>
      <c r="I13" s="110">
        <v>0</v>
      </c>
      <c r="J13" s="110">
        <v>0</v>
      </c>
      <c r="K13" s="110">
        <v>0</v>
      </c>
      <c r="L13" s="110">
        <v>1</v>
      </c>
      <c r="M13" s="110">
        <v>0</v>
      </c>
      <c r="N13" s="110">
        <v>0</v>
      </c>
      <c r="O13" s="110">
        <v>0</v>
      </c>
      <c r="P13" s="110">
        <v>0</v>
      </c>
      <c r="Q13" s="110">
        <v>0</v>
      </c>
      <c r="R13" s="110">
        <v>0</v>
      </c>
      <c r="S13" s="110">
        <v>0</v>
      </c>
      <c r="T13" s="110">
        <v>0</v>
      </c>
      <c r="U13" s="110">
        <v>1</v>
      </c>
      <c r="V13" s="110">
        <v>1</v>
      </c>
      <c r="W13" s="110">
        <v>1</v>
      </c>
      <c r="X13" s="110">
        <v>0</v>
      </c>
      <c r="Y13" s="110">
        <v>0</v>
      </c>
      <c r="Z13" s="110">
        <v>0</v>
      </c>
      <c r="AA13" s="110">
        <v>0</v>
      </c>
      <c r="AB13" s="110">
        <v>0</v>
      </c>
      <c r="AC13" s="110">
        <v>0</v>
      </c>
      <c r="AD13" s="110">
        <v>0</v>
      </c>
      <c r="AE13" s="110">
        <v>0</v>
      </c>
      <c r="AF13" s="110">
        <v>0</v>
      </c>
      <c r="AG13" s="110">
        <v>0</v>
      </c>
      <c r="AH13" s="110">
        <v>0</v>
      </c>
      <c r="AI13" s="110">
        <v>1</v>
      </c>
      <c r="AJ13" s="110">
        <v>0</v>
      </c>
      <c r="AK13" s="110">
        <v>0</v>
      </c>
      <c r="AL13" s="110">
        <v>0</v>
      </c>
      <c r="AM13" s="110">
        <v>0</v>
      </c>
    </row>
    <row r="14" spans="1:39" customFormat="1" x14ac:dyDescent="0.15">
      <c r="A14" s="161" t="s">
        <v>204</v>
      </c>
      <c r="B14" s="110">
        <v>1</v>
      </c>
      <c r="C14" s="110">
        <v>0</v>
      </c>
      <c r="D14" s="110">
        <v>0</v>
      </c>
      <c r="E14" s="110">
        <v>0</v>
      </c>
      <c r="F14" s="110">
        <v>0</v>
      </c>
      <c r="G14" s="110">
        <v>0</v>
      </c>
      <c r="H14" s="110">
        <v>0</v>
      </c>
      <c r="I14" s="110">
        <v>0</v>
      </c>
      <c r="J14" s="110">
        <v>0</v>
      </c>
      <c r="K14" s="110">
        <v>0</v>
      </c>
      <c r="L14" s="110">
        <v>1</v>
      </c>
      <c r="M14" s="110">
        <v>1</v>
      </c>
      <c r="N14" s="110">
        <v>0</v>
      </c>
      <c r="O14" s="110">
        <v>1</v>
      </c>
      <c r="P14" s="110">
        <v>0</v>
      </c>
      <c r="Q14" s="110">
        <v>0</v>
      </c>
      <c r="R14" s="110">
        <v>0</v>
      </c>
      <c r="S14" s="110">
        <v>0</v>
      </c>
      <c r="T14" s="110">
        <v>0</v>
      </c>
      <c r="U14" s="110">
        <v>1</v>
      </c>
      <c r="V14" s="110">
        <v>1</v>
      </c>
      <c r="W14" s="110">
        <v>1</v>
      </c>
      <c r="X14" s="110">
        <v>0</v>
      </c>
      <c r="Y14" s="110">
        <v>0</v>
      </c>
      <c r="Z14" s="110">
        <v>0</v>
      </c>
      <c r="AA14" s="110">
        <v>0</v>
      </c>
      <c r="AB14" s="110">
        <v>0</v>
      </c>
      <c r="AC14" s="110">
        <v>0</v>
      </c>
      <c r="AD14" s="110">
        <v>0</v>
      </c>
      <c r="AE14" s="110">
        <v>0</v>
      </c>
      <c r="AF14" s="110">
        <v>0</v>
      </c>
      <c r="AG14" s="110">
        <v>0</v>
      </c>
      <c r="AH14" s="110">
        <v>1</v>
      </c>
      <c r="AI14" s="110">
        <v>0</v>
      </c>
      <c r="AJ14" s="110">
        <v>0</v>
      </c>
      <c r="AK14" s="110">
        <v>0</v>
      </c>
      <c r="AL14" s="110">
        <v>0</v>
      </c>
      <c r="AM14" s="110">
        <v>0</v>
      </c>
    </row>
    <row r="15" spans="1:39" customFormat="1" x14ac:dyDescent="0.15">
      <c r="A15" s="161" t="s">
        <v>205</v>
      </c>
      <c r="B15" s="110">
        <v>1</v>
      </c>
      <c r="C15" s="110">
        <v>0</v>
      </c>
      <c r="D15" s="110">
        <v>0</v>
      </c>
      <c r="E15" s="110">
        <v>1</v>
      </c>
      <c r="F15" s="110">
        <v>1</v>
      </c>
      <c r="G15" s="110">
        <v>1</v>
      </c>
      <c r="H15" s="110">
        <v>0</v>
      </c>
      <c r="I15" s="110">
        <v>0</v>
      </c>
      <c r="J15" s="110">
        <v>0</v>
      </c>
      <c r="K15" s="110">
        <v>0</v>
      </c>
      <c r="L15" s="110">
        <v>1</v>
      </c>
      <c r="M15" s="110">
        <v>1</v>
      </c>
      <c r="N15" s="110">
        <v>1</v>
      </c>
      <c r="O15" s="110">
        <v>1</v>
      </c>
      <c r="P15" s="110">
        <v>0</v>
      </c>
      <c r="Q15" s="110">
        <v>0</v>
      </c>
      <c r="R15" s="110">
        <v>0</v>
      </c>
      <c r="S15" s="110">
        <v>0</v>
      </c>
      <c r="T15" s="110">
        <v>1</v>
      </c>
      <c r="U15" s="110">
        <v>0</v>
      </c>
      <c r="V15" s="110">
        <v>1</v>
      </c>
      <c r="W15" s="110">
        <v>0</v>
      </c>
      <c r="X15" s="110">
        <v>0</v>
      </c>
      <c r="Y15" s="110">
        <v>0</v>
      </c>
      <c r="Z15" s="110">
        <v>0</v>
      </c>
      <c r="AA15" s="110">
        <v>0</v>
      </c>
      <c r="AB15" s="110">
        <v>1</v>
      </c>
      <c r="AC15" s="110">
        <v>0</v>
      </c>
      <c r="AD15" s="110">
        <v>0</v>
      </c>
      <c r="AE15" s="110">
        <v>0</v>
      </c>
      <c r="AF15" s="110">
        <v>0</v>
      </c>
      <c r="AG15" s="110">
        <v>0</v>
      </c>
      <c r="AH15" s="110">
        <v>1</v>
      </c>
      <c r="AI15" s="110">
        <v>1</v>
      </c>
      <c r="AJ15" s="110">
        <v>0</v>
      </c>
      <c r="AK15" s="110">
        <v>0</v>
      </c>
      <c r="AL15" s="110">
        <v>0</v>
      </c>
      <c r="AM15" s="110">
        <v>0</v>
      </c>
    </row>
    <row r="16" spans="1:39" customFormat="1" x14ac:dyDescent="0.15">
      <c r="A16" s="161" t="s">
        <v>206</v>
      </c>
      <c r="B16" s="110">
        <v>0</v>
      </c>
      <c r="C16" s="110">
        <v>0</v>
      </c>
      <c r="D16" s="110">
        <v>0</v>
      </c>
      <c r="E16" s="110">
        <v>1</v>
      </c>
      <c r="F16" s="110">
        <v>1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1</v>
      </c>
      <c r="M16" s="110">
        <v>1</v>
      </c>
      <c r="N16" s="110">
        <v>1</v>
      </c>
      <c r="O16" s="110">
        <v>1</v>
      </c>
      <c r="P16" s="110">
        <v>1</v>
      </c>
      <c r="Q16" s="110">
        <v>0</v>
      </c>
      <c r="R16" s="110">
        <v>0</v>
      </c>
      <c r="S16" s="110">
        <v>0</v>
      </c>
      <c r="T16" s="110">
        <v>1</v>
      </c>
      <c r="U16" s="110">
        <v>0</v>
      </c>
      <c r="V16" s="110">
        <v>1</v>
      </c>
      <c r="W16" s="110">
        <v>1</v>
      </c>
      <c r="X16" s="110">
        <v>0</v>
      </c>
      <c r="Y16" s="110">
        <v>0</v>
      </c>
      <c r="Z16" s="110">
        <v>0</v>
      </c>
      <c r="AA16" s="110">
        <v>0</v>
      </c>
      <c r="AB16" s="110">
        <v>1</v>
      </c>
      <c r="AC16" s="110">
        <v>0</v>
      </c>
      <c r="AD16" s="110">
        <v>0</v>
      </c>
      <c r="AE16" s="110">
        <v>0</v>
      </c>
      <c r="AF16" s="110">
        <v>0</v>
      </c>
      <c r="AG16" s="110">
        <v>0</v>
      </c>
      <c r="AH16" s="110">
        <v>0</v>
      </c>
      <c r="AI16" s="110">
        <v>1</v>
      </c>
      <c r="AJ16" s="110">
        <v>0</v>
      </c>
      <c r="AK16" s="110">
        <v>0</v>
      </c>
      <c r="AL16" s="110">
        <v>0</v>
      </c>
      <c r="AM16" s="110">
        <v>0</v>
      </c>
    </row>
    <row r="17" spans="1:39" customFormat="1" x14ac:dyDescent="0.15">
      <c r="A17" s="161" t="s">
        <v>207</v>
      </c>
      <c r="B17" s="110">
        <v>0</v>
      </c>
      <c r="C17" s="110">
        <v>0</v>
      </c>
      <c r="D17" s="110">
        <v>0</v>
      </c>
      <c r="E17" s="110">
        <v>0</v>
      </c>
      <c r="F17" s="110">
        <v>1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1</v>
      </c>
      <c r="M17" s="110">
        <v>1</v>
      </c>
      <c r="N17" s="110">
        <v>1</v>
      </c>
      <c r="O17" s="110">
        <v>1</v>
      </c>
      <c r="P17" s="110">
        <v>1</v>
      </c>
      <c r="Q17" s="110">
        <v>0</v>
      </c>
      <c r="R17" s="110">
        <v>0</v>
      </c>
      <c r="S17" s="110">
        <v>0</v>
      </c>
      <c r="T17" s="110">
        <v>1</v>
      </c>
      <c r="U17" s="110">
        <v>1</v>
      </c>
      <c r="V17" s="110">
        <v>1</v>
      </c>
      <c r="W17" s="110">
        <v>0</v>
      </c>
      <c r="X17" s="110">
        <v>1</v>
      </c>
      <c r="Y17" s="110">
        <v>0</v>
      </c>
      <c r="Z17" s="110">
        <v>0</v>
      </c>
      <c r="AA17" s="110">
        <v>0</v>
      </c>
      <c r="AB17" s="110">
        <v>1</v>
      </c>
      <c r="AC17" s="110">
        <v>0</v>
      </c>
      <c r="AD17" s="110">
        <v>0</v>
      </c>
      <c r="AE17" s="110">
        <v>0</v>
      </c>
      <c r="AF17" s="110">
        <v>0</v>
      </c>
      <c r="AG17" s="110">
        <v>0</v>
      </c>
      <c r="AH17" s="110">
        <v>1</v>
      </c>
      <c r="AI17" s="110">
        <v>1</v>
      </c>
      <c r="AJ17" s="110">
        <v>1</v>
      </c>
      <c r="AK17" s="110">
        <v>0</v>
      </c>
      <c r="AL17" s="110">
        <v>0</v>
      </c>
      <c r="AM17" s="110">
        <v>0</v>
      </c>
    </row>
    <row r="18" spans="1:39" customFormat="1" x14ac:dyDescent="0.15">
      <c r="A18" s="161" t="s">
        <v>208</v>
      </c>
      <c r="B18" s="110">
        <v>1</v>
      </c>
      <c r="C18" s="110">
        <v>0</v>
      </c>
      <c r="D18" s="110">
        <v>0</v>
      </c>
      <c r="E18" s="110">
        <v>0</v>
      </c>
      <c r="F18" s="110">
        <v>1</v>
      </c>
      <c r="G18" s="110">
        <v>0</v>
      </c>
      <c r="H18" s="110">
        <v>0</v>
      </c>
      <c r="I18" s="110">
        <v>0</v>
      </c>
      <c r="J18" s="110">
        <v>0</v>
      </c>
      <c r="K18" s="110">
        <v>0</v>
      </c>
      <c r="L18" s="110">
        <v>1</v>
      </c>
      <c r="M18" s="110">
        <v>1</v>
      </c>
      <c r="N18" s="110">
        <v>1</v>
      </c>
      <c r="O18" s="110">
        <v>0</v>
      </c>
      <c r="P18" s="110">
        <v>0</v>
      </c>
      <c r="Q18" s="110">
        <v>1</v>
      </c>
      <c r="R18" s="110">
        <v>1</v>
      </c>
      <c r="S18" s="110">
        <v>0</v>
      </c>
      <c r="T18" s="110">
        <v>1</v>
      </c>
      <c r="U18" s="110">
        <v>1</v>
      </c>
      <c r="V18" s="110">
        <v>1</v>
      </c>
      <c r="W18" s="110">
        <v>1</v>
      </c>
      <c r="X18" s="110">
        <v>0</v>
      </c>
      <c r="Y18" s="110">
        <v>0</v>
      </c>
      <c r="Z18" s="110">
        <v>0</v>
      </c>
      <c r="AA18" s="110">
        <v>0</v>
      </c>
      <c r="AB18" s="110">
        <v>1</v>
      </c>
      <c r="AC18" s="110">
        <v>0</v>
      </c>
      <c r="AD18" s="110">
        <v>0</v>
      </c>
      <c r="AE18" s="110">
        <v>0</v>
      </c>
      <c r="AF18" s="110">
        <v>0</v>
      </c>
      <c r="AG18" s="110">
        <v>0</v>
      </c>
      <c r="AH18" s="110">
        <v>1</v>
      </c>
      <c r="AI18" s="110">
        <v>1</v>
      </c>
      <c r="AJ18" s="110">
        <v>0</v>
      </c>
      <c r="AK18" s="110">
        <v>0</v>
      </c>
      <c r="AL18" s="110">
        <v>0</v>
      </c>
      <c r="AM18" s="110">
        <v>0</v>
      </c>
    </row>
    <row r="19" spans="1:39" customFormat="1" x14ac:dyDescent="0.15">
      <c r="A19" s="161" t="s">
        <v>209</v>
      </c>
      <c r="B19" s="110">
        <v>0</v>
      </c>
      <c r="C19" s="110">
        <v>0</v>
      </c>
      <c r="D19" s="110">
        <v>0</v>
      </c>
      <c r="E19" s="110">
        <v>0</v>
      </c>
      <c r="F19" s="110">
        <v>1</v>
      </c>
      <c r="G19" s="110">
        <v>0</v>
      </c>
      <c r="H19" s="110">
        <v>0</v>
      </c>
      <c r="I19" s="110">
        <v>0</v>
      </c>
      <c r="J19" s="110">
        <v>0</v>
      </c>
      <c r="K19" s="110">
        <v>0</v>
      </c>
      <c r="L19" s="110">
        <v>1</v>
      </c>
      <c r="M19" s="110">
        <v>1</v>
      </c>
      <c r="N19" s="110">
        <v>1</v>
      </c>
      <c r="O19" s="110">
        <v>0</v>
      </c>
      <c r="P19" s="110">
        <v>0</v>
      </c>
      <c r="Q19" s="110">
        <v>1</v>
      </c>
      <c r="R19" s="110">
        <v>1</v>
      </c>
      <c r="S19" s="110">
        <v>0</v>
      </c>
      <c r="T19" s="110">
        <v>1</v>
      </c>
      <c r="U19" s="110">
        <v>1</v>
      </c>
      <c r="V19" s="110">
        <v>1</v>
      </c>
      <c r="W19" s="110">
        <v>1</v>
      </c>
      <c r="X19" s="110">
        <v>0</v>
      </c>
      <c r="Y19" s="110">
        <v>0</v>
      </c>
      <c r="Z19" s="110">
        <v>0</v>
      </c>
      <c r="AA19" s="110">
        <v>0</v>
      </c>
      <c r="AB19" s="110">
        <v>1</v>
      </c>
      <c r="AC19" s="110">
        <v>0</v>
      </c>
      <c r="AD19" s="110">
        <v>0</v>
      </c>
      <c r="AE19" s="110">
        <v>0</v>
      </c>
      <c r="AF19" s="110">
        <v>0</v>
      </c>
      <c r="AG19" s="110">
        <v>0</v>
      </c>
      <c r="AH19" s="110">
        <v>1</v>
      </c>
      <c r="AI19" s="110">
        <v>0</v>
      </c>
      <c r="AJ19" s="110">
        <v>1</v>
      </c>
      <c r="AK19" s="110">
        <v>0</v>
      </c>
      <c r="AL19" s="110">
        <v>0</v>
      </c>
      <c r="AM19" s="110">
        <v>0</v>
      </c>
    </row>
    <row r="20" spans="1:39" customFormat="1" x14ac:dyDescent="0.15">
      <c r="A20" s="161" t="s">
        <v>210</v>
      </c>
      <c r="B20" s="110">
        <v>0</v>
      </c>
      <c r="C20" s="110">
        <v>0</v>
      </c>
      <c r="D20" s="110">
        <v>0</v>
      </c>
      <c r="E20" s="110">
        <v>1</v>
      </c>
      <c r="F20" s="110">
        <v>0</v>
      </c>
      <c r="G20" s="110">
        <v>0</v>
      </c>
      <c r="H20" s="110">
        <v>0</v>
      </c>
      <c r="I20" s="110">
        <v>0</v>
      </c>
      <c r="J20" s="110">
        <v>0</v>
      </c>
      <c r="K20" s="110">
        <v>0</v>
      </c>
      <c r="L20" s="110">
        <v>1</v>
      </c>
      <c r="M20" s="110">
        <v>1</v>
      </c>
      <c r="N20" s="110">
        <v>0</v>
      </c>
      <c r="O20" s="110">
        <v>0</v>
      </c>
      <c r="P20" s="110">
        <v>1</v>
      </c>
      <c r="Q20" s="110">
        <v>0</v>
      </c>
      <c r="R20" s="110">
        <v>0</v>
      </c>
      <c r="S20" s="110">
        <v>0</v>
      </c>
      <c r="T20" s="110">
        <v>0</v>
      </c>
      <c r="U20" s="110">
        <v>0</v>
      </c>
      <c r="V20" s="110">
        <v>1</v>
      </c>
      <c r="W20" s="110">
        <v>0</v>
      </c>
      <c r="X20" s="110">
        <v>0</v>
      </c>
      <c r="Y20" s="110">
        <v>0</v>
      </c>
      <c r="Z20" s="110">
        <v>0</v>
      </c>
      <c r="AA20" s="110">
        <v>0</v>
      </c>
      <c r="AB20" s="110">
        <v>0</v>
      </c>
      <c r="AC20" s="110">
        <v>0</v>
      </c>
      <c r="AD20" s="110">
        <v>0</v>
      </c>
      <c r="AE20" s="110">
        <v>0</v>
      </c>
      <c r="AF20" s="110">
        <v>0</v>
      </c>
      <c r="AG20" s="110">
        <v>0</v>
      </c>
      <c r="AH20" s="110">
        <v>0</v>
      </c>
      <c r="AI20" s="110">
        <v>0</v>
      </c>
      <c r="AJ20" s="110">
        <v>0</v>
      </c>
      <c r="AK20" s="110">
        <v>0</v>
      </c>
      <c r="AL20" s="110">
        <v>0</v>
      </c>
      <c r="AM20" s="110">
        <v>0</v>
      </c>
    </row>
    <row r="21" spans="1:39" customFormat="1" x14ac:dyDescent="0.15">
      <c r="A21" s="161" t="s">
        <v>211</v>
      </c>
      <c r="B21" s="110">
        <v>1</v>
      </c>
      <c r="C21" s="110">
        <v>0</v>
      </c>
      <c r="D21" s="110">
        <v>0</v>
      </c>
      <c r="E21" s="110">
        <v>1</v>
      </c>
      <c r="F21" s="110">
        <v>0</v>
      </c>
      <c r="G21" s="110">
        <v>0</v>
      </c>
      <c r="H21" s="110">
        <v>0</v>
      </c>
      <c r="I21" s="110">
        <v>0</v>
      </c>
      <c r="J21" s="110">
        <v>0</v>
      </c>
      <c r="K21" s="110">
        <v>0</v>
      </c>
      <c r="L21" s="110">
        <v>1</v>
      </c>
      <c r="M21" s="110">
        <v>1</v>
      </c>
      <c r="N21" s="110">
        <v>0</v>
      </c>
      <c r="O21" s="110">
        <v>0</v>
      </c>
      <c r="P21" s="110">
        <v>1</v>
      </c>
      <c r="Q21" s="110">
        <v>0</v>
      </c>
      <c r="R21" s="110">
        <v>0</v>
      </c>
      <c r="S21" s="110">
        <v>0</v>
      </c>
      <c r="T21" s="110">
        <v>0</v>
      </c>
      <c r="U21" s="110">
        <v>1</v>
      </c>
      <c r="V21" s="110">
        <v>1</v>
      </c>
      <c r="W21" s="110">
        <v>0</v>
      </c>
      <c r="X21" s="110">
        <v>0</v>
      </c>
      <c r="Y21" s="110">
        <v>0</v>
      </c>
      <c r="Z21" s="110">
        <v>0</v>
      </c>
      <c r="AA21" s="110">
        <v>0</v>
      </c>
      <c r="AB21" s="110">
        <v>0</v>
      </c>
      <c r="AC21" s="110">
        <v>0</v>
      </c>
      <c r="AD21" s="110">
        <v>0</v>
      </c>
      <c r="AE21" s="110">
        <v>0</v>
      </c>
      <c r="AF21" s="110">
        <v>0</v>
      </c>
      <c r="AG21" s="110">
        <v>0</v>
      </c>
      <c r="AH21" s="110">
        <v>0</v>
      </c>
      <c r="AI21" s="110">
        <v>0</v>
      </c>
      <c r="AJ21" s="110">
        <v>0</v>
      </c>
      <c r="AK21" s="110">
        <v>0</v>
      </c>
      <c r="AL21" s="110">
        <v>0</v>
      </c>
      <c r="AM21" s="110">
        <v>0</v>
      </c>
    </row>
    <row r="22" spans="1:39" customFormat="1" x14ac:dyDescent="0.15">
      <c r="A22" s="161" t="s">
        <v>212</v>
      </c>
      <c r="B22" s="110">
        <v>0</v>
      </c>
      <c r="C22" s="110">
        <v>0</v>
      </c>
      <c r="D22" s="110">
        <v>0</v>
      </c>
      <c r="E22" s="110">
        <v>0</v>
      </c>
      <c r="F22" s="110">
        <v>0</v>
      </c>
      <c r="G22" s="110">
        <v>0</v>
      </c>
      <c r="H22" s="110">
        <v>0</v>
      </c>
      <c r="I22" s="110">
        <v>0</v>
      </c>
      <c r="J22" s="110">
        <v>0</v>
      </c>
      <c r="K22" s="110">
        <v>0</v>
      </c>
      <c r="L22" s="110">
        <v>0</v>
      </c>
      <c r="M22" s="110">
        <v>0</v>
      </c>
      <c r="N22" s="110">
        <v>0</v>
      </c>
      <c r="O22" s="110">
        <v>0</v>
      </c>
      <c r="P22" s="110">
        <v>0</v>
      </c>
      <c r="Q22" s="110">
        <v>0</v>
      </c>
      <c r="R22" s="110">
        <v>0</v>
      </c>
      <c r="S22" s="110">
        <v>0</v>
      </c>
      <c r="T22" s="110">
        <v>0</v>
      </c>
      <c r="U22" s="110">
        <v>0</v>
      </c>
      <c r="V22" s="110">
        <v>0</v>
      </c>
      <c r="W22" s="110">
        <v>0</v>
      </c>
      <c r="X22" s="110">
        <v>0</v>
      </c>
      <c r="Y22" s="110">
        <v>0</v>
      </c>
      <c r="Z22" s="110">
        <v>0</v>
      </c>
      <c r="AA22" s="110">
        <v>0</v>
      </c>
      <c r="AB22" s="110">
        <v>0</v>
      </c>
      <c r="AC22" s="110">
        <v>0</v>
      </c>
      <c r="AD22" s="110">
        <v>0</v>
      </c>
      <c r="AE22" s="110">
        <v>0</v>
      </c>
      <c r="AF22" s="110">
        <v>0</v>
      </c>
      <c r="AG22" s="110">
        <v>0</v>
      </c>
      <c r="AH22" s="110">
        <v>0</v>
      </c>
      <c r="AI22" s="110">
        <v>1</v>
      </c>
      <c r="AJ22" s="110">
        <v>0</v>
      </c>
      <c r="AK22" s="110">
        <v>0</v>
      </c>
      <c r="AL22" s="110">
        <v>0</v>
      </c>
      <c r="AM22" s="110">
        <v>0</v>
      </c>
    </row>
    <row r="23" spans="1:39" customFormat="1" x14ac:dyDescent="0.15">
      <c r="A23" s="161" t="s">
        <v>213</v>
      </c>
      <c r="B23" s="110">
        <v>0</v>
      </c>
      <c r="C23" s="110">
        <v>0</v>
      </c>
      <c r="D23" s="110">
        <v>0</v>
      </c>
      <c r="E23" s="110">
        <v>0</v>
      </c>
      <c r="F23" s="110">
        <v>0</v>
      </c>
      <c r="G23" s="110">
        <v>0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10">
        <v>0</v>
      </c>
      <c r="P23" s="110">
        <v>0</v>
      </c>
      <c r="Q23" s="110">
        <v>0</v>
      </c>
      <c r="R23" s="110">
        <v>0</v>
      </c>
      <c r="S23" s="110">
        <v>0</v>
      </c>
      <c r="T23" s="110">
        <v>0</v>
      </c>
      <c r="U23" s="110">
        <v>0</v>
      </c>
      <c r="V23" s="110">
        <v>1</v>
      </c>
      <c r="W23" s="110">
        <v>0</v>
      </c>
      <c r="X23" s="110">
        <v>0</v>
      </c>
      <c r="Y23" s="110">
        <v>0</v>
      </c>
      <c r="Z23" s="110">
        <v>0</v>
      </c>
      <c r="AA23" s="110">
        <v>0</v>
      </c>
      <c r="AB23" s="110">
        <v>0</v>
      </c>
      <c r="AC23" s="110">
        <v>0</v>
      </c>
      <c r="AD23" s="110">
        <v>0</v>
      </c>
      <c r="AE23" s="110">
        <v>0</v>
      </c>
      <c r="AF23" s="110">
        <v>0</v>
      </c>
      <c r="AG23" s="110">
        <v>0</v>
      </c>
      <c r="AH23" s="110">
        <v>0</v>
      </c>
      <c r="AI23" s="110">
        <v>0</v>
      </c>
      <c r="AJ23" s="110">
        <v>0</v>
      </c>
      <c r="AK23" s="110">
        <v>0</v>
      </c>
      <c r="AL23" s="110">
        <v>0</v>
      </c>
      <c r="AM23" s="110">
        <v>0</v>
      </c>
    </row>
    <row r="24" spans="1:39" customFormat="1" x14ac:dyDescent="0.15">
      <c r="A24" s="161" t="s">
        <v>214</v>
      </c>
      <c r="B24" s="110">
        <v>1</v>
      </c>
      <c r="C24" s="110">
        <v>0</v>
      </c>
      <c r="D24" s="110">
        <v>1</v>
      </c>
      <c r="E24" s="110">
        <v>1</v>
      </c>
      <c r="F24" s="110">
        <v>1</v>
      </c>
      <c r="G24" s="110">
        <v>1</v>
      </c>
      <c r="H24" s="110">
        <v>0</v>
      </c>
      <c r="I24" s="110">
        <v>1</v>
      </c>
      <c r="J24" s="110">
        <v>0</v>
      </c>
      <c r="K24" s="110">
        <v>0</v>
      </c>
      <c r="L24" s="110">
        <v>1</v>
      </c>
      <c r="M24" s="110">
        <v>1</v>
      </c>
      <c r="N24" s="110">
        <v>1</v>
      </c>
      <c r="O24" s="110">
        <v>1</v>
      </c>
      <c r="P24" s="110">
        <v>1</v>
      </c>
      <c r="Q24" s="110">
        <v>1</v>
      </c>
      <c r="R24" s="110">
        <v>1</v>
      </c>
      <c r="S24" s="110">
        <v>0</v>
      </c>
      <c r="T24" s="110">
        <v>1</v>
      </c>
      <c r="U24" s="110">
        <v>1</v>
      </c>
      <c r="V24" s="110">
        <v>1</v>
      </c>
      <c r="W24" s="110">
        <v>0</v>
      </c>
      <c r="X24" s="110">
        <v>1</v>
      </c>
      <c r="Y24" s="110">
        <v>1</v>
      </c>
      <c r="Z24" s="110">
        <v>0</v>
      </c>
      <c r="AA24" s="110">
        <v>0</v>
      </c>
      <c r="AB24" s="110">
        <v>1</v>
      </c>
      <c r="AC24" s="110">
        <v>0</v>
      </c>
      <c r="AD24" s="110">
        <v>0</v>
      </c>
      <c r="AE24" s="110">
        <v>0</v>
      </c>
      <c r="AF24" s="110">
        <v>0</v>
      </c>
      <c r="AG24" s="110">
        <v>0</v>
      </c>
      <c r="AH24" s="110">
        <v>1</v>
      </c>
      <c r="AI24" s="110">
        <v>0</v>
      </c>
      <c r="AJ24" s="110">
        <v>0</v>
      </c>
      <c r="AK24" s="110">
        <v>0</v>
      </c>
      <c r="AL24" s="110">
        <v>0</v>
      </c>
      <c r="AM24" s="110">
        <v>0</v>
      </c>
    </row>
    <row r="25" spans="1:39" customFormat="1" x14ac:dyDescent="0.15">
      <c r="A25" s="161" t="s">
        <v>215</v>
      </c>
      <c r="B25" s="110">
        <v>1</v>
      </c>
      <c r="C25" s="110">
        <v>1</v>
      </c>
      <c r="D25" s="110">
        <v>1</v>
      </c>
      <c r="E25" s="110">
        <v>1</v>
      </c>
      <c r="F25" s="110">
        <v>1</v>
      </c>
      <c r="G25" s="110">
        <v>1</v>
      </c>
      <c r="H25" s="110">
        <v>0</v>
      </c>
      <c r="I25" s="110">
        <v>0</v>
      </c>
      <c r="J25" s="110">
        <v>0</v>
      </c>
      <c r="K25" s="110">
        <v>0</v>
      </c>
      <c r="L25" s="110">
        <v>1</v>
      </c>
      <c r="M25" s="110">
        <v>0</v>
      </c>
      <c r="N25" s="110">
        <v>1</v>
      </c>
      <c r="O25" s="110">
        <v>1</v>
      </c>
      <c r="P25" s="110">
        <v>1</v>
      </c>
      <c r="Q25" s="110">
        <v>1</v>
      </c>
      <c r="R25" s="110">
        <v>1</v>
      </c>
      <c r="S25" s="110">
        <v>0</v>
      </c>
      <c r="T25" s="110">
        <v>1</v>
      </c>
      <c r="U25" s="110">
        <v>1</v>
      </c>
      <c r="V25" s="110">
        <v>1</v>
      </c>
      <c r="W25" s="110">
        <v>1</v>
      </c>
      <c r="X25" s="110">
        <v>1</v>
      </c>
      <c r="Y25" s="110">
        <v>1</v>
      </c>
      <c r="Z25" s="110">
        <v>0</v>
      </c>
      <c r="AA25" s="110">
        <v>0</v>
      </c>
      <c r="AB25" s="110">
        <v>1</v>
      </c>
      <c r="AC25" s="110">
        <v>0</v>
      </c>
      <c r="AD25" s="110">
        <v>1</v>
      </c>
      <c r="AE25" s="110">
        <v>0</v>
      </c>
      <c r="AF25" s="110">
        <v>0</v>
      </c>
      <c r="AG25" s="110">
        <v>0</v>
      </c>
      <c r="AH25" s="110">
        <v>0</v>
      </c>
      <c r="AI25" s="110">
        <v>0</v>
      </c>
      <c r="AJ25" s="110">
        <v>0</v>
      </c>
      <c r="AK25" s="110">
        <v>0</v>
      </c>
      <c r="AL25" s="110">
        <v>0</v>
      </c>
      <c r="AM25" s="110">
        <v>0</v>
      </c>
    </row>
    <row r="26" spans="1:39" customFormat="1" x14ac:dyDescent="0.15">
      <c r="A26" s="161" t="s">
        <v>216</v>
      </c>
      <c r="B26" s="110">
        <v>1</v>
      </c>
      <c r="C26" s="110">
        <v>1</v>
      </c>
      <c r="D26" s="110">
        <v>1</v>
      </c>
      <c r="E26" s="110">
        <v>0</v>
      </c>
      <c r="F26" s="110">
        <v>1</v>
      </c>
      <c r="G26" s="110">
        <v>1</v>
      </c>
      <c r="H26" s="110">
        <v>0</v>
      </c>
      <c r="I26" s="110">
        <v>0</v>
      </c>
      <c r="J26" s="110">
        <v>0</v>
      </c>
      <c r="K26" s="110">
        <v>0</v>
      </c>
      <c r="L26" s="110">
        <v>1</v>
      </c>
      <c r="M26" s="110">
        <v>1</v>
      </c>
      <c r="N26" s="110">
        <v>1</v>
      </c>
      <c r="O26" s="110">
        <v>1</v>
      </c>
      <c r="P26" s="110">
        <v>1</v>
      </c>
      <c r="Q26" s="110">
        <v>1</v>
      </c>
      <c r="R26" s="110">
        <v>1</v>
      </c>
      <c r="S26" s="110">
        <v>0</v>
      </c>
      <c r="T26" s="110">
        <v>1</v>
      </c>
      <c r="U26" s="110">
        <v>1</v>
      </c>
      <c r="V26" s="110">
        <v>1</v>
      </c>
      <c r="W26" s="110">
        <v>0</v>
      </c>
      <c r="X26" s="110">
        <v>1</v>
      </c>
      <c r="Y26" s="110">
        <v>1</v>
      </c>
      <c r="Z26" s="110">
        <v>1</v>
      </c>
      <c r="AA26" s="110">
        <v>0</v>
      </c>
      <c r="AB26" s="110">
        <v>1</v>
      </c>
      <c r="AC26" s="110">
        <v>0</v>
      </c>
      <c r="AD26" s="110">
        <v>1</v>
      </c>
      <c r="AE26" s="110">
        <v>0</v>
      </c>
      <c r="AF26" s="110">
        <v>0</v>
      </c>
      <c r="AG26" s="110">
        <v>0</v>
      </c>
      <c r="AH26" s="110">
        <v>1</v>
      </c>
      <c r="AI26" s="110">
        <v>0</v>
      </c>
      <c r="AJ26" s="110">
        <v>0</v>
      </c>
      <c r="AK26" s="110">
        <v>0</v>
      </c>
      <c r="AL26" s="110">
        <v>0</v>
      </c>
      <c r="AM26" s="110">
        <v>0</v>
      </c>
    </row>
    <row r="27" spans="1:39" customFormat="1" x14ac:dyDescent="0.15">
      <c r="A27" s="161" t="s">
        <v>217</v>
      </c>
      <c r="B27" s="110">
        <v>0</v>
      </c>
      <c r="C27" s="110">
        <v>1</v>
      </c>
      <c r="D27" s="110">
        <v>1</v>
      </c>
      <c r="E27" s="110">
        <v>1</v>
      </c>
      <c r="F27" s="110">
        <v>1</v>
      </c>
      <c r="G27" s="110">
        <v>1</v>
      </c>
      <c r="H27" s="110">
        <v>0</v>
      </c>
      <c r="I27" s="110">
        <v>0</v>
      </c>
      <c r="J27" s="110">
        <v>0</v>
      </c>
      <c r="K27" s="110">
        <v>0</v>
      </c>
      <c r="L27" s="110">
        <v>1</v>
      </c>
      <c r="M27" s="110">
        <v>0</v>
      </c>
      <c r="N27" s="110">
        <v>1</v>
      </c>
      <c r="O27" s="110">
        <v>1</v>
      </c>
      <c r="P27" s="110">
        <v>1</v>
      </c>
      <c r="Q27" s="110">
        <v>1</v>
      </c>
      <c r="R27" s="110">
        <v>1</v>
      </c>
      <c r="S27" s="110">
        <v>0</v>
      </c>
      <c r="T27" s="110">
        <v>0</v>
      </c>
      <c r="U27" s="110">
        <v>1</v>
      </c>
      <c r="V27" s="110">
        <v>1</v>
      </c>
      <c r="W27" s="110">
        <v>1</v>
      </c>
      <c r="X27" s="110">
        <v>1</v>
      </c>
      <c r="Y27" s="110">
        <v>1</v>
      </c>
      <c r="Z27" s="110">
        <v>1</v>
      </c>
      <c r="AA27" s="110">
        <v>0</v>
      </c>
      <c r="AB27" s="110">
        <v>1</v>
      </c>
      <c r="AC27" s="110">
        <v>1</v>
      </c>
      <c r="AD27" s="110">
        <v>1</v>
      </c>
      <c r="AE27" s="110">
        <v>0</v>
      </c>
      <c r="AF27" s="110">
        <v>0</v>
      </c>
      <c r="AG27" s="110">
        <v>0</v>
      </c>
      <c r="AH27" s="110">
        <v>1</v>
      </c>
      <c r="AI27" s="110">
        <v>0</v>
      </c>
      <c r="AJ27" s="110">
        <v>0</v>
      </c>
      <c r="AK27" s="110">
        <v>0</v>
      </c>
      <c r="AL27" s="110">
        <v>0</v>
      </c>
      <c r="AM27" s="110">
        <v>0</v>
      </c>
    </row>
    <row r="28" spans="1:39" customFormat="1" x14ac:dyDescent="0.15">
      <c r="A28" s="161" t="s">
        <v>218</v>
      </c>
      <c r="B28" s="110">
        <v>1</v>
      </c>
      <c r="C28" s="110">
        <v>1</v>
      </c>
      <c r="D28" s="110">
        <v>0</v>
      </c>
      <c r="E28" s="110">
        <v>1</v>
      </c>
      <c r="F28" s="110">
        <v>1</v>
      </c>
      <c r="G28" s="110">
        <v>1</v>
      </c>
      <c r="H28" s="110">
        <v>0</v>
      </c>
      <c r="I28" s="110">
        <v>0</v>
      </c>
      <c r="J28" s="110">
        <v>0</v>
      </c>
      <c r="K28" s="110">
        <v>0</v>
      </c>
      <c r="L28" s="110">
        <v>1</v>
      </c>
      <c r="M28" s="110">
        <v>0</v>
      </c>
      <c r="N28" s="110">
        <v>0</v>
      </c>
      <c r="O28" s="110">
        <v>1</v>
      </c>
      <c r="P28" s="110">
        <v>1</v>
      </c>
      <c r="Q28" s="110">
        <v>0</v>
      </c>
      <c r="R28" s="110">
        <v>0</v>
      </c>
      <c r="S28" s="110">
        <v>0</v>
      </c>
      <c r="T28" s="110">
        <v>1</v>
      </c>
      <c r="U28" s="110">
        <v>1</v>
      </c>
      <c r="V28" s="110">
        <v>1</v>
      </c>
      <c r="W28" s="110">
        <v>1</v>
      </c>
      <c r="X28" s="110">
        <v>1</v>
      </c>
      <c r="Y28" s="110">
        <v>0</v>
      </c>
      <c r="Z28" s="110">
        <v>0</v>
      </c>
      <c r="AA28" s="110">
        <v>0</v>
      </c>
      <c r="AB28" s="110">
        <v>1</v>
      </c>
      <c r="AC28" s="110">
        <v>0</v>
      </c>
      <c r="AD28" s="110">
        <v>0</v>
      </c>
      <c r="AE28" s="110">
        <v>0</v>
      </c>
      <c r="AF28" s="110">
        <v>0</v>
      </c>
      <c r="AG28" s="110">
        <v>0</v>
      </c>
      <c r="AH28" s="110">
        <v>1</v>
      </c>
      <c r="AI28" s="110">
        <v>1</v>
      </c>
      <c r="AJ28" s="110">
        <v>1</v>
      </c>
      <c r="AK28" s="110">
        <v>0</v>
      </c>
      <c r="AL28" s="110">
        <v>0</v>
      </c>
      <c r="AM28" s="110">
        <v>0</v>
      </c>
    </row>
    <row r="29" spans="1:39" customFormat="1" x14ac:dyDescent="0.15">
      <c r="A29" s="161" t="s">
        <v>219</v>
      </c>
      <c r="B29" s="110">
        <v>1</v>
      </c>
      <c r="C29" s="110">
        <v>0</v>
      </c>
      <c r="D29" s="110">
        <v>1</v>
      </c>
      <c r="E29" s="110">
        <v>1</v>
      </c>
      <c r="F29" s="110">
        <v>0</v>
      </c>
      <c r="G29" s="110">
        <v>1</v>
      </c>
      <c r="H29" s="110">
        <v>0</v>
      </c>
      <c r="I29" s="110">
        <v>0</v>
      </c>
      <c r="J29" s="110">
        <v>0</v>
      </c>
      <c r="K29" s="110">
        <v>0</v>
      </c>
      <c r="L29" s="110">
        <v>1</v>
      </c>
      <c r="M29" s="110">
        <v>1</v>
      </c>
      <c r="N29" s="110">
        <v>1</v>
      </c>
      <c r="O29" s="110">
        <v>1</v>
      </c>
      <c r="P29" s="110">
        <v>1</v>
      </c>
      <c r="Q29" s="110">
        <v>1</v>
      </c>
      <c r="R29" s="110">
        <v>1</v>
      </c>
      <c r="S29" s="110">
        <v>0</v>
      </c>
      <c r="T29" s="110">
        <v>1</v>
      </c>
      <c r="U29" s="110">
        <v>1</v>
      </c>
      <c r="V29" s="110">
        <v>0</v>
      </c>
      <c r="W29" s="110">
        <v>0</v>
      </c>
      <c r="X29" s="110">
        <v>1</v>
      </c>
      <c r="Y29" s="110">
        <v>0</v>
      </c>
      <c r="Z29" s="110">
        <v>0</v>
      </c>
      <c r="AA29" s="110">
        <v>0</v>
      </c>
      <c r="AB29" s="110">
        <v>0</v>
      </c>
      <c r="AC29" s="110">
        <v>1</v>
      </c>
      <c r="AD29" s="110">
        <v>0</v>
      </c>
      <c r="AE29" s="110">
        <v>0</v>
      </c>
      <c r="AF29" s="110">
        <v>0</v>
      </c>
      <c r="AG29" s="110">
        <v>0</v>
      </c>
      <c r="AH29" s="110">
        <v>1</v>
      </c>
      <c r="AI29" s="110">
        <v>0</v>
      </c>
      <c r="AJ29" s="110">
        <v>0</v>
      </c>
      <c r="AK29" s="110">
        <v>0</v>
      </c>
      <c r="AL29" s="110">
        <v>0</v>
      </c>
      <c r="AM29" s="110">
        <v>0</v>
      </c>
    </row>
    <row r="30" spans="1:39" customFormat="1" x14ac:dyDescent="0.15">
      <c r="A30" s="161" t="s">
        <v>220</v>
      </c>
      <c r="B30" s="110">
        <v>1</v>
      </c>
      <c r="C30" s="110">
        <v>1</v>
      </c>
      <c r="D30" s="110">
        <v>1</v>
      </c>
      <c r="E30" s="110">
        <v>1</v>
      </c>
      <c r="F30" s="110">
        <v>1</v>
      </c>
      <c r="G30" s="110">
        <v>1</v>
      </c>
      <c r="H30" s="110">
        <v>0</v>
      </c>
      <c r="I30" s="110">
        <v>0</v>
      </c>
      <c r="J30" s="110">
        <v>0</v>
      </c>
      <c r="K30" s="110">
        <v>0</v>
      </c>
      <c r="L30" s="110">
        <v>1</v>
      </c>
      <c r="M30" s="110">
        <v>0</v>
      </c>
      <c r="N30" s="110">
        <v>0</v>
      </c>
      <c r="O30" s="110">
        <v>1</v>
      </c>
      <c r="P30" s="110">
        <v>1</v>
      </c>
      <c r="Q30" s="110">
        <v>1</v>
      </c>
      <c r="R30" s="110">
        <v>1</v>
      </c>
      <c r="S30" s="110">
        <v>0</v>
      </c>
      <c r="T30" s="110">
        <v>1</v>
      </c>
      <c r="U30" s="110">
        <v>1</v>
      </c>
      <c r="V30" s="110">
        <v>1</v>
      </c>
      <c r="W30" s="110">
        <v>1</v>
      </c>
      <c r="X30" s="110">
        <v>1</v>
      </c>
      <c r="Y30" s="110">
        <v>0</v>
      </c>
      <c r="Z30" s="110">
        <v>1</v>
      </c>
      <c r="AA30" s="110">
        <v>0</v>
      </c>
      <c r="AB30" s="110">
        <v>1</v>
      </c>
      <c r="AC30" s="110">
        <v>1</v>
      </c>
      <c r="AD30" s="110">
        <v>1</v>
      </c>
      <c r="AE30" s="110">
        <v>0</v>
      </c>
      <c r="AF30" s="110">
        <v>0</v>
      </c>
      <c r="AG30" s="110">
        <v>0</v>
      </c>
      <c r="AH30" s="110">
        <v>1</v>
      </c>
      <c r="AI30" s="110">
        <v>0</v>
      </c>
      <c r="AJ30" s="110">
        <v>0</v>
      </c>
      <c r="AK30" s="110">
        <v>0</v>
      </c>
      <c r="AL30" s="110">
        <v>0</v>
      </c>
      <c r="AM30" s="110">
        <v>0</v>
      </c>
    </row>
    <row r="31" spans="1:39" customFormat="1" x14ac:dyDescent="0.15">
      <c r="A31" s="161" t="s">
        <v>221</v>
      </c>
      <c r="B31" s="110">
        <v>1</v>
      </c>
      <c r="C31" s="110">
        <v>1</v>
      </c>
      <c r="D31" s="110">
        <v>1</v>
      </c>
      <c r="E31" s="110">
        <v>0</v>
      </c>
      <c r="F31" s="110">
        <v>1</v>
      </c>
      <c r="G31" s="110">
        <v>1</v>
      </c>
      <c r="H31" s="110">
        <v>0</v>
      </c>
      <c r="I31" s="110">
        <v>1</v>
      </c>
      <c r="J31" s="110">
        <v>0</v>
      </c>
      <c r="K31" s="110">
        <v>0</v>
      </c>
      <c r="L31" s="110">
        <v>0</v>
      </c>
      <c r="M31" s="110">
        <v>0</v>
      </c>
      <c r="N31" s="110">
        <v>1</v>
      </c>
      <c r="O31" s="110">
        <v>1</v>
      </c>
      <c r="P31" s="110">
        <v>1</v>
      </c>
      <c r="Q31" s="110">
        <v>1</v>
      </c>
      <c r="R31" s="110">
        <v>0</v>
      </c>
      <c r="S31" s="110">
        <v>0</v>
      </c>
      <c r="T31" s="110">
        <v>1</v>
      </c>
      <c r="U31" s="110">
        <v>0</v>
      </c>
      <c r="V31" s="110">
        <v>1</v>
      </c>
      <c r="W31" s="110">
        <v>1</v>
      </c>
      <c r="X31" s="110">
        <v>1</v>
      </c>
      <c r="Y31" s="110">
        <v>0</v>
      </c>
      <c r="Z31" s="110">
        <v>0</v>
      </c>
      <c r="AA31" s="110">
        <v>0</v>
      </c>
      <c r="AB31" s="110">
        <v>1</v>
      </c>
      <c r="AC31" s="110">
        <v>0</v>
      </c>
      <c r="AD31" s="110">
        <v>0</v>
      </c>
      <c r="AE31" s="110">
        <v>1</v>
      </c>
      <c r="AF31" s="110">
        <v>0</v>
      </c>
      <c r="AG31" s="110">
        <v>1</v>
      </c>
      <c r="AH31" s="110">
        <v>1</v>
      </c>
      <c r="AI31" s="110">
        <v>0</v>
      </c>
      <c r="AJ31" s="110">
        <v>1</v>
      </c>
      <c r="AK31" s="110">
        <v>0</v>
      </c>
      <c r="AL31" s="110">
        <v>0</v>
      </c>
      <c r="AM31" s="110">
        <v>0</v>
      </c>
    </row>
    <row r="32" spans="1:39" x14ac:dyDescent="0.15">
      <c r="A32" s="161" t="s">
        <v>222</v>
      </c>
      <c r="B32" s="110">
        <v>0</v>
      </c>
      <c r="C32" s="110">
        <v>1</v>
      </c>
      <c r="D32" s="110">
        <v>1</v>
      </c>
      <c r="E32" s="110">
        <v>0</v>
      </c>
      <c r="F32" s="110">
        <v>1</v>
      </c>
      <c r="G32" s="110">
        <v>1</v>
      </c>
      <c r="H32" s="110">
        <v>1</v>
      </c>
      <c r="I32" s="110">
        <v>1</v>
      </c>
      <c r="J32" s="110">
        <v>1</v>
      </c>
      <c r="K32" s="110">
        <v>1</v>
      </c>
      <c r="L32" s="110">
        <v>1</v>
      </c>
      <c r="M32" s="110">
        <v>1</v>
      </c>
      <c r="N32" s="110">
        <v>1</v>
      </c>
      <c r="O32" s="110">
        <v>1</v>
      </c>
      <c r="P32" s="110">
        <v>0</v>
      </c>
      <c r="Q32" s="110">
        <v>1</v>
      </c>
      <c r="R32" s="110">
        <v>0</v>
      </c>
      <c r="S32" s="110">
        <v>1</v>
      </c>
      <c r="T32" s="110">
        <v>1</v>
      </c>
      <c r="U32" s="110">
        <v>1</v>
      </c>
      <c r="V32" s="110">
        <v>0</v>
      </c>
      <c r="W32" s="110">
        <v>0</v>
      </c>
      <c r="X32" s="110">
        <v>1</v>
      </c>
      <c r="Y32" s="110">
        <v>0</v>
      </c>
      <c r="Z32" s="110">
        <v>1</v>
      </c>
      <c r="AA32" s="110">
        <v>1</v>
      </c>
      <c r="AB32" s="110">
        <v>1</v>
      </c>
      <c r="AC32" s="110">
        <v>0</v>
      </c>
      <c r="AD32" s="110">
        <v>1</v>
      </c>
      <c r="AE32" s="110">
        <v>1</v>
      </c>
      <c r="AF32" s="110">
        <v>0</v>
      </c>
      <c r="AG32" s="110">
        <v>1</v>
      </c>
      <c r="AH32" s="110">
        <v>0</v>
      </c>
      <c r="AI32" s="110">
        <v>0</v>
      </c>
      <c r="AJ32" s="110">
        <v>1</v>
      </c>
      <c r="AK32" s="110">
        <v>0</v>
      </c>
      <c r="AL32" s="110">
        <v>0</v>
      </c>
      <c r="AM32" s="110">
        <v>0</v>
      </c>
    </row>
    <row r="33" spans="1:39" x14ac:dyDescent="0.15">
      <c r="A33" s="161" t="s">
        <v>223</v>
      </c>
      <c r="B33" s="110">
        <v>1</v>
      </c>
      <c r="C33" s="110">
        <v>1</v>
      </c>
      <c r="D33" s="110">
        <v>1</v>
      </c>
      <c r="E33" s="110">
        <v>0</v>
      </c>
      <c r="F33" s="110">
        <v>1</v>
      </c>
      <c r="G33" s="110">
        <v>1</v>
      </c>
      <c r="H33" s="110">
        <v>0</v>
      </c>
      <c r="I33" s="110">
        <v>1</v>
      </c>
      <c r="J33" s="110">
        <v>0</v>
      </c>
      <c r="K33" s="110">
        <v>0</v>
      </c>
      <c r="L33" s="110">
        <v>1</v>
      </c>
      <c r="M33" s="110">
        <v>1</v>
      </c>
      <c r="N33" s="110">
        <v>1</v>
      </c>
      <c r="O33" s="110">
        <v>1</v>
      </c>
      <c r="P33" s="110">
        <v>1</v>
      </c>
      <c r="Q33" s="110">
        <v>1</v>
      </c>
      <c r="R33" s="110">
        <v>1</v>
      </c>
      <c r="S33" s="110">
        <v>0</v>
      </c>
      <c r="T33" s="110">
        <v>1</v>
      </c>
      <c r="U33" s="110">
        <v>1</v>
      </c>
      <c r="V33" s="110">
        <v>1</v>
      </c>
      <c r="W33" s="110">
        <v>0</v>
      </c>
      <c r="X33" s="110">
        <v>1</v>
      </c>
      <c r="Y33" s="110">
        <v>1</v>
      </c>
      <c r="Z33" s="110">
        <v>1</v>
      </c>
      <c r="AA33" s="110">
        <v>1</v>
      </c>
      <c r="AB33" s="110">
        <v>1</v>
      </c>
      <c r="AC33" s="110">
        <v>1</v>
      </c>
      <c r="AD33" s="110">
        <v>1</v>
      </c>
      <c r="AE33" s="110">
        <v>1</v>
      </c>
      <c r="AF33" s="110">
        <v>0</v>
      </c>
      <c r="AG33" s="110">
        <v>1</v>
      </c>
      <c r="AH33" s="110">
        <v>1</v>
      </c>
      <c r="AI33" s="110">
        <v>0</v>
      </c>
      <c r="AJ33" s="110">
        <v>0</v>
      </c>
      <c r="AK33" s="110">
        <v>0</v>
      </c>
      <c r="AL33" s="110">
        <v>0</v>
      </c>
      <c r="AM33" s="110">
        <v>0</v>
      </c>
    </row>
    <row r="34" spans="1:39" x14ac:dyDescent="0.15">
      <c r="A34" s="161" t="s">
        <v>224</v>
      </c>
      <c r="B34" s="110">
        <v>0</v>
      </c>
      <c r="C34" s="110">
        <v>0</v>
      </c>
      <c r="D34" s="110">
        <v>0</v>
      </c>
      <c r="E34" s="110">
        <v>0</v>
      </c>
      <c r="F34" s="110">
        <v>0</v>
      </c>
      <c r="G34" s="110">
        <v>0</v>
      </c>
      <c r="H34" s="110">
        <v>0</v>
      </c>
      <c r="I34" s="110">
        <v>0</v>
      </c>
      <c r="J34" s="110">
        <v>0</v>
      </c>
      <c r="K34" s="110">
        <v>0</v>
      </c>
      <c r="L34" s="110">
        <v>0</v>
      </c>
      <c r="M34" s="110">
        <v>0</v>
      </c>
      <c r="N34" s="110">
        <v>0</v>
      </c>
      <c r="O34" s="110">
        <v>0</v>
      </c>
      <c r="P34" s="110">
        <v>0</v>
      </c>
      <c r="Q34" s="110">
        <v>0</v>
      </c>
      <c r="R34" s="110">
        <v>0</v>
      </c>
      <c r="S34" s="110">
        <v>0</v>
      </c>
      <c r="T34" s="110">
        <v>0</v>
      </c>
      <c r="U34" s="110">
        <v>0</v>
      </c>
      <c r="V34" s="110">
        <v>1</v>
      </c>
      <c r="W34" s="110">
        <v>0</v>
      </c>
      <c r="X34" s="110">
        <v>0</v>
      </c>
      <c r="Y34" s="110">
        <v>0</v>
      </c>
      <c r="Z34" s="110">
        <v>0</v>
      </c>
      <c r="AA34" s="110">
        <v>0</v>
      </c>
      <c r="AB34" s="110">
        <v>0</v>
      </c>
      <c r="AC34" s="110">
        <v>0</v>
      </c>
      <c r="AD34" s="110">
        <v>0</v>
      </c>
      <c r="AE34" s="110">
        <v>0</v>
      </c>
      <c r="AF34" s="110">
        <v>0</v>
      </c>
      <c r="AG34" s="110">
        <v>0</v>
      </c>
      <c r="AH34" s="110">
        <v>0</v>
      </c>
      <c r="AI34" s="110">
        <v>0</v>
      </c>
      <c r="AJ34" s="110">
        <v>0</v>
      </c>
      <c r="AK34" s="110">
        <v>0</v>
      </c>
      <c r="AL34" s="110">
        <v>0</v>
      </c>
      <c r="AM34" s="110">
        <v>0</v>
      </c>
    </row>
    <row r="35" spans="1:39" x14ac:dyDescent="0.15">
      <c r="A35" s="161" t="s">
        <v>225</v>
      </c>
      <c r="B35" s="110">
        <v>0</v>
      </c>
      <c r="C35" s="110">
        <v>0</v>
      </c>
      <c r="D35" s="110">
        <v>0</v>
      </c>
      <c r="E35" s="110">
        <v>0</v>
      </c>
      <c r="F35" s="110">
        <v>0</v>
      </c>
      <c r="G35" s="110">
        <v>0</v>
      </c>
      <c r="H35" s="110">
        <v>0</v>
      </c>
      <c r="I35" s="110">
        <v>0</v>
      </c>
      <c r="J35" s="110">
        <v>0</v>
      </c>
      <c r="K35" s="110">
        <v>0</v>
      </c>
      <c r="L35" s="110">
        <v>0</v>
      </c>
      <c r="M35" s="110">
        <v>0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0</v>
      </c>
      <c r="U35" s="110">
        <v>1</v>
      </c>
      <c r="V35" s="110">
        <v>1</v>
      </c>
      <c r="W35" s="110">
        <v>0</v>
      </c>
      <c r="X35" s="110">
        <v>0</v>
      </c>
      <c r="Y35" s="110">
        <v>0</v>
      </c>
      <c r="Z35" s="110">
        <v>0</v>
      </c>
      <c r="AA35" s="110">
        <v>0</v>
      </c>
      <c r="AB35" s="110">
        <v>0</v>
      </c>
      <c r="AC35" s="110">
        <v>0</v>
      </c>
      <c r="AD35" s="110">
        <v>0</v>
      </c>
      <c r="AE35" s="110">
        <v>0</v>
      </c>
      <c r="AF35" s="110">
        <v>0</v>
      </c>
      <c r="AG35" s="110">
        <v>0</v>
      </c>
      <c r="AH35" s="110">
        <v>0</v>
      </c>
      <c r="AI35" s="110">
        <v>0</v>
      </c>
      <c r="AJ35" s="110">
        <v>0</v>
      </c>
      <c r="AK35" s="110">
        <v>0</v>
      </c>
      <c r="AL35" s="110">
        <v>0</v>
      </c>
      <c r="AM35" s="110">
        <v>0</v>
      </c>
    </row>
    <row r="36" spans="1:39" x14ac:dyDescent="0.15">
      <c r="A36" s="161" t="s">
        <v>226</v>
      </c>
      <c r="B36" s="110">
        <v>0</v>
      </c>
      <c r="C36" s="110">
        <v>0</v>
      </c>
      <c r="D36" s="110">
        <v>0</v>
      </c>
      <c r="E36" s="110">
        <v>0</v>
      </c>
      <c r="F36" s="110">
        <v>0</v>
      </c>
      <c r="G36" s="110">
        <v>0</v>
      </c>
      <c r="H36" s="110">
        <v>0</v>
      </c>
      <c r="I36" s="110">
        <v>0</v>
      </c>
      <c r="J36" s="110">
        <v>0</v>
      </c>
      <c r="K36" s="110">
        <v>0</v>
      </c>
      <c r="L36" s="110">
        <v>0</v>
      </c>
      <c r="M36" s="110">
        <v>0</v>
      </c>
      <c r="N36" s="110">
        <v>0</v>
      </c>
      <c r="O36" s="110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1</v>
      </c>
      <c r="W36" s="110">
        <v>0</v>
      </c>
      <c r="X36" s="110">
        <v>0</v>
      </c>
      <c r="Y36" s="110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0">
        <v>0</v>
      </c>
      <c r="AJ36" s="110">
        <v>0</v>
      </c>
      <c r="AK36" s="110">
        <v>0</v>
      </c>
      <c r="AL36" s="110">
        <v>0</v>
      </c>
      <c r="AM36" s="110">
        <v>0</v>
      </c>
    </row>
    <row r="37" spans="1:39" x14ac:dyDescent="0.15">
      <c r="A37" s="161" t="s">
        <v>227</v>
      </c>
      <c r="B37" s="110">
        <v>0</v>
      </c>
      <c r="C37" s="110">
        <v>0</v>
      </c>
      <c r="D37" s="110">
        <v>1</v>
      </c>
      <c r="E37" s="110">
        <v>0</v>
      </c>
      <c r="F37" s="110">
        <v>0</v>
      </c>
      <c r="G37" s="110">
        <v>0</v>
      </c>
      <c r="H37" s="110">
        <v>0</v>
      </c>
      <c r="I37" s="110">
        <v>0</v>
      </c>
      <c r="J37" s="110">
        <v>1</v>
      </c>
      <c r="K37" s="110">
        <v>0</v>
      </c>
      <c r="L37" s="110">
        <v>0</v>
      </c>
      <c r="M37" s="110">
        <v>0</v>
      </c>
      <c r="N37" s="110">
        <v>1</v>
      </c>
      <c r="O37" s="110">
        <v>1</v>
      </c>
      <c r="P37" s="110">
        <v>0</v>
      </c>
      <c r="Q37" s="110">
        <v>1</v>
      </c>
      <c r="R37" s="110">
        <v>0</v>
      </c>
      <c r="S37" s="110">
        <v>1</v>
      </c>
      <c r="T37" s="110">
        <v>0</v>
      </c>
      <c r="U37" s="110">
        <v>0</v>
      </c>
      <c r="V37" s="110">
        <v>0</v>
      </c>
      <c r="W37" s="110">
        <v>0</v>
      </c>
      <c r="X37" s="110">
        <v>1</v>
      </c>
      <c r="Y37" s="110">
        <v>1</v>
      </c>
      <c r="Z37" s="110">
        <v>1</v>
      </c>
      <c r="AA37" s="110">
        <v>1</v>
      </c>
      <c r="AB37" s="110">
        <v>1</v>
      </c>
      <c r="AC37" s="110">
        <v>0</v>
      </c>
      <c r="AD37" s="110">
        <v>0</v>
      </c>
      <c r="AE37" s="110">
        <v>1</v>
      </c>
      <c r="AF37" s="110">
        <v>1</v>
      </c>
      <c r="AG37" s="110">
        <v>0</v>
      </c>
      <c r="AH37" s="110">
        <v>0</v>
      </c>
      <c r="AI37" s="110">
        <v>0</v>
      </c>
      <c r="AJ37" s="110">
        <v>0</v>
      </c>
      <c r="AK37" s="110">
        <v>0</v>
      </c>
      <c r="AL37" s="110">
        <v>0</v>
      </c>
      <c r="AM37" s="110">
        <v>0</v>
      </c>
    </row>
    <row r="38" spans="1:39" x14ac:dyDescent="0.15">
      <c r="A38" s="161" t="s">
        <v>228</v>
      </c>
      <c r="B38" s="110">
        <v>1</v>
      </c>
      <c r="C38" s="110">
        <v>0</v>
      </c>
      <c r="D38" s="110">
        <v>1</v>
      </c>
      <c r="E38" s="110">
        <v>0</v>
      </c>
      <c r="F38" s="110">
        <v>1</v>
      </c>
      <c r="G38" s="110">
        <v>1</v>
      </c>
      <c r="H38" s="110">
        <v>0</v>
      </c>
      <c r="I38" s="110">
        <v>0</v>
      </c>
      <c r="J38" s="110">
        <v>0</v>
      </c>
      <c r="K38" s="110">
        <v>0</v>
      </c>
      <c r="L38" s="110">
        <v>1</v>
      </c>
      <c r="M38" s="110">
        <v>0</v>
      </c>
      <c r="N38" s="110">
        <v>1</v>
      </c>
      <c r="O38" s="110">
        <v>1</v>
      </c>
      <c r="P38" s="110">
        <v>1</v>
      </c>
      <c r="Q38" s="110">
        <v>0</v>
      </c>
      <c r="R38" s="110">
        <v>0</v>
      </c>
      <c r="S38" s="110">
        <v>0</v>
      </c>
      <c r="T38" s="110">
        <v>1</v>
      </c>
      <c r="U38" s="110">
        <v>0</v>
      </c>
      <c r="V38" s="110">
        <v>0</v>
      </c>
      <c r="W38" s="110">
        <v>0</v>
      </c>
      <c r="X38" s="110">
        <v>1</v>
      </c>
      <c r="Y38" s="110">
        <v>1</v>
      </c>
      <c r="Z38" s="110">
        <v>1</v>
      </c>
      <c r="AA38" s="110">
        <v>1</v>
      </c>
      <c r="AB38" s="110">
        <v>0</v>
      </c>
      <c r="AC38" s="110">
        <v>1</v>
      </c>
      <c r="AD38" s="110">
        <v>1</v>
      </c>
      <c r="AE38" s="110">
        <v>1</v>
      </c>
      <c r="AF38" s="110">
        <v>0</v>
      </c>
      <c r="AG38" s="110">
        <v>0</v>
      </c>
      <c r="AH38" s="110">
        <v>0</v>
      </c>
      <c r="AI38" s="110">
        <v>0</v>
      </c>
      <c r="AJ38" s="110">
        <v>0</v>
      </c>
      <c r="AK38" s="110">
        <v>0</v>
      </c>
      <c r="AL38" s="110">
        <v>0</v>
      </c>
      <c r="AM38" s="110">
        <v>0</v>
      </c>
    </row>
    <row r="39" spans="1:39" x14ac:dyDescent="0.15">
      <c r="A39" s="161" t="s">
        <v>229</v>
      </c>
      <c r="B39" s="110">
        <v>0</v>
      </c>
      <c r="C39" s="110">
        <v>0</v>
      </c>
      <c r="D39" s="110">
        <v>0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0</v>
      </c>
      <c r="M39" s="110">
        <v>0</v>
      </c>
      <c r="N39" s="110">
        <v>0</v>
      </c>
      <c r="O39" s="110">
        <v>0</v>
      </c>
      <c r="P39" s="110">
        <v>0</v>
      </c>
      <c r="Q39" s="110">
        <v>0</v>
      </c>
      <c r="R39" s="110">
        <v>0</v>
      </c>
      <c r="S39" s="110">
        <v>0</v>
      </c>
      <c r="T39" s="110">
        <v>0</v>
      </c>
      <c r="U39" s="110">
        <v>0</v>
      </c>
      <c r="V39" s="110">
        <v>0</v>
      </c>
      <c r="W39" s="110">
        <v>0</v>
      </c>
      <c r="X39" s="110">
        <v>0</v>
      </c>
      <c r="Y39" s="110">
        <v>0</v>
      </c>
      <c r="Z39" s="110">
        <v>0</v>
      </c>
      <c r="AA39" s="110">
        <v>0</v>
      </c>
      <c r="AB39" s="110">
        <v>0</v>
      </c>
      <c r="AC39" s="110">
        <v>0</v>
      </c>
      <c r="AD39" s="110">
        <v>0</v>
      </c>
      <c r="AE39" s="110">
        <v>0</v>
      </c>
      <c r="AF39" s="110">
        <v>0</v>
      </c>
      <c r="AG39" s="110">
        <v>0</v>
      </c>
      <c r="AH39" s="110">
        <v>0</v>
      </c>
      <c r="AI39" s="110">
        <v>0</v>
      </c>
      <c r="AJ39" s="110">
        <v>0</v>
      </c>
      <c r="AK39" s="110">
        <v>0</v>
      </c>
      <c r="AL39" s="110">
        <v>0</v>
      </c>
      <c r="AM39" s="110">
        <v>0</v>
      </c>
    </row>
    <row r="40" spans="1:39" x14ac:dyDescent="0.15">
      <c r="A40" s="161" t="s">
        <v>235</v>
      </c>
      <c r="B40" s="110">
        <v>0</v>
      </c>
      <c r="C40" s="110">
        <v>0</v>
      </c>
      <c r="D40" s="110">
        <v>0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10">
        <v>0</v>
      </c>
      <c r="P40" s="110">
        <v>0</v>
      </c>
      <c r="Q40" s="110">
        <v>0</v>
      </c>
      <c r="R40" s="110">
        <v>0</v>
      </c>
      <c r="S40" s="110">
        <v>0</v>
      </c>
      <c r="T40" s="110">
        <v>0</v>
      </c>
      <c r="U40" s="110">
        <v>0</v>
      </c>
      <c r="V40" s="110">
        <v>0</v>
      </c>
      <c r="W40" s="110">
        <v>0</v>
      </c>
      <c r="X40" s="110">
        <v>0</v>
      </c>
      <c r="Y40" s="110">
        <v>0</v>
      </c>
      <c r="Z40" s="110">
        <v>0</v>
      </c>
      <c r="AA40" s="110">
        <v>0</v>
      </c>
      <c r="AB40" s="110">
        <v>0</v>
      </c>
      <c r="AC40" s="110">
        <v>0</v>
      </c>
      <c r="AD40" s="110">
        <v>0</v>
      </c>
      <c r="AE40" s="110">
        <v>0</v>
      </c>
      <c r="AF40" s="110">
        <v>0</v>
      </c>
      <c r="AG40" s="110">
        <v>0</v>
      </c>
      <c r="AH40" s="110">
        <v>0</v>
      </c>
      <c r="AI40" s="110">
        <v>0</v>
      </c>
      <c r="AJ40" s="110">
        <v>0</v>
      </c>
      <c r="AK40" s="110">
        <v>0</v>
      </c>
      <c r="AL40" s="110">
        <v>0</v>
      </c>
      <c r="AM40" s="11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G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4.3320312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83</v>
      </c>
      <c r="B1" s="3" t="s">
        <v>0</v>
      </c>
      <c r="C1" s="164" t="s">
        <v>230</v>
      </c>
      <c r="D1" s="164" t="s">
        <v>231</v>
      </c>
      <c r="E1" s="164" t="s">
        <v>232</v>
      </c>
      <c r="F1" s="164" t="s">
        <v>233</v>
      </c>
      <c r="G1" s="164" t="s">
        <v>234</v>
      </c>
    </row>
    <row r="2" spans="1:7" x14ac:dyDescent="0.15">
      <c r="A2">
        <v>1</v>
      </c>
      <c r="B2" s="163" t="s">
        <v>192</v>
      </c>
      <c r="C2">
        <v>0.8</v>
      </c>
      <c r="D2">
        <v>0.8</v>
      </c>
      <c r="E2">
        <v>0.8</v>
      </c>
      <c r="F2">
        <v>0.8</v>
      </c>
      <c r="G2">
        <v>0.8</v>
      </c>
    </row>
    <row r="3" spans="1:7" x14ac:dyDescent="0.15">
      <c r="A3">
        <v>2</v>
      </c>
      <c r="B3" s="163" t="s">
        <v>193</v>
      </c>
      <c r="C3">
        <v>0.8</v>
      </c>
      <c r="D3">
        <v>0.8</v>
      </c>
      <c r="E3">
        <v>0.8</v>
      </c>
      <c r="F3">
        <v>0.8</v>
      </c>
      <c r="G3">
        <v>0.8</v>
      </c>
    </row>
    <row r="4" spans="1:7" x14ac:dyDescent="0.15">
      <c r="A4">
        <v>3</v>
      </c>
      <c r="B4" s="163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63" t="s">
        <v>195</v>
      </c>
      <c r="C5">
        <v>0.8</v>
      </c>
      <c r="D5">
        <v>0.8</v>
      </c>
      <c r="E5">
        <v>0.8</v>
      </c>
      <c r="F5">
        <v>0.8</v>
      </c>
      <c r="G5">
        <v>0.8</v>
      </c>
    </row>
    <row r="6" spans="1:7" x14ac:dyDescent="0.15">
      <c r="A6">
        <v>5</v>
      </c>
      <c r="B6" s="163" t="s">
        <v>196</v>
      </c>
      <c r="C6">
        <v>0.8</v>
      </c>
      <c r="D6">
        <v>0.8</v>
      </c>
      <c r="E6">
        <v>0.8</v>
      </c>
      <c r="F6">
        <v>0.8</v>
      </c>
      <c r="G6">
        <v>0.8</v>
      </c>
    </row>
    <row r="7" spans="1:7" x14ac:dyDescent="0.15">
      <c r="A7">
        <v>6</v>
      </c>
      <c r="B7" s="163" t="s">
        <v>197</v>
      </c>
      <c r="C7">
        <v>0.8</v>
      </c>
      <c r="D7">
        <v>0.8</v>
      </c>
      <c r="E7">
        <v>0.8</v>
      </c>
      <c r="F7">
        <v>0.8</v>
      </c>
      <c r="G7">
        <v>0.8</v>
      </c>
    </row>
    <row r="8" spans="1:7" x14ac:dyDescent="0.15">
      <c r="A8">
        <v>7</v>
      </c>
      <c r="B8" s="163" t="s">
        <v>198</v>
      </c>
      <c r="C8">
        <v>0.8</v>
      </c>
      <c r="D8">
        <v>0.8</v>
      </c>
      <c r="E8">
        <v>0.8</v>
      </c>
      <c r="F8">
        <v>0.8</v>
      </c>
      <c r="G8">
        <v>0.8</v>
      </c>
    </row>
    <row r="9" spans="1:7" x14ac:dyDescent="0.15">
      <c r="A9">
        <v>8</v>
      </c>
      <c r="B9" s="163" t="s">
        <v>199</v>
      </c>
      <c r="C9">
        <v>0.8</v>
      </c>
      <c r="D9">
        <v>0.8</v>
      </c>
      <c r="E9">
        <v>0.8</v>
      </c>
      <c r="F9">
        <v>0.8</v>
      </c>
      <c r="G9">
        <v>0.8</v>
      </c>
    </row>
    <row r="10" spans="1:7" x14ac:dyDescent="0.15">
      <c r="A10">
        <v>9</v>
      </c>
      <c r="B10" s="163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</row>
    <row r="11" spans="1:7" x14ac:dyDescent="0.15">
      <c r="A11">
        <v>10</v>
      </c>
      <c r="B11" s="163" t="s">
        <v>201</v>
      </c>
      <c r="C11">
        <v>0.8</v>
      </c>
      <c r="D11">
        <v>0.8</v>
      </c>
      <c r="E11">
        <v>0.8</v>
      </c>
      <c r="F11">
        <v>0.8</v>
      </c>
      <c r="G11">
        <v>0.8</v>
      </c>
    </row>
    <row r="12" spans="1:7" x14ac:dyDescent="0.15">
      <c r="A12">
        <v>11</v>
      </c>
      <c r="B12" s="163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</row>
    <row r="13" spans="1:7" x14ac:dyDescent="0.15">
      <c r="A13">
        <v>12</v>
      </c>
      <c r="B13" s="163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</row>
    <row r="14" spans="1:7" x14ac:dyDescent="0.15">
      <c r="A14">
        <v>13</v>
      </c>
      <c r="B14" s="163" t="s">
        <v>204</v>
      </c>
      <c r="C14">
        <v>0.8</v>
      </c>
      <c r="D14">
        <v>0.8</v>
      </c>
      <c r="E14">
        <v>0.8</v>
      </c>
      <c r="F14">
        <v>0.8</v>
      </c>
      <c r="G14">
        <v>0.8</v>
      </c>
    </row>
    <row r="15" spans="1:7" x14ac:dyDescent="0.15">
      <c r="A15">
        <v>14</v>
      </c>
      <c r="B15" s="163" t="s">
        <v>205</v>
      </c>
      <c r="C15">
        <v>0.8</v>
      </c>
      <c r="D15">
        <v>0.8</v>
      </c>
      <c r="E15">
        <v>0.8</v>
      </c>
      <c r="F15">
        <v>0.8</v>
      </c>
      <c r="G15">
        <v>0.8</v>
      </c>
    </row>
    <row r="16" spans="1:7" x14ac:dyDescent="0.15">
      <c r="A16">
        <v>15</v>
      </c>
      <c r="B16" s="163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</row>
    <row r="17" spans="1:7" x14ac:dyDescent="0.15">
      <c r="A17">
        <v>16</v>
      </c>
      <c r="B17" s="163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</row>
    <row r="18" spans="1:7" x14ac:dyDescent="0.15">
      <c r="A18">
        <v>17</v>
      </c>
      <c r="B18" s="163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63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63" t="s">
        <v>210</v>
      </c>
      <c r="C20">
        <v>0.8</v>
      </c>
      <c r="D20">
        <v>0.8</v>
      </c>
      <c r="E20">
        <v>0.8</v>
      </c>
      <c r="F20">
        <v>0.8</v>
      </c>
      <c r="G20">
        <v>0.8</v>
      </c>
    </row>
    <row r="21" spans="1:7" x14ac:dyDescent="0.15">
      <c r="A21">
        <v>20</v>
      </c>
      <c r="B21" s="163" t="s">
        <v>211</v>
      </c>
      <c r="C21">
        <v>0.8</v>
      </c>
      <c r="D21">
        <v>0.8</v>
      </c>
      <c r="E21">
        <v>0.8</v>
      </c>
      <c r="F21">
        <v>0.8</v>
      </c>
      <c r="G21">
        <v>0.8</v>
      </c>
    </row>
    <row r="22" spans="1:7" x14ac:dyDescent="0.15">
      <c r="A22">
        <v>21</v>
      </c>
      <c r="B22" s="163" t="s">
        <v>212</v>
      </c>
      <c r="C22">
        <v>0.8</v>
      </c>
      <c r="D22">
        <v>0.8</v>
      </c>
      <c r="E22">
        <v>0.8</v>
      </c>
      <c r="F22">
        <v>0.8</v>
      </c>
      <c r="G22">
        <v>0.8</v>
      </c>
    </row>
    <row r="23" spans="1:7" x14ac:dyDescent="0.15">
      <c r="A23">
        <v>22</v>
      </c>
      <c r="B23" s="163" t="s">
        <v>213</v>
      </c>
      <c r="C23">
        <v>0.8</v>
      </c>
      <c r="D23">
        <v>0.8</v>
      </c>
      <c r="E23">
        <v>0.8</v>
      </c>
      <c r="F23">
        <v>0.8</v>
      </c>
      <c r="G23">
        <v>0.8</v>
      </c>
    </row>
    <row r="24" spans="1:7" x14ac:dyDescent="0.15">
      <c r="A24">
        <v>23</v>
      </c>
      <c r="B24" s="163" t="s">
        <v>214</v>
      </c>
      <c r="C24">
        <v>0</v>
      </c>
      <c r="D24">
        <v>0</v>
      </c>
      <c r="E24">
        <v>0.8</v>
      </c>
      <c r="F24">
        <v>0.8</v>
      </c>
      <c r="G24">
        <v>0.8</v>
      </c>
    </row>
    <row r="25" spans="1:7" x14ac:dyDescent="0.15">
      <c r="A25">
        <v>24</v>
      </c>
      <c r="B25" s="163" t="s">
        <v>215</v>
      </c>
      <c r="C25">
        <v>0.8</v>
      </c>
      <c r="D25">
        <v>0.8</v>
      </c>
      <c r="E25">
        <v>0.8</v>
      </c>
      <c r="F25">
        <v>0.8</v>
      </c>
      <c r="G25">
        <v>0.8</v>
      </c>
    </row>
    <row r="26" spans="1:7" x14ac:dyDescent="0.15">
      <c r="A26">
        <v>25</v>
      </c>
      <c r="B26" s="163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63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63" t="s">
        <v>218</v>
      </c>
      <c r="C28">
        <v>0.8</v>
      </c>
      <c r="D28">
        <v>0.8</v>
      </c>
      <c r="E28">
        <v>0.8</v>
      </c>
      <c r="F28">
        <v>0.8</v>
      </c>
      <c r="G28">
        <v>0.8</v>
      </c>
    </row>
    <row r="29" spans="1:7" x14ac:dyDescent="0.15">
      <c r="A29">
        <v>28</v>
      </c>
      <c r="B29" s="163" t="s">
        <v>219</v>
      </c>
      <c r="C29">
        <v>0</v>
      </c>
      <c r="D29">
        <v>0</v>
      </c>
      <c r="E29">
        <v>0.8</v>
      </c>
      <c r="F29">
        <v>0</v>
      </c>
      <c r="G29">
        <v>0</v>
      </c>
    </row>
    <row r="30" spans="1:7" x14ac:dyDescent="0.15">
      <c r="A30">
        <v>29</v>
      </c>
      <c r="B30" s="163" t="s">
        <v>220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15">
      <c r="A31">
        <v>30</v>
      </c>
      <c r="B31" s="163" t="s">
        <v>221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63" t="s">
        <v>222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15">
      <c r="A33">
        <v>32</v>
      </c>
      <c r="B33" s="163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63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63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63" t="s">
        <v>226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63" t="s">
        <v>227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63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63" t="s">
        <v>229</v>
      </c>
      <c r="C39">
        <v>0</v>
      </c>
      <c r="D39">
        <v>0</v>
      </c>
      <c r="E39">
        <v>0</v>
      </c>
      <c r="F39">
        <v>0</v>
      </c>
      <c r="G3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G39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4.3320312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82</v>
      </c>
      <c r="B1" s="3" t="s">
        <v>0</v>
      </c>
      <c r="C1" s="166" t="s">
        <v>230</v>
      </c>
      <c r="D1" s="166" t="s">
        <v>231</v>
      </c>
      <c r="E1" s="166" t="s">
        <v>232</v>
      </c>
      <c r="F1" s="166" t="s">
        <v>233</v>
      </c>
      <c r="G1" s="166" t="s">
        <v>234</v>
      </c>
    </row>
    <row r="2" spans="1:7" x14ac:dyDescent="0.15">
      <c r="A2">
        <v>1</v>
      </c>
      <c r="B2" s="165" t="s">
        <v>192</v>
      </c>
      <c r="C2">
        <v>0.8</v>
      </c>
      <c r="D2">
        <v>0.8</v>
      </c>
      <c r="E2">
        <v>0.8</v>
      </c>
      <c r="F2">
        <v>0.8</v>
      </c>
      <c r="G2">
        <v>0.8</v>
      </c>
    </row>
    <row r="3" spans="1:7" x14ac:dyDescent="0.15">
      <c r="A3">
        <v>2</v>
      </c>
      <c r="B3" s="165" t="s">
        <v>193</v>
      </c>
      <c r="C3">
        <v>0.8</v>
      </c>
      <c r="D3">
        <v>0.8</v>
      </c>
      <c r="E3">
        <v>0.8</v>
      </c>
      <c r="F3">
        <v>0.8</v>
      </c>
      <c r="G3">
        <v>0.8</v>
      </c>
    </row>
    <row r="4" spans="1:7" x14ac:dyDescent="0.15">
      <c r="A4">
        <v>3</v>
      </c>
      <c r="B4" s="165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65" t="s">
        <v>195</v>
      </c>
      <c r="C5">
        <v>0.8</v>
      </c>
      <c r="D5">
        <v>0.8</v>
      </c>
      <c r="E5">
        <v>0.8</v>
      </c>
      <c r="F5">
        <v>0.8</v>
      </c>
      <c r="G5">
        <v>0.8</v>
      </c>
    </row>
    <row r="6" spans="1:7" x14ac:dyDescent="0.15">
      <c r="A6">
        <v>5</v>
      </c>
      <c r="B6" s="165" t="s">
        <v>196</v>
      </c>
      <c r="C6">
        <v>0.8</v>
      </c>
      <c r="D6">
        <v>0.8</v>
      </c>
      <c r="E6">
        <v>0.8</v>
      </c>
      <c r="F6">
        <v>0.8</v>
      </c>
      <c r="G6">
        <v>0.8</v>
      </c>
    </row>
    <row r="7" spans="1:7" x14ac:dyDescent="0.15">
      <c r="A7">
        <v>6</v>
      </c>
      <c r="B7" s="165" t="s">
        <v>197</v>
      </c>
      <c r="C7">
        <v>0.8</v>
      </c>
      <c r="D7">
        <v>0.8</v>
      </c>
      <c r="E7">
        <v>0.8</v>
      </c>
      <c r="F7">
        <v>0.8</v>
      </c>
      <c r="G7">
        <v>0.8</v>
      </c>
    </row>
    <row r="8" spans="1:7" x14ac:dyDescent="0.15">
      <c r="A8">
        <v>7</v>
      </c>
      <c r="B8" s="165" t="s">
        <v>198</v>
      </c>
      <c r="C8">
        <v>0.8</v>
      </c>
      <c r="D8">
        <v>0.8</v>
      </c>
      <c r="E8">
        <v>0.8</v>
      </c>
      <c r="F8">
        <v>0.8</v>
      </c>
      <c r="G8">
        <v>0.8</v>
      </c>
    </row>
    <row r="9" spans="1:7" x14ac:dyDescent="0.15">
      <c r="A9">
        <v>8</v>
      </c>
      <c r="B9" s="165" t="s">
        <v>199</v>
      </c>
      <c r="C9">
        <v>0.8</v>
      </c>
      <c r="D9">
        <v>0.8</v>
      </c>
      <c r="E9">
        <v>0.8</v>
      </c>
      <c r="F9">
        <v>0.8</v>
      </c>
      <c r="G9">
        <v>0.8</v>
      </c>
    </row>
    <row r="10" spans="1:7" x14ac:dyDescent="0.15">
      <c r="A10">
        <v>9</v>
      </c>
      <c r="B10" s="165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</row>
    <row r="11" spans="1:7" x14ac:dyDescent="0.15">
      <c r="A11">
        <v>10</v>
      </c>
      <c r="B11" s="165" t="s">
        <v>201</v>
      </c>
      <c r="C11">
        <v>0.8</v>
      </c>
      <c r="D11">
        <v>0.8</v>
      </c>
      <c r="E11">
        <v>0.8</v>
      </c>
      <c r="F11">
        <v>0.8</v>
      </c>
      <c r="G11">
        <v>0.8</v>
      </c>
    </row>
    <row r="12" spans="1:7" x14ac:dyDescent="0.15">
      <c r="A12">
        <v>11</v>
      </c>
      <c r="B12" s="165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</row>
    <row r="13" spans="1:7" x14ac:dyDescent="0.15">
      <c r="A13">
        <v>12</v>
      </c>
      <c r="B13" s="165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</row>
    <row r="14" spans="1:7" x14ac:dyDescent="0.15">
      <c r="A14">
        <v>13</v>
      </c>
      <c r="B14" s="165" t="s">
        <v>204</v>
      </c>
      <c r="C14">
        <v>0.8</v>
      </c>
      <c r="D14">
        <v>0.8</v>
      </c>
      <c r="E14">
        <v>0.8</v>
      </c>
      <c r="F14">
        <v>0.8</v>
      </c>
      <c r="G14">
        <v>0.8</v>
      </c>
    </row>
    <row r="15" spans="1:7" x14ac:dyDescent="0.15">
      <c r="A15">
        <v>14</v>
      </c>
      <c r="B15" s="165" t="s">
        <v>205</v>
      </c>
      <c r="C15">
        <v>0.8</v>
      </c>
      <c r="D15">
        <v>0.8</v>
      </c>
      <c r="E15">
        <v>0.8</v>
      </c>
      <c r="F15">
        <v>0.8</v>
      </c>
      <c r="G15">
        <v>0.8</v>
      </c>
    </row>
    <row r="16" spans="1:7" x14ac:dyDescent="0.15">
      <c r="A16">
        <v>15</v>
      </c>
      <c r="B16" s="165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</row>
    <row r="17" spans="1:7" x14ac:dyDescent="0.15">
      <c r="A17">
        <v>16</v>
      </c>
      <c r="B17" s="165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</row>
    <row r="18" spans="1:7" x14ac:dyDescent="0.15">
      <c r="A18">
        <v>17</v>
      </c>
      <c r="B18" s="165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65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65" t="s">
        <v>210</v>
      </c>
      <c r="C20">
        <v>0.8</v>
      </c>
      <c r="D20">
        <v>0.8</v>
      </c>
      <c r="E20">
        <v>0.8</v>
      </c>
      <c r="F20">
        <v>0.8</v>
      </c>
      <c r="G20">
        <v>0.8</v>
      </c>
    </row>
    <row r="21" spans="1:7" x14ac:dyDescent="0.15">
      <c r="A21">
        <v>20</v>
      </c>
      <c r="B21" s="165" t="s">
        <v>211</v>
      </c>
      <c r="C21">
        <v>0.8</v>
      </c>
      <c r="D21">
        <v>0.8</v>
      </c>
      <c r="E21">
        <v>0.8</v>
      </c>
      <c r="F21">
        <v>0.8</v>
      </c>
      <c r="G21">
        <v>0.8</v>
      </c>
    </row>
    <row r="22" spans="1:7" x14ac:dyDescent="0.15">
      <c r="A22">
        <v>21</v>
      </c>
      <c r="B22" s="165" t="s">
        <v>212</v>
      </c>
      <c r="C22">
        <v>0.8</v>
      </c>
      <c r="D22">
        <v>0.8</v>
      </c>
      <c r="E22">
        <v>0.8</v>
      </c>
      <c r="F22">
        <v>0.8</v>
      </c>
      <c r="G22">
        <v>0.8</v>
      </c>
    </row>
    <row r="23" spans="1:7" x14ac:dyDescent="0.15">
      <c r="A23">
        <v>22</v>
      </c>
      <c r="B23" s="165" t="s">
        <v>213</v>
      </c>
      <c r="C23">
        <v>0.8</v>
      </c>
      <c r="D23">
        <v>0.8</v>
      </c>
      <c r="E23">
        <v>0.8</v>
      </c>
      <c r="F23">
        <v>0.8</v>
      </c>
      <c r="G23">
        <v>0.8</v>
      </c>
    </row>
    <row r="24" spans="1:7" x14ac:dyDescent="0.15">
      <c r="A24">
        <v>23</v>
      </c>
      <c r="B24" s="165" t="s">
        <v>214</v>
      </c>
      <c r="C24">
        <v>0</v>
      </c>
      <c r="D24">
        <v>0</v>
      </c>
      <c r="E24">
        <v>0.8</v>
      </c>
      <c r="F24">
        <v>0.8</v>
      </c>
      <c r="G24">
        <v>0.8</v>
      </c>
    </row>
    <row r="25" spans="1:7" x14ac:dyDescent="0.15">
      <c r="A25">
        <v>24</v>
      </c>
      <c r="B25" s="165" t="s">
        <v>215</v>
      </c>
      <c r="C25">
        <v>0.8</v>
      </c>
      <c r="D25">
        <v>0.8</v>
      </c>
      <c r="E25">
        <v>0.8</v>
      </c>
      <c r="F25">
        <v>0.8</v>
      </c>
      <c r="G25">
        <v>0.8</v>
      </c>
    </row>
    <row r="26" spans="1:7" x14ac:dyDescent="0.15">
      <c r="A26">
        <v>25</v>
      </c>
      <c r="B26" s="165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65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65" t="s">
        <v>218</v>
      </c>
      <c r="C28">
        <v>0.8</v>
      </c>
      <c r="D28">
        <v>0.8</v>
      </c>
      <c r="E28">
        <v>0.8</v>
      </c>
      <c r="F28">
        <v>0.8</v>
      </c>
      <c r="G28">
        <v>0.8</v>
      </c>
    </row>
    <row r="29" spans="1:7" x14ac:dyDescent="0.15">
      <c r="A29">
        <v>28</v>
      </c>
      <c r="B29" s="165" t="s">
        <v>219</v>
      </c>
      <c r="C29">
        <v>0</v>
      </c>
      <c r="D29">
        <v>0</v>
      </c>
      <c r="E29">
        <v>0.8</v>
      </c>
      <c r="F29">
        <v>0</v>
      </c>
      <c r="G29">
        <v>0</v>
      </c>
    </row>
    <row r="30" spans="1:7" x14ac:dyDescent="0.15">
      <c r="A30">
        <v>29</v>
      </c>
      <c r="B30" s="165" t="s">
        <v>220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15">
      <c r="A31">
        <v>30</v>
      </c>
      <c r="B31" s="165" t="s">
        <v>221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65" t="s">
        <v>222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15">
      <c r="A33">
        <v>32</v>
      </c>
      <c r="B33" s="165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65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65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65" t="s">
        <v>226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65" t="s">
        <v>227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65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65" t="s">
        <v>229</v>
      </c>
      <c r="C39">
        <v>0</v>
      </c>
      <c r="D39">
        <v>0</v>
      </c>
      <c r="E39">
        <v>0</v>
      </c>
      <c r="F39">
        <v>0</v>
      </c>
      <c r="G3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238">
        <v>1</v>
      </c>
      <c r="B2" s="238" t="s">
        <v>192</v>
      </c>
      <c r="C2" s="8">
        <v>3.8657312393188477</v>
      </c>
      <c r="D2" s="9">
        <v>0.40099999308586121</v>
      </c>
      <c r="E2" s="9">
        <v>0.26780998706817627</v>
      </c>
      <c r="F2" s="9">
        <v>3.5324180126190186</v>
      </c>
      <c r="G2" s="9">
        <v>0.98099732398986816</v>
      </c>
      <c r="H2" s="9">
        <v>7.5814917683601379E-2</v>
      </c>
      <c r="I2">
        <v>7.71971195936203E-2</v>
      </c>
      <c r="J2"/>
    </row>
    <row r="3" spans="1:10" ht="15" customHeight="1" x14ac:dyDescent="0.15">
      <c r="A3" s="239">
        <v>2</v>
      </c>
      <c r="B3" s="239" t="s">
        <v>193</v>
      </c>
      <c r="C3" s="8">
        <v>3.392470121383667</v>
      </c>
      <c r="D3" s="9">
        <v>0.74387925863265991</v>
      </c>
      <c r="E3" s="9">
        <v>0.50199997425079346</v>
      </c>
      <c r="F3" s="9">
        <v>6.5130000114440918</v>
      </c>
      <c r="G3" s="9">
        <v>0.94999998807907104</v>
      </c>
      <c r="H3" s="9">
        <v>7.7076613903045654E-2</v>
      </c>
      <c r="I3">
        <v>1.3083070516586304E-2</v>
      </c>
      <c r="J3"/>
    </row>
    <row r="4" spans="1:10" ht="15" customHeight="1" x14ac:dyDescent="0.15">
      <c r="A4" s="240">
        <v>3</v>
      </c>
      <c r="B4" s="240" t="s">
        <v>194</v>
      </c>
      <c r="C4" s="8">
        <v>2.5384984016418457</v>
      </c>
      <c r="D4" s="9">
        <v>5.7023568153381348</v>
      </c>
      <c r="E4" s="9">
        <v>1.5369999408721924</v>
      </c>
      <c r="F4" s="9">
        <v>12.645999908447266</v>
      </c>
      <c r="G4" s="9">
        <v>0.94999998807907104</v>
      </c>
      <c r="H4" s="9">
        <v>0.12154040485620499</v>
      </c>
      <c r="I4">
        <v>0</v>
      </c>
      <c r="J4"/>
    </row>
    <row r="5" spans="1:10" ht="15" customHeight="1" x14ac:dyDescent="0.15">
      <c r="A5" s="241">
        <v>4</v>
      </c>
      <c r="B5" s="241" t="s">
        <v>195</v>
      </c>
      <c r="C5" s="8">
        <v>4.0701298713684082</v>
      </c>
      <c r="D5" s="9">
        <v>0.23345279693603516</v>
      </c>
      <c r="E5" s="9">
        <v>0.12399999797344208</v>
      </c>
      <c r="F5" s="9">
        <v>2.4918549060821533</v>
      </c>
      <c r="G5" s="9">
        <v>0.94999998807907104</v>
      </c>
      <c r="H5" s="9">
        <v>4.9762126058340073E-2</v>
      </c>
      <c r="I5">
        <v>4.6946899965405464E-3</v>
      </c>
      <c r="J5"/>
    </row>
    <row r="6" spans="1:10" ht="15" customHeight="1" x14ac:dyDescent="0.15">
      <c r="A6" s="242">
        <v>5</v>
      </c>
      <c r="B6" s="242" t="s">
        <v>196</v>
      </c>
      <c r="C6" s="8">
        <v>3.5190472602844238</v>
      </c>
      <c r="D6" s="9">
        <v>0.90799999237060547</v>
      </c>
      <c r="E6" s="9">
        <v>0.47600001096725464</v>
      </c>
      <c r="F6" s="9">
        <v>5.0329999923706055</v>
      </c>
      <c r="G6" s="9">
        <v>0.80818390846252441</v>
      </c>
      <c r="H6" s="9">
        <v>9.4575800001621246E-2</v>
      </c>
      <c r="I6">
        <v>0.19319301843643188</v>
      </c>
      <c r="J6"/>
    </row>
    <row r="7" spans="1:10" ht="15" customHeight="1" x14ac:dyDescent="0.15">
      <c r="A7" s="243">
        <v>6</v>
      </c>
      <c r="B7" s="243" t="s">
        <v>197</v>
      </c>
      <c r="C7" s="8">
        <v>3.4707748889923096</v>
      </c>
      <c r="D7" s="9">
        <v>0.65466880798339844</v>
      </c>
      <c r="E7" s="9">
        <v>0.54100000858306885</v>
      </c>
      <c r="F7" s="9">
        <v>6.5029997825622559</v>
      </c>
      <c r="G7" s="9">
        <v>0.94999998807907104</v>
      </c>
      <c r="H7" s="9">
        <v>8.3192378282546997E-2</v>
      </c>
      <c r="I7">
        <v>6.9719657301902771E-2</v>
      </c>
      <c r="J7"/>
    </row>
    <row r="8" spans="1:10" ht="15" customHeight="1" x14ac:dyDescent="0.15">
      <c r="A8" s="244">
        <v>7</v>
      </c>
      <c r="B8" s="244" t="s">
        <v>198</v>
      </c>
      <c r="C8" s="8">
        <v>3.1643195152282715</v>
      </c>
      <c r="D8" s="9">
        <v>0.69999998807907104</v>
      </c>
      <c r="E8" s="9">
        <v>0.91100001335144043</v>
      </c>
      <c r="F8" s="9">
        <v>8.6838521957397461</v>
      </c>
      <c r="G8" s="9">
        <v>0.96445286273956299</v>
      </c>
      <c r="H8" s="9">
        <v>0.10490736365318298</v>
      </c>
      <c r="I8">
        <v>0.19554427266120911</v>
      </c>
      <c r="J8"/>
    </row>
    <row r="9" spans="1:10" ht="15" customHeight="1" x14ac:dyDescent="0.15">
      <c r="A9" s="245">
        <v>8</v>
      </c>
      <c r="B9" s="245" t="s">
        <v>199</v>
      </c>
      <c r="C9" s="8">
        <v>3.0706484317779541</v>
      </c>
      <c r="D9" s="9">
        <v>1</v>
      </c>
      <c r="E9" s="9">
        <v>2.1459999084472656</v>
      </c>
      <c r="F9" s="9">
        <v>10.149629592895508</v>
      </c>
      <c r="G9" s="9">
        <v>0.52371770143508911</v>
      </c>
      <c r="H9" s="9">
        <v>0.21143627166748047</v>
      </c>
      <c r="I9">
        <v>6.6932995105162263E-4</v>
      </c>
      <c r="J9"/>
    </row>
    <row r="10" spans="1:10" ht="15" customHeight="1" x14ac:dyDescent="0.15">
      <c r="A10" s="246">
        <v>9</v>
      </c>
      <c r="B10" s="246" t="s">
        <v>200</v>
      </c>
      <c r="C10" s="8">
        <v>2.75</v>
      </c>
      <c r="D10" s="9">
        <v>1</v>
      </c>
      <c r="E10" s="9">
        <v>0.93999999761581421</v>
      </c>
      <c r="F10" s="9">
        <v>10.994000434875488</v>
      </c>
      <c r="G10" s="9">
        <v>0.90950322151184082</v>
      </c>
      <c r="H10" s="9">
        <v>8.5501179099082947E-2</v>
      </c>
      <c r="I10">
        <v>9.1907993191853166E-4</v>
      </c>
      <c r="J10"/>
    </row>
    <row r="11" spans="1:10" ht="15" customHeight="1" x14ac:dyDescent="0.15">
      <c r="A11" s="247">
        <v>10</v>
      </c>
      <c r="B11" s="247" t="s">
        <v>201</v>
      </c>
      <c r="C11" s="8">
        <v>3</v>
      </c>
      <c r="D11" s="9">
        <v>0.32136106491088867</v>
      </c>
      <c r="E11" s="9">
        <v>0.95135998725891113</v>
      </c>
      <c r="F11" s="9">
        <v>8.9648494720458984</v>
      </c>
      <c r="G11" s="9">
        <v>0.97858107089996338</v>
      </c>
      <c r="H11" s="9">
        <v>0.10612113028764725</v>
      </c>
      <c r="I11">
        <v>0.11128859966993332</v>
      </c>
      <c r="J11"/>
    </row>
    <row r="12" spans="1:10" ht="15" customHeight="1" x14ac:dyDescent="0.15">
      <c r="A12" s="248">
        <v>11</v>
      </c>
      <c r="B12" s="248" t="s">
        <v>202</v>
      </c>
      <c r="C12" s="8">
        <v>3.6242799758911133</v>
      </c>
      <c r="D12" s="9">
        <v>0.40900000929832458</v>
      </c>
      <c r="E12" s="9">
        <v>0.44999998807907104</v>
      </c>
      <c r="F12" s="9">
        <v>3.7790000438690186</v>
      </c>
      <c r="G12" s="9">
        <v>0.93391746282577515</v>
      </c>
      <c r="H12" s="9">
        <v>0.11907912045717239</v>
      </c>
      <c r="I12">
        <v>8.1833764910697937E-2</v>
      </c>
      <c r="J12"/>
    </row>
    <row r="13" spans="1:10" ht="15" customHeight="1" x14ac:dyDescent="0.15">
      <c r="A13" s="249">
        <v>12</v>
      </c>
      <c r="B13" s="249" t="s">
        <v>203</v>
      </c>
      <c r="C13" s="8">
        <v>3.3555119037628174</v>
      </c>
      <c r="D13" s="9">
        <v>0.30586358904838562</v>
      </c>
      <c r="E13" s="9">
        <v>0.41200000047683716</v>
      </c>
      <c r="F13" s="9">
        <v>3.1470000743865967</v>
      </c>
      <c r="G13" s="9">
        <v>0.94999998807907104</v>
      </c>
      <c r="H13" s="9">
        <v>0.13091833889484406</v>
      </c>
      <c r="I13">
        <v>6.9291498512029648E-3</v>
      </c>
      <c r="J13"/>
    </row>
    <row r="14" spans="1:10" ht="15" customHeight="1" x14ac:dyDescent="0.15">
      <c r="A14" s="250">
        <v>13</v>
      </c>
      <c r="B14" s="250" t="s">
        <v>204</v>
      </c>
      <c r="C14" s="8">
        <v>3.6407229900360107</v>
      </c>
      <c r="D14" s="9">
        <v>0.30000001192092896</v>
      </c>
      <c r="E14" s="9">
        <v>0.44299998879432678</v>
      </c>
      <c r="F14" s="9">
        <v>4.9169998168945312</v>
      </c>
      <c r="G14" s="9">
        <v>0.97073477506637573</v>
      </c>
      <c r="H14" s="9">
        <v>9.0095587074756622E-2</v>
      </c>
      <c r="I14">
        <v>9.7436808049678802E-2</v>
      </c>
      <c r="J14"/>
    </row>
    <row r="15" spans="1:10" ht="15" customHeight="1" x14ac:dyDescent="0.15">
      <c r="A15" s="251">
        <v>14</v>
      </c>
      <c r="B15" s="251" t="s">
        <v>205</v>
      </c>
      <c r="C15" s="8">
        <v>3.1682271957397461</v>
      </c>
      <c r="D15" s="9">
        <v>0.93384855985641479</v>
      </c>
      <c r="E15" s="9">
        <v>0.69999998807907104</v>
      </c>
      <c r="F15" s="9">
        <v>6.0799999237060547</v>
      </c>
      <c r="G15" s="9">
        <v>0.94999998807907104</v>
      </c>
      <c r="H15" s="9">
        <v>0.11513157933950424</v>
      </c>
      <c r="I15">
        <v>3.1854152679443359E-2</v>
      </c>
      <c r="J15"/>
    </row>
    <row r="16" spans="1:10" ht="15" customHeight="1" x14ac:dyDescent="0.15">
      <c r="A16" s="252">
        <v>15</v>
      </c>
      <c r="B16" s="252" t="s">
        <v>206</v>
      </c>
      <c r="C16" s="8">
        <v>3.361994743347168</v>
      </c>
      <c r="D16" s="9">
        <v>0.77080315351486206</v>
      </c>
      <c r="E16" s="9">
        <v>1.238550066947937</v>
      </c>
      <c r="F16" s="9">
        <v>8.2569999694824219</v>
      </c>
      <c r="G16" s="9">
        <v>0.96000003814697266</v>
      </c>
      <c r="H16" s="9">
        <v>0.15000000596046448</v>
      </c>
      <c r="I16">
        <v>2.392799942754209E-4</v>
      </c>
      <c r="J16"/>
    </row>
    <row r="17" spans="1:10" ht="15" customHeight="1" x14ac:dyDescent="0.15">
      <c r="A17" s="253">
        <v>16</v>
      </c>
      <c r="B17" s="253" t="s">
        <v>207</v>
      </c>
      <c r="C17" s="8">
        <v>3.3423614501953125</v>
      </c>
      <c r="D17" s="9">
        <v>0.98627656698226929</v>
      </c>
      <c r="E17" s="9">
        <v>1.2000000476837158</v>
      </c>
      <c r="F17" s="9">
        <v>8.6259326934814453</v>
      </c>
      <c r="G17" s="9">
        <v>0.94999986886978149</v>
      </c>
      <c r="H17" s="9">
        <v>0.13911539316177368</v>
      </c>
      <c r="I17">
        <v>5.6230798363685608E-3</v>
      </c>
      <c r="J17"/>
    </row>
    <row r="18" spans="1:10" ht="15" customHeight="1" x14ac:dyDescent="0.15">
      <c r="A18" s="254">
        <v>17</v>
      </c>
      <c r="B18" s="254" t="s">
        <v>208</v>
      </c>
      <c r="C18" s="8">
        <v>3.3700518608093262</v>
      </c>
      <c r="D18" s="9">
        <v>1.4494333267211914</v>
      </c>
      <c r="E18" s="9">
        <v>1.343999981880188</v>
      </c>
      <c r="F18" s="9">
        <v>11.239999771118164</v>
      </c>
      <c r="G18" s="9">
        <v>0.94999986886978149</v>
      </c>
      <c r="H18" s="9">
        <v>0.1195729523897171</v>
      </c>
      <c r="I18">
        <v>0</v>
      </c>
      <c r="J18"/>
    </row>
    <row r="19" spans="1:10" ht="15" customHeight="1" x14ac:dyDescent="0.15">
      <c r="A19" s="255">
        <v>18</v>
      </c>
      <c r="B19" s="255" t="s">
        <v>209</v>
      </c>
      <c r="C19" s="8">
        <v>2.4000000953674316</v>
      </c>
      <c r="D19" s="9">
        <v>1.5</v>
      </c>
      <c r="E19" s="9">
        <v>1.8858100175857544</v>
      </c>
      <c r="F19" s="9">
        <v>11.301250457763672</v>
      </c>
      <c r="G19" s="9">
        <v>0.99720734357833862</v>
      </c>
      <c r="H19" s="9">
        <v>0.16686737537384033</v>
      </c>
      <c r="I19">
        <v>0</v>
      </c>
      <c r="J19"/>
    </row>
    <row r="20" spans="1:10" ht="15" customHeight="1" x14ac:dyDescent="0.15">
      <c r="A20" s="256">
        <v>19</v>
      </c>
      <c r="B20" s="256" t="s">
        <v>210</v>
      </c>
      <c r="C20" s="8">
        <v>3.5404057502746582</v>
      </c>
      <c r="D20" s="9">
        <v>0.52799999713897705</v>
      </c>
      <c r="E20" s="9">
        <v>0.23100000619888306</v>
      </c>
      <c r="F20" s="9">
        <v>3.6119999885559082</v>
      </c>
      <c r="G20" s="9">
        <v>0.92915534973144531</v>
      </c>
      <c r="H20" s="9">
        <v>6.3953489065170288E-2</v>
      </c>
      <c r="I20">
        <v>7.1631565690040588E-2</v>
      </c>
      <c r="J20"/>
    </row>
    <row r="21" spans="1:10" ht="15" customHeight="1" x14ac:dyDescent="0.15">
      <c r="A21" s="257">
        <v>20</v>
      </c>
      <c r="B21" s="257" t="s">
        <v>211</v>
      </c>
      <c r="C21" s="8">
        <v>3.8820407390594482</v>
      </c>
      <c r="D21" s="9">
        <v>0.40999999642372131</v>
      </c>
      <c r="E21" s="9">
        <v>0.38999998569488525</v>
      </c>
      <c r="F21" s="9">
        <v>4.3054032325744629</v>
      </c>
      <c r="G21" s="9">
        <v>0.96574431657791138</v>
      </c>
      <c r="H21" s="9">
        <v>9.0583845973014832E-2</v>
      </c>
      <c r="I21">
        <v>5.3883828222751617E-2</v>
      </c>
      <c r="J21"/>
    </row>
    <row r="22" spans="1:10" ht="15" customHeight="1" x14ac:dyDescent="0.15">
      <c r="A22" s="258">
        <v>21</v>
      </c>
      <c r="B22" s="258" t="s">
        <v>212</v>
      </c>
      <c r="C22" s="8">
        <v>4.042473316192627</v>
      </c>
      <c r="D22" s="9">
        <v>0.47999998927116394</v>
      </c>
      <c r="E22" s="9">
        <v>0.12999999523162842</v>
      </c>
      <c r="F22" s="9">
        <v>2.3789999485015869</v>
      </c>
      <c r="G22" s="9">
        <v>0.99058240652084351</v>
      </c>
      <c r="H22" s="9">
        <v>5.4644808173179626E-2</v>
      </c>
      <c r="I22">
        <v>5.4794739931821823E-2</v>
      </c>
      <c r="J22"/>
    </row>
    <row r="23" spans="1:10" ht="15" customHeight="1" x14ac:dyDescent="0.15">
      <c r="A23" s="259">
        <v>22</v>
      </c>
      <c r="B23" s="259" t="s">
        <v>213</v>
      </c>
      <c r="C23" s="8">
        <v>4.0722222328186035</v>
      </c>
      <c r="D23" s="9">
        <v>0.20000000298023224</v>
      </c>
      <c r="E23" s="9">
        <v>0.34795999526977539</v>
      </c>
      <c r="F23" s="9">
        <v>2.598952054977417</v>
      </c>
      <c r="G23" s="9">
        <v>0.87616497278213501</v>
      </c>
      <c r="H23" s="9">
        <v>0.1338847279548645</v>
      </c>
      <c r="I23">
        <v>2.4444421753287315E-2</v>
      </c>
      <c r="J23"/>
    </row>
    <row r="24" spans="1:10" ht="15" customHeight="1" x14ac:dyDescent="0.15">
      <c r="A24" s="260">
        <v>23</v>
      </c>
      <c r="B24" s="260" t="s">
        <v>214</v>
      </c>
      <c r="C24" s="8">
        <v>2.6143839359283447</v>
      </c>
      <c r="D24" s="9">
        <v>4.1999998092651367</v>
      </c>
      <c r="E24" s="9">
        <v>0.89999997615814209</v>
      </c>
      <c r="F24" s="9">
        <v>5.2829999923706055</v>
      </c>
      <c r="G24" s="9">
        <v>0.95411324501037598</v>
      </c>
      <c r="H24" s="9">
        <v>0.17035774886608124</v>
      </c>
      <c r="I24">
        <v>5.842151865363121E-2</v>
      </c>
      <c r="J24"/>
    </row>
    <row r="25" spans="1:10" ht="15" customHeight="1" x14ac:dyDescent="0.15">
      <c r="A25" s="261">
        <v>24</v>
      </c>
      <c r="B25" s="261" t="s">
        <v>215</v>
      </c>
      <c r="C25" s="8">
        <v>2.3324403762817383</v>
      </c>
      <c r="D25" s="9">
        <v>10</v>
      </c>
      <c r="E25" s="9">
        <v>1.4500000476837158</v>
      </c>
      <c r="F25" s="9">
        <v>9.6669998168945312</v>
      </c>
      <c r="G25" s="9">
        <v>0.80937957763671875</v>
      </c>
      <c r="H25" s="9">
        <v>0.14999483525753021</v>
      </c>
      <c r="I25">
        <v>4.3943896889686584E-3</v>
      </c>
      <c r="J25"/>
    </row>
    <row r="26" spans="1:10" ht="15" customHeight="1" x14ac:dyDescent="0.15">
      <c r="A26" s="262">
        <v>25</v>
      </c>
      <c r="B26" s="262" t="s">
        <v>216</v>
      </c>
      <c r="C26" s="8">
        <v>2.0613853931427002</v>
      </c>
      <c r="D26" s="9">
        <v>20</v>
      </c>
      <c r="E26" s="9">
        <v>2.2799999713897705</v>
      </c>
      <c r="F26" s="9">
        <v>22.200000762939453</v>
      </c>
      <c r="G26" s="9">
        <v>0.74880474805831909</v>
      </c>
      <c r="H26" s="9">
        <v>0.10270269960165024</v>
      </c>
      <c r="I26">
        <v>0</v>
      </c>
      <c r="J26"/>
    </row>
    <row r="27" spans="1:10" ht="15" customHeight="1" x14ac:dyDescent="0.15">
      <c r="A27" s="263">
        <v>26</v>
      </c>
      <c r="B27" s="263" t="s">
        <v>217</v>
      </c>
      <c r="C27" s="8">
        <v>2.1422402858734131</v>
      </c>
      <c r="D27" s="9">
        <v>42.099998474121094</v>
      </c>
      <c r="E27" s="9">
        <v>0.60000002384185791</v>
      </c>
      <c r="F27" s="9">
        <v>6.3000001907348633</v>
      </c>
      <c r="G27" s="9">
        <v>0.93420010805130005</v>
      </c>
      <c r="H27" s="9">
        <v>9.5238097012042999E-2</v>
      </c>
      <c r="I27">
        <v>0</v>
      </c>
      <c r="J27"/>
    </row>
    <row r="28" spans="1:10" ht="15" customHeight="1" x14ac:dyDescent="0.15">
      <c r="A28" s="264">
        <v>27</v>
      </c>
      <c r="B28" s="264" t="s">
        <v>218</v>
      </c>
      <c r="C28" s="8">
        <v>3.4825189113616943</v>
      </c>
      <c r="D28" s="9">
        <v>2.4204170703887939</v>
      </c>
      <c r="E28" s="9">
        <v>2.5</v>
      </c>
      <c r="F28" s="9">
        <v>8</v>
      </c>
      <c r="G28" s="9">
        <v>0.94999998807907104</v>
      </c>
      <c r="H28" s="9">
        <v>0.3125</v>
      </c>
      <c r="I28">
        <v>3.2877091318368912E-2</v>
      </c>
      <c r="J28"/>
    </row>
    <row r="29" spans="1:10" ht="15" customHeight="1" x14ac:dyDescent="0.15">
      <c r="A29" s="265">
        <v>28</v>
      </c>
      <c r="B29" s="265" t="s">
        <v>219</v>
      </c>
      <c r="C29" s="8">
        <v>2.6222426891326904</v>
      </c>
      <c r="D29" s="9">
        <v>22</v>
      </c>
      <c r="E29" s="9">
        <v>0.64889001846313477</v>
      </c>
      <c r="F29" s="9">
        <v>4.7030000686645508</v>
      </c>
      <c r="G29" s="9">
        <v>0.86048191785812378</v>
      </c>
      <c r="H29" s="9">
        <v>0.13797363638877869</v>
      </c>
      <c r="I29">
        <v>1.1999999696854502E-4</v>
      </c>
      <c r="J29"/>
    </row>
    <row r="30" spans="1:10" ht="15" customHeight="1" x14ac:dyDescent="0.15">
      <c r="A30" s="266">
        <v>29</v>
      </c>
      <c r="B30" s="266" t="s">
        <v>220</v>
      </c>
      <c r="C30" s="8">
        <v>2.3208789825439453</v>
      </c>
      <c r="D30" s="9">
        <v>22.136819839477539</v>
      </c>
      <c r="E30" s="9">
        <v>2.7000000476837158</v>
      </c>
      <c r="F30" s="9">
        <v>9</v>
      </c>
      <c r="G30" s="9">
        <v>0.94999992847442627</v>
      </c>
      <c r="H30" s="9">
        <v>0.30000001192092896</v>
      </c>
      <c r="I30">
        <v>0</v>
      </c>
      <c r="J30"/>
    </row>
    <row r="31" spans="1:10" ht="15" customHeight="1" x14ac:dyDescent="0.15">
      <c r="A31" s="267">
        <v>30</v>
      </c>
      <c r="B31" s="267" t="s">
        <v>221</v>
      </c>
      <c r="C31" s="8">
        <v>2.1235742568969727</v>
      </c>
      <c r="D31" s="9">
        <v>18.343000411987305</v>
      </c>
      <c r="E31" s="9">
        <v>5</v>
      </c>
      <c r="F31" s="9">
        <v>28.41670036315918</v>
      </c>
      <c r="G31" s="9">
        <v>0.57139819860458374</v>
      </c>
      <c r="H31" s="9">
        <v>0.17595286667346954</v>
      </c>
      <c r="I31">
        <v>0</v>
      </c>
      <c r="J31"/>
    </row>
    <row r="32" spans="1:10" ht="15" customHeight="1" x14ac:dyDescent="0.15">
      <c r="A32" s="268">
        <v>31</v>
      </c>
      <c r="B32" s="268" t="s">
        <v>222</v>
      </c>
      <c r="C32" s="8">
        <v>2</v>
      </c>
      <c r="D32" s="9">
        <v>32</v>
      </c>
      <c r="E32" s="9">
        <v>18</v>
      </c>
      <c r="F32" s="9">
        <v>60</v>
      </c>
      <c r="G32" s="9">
        <v>0.82523649930953979</v>
      </c>
      <c r="H32" s="9">
        <v>0.30000001192092896</v>
      </c>
      <c r="I32">
        <v>0</v>
      </c>
      <c r="J32"/>
    </row>
    <row r="33" spans="1:10" ht="15" customHeight="1" x14ac:dyDescent="0.15">
      <c r="A33" s="269">
        <v>32</v>
      </c>
      <c r="B33" s="269" t="s">
        <v>223</v>
      </c>
      <c r="C33" s="8">
        <v>3.0332119464874268</v>
      </c>
      <c r="D33" s="9">
        <v>32</v>
      </c>
      <c r="E33" s="9">
        <v>2.5</v>
      </c>
      <c r="F33" s="9">
        <v>12.5</v>
      </c>
      <c r="G33" s="9">
        <v>0.92781275510787964</v>
      </c>
      <c r="H33" s="9">
        <v>0.20000000298023224</v>
      </c>
      <c r="I33">
        <v>0</v>
      </c>
      <c r="J33"/>
    </row>
    <row r="34" spans="1:10" ht="15" customHeight="1" x14ac:dyDescent="0.15">
      <c r="A34" s="270">
        <v>33</v>
      </c>
      <c r="B34" s="270" t="s">
        <v>224</v>
      </c>
      <c r="C34" s="8">
        <v>3.8241145610809326</v>
      </c>
      <c r="D34" s="9">
        <v>8.999999612569809E-3</v>
      </c>
      <c r="E34" s="9">
        <v>0.25</v>
      </c>
      <c r="F34" s="9">
        <v>79.184700012207031</v>
      </c>
      <c r="G34" s="9">
        <v>0.50529521703720093</v>
      </c>
      <c r="H34" s="9">
        <v>3.1571756117045879E-3</v>
      </c>
      <c r="I34">
        <v>0</v>
      </c>
      <c r="J34"/>
    </row>
    <row r="35" spans="1:10" ht="15" customHeight="1" x14ac:dyDescent="0.15">
      <c r="A35" s="271">
        <v>34</v>
      </c>
      <c r="B35" s="271" t="s">
        <v>225</v>
      </c>
      <c r="C35" s="8">
        <v>4.1487383842468262</v>
      </c>
      <c r="D35" s="9">
        <v>0.15000000596046448</v>
      </c>
      <c r="E35" s="9">
        <v>0.20000000298023224</v>
      </c>
      <c r="F35" s="9">
        <v>11.692999839782715</v>
      </c>
      <c r="G35" s="9">
        <v>0.62965196371078491</v>
      </c>
      <c r="H35" s="9">
        <v>1.7104251310229301E-2</v>
      </c>
      <c r="I35">
        <v>0</v>
      </c>
      <c r="J35"/>
    </row>
    <row r="36" spans="1:10" ht="15" customHeight="1" x14ac:dyDescent="0.15">
      <c r="A36" s="272">
        <v>35</v>
      </c>
      <c r="B36" s="272" t="s">
        <v>226</v>
      </c>
      <c r="C36" s="8">
        <v>3.3824508190155029</v>
      </c>
      <c r="D36" s="9">
        <v>5.4000001400709152E-2</v>
      </c>
      <c r="E36" s="9">
        <v>0.17900000512599945</v>
      </c>
      <c r="F36" s="9">
        <v>4.7769999504089355</v>
      </c>
      <c r="G36" s="9">
        <v>0.11747580766677856</v>
      </c>
      <c r="H36" s="9">
        <v>3.7471216171979904E-2</v>
      </c>
      <c r="I36">
        <v>0</v>
      </c>
      <c r="J36"/>
    </row>
    <row r="37" spans="1:10" ht="15" customHeight="1" x14ac:dyDescent="0.15">
      <c r="A37" s="273">
        <v>36</v>
      </c>
      <c r="B37" s="273" t="s">
        <v>227</v>
      </c>
      <c r="C37" s="8">
        <v>1</v>
      </c>
      <c r="D37" s="9">
        <v>28.860000610351562</v>
      </c>
      <c r="E37" s="9">
        <v>93.099998474121094</v>
      </c>
      <c r="F37" s="10"/>
      <c r="G37" s="9">
        <v>0.97853845357894897</v>
      </c>
      <c r="H37" s="10"/>
      <c r="I37">
        <v>0</v>
      </c>
      <c r="J37"/>
    </row>
    <row r="38" spans="1:10" ht="15" customHeight="1" x14ac:dyDescent="0.15">
      <c r="A38" s="274">
        <v>37</v>
      </c>
      <c r="B38" s="274" t="s">
        <v>228</v>
      </c>
      <c r="C38" s="8">
        <v>1</v>
      </c>
      <c r="D38" s="9">
        <v>50</v>
      </c>
      <c r="E38" s="10"/>
      <c r="F38" s="10"/>
      <c r="G38" s="7">
        <v>0.50112426280975342</v>
      </c>
      <c r="H38" s="10"/>
      <c r="I38">
        <v>0</v>
      </c>
      <c r="J38"/>
    </row>
    <row r="39" spans="1:10" ht="15" customHeight="1" x14ac:dyDescent="0.15">
      <c r="A39" s="275">
        <v>38</v>
      </c>
      <c r="B39" s="275" t="s">
        <v>229</v>
      </c>
      <c r="C39" s="8">
        <v>1</v>
      </c>
      <c r="D39" s="9">
        <v>5</v>
      </c>
      <c r="E39" s="10"/>
      <c r="F39" s="10"/>
      <c r="G39" s="7">
        <v>0</v>
      </c>
      <c r="H39" s="10"/>
      <c r="I39">
        <v>0</v>
      </c>
      <c r="J39"/>
    </row>
    <row r="40" spans="1:10" ht="15" customHeight="1" x14ac:dyDescent="0.15">
      <c r="A40" s="276">
        <v>39</v>
      </c>
      <c r="B40" s="276" t="s">
        <v>230</v>
      </c>
      <c r="C40" s="8">
        <v>4.4248929023742676</v>
      </c>
      <c r="D40" s="10"/>
      <c r="E40" s="10"/>
      <c r="F40" s="10"/>
      <c r="G40" s="10"/>
      <c r="H40" s="10"/>
      <c r="I40">
        <v>3.1635120511054993E-2</v>
      </c>
      <c r="J40"/>
    </row>
    <row r="41" spans="1:10" ht="15" customHeight="1" x14ac:dyDescent="0.15">
      <c r="A41" s="277">
        <v>40</v>
      </c>
      <c r="B41" s="277" t="s">
        <v>231</v>
      </c>
      <c r="C41" s="8">
        <v>4.4248929023742676</v>
      </c>
      <c r="D41" s="10"/>
      <c r="E41" s="10"/>
      <c r="F41" s="10"/>
      <c r="G41" s="10"/>
      <c r="H41" s="10"/>
      <c r="I41">
        <v>3.1635120511054993E-2</v>
      </c>
      <c r="J41"/>
    </row>
    <row r="42" spans="1:10" ht="15" customHeight="1" x14ac:dyDescent="0.15">
      <c r="A42" s="278">
        <v>41</v>
      </c>
      <c r="B42" s="278" t="s">
        <v>232</v>
      </c>
      <c r="C42" s="8">
        <v>4.4418864250183105</v>
      </c>
      <c r="D42" s="10"/>
      <c r="E42" s="10"/>
      <c r="F42" s="10"/>
      <c r="G42" s="10"/>
      <c r="H42" s="10"/>
      <c r="I42">
        <v>0.37592077255249023</v>
      </c>
      <c r="J42"/>
    </row>
    <row r="43" spans="1:10" ht="15" customHeight="1" x14ac:dyDescent="0.15">
      <c r="A43" s="279">
        <v>42</v>
      </c>
      <c r="B43" s="279" t="s">
        <v>233</v>
      </c>
      <c r="C43" s="8">
        <v>4.4421482086181641</v>
      </c>
      <c r="D43" s="10"/>
      <c r="E43" s="10"/>
      <c r="F43" s="10"/>
      <c r="G43" s="10"/>
      <c r="H43" s="10"/>
      <c r="I43">
        <v>0.37580075860023499</v>
      </c>
      <c r="J43"/>
    </row>
    <row r="44" spans="1:10" ht="15" customHeight="1" x14ac:dyDescent="0.15">
      <c r="A44" s="280">
        <v>43</v>
      </c>
      <c r="B44" s="280" t="s">
        <v>234</v>
      </c>
      <c r="C44" s="8">
        <v>4.4421482086181641</v>
      </c>
      <c r="D44" s="10"/>
      <c r="E44" s="10"/>
      <c r="F44" s="10"/>
      <c r="G44" s="10"/>
      <c r="H44" s="10"/>
      <c r="I44">
        <v>0.37580075860023499</v>
      </c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219</v>
      </c>
      <c r="AK1" t="s">
        <v>220</v>
      </c>
      <c r="AL1" t="s">
        <v>221</v>
      </c>
      <c r="AM1" t="s">
        <v>222</v>
      </c>
      <c r="AN1" t="s">
        <v>223</v>
      </c>
      <c r="AO1" t="s">
        <v>224</v>
      </c>
      <c r="AP1" t="s">
        <v>225</v>
      </c>
      <c r="AQ1" t="s">
        <v>226</v>
      </c>
      <c r="AR1" t="s">
        <v>227</v>
      </c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0.26780998706817627</v>
      </c>
      <c r="C2">
        <v>5.0891065038740635E-3</v>
      </c>
      <c r="D2" s="16">
        <v>4.2310226708650589E-3</v>
      </c>
      <c r="E2" s="16">
        <v>4.2310226708650589E-3</v>
      </c>
      <c r="F2" s="175">
        <v>6.1349827796220779E-2</v>
      </c>
      <c r="G2" s="175">
        <v>6.1349827796220779E-2</v>
      </c>
      <c r="H2" s="175">
        <v>6.1349827796220779E-2</v>
      </c>
      <c r="I2" s="16">
        <v>4.0240185335278511E-3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 s="109">
        <v>1.7608460038900375E-2</v>
      </c>
      <c r="AC2" s="25">
        <v>8.5387937724590302E-3</v>
      </c>
      <c r="AD2" s="188">
        <v>1.8145296722650528E-2</v>
      </c>
      <c r="AE2"/>
      <c r="AF2"/>
      <c r="AG2"/>
      <c r="AH2"/>
      <c r="AI2"/>
      <c r="AJ2"/>
      <c r="AK2"/>
      <c r="AL2"/>
      <c r="AM2"/>
      <c r="AN2"/>
      <c r="AO2"/>
      <c r="AP2" s="190">
        <v>2.1892786026000977E-2</v>
      </c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0.50199997425079346</v>
      </c>
      <c r="C3">
        <v>2.5100003927946091E-2</v>
      </c>
      <c r="D3" s="11">
        <v>3.8654121453873813E-4</v>
      </c>
      <c r="E3" s="11">
        <v>3.8654121453873813E-4</v>
      </c>
      <c r="F3" s="18">
        <v>5.6048477999866009E-3</v>
      </c>
      <c r="G3" s="18">
        <v>5.6048477999866009E-3</v>
      </c>
      <c r="H3" s="18">
        <v>5.6048477999866009E-3</v>
      </c>
      <c r="I3" s="213">
        <v>0.19722776114940643</v>
      </c>
      <c r="J3"/>
      <c r="K3"/>
      <c r="L3"/>
      <c r="M3"/>
      <c r="N3"/>
      <c r="O3"/>
      <c r="P3"/>
      <c r="Q3"/>
      <c r="R3"/>
      <c r="S3"/>
      <c r="T3"/>
      <c r="U3" s="65">
        <v>1.0871577076613903E-2</v>
      </c>
      <c r="V3"/>
      <c r="W3"/>
      <c r="X3"/>
      <c r="Y3"/>
      <c r="Z3"/>
      <c r="AA3" s="207">
        <v>7.3840625584125519E-2</v>
      </c>
      <c r="AB3"/>
      <c r="AC3" s="75">
        <v>4.7555871307849884E-2</v>
      </c>
      <c r="AD3"/>
      <c r="AE3"/>
      <c r="AF3"/>
      <c r="AG3"/>
      <c r="AH3"/>
      <c r="AI3"/>
      <c r="AJ3"/>
      <c r="AK3"/>
      <c r="AL3"/>
      <c r="AM3"/>
      <c r="AN3"/>
      <c r="AO3"/>
      <c r="AP3" s="210">
        <v>0.12981648743152618</v>
      </c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1.5369999408721924</v>
      </c>
      <c r="C4">
        <v>7.6850011944770813E-2</v>
      </c>
      <c r="D4"/>
      <c r="E4"/>
      <c r="F4"/>
      <c r="G4"/>
      <c r="H4"/>
      <c r="I4" s="25">
        <v>4.8720117658376694E-2</v>
      </c>
      <c r="J4" s="222">
        <v>0.21314913034439087</v>
      </c>
      <c r="K4"/>
      <c r="L4" s="14">
        <v>4.0777879767119884E-3</v>
      </c>
      <c r="M4" s="186">
        <v>5.9171468019485474E-2</v>
      </c>
      <c r="N4" s="66">
        <v>6.3675917685031891E-2</v>
      </c>
      <c r="O4" s="224">
        <v>0.28358477354049683</v>
      </c>
      <c r="P4" s="186">
        <v>5.9819035232067108E-2</v>
      </c>
      <c r="Q4"/>
      <c r="R4"/>
      <c r="S4" s="13">
        <v>5.8376319706439972E-2</v>
      </c>
      <c r="T4"/>
      <c r="U4" s="186">
        <v>6.0037568211555481E-2</v>
      </c>
      <c r="V4" s="26">
        <v>3.888283297419548E-2</v>
      </c>
      <c r="W4" s="66">
        <v>6.2043879181146622E-2</v>
      </c>
      <c r="X4"/>
      <c r="Y4" s="79">
        <v>0.21596969664096832</v>
      </c>
      <c r="Z4"/>
      <c r="AA4" s="16">
        <v>2.2970115765929222E-2</v>
      </c>
      <c r="AB4" s="28">
        <v>5.478939414024353E-2</v>
      </c>
      <c r="AC4" s="23">
        <v>9.7676841542124748E-3</v>
      </c>
      <c r="AD4" s="23">
        <v>8.8807232677936554E-3</v>
      </c>
      <c r="AE4"/>
      <c r="AF4"/>
      <c r="AG4"/>
      <c r="AH4"/>
      <c r="AI4" s="27">
        <v>0.11843970417976379</v>
      </c>
      <c r="AJ4"/>
      <c r="AK4"/>
      <c r="AL4"/>
      <c r="AM4"/>
      <c r="AN4"/>
      <c r="AO4" s="23">
        <v>1.0013804771006107E-2</v>
      </c>
      <c r="AP4" s="20">
        <v>6.7779973149299622E-2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0.12399999797344208</v>
      </c>
      <c r="C5">
        <v>6.2000015750527382E-3</v>
      </c>
      <c r="D5" s="12">
        <v>4.4197370880283415E-4</v>
      </c>
      <c r="E5" s="12">
        <v>4.4197370880283415E-4</v>
      </c>
      <c r="F5" s="70">
        <v>6.40861876308918E-3</v>
      </c>
      <c r="G5" s="70">
        <v>6.40861876308918E-3</v>
      </c>
      <c r="H5" s="70">
        <v>6.40861876308918E-3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 s="198">
        <v>9.7690194845199585E-2</v>
      </c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0.47600001096725464</v>
      </c>
      <c r="C6">
        <v>9.1304458677768707E-2</v>
      </c>
      <c r="D6" s="15">
        <v>4.6762116253376007E-3</v>
      </c>
      <c r="E6" s="15">
        <v>4.6762116253376007E-3</v>
      </c>
      <c r="F6" s="176">
        <v>6.7805066704750061E-2</v>
      </c>
      <c r="G6" s="176">
        <v>6.7805066704750061E-2</v>
      </c>
      <c r="H6" s="176">
        <v>6.7805066704750061E-2</v>
      </c>
      <c r="I6" s="177">
        <v>5.3291101008653641E-2</v>
      </c>
      <c r="J6"/>
      <c r="K6"/>
      <c r="L6" s="70">
        <v>2.4486679583787918E-2</v>
      </c>
      <c r="M6" s="20">
        <v>2.0194487646222115E-2</v>
      </c>
      <c r="N6"/>
      <c r="O6"/>
      <c r="P6"/>
      <c r="Q6"/>
      <c r="R6"/>
      <c r="S6" s="21">
        <v>9.309873916208744E-3</v>
      </c>
      <c r="T6"/>
      <c r="U6"/>
      <c r="V6"/>
      <c r="W6"/>
      <c r="X6"/>
      <c r="Y6"/>
      <c r="Z6"/>
      <c r="AA6" s="65">
        <v>1.030412595719099E-2</v>
      </c>
      <c r="AB6" s="12">
        <v>1.9483130890876055E-3</v>
      </c>
      <c r="AC6" s="185">
        <v>1.1311015114188194E-2</v>
      </c>
      <c r="AD6" s="187">
        <v>1.5452370047569275E-2</v>
      </c>
      <c r="AE6"/>
      <c r="AF6"/>
      <c r="AG6"/>
      <c r="AH6"/>
      <c r="AI6"/>
      <c r="AJ6"/>
      <c r="AK6"/>
      <c r="AL6"/>
      <c r="AM6"/>
      <c r="AN6"/>
      <c r="AO6" s="15">
        <v>4.3449881486594677E-3</v>
      </c>
      <c r="AP6" s="189">
        <v>2.1284941583871841E-2</v>
      </c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0.54100000858306885</v>
      </c>
      <c r="C7">
        <v>2.705000713467598E-2</v>
      </c>
      <c r="D7" s="12">
        <v>2.3405728861689568E-3</v>
      </c>
      <c r="E7" s="12">
        <v>2.3405728861689568E-3</v>
      </c>
      <c r="F7" s="68">
        <v>3.393830731511116E-2</v>
      </c>
      <c r="G7" s="68">
        <v>3.393830731511116E-2</v>
      </c>
      <c r="H7" s="68">
        <v>3.393830731511116E-2</v>
      </c>
      <c r="I7" s="29">
        <v>2.5957679376006126E-2</v>
      </c>
      <c r="J7"/>
      <c r="K7"/>
      <c r="L7" s="27">
        <v>4.0889210999011993E-2</v>
      </c>
      <c r="M7" s="70">
        <v>2.79412642121315E-2</v>
      </c>
      <c r="N7" s="146">
        <v>3.2500728964805603E-2</v>
      </c>
      <c r="O7"/>
      <c r="P7"/>
      <c r="Q7"/>
      <c r="R7"/>
      <c r="S7" s="78">
        <v>3.5370033234357834E-2</v>
      </c>
      <c r="T7"/>
      <c r="U7" s="64">
        <v>2.9291719198226929E-2</v>
      </c>
      <c r="V7"/>
      <c r="W7"/>
      <c r="X7"/>
      <c r="Y7"/>
      <c r="Z7"/>
      <c r="AA7"/>
      <c r="AB7"/>
      <c r="AC7" s="25">
        <v>1.7432592809200287E-2</v>
      </c>
      <c r="AD7" s="202">
        <v>4.6063683927059174E-2</v>
      </c>
      <c r="AE7"/>
      <c r="AF7"/>
      <c r="AG7"/>
      <c r="AH7"/>
      <c r="AI7" s="64">
        <v>2.9573339968919754E-2</v>
      </c>
      <c r="AJ7"/>
      <c r="AK7"/>
      <c r="AL7"/>
      <c r="AM7"/>
      <c r="AN7"/>
      <c r="AO7" s="206">
        <v>5.597376823425293E-2</v>
      </c>
      <c r="AP7" s="181">
        <v>5.9042759239673615E-2</v>
      </c>
      <c r="AQ7" s="17">
        <v>7.4171698652207851E-3</v>
      </c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0.91100001335144043</v>
      </c>
      <c r="C8">
        <v>3.2383441925048828E-2</v>
      </c>
      <c r="D8" s="18">
        <v>1.0066628456115723E-2</v>
      </c>
      <c r="E8" s="18">
        <v>1.0066628456115723E-2</v>
      </c>
      <c r="F8" s="75">
        <v>8.6405232548713684E-2</v>
      </c>
      <c r="G8" s="75">
        <v>8.6405232548713684E-2</v>
      </c>
      <c r="H8" s="75">
        <v>8.6405232548713684E-2</v>
      </c>
      <c r="I8" s="12">
        <v>4.4595245271921158E-3</v>
      </c>
      <c r="J8"/>
      <c r="K8"/>
      <c r="L8" s="12">
        <v>4.1565294377505779E-3</v>
      </c>
      <c r="M8" s="28">
        <v>3.2692819833755493E-2</v>
      </c>
      <c r="N8" s="197">
        <v>0.12158408015966415</v>
      </c>
      <c r="O8" s="27">
        <v>6.9468148052692413E-2</v>
      </c>
      <c r="P8" s="68">
        <v>5.7998549193143845E-2</v>
      </c>
      <c r="Q8"/>
      <c r="R8"/>
      <c r="S8" s="185">
        <v>2.2066039964556694E-2</v>
      </c>
      <c r="T8"/>
      <c r="U8"/>
      <c r="V8" s="24">
        <v>2.5701938197016716E-2</v>
      </c>
      <c r="W8"/>
      <c r="X8"/>
      <c r="Y8" s="26">
        <v>2.3276848718523979E-2</v>
      </c>
      <c r="Z8"/>
      <c r="AA8" s="16">
        <v>1.3613095507025719E-2</v>
      </c>
      <c r="AB8" s="22">
        <v>7.6483595184981823E-3</v>
      </c>
      <c r="AC8" s="16">
        <v>1.3965300284326077E-2</v>
      </c>
      <c r="AD8" s="190">
        <v>7.4241012334823608E-2</v>
      </c>
      <c r="AE8"/>
      <c r="AF8"/>
      <c r="AG8"/>
      <c r="AH8"/>
      <c r="AI8" s="146">
        <v>5.5336751043796539E-2</v>
      </c>
      <c r="AJ8"/>
      <c r="AK8"/>
      <c r="AL8"/>
      <c r="AM8"/>
      <c r="AN8"/>
      <c r="AO8" s="187">
        <v>2.9566468670964241E-2</v>
      </c>
      <c r="AP8" s="24">
        <v>2.5059940293431282E-2</v>
      </c>
      <c r="AQ8" s="21">
        <v>1.8432259559631348E-2</v>
      </c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2.1459999084472656</v>
      </c>
      <c r="C9">
        <v>1.0221017599105835</v>
      </c>
      <c r="D9" s="11">
        <v>2.4119999579852447E-5</v>
      </c>
      <c r="E9" s="11">
        <v>2.4119999579852447E-5</v>
      </c>
      <c r="F9" s="11">
        <v>2.070299960905686E-4</v>
      </c>
      <c r="G9" s="11">
        <v>2.070299960905686E-4</v>
      </c>
      <c r="H9" s="11">
        <v>2.070299960905686E-4</v>
      </c>
      <c r="I9" s="186">
        <v>8.3545215427875519E-2</v>
      </c>
      <c r="J9"/>
      <c r="K9"/>
      <c r="L9" s="17">
        <v>2.9086150228977203E-2</v>
      </c>
      <c r="M9" s="214">
        <v>0.17366363108158112</v>
      </c>
      <c r="N9" s="140">
        <v>0.27653896808624268</v>
      </c>
      <c r="O9"/>
      <c r="P9" s="185">
        <v>5.0748232752084732E-2</v>
      </c>
      <c r="Q9"/>
      <c r="R9"/>
      <c r="S9" s="65">
        <v>4.6368304640054703E-2</v>
      </c>
      <c r="T9"/>
      <c r="U9"/>
      <c r="V9"/>
      <c r="W9"/>
      <c r="X9"/>
      <c r="Y9" s="13">
        <v>8.145219087600708E-2</v>
      </c>
      <c r="Z9"/>
      <c r="AA9"/>
      <c r="AB9" s="22">
        <v>1.7846178263425827E-2</v>
      </c>
      <c r="AC9" s="16">
        <v>3.1973645091056824E-2</v>
      </c>
      <c r="AD9"/>
      <c r="AE9"/>
      <c r="AF9"/>
      <c r="AG9"/>
      <c r="AH9"/>
      <c r="AI9" s="189">
        <v>9.6784211695194244E-2</v>
      </c>
      <c r="AJ9"/>
      <c r="AK9"/>
      <c r="AL9"/>
      <c r="AM9"/>
      <c r="AN9"/>
      <c r="AO9" s="16">
        <v>3.3495258539915085E-2</v>
      </c>
      <c r="AP9" s="75">
        <v>0.20172680914402008</v>
      </c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0.93999999761581421</v>
      </c>
      <c r="C10">
        <v>8.506697416305542E-2</v>
      </c>
      <c r="D10" s="11">
        <v>3.3119998988695443E-5</v>
      </c>
      <c r="E10" s="11">
        <v>3.3119998988695443E-5</v>
      </c>
      <c r="F10" s="11">
        <v>2.8427998768165708E-4</v>
      </c>
      <c r="G10" s="11">
        <v>2.8427998768165708E-4</v>
      </c>
      <c r="H10" s="11">
        <v>2.8427998768165708E-4</v>
      </c>
      <c r="I10" s="145">
        <v>2.8322812169790268E-2</v>
      </c>
      <c r="J10"/>
      <c r="K10"/>
      <c r="L10" s="24">
        <v>2.6186959818005562E-2</v>
      </c>
      <c r="M10" s="192">
        <v>9.1405399143695831E-2</v>
      </c>
      <c r="N10" s="20">
        <v>3.9774622768163681E-2</v>
      </c>
      <c r="O10" s="202">
        <v>7.9022854566574097E-2</v>
      </c>
      <c r="P10" s="209">
        <v>0.10149684548377991</v>
      </c>
      <c r="Q10"/>
      <c r="R10"/>
      <c r="S10" s="21">
        <v>1.8253635615110397E-2</v>
      </c>
      <c r="T10"/>
      <c r="U10"/>
      <c r="V10"/>
      <c r="W10"/>
      <c r="X10"/>
      <c r="Y10" s="191">
        <v>8.1458359956741333E-2</v>
      </c>
      <c r="Z10"/>
      <c r="AA10" s="25">
        <v>2.8587499633431435E-2</v>
      </c>
      <c r="AB10" s="14">
        <v>2.149257343262434E-3</v>
      </c>
      <c r="AC10" s="23">
        <v>5.6835529394447803E-3</v>
      </c>
      <c r="AD10" s="27">
        <v>7.2243094444274902E-2</v>
      </c>
      <c r="AE10"/>
      <c r="AF10"/>
      <c r="AG10"/>
      <c r="AH10"/>
      <c r="AI10" s="206">
        <v>9.6784211695194244E-2</v>
      </c>
      <c r="AJ10"/>
      <c r="AK10"/>
      <c r="AL10"/>
      <c r="AM10"/>
      <c r="AN10"/>
      <c r="AO10" s="187">
        <v>3.0687954276800156E-2</v>
      </c>
      <c r="AP10" s="212">
        <v>0.14034445583820343</v>
      </c>
      <c r="AQ10" s="18">
        <v>1.1612411588430405E-2</v>
      </c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0.95135998725891113</v>
      </c>
      <c r="C11">
        <v>2.0377112552523613E-2</v>
      </c>
      <c r="D11" s="17">
        <v>1.2479420751333237E-2</v>
      </c>
      <c r="E11" s="17">
        <v>1.2479420751333237E-2</v>
      </c>
      <c r="F11" s="177">
        <v>0.10711502283811569</v>
      </c>
      <c r="G11" s="177">
        <v>0.10711502283811569</v>
      </c>
      <c r="H11" s="177">
        <v>0.10711502283811569</v>
      </c>
      <c r="I11" s="13">
        <v>3.525058925151825E-2</v>
      </c>
      <c r="J11"/>
      <c r="K11"/>
      <c r="L11" s="195">
        <v>5.43055459856987E-2</v>
      </c>
      <c r="M11" s="145">
        <v>2.8442127630114555E-2</v>
      </c>
      <c r="N11" s="66">
        <v>3.971649706363678E-2</v>
      </c>
      <c r="O11" s="186">
        <v>3.783084824681282E-2</v>
      </c>
      <c r="P11" s="187">
        <v>3.1583312898874283E-2</v>
      </c>
      <c r="Q11"/>
      <c r="R11"/>
      <c r="S11" s="189">
        <v>4.3261252343654633E-2</v>
      </c>
      <c r="T11"/>
      <c r="U11" s="20">
        <v>4.1950639337301254E-2</v>
      </c>
      <c r="V11" s="21">
        <v>1.8736116588115692E-2</v>
      </c>
      <c r="W11"/>
      <c r="X11"/>
      <c r="Y11"/>
      <c r="Z11"/>
      <c r="AA11" s="18">
        <v>1.1866765096783638E-2</v>
      </c>
      <c r="AB11" s="67">
        <v>5.5533107370138168E-2</v>
      </c>
      <c r="AC11" s="16">
        <v>1.404259167611599E-2</v>
      </c>
      <c r="AD11" s="19">
        <v>1.6193320974707603E-2</v>
      </c>
      <c r="AE11"/>
      <c r="AF11"/>
      <c r="AG11"/>
      <c r="AH11"/>
      <c r="AI11" s="68">
        <v>6.0246806591749191E-2</v>
      </c>
      <c r="AJ11"/>
      <c r="AK11"/>
      <c r="AL11"/>
      <c r="AM11"/>
      <c r="AN11"/>
      <c r="AO11" s="29">
        <v>4.4355150312185287E-2</v>
      </c>
      <c r="AP11" s="145">
        <v>2.729245088994503E-2</v>
      </c>
      <c r="AQ11" s="26">
        <v>2.4071762338280678E-2</v>
      </c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0.44999998807907104</v>
      </c>
      <c r="C12">
        <v>2.9737140983343124E-2</v>
      </c>
      <c r="D12" s="19">
        <v>7.6260147616267204E-3</v>
      </c>
      <c r="E12" s="19">
        <v>7.6260147616267204E-3</v>
      </c>
      <c r="F12" s="178">
        <v>6.161016970872879E-2</v>
      </c>
      <c r="G12" s="178">
        <v>6.161016970872879E-2</v>
      </c>
      <c r="H12" s="178">
        <v>6.161016970872879E-2</v>
      </c>
      <c r="I12" s="26">
        <v>1.1448290199041367E-2</v>
      </c>
      <c r="J12"/>
      <c r="K12"/>
      <c r="L12"/>
      <c r="M12"/>
      <c r="N12" s="189">
        <v>1.9902115687727928E-2</v>
      </c>
      <c r="O12"/>
      <c r="P12"/>
      <c r="Q12"/>
      <c r="R12"/>
      <c r="S12" s="29">
        <v>2.076260931789875E-2</v>
      </c>
      <c r="T12"/>
      <c r="U12" s="109">
        <v>2.9659437015652657E-2</v>
      </c>
      <c r="V12" s="187">
        <v>1.4667904004454613E-2</v>
      </c>
      <c r="W12"/>
      <c r="X12"/>
      <c r="Y12"/>
      <c r="Z12"/>
      <c r="AA12" s="66">
        <v>1.8649445846676826E-2</v>
      </c>
      <c r="AB12" s="29">
        <v>2.1580016240477562E-2</v>
      </c>
      <c r="AC12" s="68">
        <v>2.7914455160498619E-2</v>
      </c>
      <c r="AD12" s="24">
        <v>1.2707306072115898E-2</v>
      </c>
      <c r="AE12"/>
      <c r="AF12"/>
      <c r="AG12"/>
      <c r="AH12"/>
      <c r="AI12"/>
      <c r="AJ12"/>
      <c r="AK12"/>
      <c r="AL12"/>
      <c r="AM12"/>
      <c r="AN12"/>
      <c r="AO12"/>
      <c r="AP12" s="196">
        <v>4.288870096206665E-2</v>
      </c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0.41200000047683716</v>
      </c>
      <c r="C13">
        <v>2.0600004121661186E-2</v>
      </c>
      <c r="D13" s="14">
        <v>8.6345680756494403E-4</v>
      </c>
      <c r="E13" s="14">
        <v>8.6345680756494403E-4</v>
      </c>
      <c r="F13" s="19">
        <v>6.9758221507072449E-3</v>
      </c>
      <c r="G13" s="19">
        <v>6.9758221507072449E-3</v>
      </c>
      <c r="H13" s="19">
        <v>6.9758221507072449E-3</v>
      </c>
      <c r="I13" s="201">
        <v>8.6723186075687408E-2</v>
      </c>
      <c r="J13"/>
      <c r="K13"/>
      <c r="L13"/>
      <c r="M13"/>
      <c r="N13"/>
      <c r="O13"/>
      <c r="P13"/>
      <c r="Q13"/>
      <c r="R13"/>
      <c r="S13" s="147">
        <v>0.10457445681095123</v>
      </c>
      <c r="T13"/>
      <c r="U13"/>
      <c r="V13"/>
      <c r="W13"/>
      <c r="X13"/>
      <c r="Y13"/>
      <c r="Z13"/>
      <c r="AA13"/>
      <c r="AB13" s="201">
        <v>8.661496639251709E-2</v>
      </c>
      <c r="AC13" s="28">
        <v>1.4930860139429569E-2</v>
      </c>
      <c r="AD13" s="191">
        <v>3.5679291933774948E-2</v>
      </c>
      <c r="AE13"/>
      <c r="AF13"/>
      <c r="AG13"/>
      <c r="AH13"/>
      <c r="AI13"/>
      <c r="AJ13"/>
      <c r="AK13"/>
      <c r="AL13"/>
      <c r="AM13"/>
      <c r="AN13"/>
      <c r="AO13"/>
      <c r="AP13" s="192">
        <v>4.0222879499197006E-2</v>
      </c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0.44299998879432678</v>
      </c>
      <c r="C14">
        <v>1.2964494526386261E-2</v>
      </c>
      <c r="D14" s="24">
        <v>1.2379133142530918E-2</v>
      </c>
      <c r="E14" s="24">
        <v>1.2379133142530918E-2</v>
      </c>
      <c r="F14" s="179">
        <v>0.10001036524772644</v>
      </c>
      <c r="G14" s="179">
        <v>0.10001036524772644</v>
      </c>
      <c r="H14" s="179">
        <v>0.10001036524772644</v>
      </c>
      <c r="I14" s="14">
        <v>5.6885275989770889E-4</v>
      </c>
      <c r="J14"/>
      <c r="K14"/>
      <c r="L14"/>
      <c r="M14"/>
      <c r="N14"/>
      <c r="O14"/>
      <c r="P14"/>
      <c r="Q14"/>
      <c r="R14"/>
      <c r="S14" s="185">
        <v>1.0304069146513939E-2</v>
      </c>
      <c r="T14" s="20">
        <v>1.9251067191362381E-2</v>
      </c>
      <c r="U14"/>
      <c r="V14" s="20">
        <v>1.8945991992950439E-2</v>
      </c>
      <c r="W14"/>
      <c r="X14"/>
      <c r="Y14"/>
      <c r="Z14"/>
      <c r="AA14"/>
      <c r="AB14" s="186">
        <v>1.762869767844677E-2</v>
      </c>
      <c r="AC14" s="19">
        <v>7.6127732172608376E-3</v>
      </c>
      <c r="AD14" s="20">
        <v>1.9056927412748337E-2</v>
      </c>
      <c r="AE14"/>
      <c r="AF14"/>
      <c r="AG14"/>
      <c r="AH14"/>
      <c r="AI14"/>
      <c r="AJ14"/>
      <c r="AK14"/>
      <c r="AL14"/>
      <c r="AM14"/>
      <c r="AN14"/>
      <c r="AO14" s="24">
        <v>1.1877752840518951E-2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0.69999998807907104</v>
      </c>
      <c r="C15">
        <v>3.5000007599592209E-2</v>
      </c>
      <c r="D15" s="14">
        <v>1.3001037295907736E-3</v>
      </c>
      <c r="E15" s="14">
        <v>1.3001037295907736E-3</v>
      </c>
      <c r="F15" s="16">
        <v>1.0503469966351986E-2</v>
      </c>
      <c r="G15" s="16">
        <v>1.0503469966351986E-2</v>
      </c>
      <c r="H15" s="16">
        <v>1.0503469966351986E-2</v>
      </c>
      <c r="I15" s="12">
        <v>2.4152330588549376E-3</v>
      </c>
      <c r="J15"/>
      <c r="K15"/>
      <c r="L15" s="19">
        <v>1.2450093403458595E-2</v>
      </c>
      <c r="M15" s="197">
        <v>9.2996343970298767E-2</v>
      </c>
      <c r="N15" s="185">
        <v>1.7035247758030891E-2</v>
      </c>
      <c r="O15"/>
      <c r="P15"/>
      <c r="Q15"/>
      <c r="R15"/>
      <c r="S15" s="208">
        <v>7.092893123626709E-2</v>
      </c>
      <c r="T15" s="25">
        <v>2.1773457527160645E-2</v>
      </c>
      <c r="U15" s="177">
        <v>7.7940128743648529E-2</v>
      </c>
      <c r="V15" s="204">
        <v>3.6468330770730972E-2</v>
      </c>
      <c r="W15"/>
      <c r="X15"/>
      <c r="Y15"/>
      <c r="Z15"/>
      <c r="AA15" s="209">
        <v>7.5547844171524048E-2</v>
      </c>
      <c r="AB15"/>
      <c r="AC15" s="27">
        <v>5.3567782044410706E-2</v>
      </c>
      <c r="AD15"/>
      <c r="AE15"/>
      <c r="AF15"/>
      <c r="AG15"/>
      <c r="AH15"/>
      <c r="AI15" s="193">
        <v>6.2195982784032822E-2</v>
      </c>
      <c r="AJ15"/>
      <c r="AK15"/>
      <c r="AL15"/>
      <c r="AM15"/>
      <c r="AN15"/>
      <c r="AO15" s="78">
        <v>4.558250680565834E-2</v>
      </c>
      <c r="AP15" s="193">
        <v>6.1987441033124924E-2</v>
      </c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1.238550066947937</v>
      </c>
      <c r="C16">
        <v>4.9541953951120377E-2</v>
      </c>
      <c r="D16" s="11">
        <v>1.183181484520901E-5</v>
      </c>
      <c r="E16" s="11">
        <v>1.183181484520901E-5</v>
      </c>
      <c r="F16" s="11">
        <v>9.5588606200180948E-5</v>
      </c>
      <c r="G16" s="11">
        <v>9.5588606200180948E-5</v>
      </c>
      <c r="H16" s="11">
        <v>9.5588606200180948E-5</v>
      </c>
      <c r="I16"/>
      <c r="J16"/>
      <c r="K16"/>
      <c r="L16" s="16">
        <v>1.9628576934337616E-2</v>
      </c>
      <c r="M16" s="142">
        <v>0.12451384961605072</v>
      </c>
      <c r="N16"/>
      <c r="O16"/>
      <c r="P16"/>
      <c r="Q16"/>
      <c r="R16"/>
      <c r="S16" s="145">
        <v>3.5560909658670425E-2</v>
      </c>
      <c r="T16" s="65">
        <v>2.6379123330116272E-2</v>
      </c>
      <c r="U16" s="75">
        <v>0.11552302539348602</v>
      </c>
      <c r="V16" s="141">
        <v>0.41973239183425903</v>
      </c>
      <c r="W16" s="12">
        <v>4.8185056075453758E-3</v>
      </c>
      <c r="X16"/>
      <c r="Y16"/>
      <c r="Z16"/>
      <c r="AA16" s="211">
        <v>0.1409594863653183</v>
      </c>
      <c r="AB16"/>
      <c r="AC16" s="185">
        <v>2.8024481609463692E-2</v>
      </c>
      <c r="AD16" s="186">
        <v>4.786919429898262E-2</v>
      </c>
      <c r="AE16"/>
      <c r="AF16"/>
      <c r="AG16"/>
      <c r="AH16"/>
      <c r="AI16" s="183">
        <v>0.14603503048419952</v>
      </c>
      <c r="AJ16"/>
      <c r="AK16"/>
      <c r="AL16"/>
      <c r="AM16"/>
      <c r="AN16"/>
      <c r="AO16"/>
      <c r="AP16" s="78">
        <v>7.9653091728687286E-2</v>
      </c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1.2000000476837158</v>
      </c>
      <c r="C17">
        <v>6.0000158846378326E-2</v>
      </c>
      <c r="D17" s="11">
        <v>2.1730212029069662E-4</v>
      </c>
      <c r="E17" s="11">
        <v>2.1730212029069662E-4</v>
      </c>
      <c r="F17" s="14">
        <v>1.7555725062265992E-3</v>
      </c>
      <c r="G17" s="14">
        <v>1.7555725062265992E-3</v>
      </c>
      <c r="H17" s="14">
        <v>1.7555725062265992E-3</v>
      </c>
      <c r="I17"/>
      <c r="J17"/>
      <c r="K17"/>
      <c r="L17"/>
      <c r="M17" s="108">
        <v>0.1483706533908844</v>
      </c>
      <c r="N17"/>
      <c r="O17"/>
      <c r="P17"/>
      <c r="Q17"/>
      <c r="R17"/>
      <c r="S17" s="18">
        <v>1.3898648321628571E-2</v>
      </c>
      <c r="T17" s="19">
        <v>2.0515251904726028E-2</v>
      </c>
      <c r="U17" s="19">
        <v>2.1496303379535675E-2</v>
      </c>
      <c r="V17" s="176">
        <v>0.17269444465637207</v>
      </c>
      <c r="W17" s="20">
        <v>5.1612585783004761E-2</v>
      </c>
      <c r="X17"/>
      <c r="Y17"/>
      <c r="Z17"/>
      <c r="AA17" s="29">
        <v>5.5412426590919495E-2</v>
      </c>
      <c r="AB17" s="70">
        <v>6.0957040637731552E-2</v>
      </c>
      <c r="AC17" s="19">
        <v>2.0749194547533989E-2</v>
      </c>
      <c r="AD17"/>
      <c r="AE17" s="215">
        <v>0.22302022576332092</v>
      </c>
      <c r="AF17"/>
      <c r="AG17"/>
      <c r="AH17"/>
      <c r="AI17" s="180">
        <v>0.22826103866100311</v>
      </c>
      <c r="AJ17"/>
      <c r="AK17"/>
      <c r="AL17"/>
      <c r="AM17"/>
      <c r="AN17"/>
      <c r="AO17" s="186">
        <v>4.7864891588687897E-2</v>
      </c>
      <c r="AP17" s="29">
        <v>5.7137805968523026E-2</v>
      </c>
      <c r="AQ17" s="15">
        <v>1.2308140285313129E-2</v>
      </c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1.343999981880188</v>
      </c>
      <c r="C18">
        <v>6.7200176417827606E-2</v>
      </c>
      <c r="D18"/>
      <c r="E18"/>
      <c r="F18"/>
      <c r="G18"/>
      <c r="H18"/>
      <c r="I18" s="24">
        <v>3.5622838884592056E-2</v>
      </c>
      <c r="J18"/>
      <c r="K18"/>
      <c r="L18"/>
      <c r="M18" s="76">
        <v>0.10581472516059875</v>
      </c>
      <c r="N18"/>
      <c r="O18"/>
      <c r="P18"/>
      <c r="Q18"/>
      <c r="R18"/>
      <c r="S18" s="23">
        <v>8.2022864371538162E-3</v>
      </c>
      <c r="T18" s="15">
        <v>1.4028318226337433E-2</v>
      </c>
      <c r="U18" s="189">
        <v>6.1434704810380936E-2</v>
      </c>
      <c r="V18"/>
      <c r="W18"/>
      <c r="X18" s="217">
        <v>0.26458603143692017</v>
      </c>
      <c r="Y18" s="201">
        <v>0.2810017466545105</v>
      </c>
      <c r="Z18"/>
      <c r="AA18" s="24">
        <v>3.7896543741226196E-2</v>
      </c>
      <c r="AB18" s="65">
        <v>2.9189944267272949E-2</v>
      </c>
      <c r="AC18" s="18">
        <v>1.4903312548995018E-2</v>
      </c>
      <c r="AD18" s="66">
        <v>5.4861795157194138E-2</v>
      </c>
      <c r="AE18"/>
      <c r="AF18"/>
      <c r="AG18"/>
      <c r="AH18"/>
      <c r="AI18" s="220">
        <v>0.32617557048797607</v>
      </c>
      <c r="AJ18"/>
      <c r="AK18"/>
      <c r="AL18"/>
      <c r="AM18"/>
      <c r="AN18"/>
      <c r="AO18" s="18">
        <v>1.5199800953269005E-2</v>
      </c>
      <c r="AP18" s="65">
        <v>2.788221649825573E-2</v>
      </c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1.8858100175857544</v>
      </c>
      <c r="C19">
        <v>5.2664196118712425E-3</v>
      </c>
      <c r="D19"/>
      <c r="E19"/>
      <c r="F19"/>
      <c r="G19"/>
      <c r="H19"/>
      <c r="I19"/>
      <c r="J19"/>
      <c r="K19"/>
      <c r="L19"/>
      <c r="M19" s="76">
        <v>0.14635586738586426</v>
      </c>
      <c r="N19"/>
      <c r="O19"/>
      <c r="P19"/>
      <c r="Q19"/>
      <c r="R19"/>
      <c r="S19" s="204">
        <v>9.9885605275630951E-2</v>
      </c>
      <c r="T19" s="18">
        <v>2.1163163706660271E-2</v>
      </c>
      <c r="U19" s="27">
        <v>0.14357693493366241</v>
      </c>
      <c r="V19"/>
      <c r="W19"/>
      <c r="X19" s="216">
        <v>0.25566655397415161</v>
      </c>
      <c r="Y19" s="221">
        <v>0.41272354125976562</v>
      </c>
      <c r="Z19"/>
      <c r="AA19" s="191">
        <v>0.16271048784255981</v>
      </c>
      <c r="AB19" s="25">
        <v>5.7691797614097595E-2</v>
      </c>
      <c r="AC19" s="187">
        <v>6.1632607132196426E-2</v>
      </c>
      <c r="AD19" s="12">
        <v>7.2762654162943363E-3</v>
      </c>
      <c r="AE19"/>
      <c r="AF19"/>
      <c r="AG19"/>
      <c r="AH19"/>
      <c r="AI19" s="179">
        <v>0.4259362518787384</v>
      </c>
      <c r="AJ19"/>
      <c r="AK19"/>
      <c r="AL19"/>
      <c r="AM19"/>
      <c r="AN19"/>
      <c r="AO19" s="28">
        <v>6.7000515758991241E-2</v>
      </c>
      <c r="AP19"/>
      <c r="AQ19" s="15">
        <v>1.892392709851265E-2</v>
      </c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0.23100000619888306</v>
      </c>
      <c r="C20">
        <v>1.6365114599466324E-2</v>
      </c>
      <c r="D20" s="22">
        <v>1.7618939746171236E-3</v>
      </c>
      <c r="E20" s="22">
        <v>1.7618939746171236E-3</v>
      </c>
      <c r="F20" s="180">
        <v>4.4047348201274872E-2</v>
      </c>
      <c r="G20" s="180">
        <v>4.4047348201274872E-2</v>
      </c>
      <c r="H20" s="180">
        <v>4.4047348201274872E-2</v>
      </c>
      <c r="I20"/>
      <c r="J20"/>
      <c r="K20"/>
      <c r="L20" s="19">
        <v>4.206477664411068E-3</v>
      </c>
      <c r="M20"/>
      <c r="N20"/>
      <c r="O20"/>
      <c r="P20"/>
      <c r="Q20"/>
      <c r="R20"/>
      <c r="S20" s="64">
        <v>1.2866532430052757E-2</v>
      </c>
      <c r="T20" s="25">
        <v>7.2875912301242352E-3</v>
      </c>
      <c r="U20"/>
      <c r="V20"/>
      <c r="W20" s="25">
        <v>7.0343157276511192E-3</v>
      </c>
      <c r="X20"/>
      <c r="Y20"/>
      <c r="Z20"/>
      <c r="AA20"/>
      <c r="AB20"/>
      <c r="AC20" s="200">
        <v>4.7574136406183243E-2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0.38999998569488525</v>
      </c>
      <c r="C21">
        <v>1.3359716162085533E-2</v>
      </c>
      <c r="D21" s="12">
        <v>1.706804963760078E-3</v>
      </c>
      <c r="E21" s="12">
        <v>1.706804963760078E-3</v>
      </c>
      <c r="F21" s="181">
        <v>4.2670119553804398E-2</v>
      </c>
      <c r="G21" s="181">
        <v>4.2670119553804398E-2</v>
      </c>
      <c r="H21" s="181">
        <v>4.2670119553804398E-2</v>
      </c>
      <c r="I21" s="197">
        <v>5.1817815750837326E-2</v>
      </c>
      <c r="J21"/>
      <c r="K21"/>
      <c r="L21" s="15">
        <v>3.5413445439189672E-3</v>
      </c>
      <c r="M21"/>
      <c r="N21"/>
      <c r="O21"/>
      <c r="P21"/>
      <c r="Q21"/>
      <c r="R21"/>
      <c r="S21" s="199">
        <v>5.9438109397888184E-2</v>
      </c>
      <c r="T21" s="145">
        <v>1.1730069294571877E-2</v>
      </c>
      <c r="U21"/>
      <c r="V21"/>
      <c r="W21" s="185">
        <v>9.0588275343179703E-3</v>
      </c>
      <c r="X21"/>
      <c r="Y21"/>
      <c r="Z21"/>
      <c r="AA21"/>
      <c r="AB21" s="193">
        <v>3.444381058216095E-2</v>
      </c>
      <c r="AC21" s="203">
        <v>7.5186319649219513E-2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0.12999999523162842</v>
      </c>
      <c r="C22">
        <v>1.224287087097764E-3</v>
      </c>
      <c r="D22" s="18">
        <v>1.4825417893007398E-3</v>
      </c>
      <c r="E22" s="18">
        <v>1.4825417893007398E-3</v>
      </c>
      <c r="F22" s="182">
        <v>3.7063542753458023E-2</v>
      </c>
      <c r="G22" s="182">
        <v>3.7063542753458023E-2</v>
      </c>
      <c r="H22" s="182">
        <v>3.7063542753458023E-2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 s="177">
        <v>1.4619995839893818E-2</v>
      </c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0.34795999526977539</v>
      </c>
      <c r="C23">
        <v>4.3089635670185089E-2</v>
      </c>
      <c r="D23" s="22">
        <v>2.6861999649554491E-3</v>
      </c>
      <c r="E23" s="22">
        <v>2.6861999649554491E-3</v>
      </c>
      <c r="F23" s="177">
        <v>3.894989937543869E-2</v>
      </c>
      <c r="G23" s="177">
        <v>3.894989937543869E-2</v>
      </c>
      <c r="H23" s="177">
        <v>3.894989937543869E-2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205">
        <v>0.18264825642108917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0.89999997615814209</v>
      </c>
      <c r="C24">
        <v>4.1298080235719681E-2</v>
      </c>
      <c r="D24"/>
      <c r="E24"/>
      <c r="F24" s="23">
        <v>4.6366285532712936E-3</v>
      </c>
      <c r="G24" s="23">
        <v>4.6366285532712936E-3</v>
      </c>
      <c r="H24" s="23">
        <v>4.6366285532712936E-3</v>
      </c>
      <c r="I24" s="189">
        <v>4.0134433656930923E-2</v>
      </c>
      <c r="J24"/>
      <c r="K24" s="21">
        <v>1.7154574394226074E-2</v>
      </c>
      <c r="L24" s="14">
        <v>1.6626642318442464E-3</v>
      </c>
      <c r="M24" s="181">
        <v>9.8116852343082428E-2</v>
      </c>
      <c r="N24" s="189">
        <v>3.9770852774381638E-2</v>
      </c>
      <c r="O24"/>
      <c r="P24" s="146">
        <v>5.5581603199243546E-2</v>
      </c>
      <c r="Q24"/>
      <c r="R24"/>
      <c r="S24" s="204">
        <v>4.7868896275758743E-2</v>
      </c>
      <c r="T24" s="65">
        <v>1.975664310157299E-2</v>
      </c>
      <c r="U24" s="66">
        <v>3.645632416009903E-2</v>
      </c>
      <c r="V24" s="16">
        <v>1.4287970028817654E-2</v>
      </c>
      <c r="W24" s="22">
        <v>7.8324945643544197E-3</v>
      </c>
      <c r="X24" s="64">
        <v>4.9365587532520294E-2</v>
      </c>
      <c r="Y24" s="219">
        <v>0.11249008774757385</v>
      </c>
      <c r="Z24"/>
      <c r="AA24" s="146">
        <v>5.5391069501638412E-2</v>
      </c>
      <c r="AB24" s="70">
        <v>4.5069117099046707E-2</v>
      </c>
      <c r="AC24" s="21">
        <v>1.8403887748718262E-2</v>
      </c>
      <c r="AD24"/>
      <c r="AE24" s="145">
        <v>2.6435304433107376E-2</v>
      </c>
      <c r="AF24" s="70">
        <v>4.6003133058547974E-2</v>
      </c>
      <c r="AG24"/>
      <c r="AH24"/>
      <c r="AI24" s="183">
        <v>0.10605936497449875</v>
      </c>
      <c r="AJ24"/>
      <c r="AK24"/>
      <c r="AL24"/>
      <c r="AM24"/>
      <c r="AN24"/>
      <c r="AO24" s="22">
        <v>6.9511532783508301E-3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1.4500000476837158</v>
      </c>
      <c r="C25">
        <v>0.27639961242675781</v>
      </c>
      <c r="D25" s="11">
        <v>5.7070001275860704E-6</v>
      </c>
      <c r="E25" s="11">
        <v>5.7070001275860704E-6</v>
      </c>
      <c r="F25" s="11">
        <v>1.4267499500419945E-4</v>
      </c>
      <c r="G25" s="11">
        <v>1.4267499500419945E-4</v>
      </c>
      <c r="H25" s="11">
        <v>1.4267499500419945E-4</v>
      </c>
      <c r="I25" s="18">
        <v>1.6700383275747299E-2</v>
      </c>
      <c r="J25" s="28">
        <v>5.0400059670209885E-2</v>
      </c>
      <c r="K25" s="193">
        <v>0.12932758033275604</v>
      </c>
      <c r="L25" s="15">
        <v>1.4519514515995979E-2</v>
      </c>
      <c r="M25" s="66">
        <v>5.9419929981231689E-2</v>
      </c>
      <c r="N25" s="195">
        <v>8.1927970051765442E-2</v>
      </c>
      <c r="O25"/>
      <c r="P25"/>
      <c r="Q25"/>
      <c r="R25"/>
      <c r="S25" s="22">
        <v>1.0818734765052795E-2</v>
      </c>
      <c r="T25"/>
      <c r="U25" s="18">
        <v>1.6578638926148415E-2</v>
      </c>
      <c r="V25" s="66">
        <v>6.0009479522705078E-2</v>
      </c>
      <c r="W25" s="70">
        <v>7.507091760635376E-2</v>
      </c>
      <c r="X25" s="66">
        <v>6.033036857843399E-2</v>
      </c>
      <c r="Y25" s="68">
        <v>8.9567892253398895E-2</v>
      </c>
      <c r="Z25"/>
      <c r="AA25" s="12">
        <v>4.8295026645064354E-3</v>
      </c>
      <c r="AB25" s="19">
        <v>2.4680202826857567E-2</v>
      </c>
      <c r="AC25" s="14">
        <v>1.4842029195278883E-3</v>
      </c>
      <c r="AD25" s="14">
        <v>2.0787757821381092E-3</v>
      </c>
      <c r="AE25" s="19">
        <v>2.6987617835402489E-2</v>
      </c>
      <c r="AF25" s="188">
        <v>9.87701416015625E-2</v>
      </c>
      <c r="AG25"/>
      <c r="AH25"/>
      <c r="AI25" s="225">
        <v>0.21877412497997284</v>
      </c>
      <c r="AJ25"/>
      <c r="AK25" s="223">
        <v>0.13088506460189819</v>
      </c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2.2799999713897705</v>
      </c>
      <c r="C26">
        <v>0.57272517681121826</v>
      </c>
      <c r="D26"/>
      <c r="E26"/>
      <c r="F26"/>
      <c r="G26"/>
      <c r="H26"/>
      <c r="I26" s="11">
        <v>1.9308103219373152E-5</v>
      </c>
      <c r="J26" s="22">
        <v>1.6783218830823898E-2</v>
      </c>
      <c r="K26" s="75">
        <v>0.21582159399986267</v>
      </c>
      <c r="L26"/>
      <c r="M26" s="12">
        <v>7.9988362267613411E-3</v>
      </c>
      <c r="N26" s="22">
        <v>1.6504906117916107E-2</v>
      </c>
      <c r="O26"/>
      <c r="P26"/>
      <c r="Q26"/>
      <c r="R26"/>
      <c r="S26" s="14">
        <v>3.0433197971433401E-3</v>
      </c>
      <c r="T26" s="15">
        <v>2.3428523913025856E-2</v>
      </c>
      <c r="U26" s="14">
        <v>5.5123399943113327E-3</v>
      </c>
      <c r="V26" s="26">
        <v>5.7609099894762039E-2</v>
      </c>
      <c r="W26" s="29">
        <v>0.10698801279067993</v>
      </c>
      <c r="X26" s="26">
        <v>5.8989070355892181E-2</v>
      </c>
      <c r="Y26" s="202">
        <v>0.19141259789466858</v>
      </c>
      <c r="Z26"/>
      <c r="AA26" s="14">
        <v>5.8137127198278904E-3</v>
      </c>
      <c r="AB26" s="14">
        <v>2.4680185597389936E-3</v>
      </c>
      <c r="AC26" s="11">
        <v>1.7091119661927223E-4</v>
      </c>
      <c r="AD26"/>
      <c r="AE26" s="24">
        <v>6.101488322019577E-2</v>
      </c>
      <c r="AF26" s="229">
        <v>0.28992560505867004</v>
      </c>
      <c r="AG26" s="207">
        <v>0.33349031209945679</v>
      </c>
      <c r="AH26"/>
      <c r="AI26" s="189">
        <v>0.10167864710092545</v>
      </c>
      <c r="AJ26"/>
      <c r="AK26" s="69">
        <v>0.20855517685413361</v>
      </c>
      <c r="AL26"/>
      <c r="AM26"/>
      <c r="AN26"/>
      <c r="AO26" s="11">
        <v>4.6720051614101976E-5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0.60000002384185791</v>
      </c>
      <c r="C27">
        <v>3.947993740439415E-2</v>
      </c>
      <c r="D27"/>
      <c r="E27"/>
      <c r="F27"/>
      <c r="G27"/>
      <c r="H27"/>
      <c r="I27"/>
      <c r="J27" s="21">
        <v>1.1971510946750641E-2</v>
      </c>
      <c r="K27" s="209">
        <v>6.4980402588844299E-2</v>
      </c>
      <c r="L27" s="11">
        <v>1.1967260888923192E-6</v>
      </c>
      <c r="M27" s="23">
        <v>3.0358515214174986E-3</v>
      </c>
      <c r="N27" s="11">
        <v>2.7928088093176484E-4</v>
      </c>
      <c r="O27"/>
      <c r="P27"/>
      <c r="Q27"/>
      <c r="R27"/>
      <c r="S27" s="11">
        <v>2.0170801144558936E-4</v>
      </c>
      <c r="T27"/>
      <c r="U27" s="14">
        <v>6.0431286692619324E-4</v>
      </c>
      <c r="V27" s="15">
        <v>5.5512790568172932E-3</v>
      </c>
      <c r="W27" s="14">
        <v>1.0082442313432693E-3</v>
      </c>
      <c r="X27" s="65">
        <v>1.2429875321686268E-2</v>
      </c>
      <c r="Y27" s="186">
        <v>2.3990662768483162E-2</v>
      </c>
      <c r="Z27"/>
      <c r="AA27"/>
      <c r="AB27" s="14">
        <v>7.9559488222002983E-4</v>
      </c>
      <c r="AC27" s="11">
        <v>1.0802035103552043E-4</v>
      </c>
      <c r="AD27" s="11">
        <v>2.291191958647687E-5</v>
      </c>
      <c r="AE27" s="27">
        <v>4.6379644423723221E-2</v>
      </c>
      <c r="AF27" s="228">
        <v>0.11242000758647919</v>
      </c>
      <c r="AG27" s="193">
        <v>5.2846506237983704E-2</v>
      </c>
      <c r="AH27"/>
      <c r="AI27" s="190">
        <v>4.9223463982343674E-2</v>
      </c>
      <c r="AJ27" s="227">
        <v>0.10566695034503937</v>
      </c>
      <c r="AK27" s="211">
        <v>6.7749425768852234E-2</v>
      </c>
      <c r="AL27"/>
      <c r="AM27"/>
      <c r="AN27"/>
      <c r="AO27" s="14">
        <v>1.2532538967207074E-3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2.5</v>
      </c>
      <c r="C28">
        <v>0.12500002980232239</v>
      </c>
      <c r="D28" s="11">
        <v>4.8948591575026512E-4</v>
      </c>
      <c r="E28" s="11">
        <v>4.8948591575026512E-4</v>
      </c>
      <c r="F28" s="14">
        <v>4.2014205828309059E-3</v>
      </c>
      <c r="G28" s="14">
        <v>4.2014205828309059E-3</v>
      </c>
      <c r="H28" s="14">
        <v>4.2014205828309059E-3</v>
      </c>
      <c r="I28" s="20">
        <v>0.1057773157954216</v>
      </c>
      <c r="J28" s="68">
        <v>0.15515443682670593</v>
      </c>
      <c r="K28"/>
      <c r="L28" s="66">
        <v>0.10375583916902542</v>
      </c>
      <c r="M28" s="204">
        <v>0.13422699272632599</v>
      </c>
      <c r="N28" s="218">
        <v>0.18569247424602509</v>
      </c>
      <c r="O28"/>
      <c r="P28"/>
      <c r="Q28"/>
      <c r="R28"/>
      <c r="S28" s="12">
        <v>7.5512644834816456E-3</v>
      </c>
      <c r="T28"/>
      <c r="U28"/>
      <c r="V28" s="12">
        <v>7.435712032020092E-3</v>
      </c>
      <c r="W28" s="12">
        <v>7.8932689502835274E-3</v>
      </c>
      <c r="X28"/>
      <c r="Y28"/>
      <c r="Z28"/>
      <c r="AA28" s="14">
        <v>6.3737435266375542E-3</v>
      </c>
      <c r="AB28" s="75">
        <v>0.23377786576747894</v>
      </c>
      <c r="AC28" s="195">
        <v>0.14005938172340393</v>
      </c>
      <c r="AD28" s="17">
        <v>3.4138791263103485E-2</v>
      </c>
      <c r="AE28" s="19">
        <v>4.5438371598720551E-2</v>
      </c>
      <c r="AF28"/>
      <c r="AG28"/>
      <c r="AH28"/>
      <c r="AI28" s="226">
        <v>0.91151970624923706</v>
      </c>
      <c r="AJ28"/>
      <c r="AK28"/>
      <c r="AL28"/>
      <c r="AM28"/>
      <c r="AN28"/>
      <c r="AO28" s="19">
        <v>4.6034272760152817E-2</v>
      </c>
      <c r="AP28" s="69">
        <v>0.23137122392654419</v>
      </c>
      <c r="AQ28" s="14">
        <v>5.2160643972456455E-3</v>
      </c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0.64889001846313477</v>
      </c>
      <c r="C29">
        <v>9.0531893074512482E-2</v>
      </c>
      <c r="D29"/>
      <c r="E29"/>
      <c r="F29" s="11">
        <v>5.4545453167520463E-6</v>
      </c>
      <c r="G29"/>
      <c r="H29"/>
      <c r="I29" s="11">
        <v>4.3883934267796576E-5</v>
      </c>
      <c r="J29"/>
      <c r="K29" s="203">
        <v>0.12446060031652451</v>
      </c>
      <c r="L29" s="11">
        <v>8.6319101910703466E-7</v>
      </c>
      <c r="M29"/>
      <c r="N29" s="18">
        <v>7.4122739024460316E-3</v>
      </c>
      <c r="O29"/>
      <c r="P29"/>
      <c r="Q29"/>
      <c r="R29"/>
      <c r="S29" s="14">
        <v>1.8527787178754807E-3</v>
      </c>
      <c r="T29" s="18">
        <v>8.2692084833979607E-3</v>
      </c>
      <c r="U29" s="14">
        <v>1.7346523236483335E-3</v>
      </c>
      <c r="V29" s="14">
        <v>1.3619394740089774E-3</v>
      </c>
      <c r="W29" s="19">
        <v>1.1480003595352173E-2</v>
      </c>
      <c r="X29" s="187">
        <v>2.1467743441462517E-2</v>
      </c>
      <c r="Y29" s="72">
        <v>4.5905448496341705E-2</v>
      </c>
      <c r="Z29"/>
      <c r="AA29" s="11">
        <v>8.6115804151631892E-5</v>
      </c>
      <c r="AB29" s="11">
        <v>2.4039135314524174E-4</v>
      </c>
      <c r="AC29"/>
      <c r="AD29"/>
      <c r="AE29" s="22">
        <v>4.8182839527726173E-3</v>
      </c>
      <c r="AF29"/>
      <c r="AG29"/>
      <c r="AH29"/>
      <c r="AI29"/>
      <c r="AJ29" s="230">
        <v>0.32917597889900208</v>
      </c>
      <c r="AK29"/>
      <c r="AL29"/>
      <c r="AM29"/>
      <c r="AN29"/>
      <c r="AO29" s="11">
        <v>4.2472773202462122E-5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2.7000000476837158</v>
      </c>
      <c r="C30">
        <v>0.13500019907951355</v>
      </c>
      <c r="D30"/>
      <c r="E30"/>
      <c r="F30"/>
      <c r="G30"/>
      <c r="H30"/>
      <c r="I30" s="11">
        <v>7.3071016231551766E-4</v>
      </c>
      <c r="J30" s="21">
        <v>5.3093865513801575E-2</v>
      </c>
      <c r="K30" s="24">
        <v>7.6709255576133728E-2</v>
      </c>
      <c r="L30" s="11">
        <v>1.3999555221744231E-6</v>
      </c>
      <c r="M30" s="23">
        <v>1.8201941624283791E-2</v>
      </c>
      <c r="N30" s="12">
        <v>1.1325851082801819E-2</v>
      </c>
      <c r="O30"/>
      <c r="P30"/>
      <c r="Q30"/>
      <c r="R30"/>
      <c r="S30" s="11">
        <v>2.0714940037578344E-3</v>
      </c>
      <c r="T30"/>
      <c r="U30"/>
      <c r="V30" s="19">
        <v>4.8185378313064575E-2</v>
      </c>
      <c r="W30" s="19">
        <v>4.8776086419820786E-2</v>
      </c>
      <c r="X30" s="24">
        <v>7.3563285171985626E-2</v>
      </c>
      <c r="Y30" s="196">
        <v>0.25754207372665405</v>
      </c>
      <c r="Z30"/>
      <c r="AA30" s="15">
        <v>2.4629665538668633E-2</v>
      </c>
      <c r="AB30" s="11">
        <v>1.9112445879727602E-3</v>
      </c>
      <c r="AC30" s="14">
        <v>3.0573380645364523E-3</v>
      </c>
      <c r="AD30" s="11">
        <v>2.0697701256722212E-4</v>
      </c>
      <c r="AE30" s="29">
        <v>0.12751671671867371</v>
      </c>
      <c r="AF30"/>
      <c r="AG30" s="204">
        <v>0.14233396947383881</v>
      </c>
      <c r="AH30"/>
      <c r="AI30" s="14">
        <v>4.0679466910660267E-3</v>
      </c>
      <c r="AJ30" s="233">
        <v>0.91054284572601318</v>
      </c>
      <c r="AK30" s="232">
        <v>0.76015108823776245</v>
      </c>
      <c r="AL30"/>
      <c r="AM30"/>
      <c r="AN30"/>
      <c r="AO30" s="11">
        <v>3.8083034451119602E-4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5</v>
      </c>
      <c r="C31">
        <v>2.1430089473724365</v>
      </c>
      <c r="D31"/>
      <c r="E31"/>
      <c r="F31"/>
      <c r="G31"/>
      <c r="H31"/>
      <c r="I31" s="11">
        <v>9.148133103735745E-4</v>
      </c>
      <c r="J31" s="12">
        <v>1.9812697544693947E-2</v>
      </c>
      <c r="K31" s="16">
        <v>8.2830093801021576E-2</v>
      </c>
      <c r="L31"/>
      <c r="M31" s="14">
        <v>1.0976251214742661E-2</v>
      </c>
      <c r="N31" s="12">
        <v>1.9601229578256607E-2</v>
      </c>
      <c r="O31"/>
      <c r="P31" s="17">
        <v>7.2486326098442078E-2</v>
      </c>
      <c r="Q31"/>
      <c r="R31"/>
      <c r="S31"/>
      <c r="T31"/>
      <c r="U31" s="11">
        <v>3.8527516881003976E-4</v>
      </c>
      <c r="V31" s="14">
        <v>1.1434264481067657E-2</v>
      </c>
      <c r="W31" s="23">
        <v>2.6883767917752266E-2</v>
      </c>
      <c r="X31" s="22">
        <v>3.9291013032197952E-2</v>
      </c>
      <c r="Y31"/>
      <c r="Z31"/>
      <c r="AA31" s="11">
        <v>1.4781454810872674E-3</v>
      </c>
      <c r="AB31"/>
      <c r="AC31" s="14">
        <v>7.0646773092448711E-3</v>
      </c>
      <c r="AD31" s="11">
        <v>1.6435645520687103E-3</v>
      </c>
      <c r="AE31" s="16">
        <v>7.3947414755821228E-2</v>
      </c>
      <c r="AF31"/>
      <c r="AG31"/>
      <c r="AH31"/>
      <c r="AI31" s="187">
        <v>0.16260011494159698</v>
      </c>
      <c r="AJ31"/>
      <c r="AK31"/>
      <c r="AL31" s="234">
        <v>1.1366682052612305</v>
      </c>
      <c r="AM31"/>
      <c r="AN31" s="235">
        <v>1.1779429912567139</v>
      </c>
      <c r="AO31" s="14">
        <v>4.9946107901632786E-3</v>
      </c>
      <c r="AP31"/>
      <c r="AQ31" s="14">
        <v>6.035268772393465E-3</v>
      </c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18</v>
      </c>
      <c r="C32">
        <v>3.1457428932189941</v>
      </c>
      <c r="D32"/>
      <c r="E32"/>
      <c r="F32"/>
      <c r="G32"/>
      <c r="H32"/>
      <c r="I32"/>
      <c r="J32" s="11">
        <v>1.1357010342180729E-2</v>
      </c>
      <c r="K32" s="22">
        <v>0.135208860039711</v>
      </c>
      <c r="L32"/>
      <c r="M32" s="11">
        <v>7.1668527089059353E-3</v>
      </c>
      <c r="N32" s="11">
        <v>1.0030400939285755E-2</v>
      </c>
      <c r="O32" s="22">
        <v>0.13505584001541138</v>
      </c>
      <c r="P32" s="17">
        <v>0.25018501281738281</v>
      </c>
      <c r="Q32" s="17">
        <v>0.25767189264297485</v>
      </c>
      <c r="R32" s="23">
        <v>9.0029798448085785E-2</v>
      </c>
      <c r="S32" s="11">
        <v>2.1134165581315756E-3</v>
      </c>
      <c r="T32" s="11">
        <v>3.0067404732108116E-3</v>
      </c>
      <c r="U32" s="11">
        <v>4.4169390457682312E-4</v>
      </c>
      <c r="V32" s="11">
        <v>7.4906665831804276E-3</v>
      </c>
      <c r="W32"/>
      <c r="X32" s="14">
        <v>4.9177229404449463E-2</v>
      </c>
      <c r="Y32"/>
      <c r="Z32" s="18">
        <v>0.21189844608306885</v>
      </c>
      <c r="AA32" s="11">
        <v>4.7363693010993302E-4</v>
      </c>
      <c r="AB32" s="11">
        <v>6.0598697746172547E-4</v>
      </c>
      <c r="AC32"/>
      <c r="AD32"/>
      <c r="AE32" s="14">
        <v>2.7735551819205284E-2</v>
      </c>
      <c r="AF32"/>
      <c r="AG32" s="22">
        <v>0.13877394795417786</v>
      </c>
      <c r="AH32" s="13">
        <v>0.66335117816925049</v>
      </c>
      <c r="AI32" s="12">
        <v>7.2631746530532837E-2</v>
      </c>
      <c r="AJ32"/>
      <c r="AK32" s="28">
        <v>0.62277764081954956</v>
      </c>
      <c r="AL32" s="28">
        <v>0.65155941247940063</v>
      </c>
      <c r="AM32"/>
      <c r="AN32" s="236">
        <v>11.503732681274414</v>
      </c>
      <c r="AO32"/>
      <c r="AP32"/>
      <c r="AQ32" s="11">
        <v>1.7811371944844723E-3</v>
      </c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2.5</v>
      </c>
      <c r="C33">
        <v>0.1804681122303009</v>
      </c>
      <c r="D33"/>
      <c r="E33"/>
      <c r="F33"/>
      <c r="G33"/>
      <c r="H33"/>
      <c r="I33" s="11">
        <v>1.1916520452359691E-4</v>
      </c>
      <c r="J33" s="11">
        <v>2.5159696815535426E-4</v>
      </c>
      <c r="K33" s="208">
        <v>0.25464335083961487</v>
      </c>
      <c r="L33"/>
      <c r="M33" s="12">
        <v>1.1502847075462341E-2</v>
      </c>
      <c r="N33" s="12">
        <v>8.9300200343132019E-3</v>
      </c>
      <c r="O33"/>
      <c r="P33" s="11">
        <v>1.1421074159443378E-3</v>
      </c>
      <c r="Q33"/>
      <c r="R33"/>
      <c r="S33" s="14">
        <v>4.2459536343812943E-3</v>
      </c>
      <c r="T33" s="11">
        <v>1.7049608868546784E-4</v>
      </c>
      <c r="U33" s="11">
        <v>2.1439346019178629E-3</v>
      </c>
      <c r="V33" s="12">
        <v>9.3633318319916725E-3</v>
      </c>
      <c r="W33" s="17">
        <v>3.3284470438957214E-2</v>
      </c>
      <c r="X33" s="15">
        <v>2.5902172550559044E-2</v>
      </c>
      <c r="Y33" s="18">
        <v>2.928224578499794E-2</v>
      </c>
      <c r="Z33"/>
      <c r="AA33" s="11">
        <v>1.5826161252334714E-3</v>
      </c>
      <c r="AB33" s="11">
        <v>1.1017946962965652E-4</v>
      </c>
      <c r="AC33" s="11">
        <v>3.5528566513676196E-5</v>
      </c>
      <c r="AD33"/>
      <c r="AE33" s="16">
        <v>3.7926003336906433E-2</v>
      </c>
      <c r="AF33" s="231">
        <v>0.29123395681381226</v>
      </c>
      <c r="AG33" s="64">
        <v>0.13881844282150269</v>
      </c>
      <c r="AH33" s="208">
        <v>0.25358811020851135</v>
      </c>
      <c r="AI33" s="145">
        <v>7.3193058371543884E-2</v>
      </c>
      <c r="AJ33" s="140">
        <v>0.32164663076400757</v>
      </c>
      <c r="AK33" s="27">
        <v>0.18973004817962646</v>
      </c>
      <c r="AL33" s="108">
        <v>0.30949071049690247</v>
      </c>
      <c r="AM33"/>
      <c r="AN33" s="229">
        <v>0.32104906439781189</v>
      </c>
      <c r="AO33" s="11">
        <v>1.4600015128962696E-4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0.25</v>
      </c>
      <c r="C34">
        <v>0.12367619574069977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184">
        <v>0.12632380425930023</v>
      </c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0.20000000298023224</v>
      </c>
      <c r="C35">
        <v>7.4069611728191376E-2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 s="67">
        <v>1.175247598439455E-2</v>
      </c>
      <c r="AC35" s="194">
        <v>0.11417791992425919</v>
      </c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0.17900000512599945</v>
      </c>
      <c r="C36">
        <v>0.1579718291759491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183">
        <v>2.1028170362114906E-2</v>
      </c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93.099998474121094</v>
      </c>
      <c r="C37">
        <v>1.9980698823928833</v>
      </c>
      <c r="D37"/>
      <c r="E37"/>
      <c r="F37"/>
      <c r="G37"/>
      <c r="H37"/>
      <c r="I37"/>
      <c r="J37"/>
      <c r="K37" s="12">
        <v>0.43705117702484131</v>
      </c>
      <c r="L37"/>
      <c r="M37"/>
      <c r="N37"/>
      <c r="O37"/>
      <c r="P37"/>
      <c r="Q37" s="14">
        <v>9.5235623419284821E-2</v>
      </c>
      <c r="R37"/>
      <c r="S37"/>
      <c r="T37"/>
      <c r="U37" s="11">
        <v>2.4390005273744464E-4</v>
      </c>
      <c r="V37" s="11">
        <v>8.0980192869901657E-3</v>
      </c>
      <c r="W37"/>
      <c r="X37" s="11">
        <v>9.8189266282133758E-5</v>
      </c>
      <c r="Y37"/>
      <c r="Z37" s="12">
        <v>0.3524298369884491</v>
      </c>
      <c r="AA37"/>
      <c r="AB37"/>
      <c r="AC37"/>
      <c r="AD37"/>
      <c r="AE37" s="11">
        <v>7.6216082088649273E-3</v>
      </c>
      <c r="AF37" s="19">
        <v>1.6028785705566406</v>
      </c>
      <c r="AG37" s="72">
        <v>6.534965991973877</v>
      </c>
      <c r="AH37" s="66">
        <v>3.7695720195770264</v>
      </c>
      <c r="AI37" s="11">
        <v>7.80071085318923E-3</v>
      </c>
      <c r="AJ37"/>
      <c r="AK37"/>
      <c r="AL37" s="219">
        <v>11.757870674133301</v>
      </c>
      <c r="AM37" s="237">
        <v>66.528068542480469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/>
      <c r="C38">
        <v>0.50112426280975342</v>
      </c>
      <c r="D38"/>
      <c r="E38"/>
      <c r="F38"/>
      <c r="G38"/>
      <c r="H38"/>
      <c r="I38" s="9">
        <v>6.2426164746284485E-2</v>
      </c>
      <c r="J38"/>
      <c r="K38" s="9">
        <v>32.650417327880859</v>
      </c>
      <c r="L38"/>
      <c r="M38" s="9">
        <v>0.37610194087028503</v>
      </c>
      <c r="N38" s="9">
        <v>0.27700346708297729</v>
      </c>
      <c r="O38"/>
      <c r="P38"/>
      <c r="Q38"/>
      <c r="R38"/>
      <c r="S38" s="9">
        <v>5.6355427950620651E-2</v>
      </c>
      <c r="T38"/>
      <c r="U38" s="9">
        <v>2.8268417809158564E-3</v>
      </c>
      <c r="V38" s="9">
        <v>0.74906665086746216</v>
      </c>
      <c r="W38" s="9">
        <v>7.3221191763877869E-2</v>
      </c>
      <c r="X38"/>
      <c r="Y38"/>
      <c r="Z38"/>
      <c r="AA38" s="9">
        <v>7.6791666448116302E-2</v>
      </c>
      <c r="AB38"/>
      <c r="AC38"/>
      <c r="AD38"/>
      <c r="AE38" s="9">
        <v>11.69851016998291</v>
      </c>
      <c r="AF38" s="9">
        <v>29.379127502441406</v>
      </c>
      <c r="AG38" s="9">
        <v>234.47247314453125</v>
      </c>
      <c r="AH38" s="9">
        <v>127.09808349609375</v>
      </c>
      <c r="AI38"/>
      <c r="AJ38" s="9">
        <v>61.326339721679688</v>
      </c>
      <c r="AK38" s="9">
        <v>148.07159423828125</v>
      </c>
      <c r="AL38" s="9">
        <v>130.3118896484375</v>
      </c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0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4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4.3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4.3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67" t="s">
        <v>192</v>
      </c>
      <c r="E5">
        <v>4</v>
      </c>
      <c r="F5">
        <v>3.1</v>
      </c>
      <c r="G5">
        <v>4</v>
      </c>
      <c r="H5" s="168" t="s">
        <v>192</v>
      </c>
      <c r="J5" s="57"/>
      <c r="K5" s="58"/>
    </row>
    <row r="6" spans="1:12" ht="14" thickBot="1" x14ac:dyDescent="0.2">
      <c r="A6" s="41" t="s">
        <v>121</v>
      </c>
      <c r="D6" s="167" t="s">
        <v>193</v>
      </c>
      <c r="E6">
        <v>5</v>
      </c>
      <c r="F6">
        <v>3</v>
      </c>
      <c r="G6">
        <v>5</v>
      </c>
      <c r="H6" s="168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67" t="s">
        <v>194</v>
      </c>
      <c r="E7">
        <v>6</v>
      </c>
      <c r="F7">
        <v>3</v>
      </c>
      <c r="G7">
        <v>6</v>
      </c>
      <c r="H7" s="168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67" t="s">
        <v>195</v>
      </c>
      <c r="E8">
        <v>7</v>
      </c>
      <c r="F8">
        <v>3.1</v>
      </c>
      <c r="G8">
        <v>7</v>
      </c>
      <c r="H8" s="168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67" t="s">
        <v>196</v>
      </c>
      <c r="E9">
        <v>8</v>
      </c>
      <c r="F9">
        <v>3.1</v>
      </c>
      <c r="G9">
        <v>8</v>
      </c>
      <c r="H9" s="168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67" t="s">
        <v>197</v>
      </c>
      <c r="E10">
        <v>9</v>
      </c>
      <c r="F10">
        <v>3.1</v>
      </c>
      <c r="G10">
        <v>9</v>
      </c>
      <c r="H10" s="168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67" t="s">
        <v>198</v>
      </c>
      <c r="E11">
        <v>10</v>
      </c>
      <c r="F11">
        <v>3.12</v>
      </c>
      <c r="G11">
        <v>10</v>
      </c>
      <c r="H11" s="168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67" t="s">
        <v>199</v>
      </c>
      <c r="E12">
        <v>11</v>
      </c>
      <c r="F12">
        <v>3.1</v>
      </c>
      <c r="G12">
        <v>11</v>
      </c>
      <c r="H12" s="168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67" t="s">
        <v>200</v>
      </c>
      <c r="E13">
        <v>12</v>
      </c>
      <c r="F13">
        <v>3.1</v>
      </c>
      <c r="G13">
        <v>12</v>
      </c>
      <c r="H13" s="168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67" t="s">
        <v>201</v>
      </c>
      <c r="E14">
        <v>13</v>
      </c>
      <c r="F14">
        <v>3.12</v>
      </c>
      <c r="G14">
        <v>13</v>
      </c>
      <c r="H14" s="168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67" t="s">
        <v>202</v>
      </c>
      <c r="E15">
        <v>14</v>
      </c>
      <c r="F15">
        <v>3.2</v>
      </c>
      <c r="G15">
        <v>14</v>
      </c>
      <c r="H15" s="168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67" t="s">
        <v>203</v>
      </c>
      <c r="E16">
        <v>15</v>
      </c>
      <c r="F16">
        <v>3.2</v>
      </c>
      <c r="G16">
        <v>15</v>
      </c>
      <c r="H16" s="168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67" t="s">
        <v>204</v>
      </c>
      <c r="E17">
        <v>16</v>
      </c>
      <c r="F17">
        <v>3.2</v>
      </c>
      <c r="G17">
        <v>16</v>
      </c>
      <c r="H17" s="168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67" t="s">
        <v>205</v>
      </c>
      <c r="E18">
        <v>17</v>
      </c>
      <c r="F18">
        <v>3.2</v>
      </c>
      <c r="G18">
        <v>17</v>
      </c>
      <c r="H18" s="168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67" t="s">
        <v>206</v>
      </c>
      <c r="E19">
        <v>18</v>
      </c>
      <c r="F19">
        <v>3.2</v>
      </c>
      <c r="G19">
        <v>18</v>
      </c>
      <c r="H19" s="168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67" t="s">
        <v>207</v>
      </c>
      <c r="E20">
        <v>19</v>
      </c>
      <c r="F20">
        <v>3.2</v>
      </c>
      <c r="G20">
        <v>19</v>
      </c>
      <c r="H20" s="168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67" t="s">
        <v>208</v>
      </c>
      <c r="E21">
        <v>20</v>
      </c>
      <c r="F21">
        <v>3.2</v>
      </c>
      <c r="G21">
        <v>20</v>
      </c>
      <c r="H21" s="168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67" t="s">
        <v>209</v>
      </c>
      <c r="E22">
        <v>21</v>
      </c>
      <c r="F22">
        <v>3.2</v>
      </c>
      <c r="G22">
        <v>21</v>
      </c>
      <c r="H22" s="168" t="s">
        <v>209</v>
      </c>
    </row>
    <row r="23" spans="1:12" x14ac:dyDescent="0.15">
      <c r="A23" s="36" t="s">
        <v>129</v>
      </c>
      <c r="B23" s="44">
        <v>4</v>
      </c>
      <c r="C23" s="38"/>
      <c r="D23" s="167" t="s">
        <v>210</v>
      </c>
      <c r="E23">
        <v>22</v>
      </c>
      <c r="F23">
        <v>3.22</v>
      </c>
      <c r="G23">
        <v>22</v>
      </c>
      <c r="H23" s="168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67" t="s">
        <v>211</v>
      </c>
      <c r="E24">
        <v>23</v>
      </c>
      <c r="F24">
        <v>3.12</v>
      </c>
      <c r="G24">
        <v>23</v>
      </c>
      <c r="H24" s="168" t="s">
        <v>211</v>
      </c>
    </row>
    <row r="25" spans="1:12" x14ac:dyDescent="0.15">
      <c r="A25" s="36" t="s">
        <v>70</v>
      </c>
      <c r="B25" s="44">
        <v>4.2</v>
      </c>
      <c r="C25" s="38"/>
      <c r="D25" s="167" t="s">
        <v>212</v>
      </c>
      <c r="E25">
        <v>24</v>
      </c>
      <c r="F25">
        <v>3.12</v>
      </c>
      <c r="G25">
        <v>24</v>
      </c>
      <c r="H25" s="168" t="s">
        <v>212</v>
      </c>
    </row>
    <row r="26" spans="1:12" x14ac:dyDescent="0.15">
      <c r="A26" s="36" t="s">
        <v>123</v>
      </c>
      <c r="B26" s="44">
        <v>4.3</v>
      </c>
      <c r="C26" s="38"/>
      <c r="D26" s="167" t="s">
        <v>213</v>
      </c>
      <c r="E26">
        <v>25</v>
      </c>
      <c r="F26">
        <v>3.12</v>
      </c>
      <c r="G26">
        <v>25</v>
      </c>
      <c r="H26" s="168" t="s">
        <v>213</v>
      </c>
    </row>
    <row r="27" spans="1:12" x14ac:dyDescent="0.15">
      <c r="A27" s="36" t="s">
        <v>125</v>
      </c>
      <c r="B27" s="44">
        <v>6.1</v>
      </c>
      <c r="D27" s="167" t="s">
        <v>214</v>
      </c>
      <c r="E27">
        <v>26</v>
      </c>
      <c r="F27">
        <v>3.21</v>
      </c>
      <c r="G27">
        <v>26</v>
      </c>
      <c r="H27" s="168" t="s">
        <v>214</v>
      </c>
    </row>
    <row r="28" spans="1:12" x14ac:dyDescent="0.15">
      <c r="A28" s="36" t="s">
        <v>124</v>
      </c>
      <c r="B28" s="44">
        <v>6.2</v>
      </c>
      <c r="D28" s="167" t="s">
        <v>215</v>
      </c>
      <c r="E28">
        <v>27</v>
      </c>
      <c r="F28">
        <v>3</v>
      </c>
      <c r="G28">
        <v>27</v>
      </c>
      <c r="H28" s="168" t="s">
        <v>215</v>
      </c>
    </row>
    <row r="29" spans="1:12" x14ac:dyDescent="0.15">
      <c r="A29" s="36" t="s">
        <v>44</v>
      </c>
      <c r="B29" s="44">
        <v>5</v>
      </c>
      <c r="D29" s="167" t="s">
        <v>216</v>
      </c>
      <c r="E29">
        <v>28</v>
      </c>
      <c r="F29">
        <v>3</v>
      </c>
      <c r="G29">
        <v>28</v>
      </c>
      <c r="H29" s="168" t="s">
        <v>216</v>
      </c>
    </row>
    <row r="30" spans="1:12" x14ac:dyDescent="0.15">
      <c r="A30" s="36" t="s">
        <v>73</v>
      </c>
      <c r="B30" s="44">
        <v>7</v>
      </c>
      <c r="D30" s="167" t="s">
        <v>217</v>
      </c>
      <c r="E30">
        <v>29</v>
      </c>
      <c r="F30">
        <v>3</v>
      </c>
      <c r="G30">
        <v>29</v>
      </c>
      <c r="H30" s="168" t="s">
        <v>217</v>
      </c>
    </row>
    <row r="31" spans="1:12" x14ac:dyDescent="0.15">
      <c r="A31" s="36" t="s">
        <v>169</v>
      </c>
      <c r="B31" s="44">
        <v>3.14</v>
      </c>
      <c r="D31" s="167" t="s">
        <v>218</v>
      </c>
      <c r="E31">
        <v>30</v>
      </c>
      <c r="F31">
        <v>3.12</v>
      </c>
      <c r="G31">
        <v>30</v>
      </c>
      <c r="H31" s="168" t="s">
        <v>218</v>
      </c>
    </row>
    <row r="32" spans="1:12" ht="12" customHeight="1" thickBot="1" x14ac:dyDescent="0.2">
      <c r="A32" s="42" t="s">
        <v>170</v>
      </c>
      <c r="B32" s="45">
        <v>9</v>
      </c>
      <c r="D32" s="167" t="s">
        <v>219</v>
      </c>
      <c r="E32">
        <v>31</v>
      </c>
      <c r="F32">
        <v>3.21</v>
      </c>
      <c r="G32">
        <v>31</v>
      </c>
      <c r="H32" s="168" t="s">
        <v>219</v>
      </c>
    </row>
    <row r="33" spans="4:8" customFormat="1" ht="12" customHeight="1" x14ac:dyDescent="0.15">
      <c r="D33" s="167" t="s">
        <v>220</v>
      </c>
      <c r="E33">
        <v>32</v>
      </c>
      <c r="F33">
        <v>3.21</v>
      </c>
      <c r="G33">
        <v>32</v>
      </c>
      <c r="H33" s="168" t="s">
        <v>220</v>
      </c>
    </row>
    <row r="34" spans="4:8" customFormat="1" ht="12" customHeight="1" x14ac:dyDescent="0.15">
      <c r="D34" s="167" t="s">
        <v>221</v>
      </c>
      <c r="E34">
        <v>33</v>
      </c>
      <c r="F34">
        <v>3.11</v>
      </c>
      <c r="G34">
        <v>33</v>
      </c>
      <c r="H34" s="168" t="s">
        <v>221</v>
      </c>
    </row>
    <row r="35" spans="4:8" customFormat="1" x14ac:dyDescent="0.15">
      <c r="D35" s="167" t="s">
        <v>222</v>
      </c>
      <c r="E35">
        <v>34</v>
      </c>
      <c r="F35">
        <v>3.11</v>
      </c>
      <c r="G35">
        <v>34</v>
      </c>
      <c r="H35" s="168" t="s">
        <v>222</v>
      </c>
    </row>
    <row r="36" spans="4:8" customFormat="1" x14ac:dyDescent="0.15">
      <c r="D36" s="167" t="s">
        <v>223</v>
      </c>
      <c r="E36">
        <v>35</v>
      </c>
      <c r="F36">
        <v>3.21</v>
      </c>
      <c r="G36">
        <v>35</v>
      </c>
      <c r="H36" s="168" t="s">
        <v>223</v>
      </c>
    </row>
    <row r="37" spans="4:8" customFormat="1" ht="12" customHeight="1" x14ac:dyDescent="0.15">
      <c r="D37" s="167" t="s">
        <v>224</v>
      </c>
      <c r="E37">
        <v>36</v>
      </c>
      <c r="F37">
        <v>3.13</v>
      </c>
      <c r="G37">
        <v>36</v>
      </c>
      <c r="H37" s="168" t="s">
        <v>224</v>
      </c>
    </row>
    <row r="38" spans="4:8" customFormat="1" x14ac:dyDescent="0.15">
      <c r="D38" s="167" t="s">
        <v>225</v>
      </c>
      <c r="E38">
        <v>37</v>
      </c>
      <c r="F38">
        <v>3.13</v>
      </c>
      <c r="G38">
        <v>37</v>
      </c>
      <c r="H38" s="168" t="s">
        <v>225</v>
      </c>
    </row>
    <row r="39" spans="4:8" customFormat="1" x14ac:dyDescent="0.15">
      <c r="D39" s="167" t="s">
        <v>226</v>
      </c>
      <c r="E39">
        <v>38</v>
      </c>
      <c r="F39">
        <v>3.13</v>
      </c>
      <c r="G39">
        <v>38</v>
      </c>
      <c r="H39" s="168" t="s">
        <v>226</v>
      </c>
    </row>
    <row r="40" spans="4:8" customFormat="1" x14ac:dyDescent="0.15">
      <c r="D40" s="167" t="s">
        <v>227</v>
      </c>
      <c r="E40">
        <v>39</v>
      </c>
      <c r="F40">
        <v>2</v>
      </c>
      <c r="G40">
        <v>39</v>
      </c>
      <c r="H40" s="168" t="s">
        <v>227</v>
      </c>
    </row>
    <row r="41" spans="4:8" customFormat="1" x14ac:dyDescent="0.15">
      <c r="D41" s="167" t="s">
        <v>228</v>
      </c>
      <c r="E41">
        <v>40</v>
      </c>
      <c r="F41">
        <v>4.0999999999999996</v>
      </c>
      <c r="G41">
        <v>40</v>
      </c>
      <c r="H41" s="168" t="s">
        <v>228</v>
      </c>
    </row>
    <row r="42" spans="4:8" customFormat="1" x14ac:dyDescent="0.15">
      <c r="D42" s="167" t="s">
        <v>229</v>
      </c>
      <c r="E42">
        <v>41</v>
      </c>
      <c r="F42">
        <v>4.3</v>
      </c>
      <c r="G42">
        <v>41</v>
      </c>
      <c r="H42" s="168" t="s">
        <v>229</v>
      </c>
    </row>
    <row r="43" spans="4:8" customFormat="1" x14ac:dyDescent="0.15">
      <c r="D43" s="167" t="s">
        <v>230</v>
      </c>
      <c r="E43">
        <v>42</v>
      </c>
      <c r="F43">
        <v>5</v>
      </c>
      <c r="G43">
        <v>42</v>
      </c>
      <c r="H43" s="168" t="s">
        <v>230</v>
      </c>
    </row>
    <row r="44" spans="4:8" customFormat="1" x14ac:dyDescent="0.15">
      <c r="D44" s="167" t="s">
        <v>231</v>
      </c>
      <c r="E44">
        <v>43</v>
      </c>
      <c r="F44">
        <v>5</v>
      </c>
      <c r="G44">
        <v>43</v>
      </c>
      <c r="H44" s="168" t="s">
        <v>231</v>
      </c>
    </row>
    <row r="45" spans="4:8" customFormat="1" x14ac:dyDescent="0.15">
      <c r="D45" s="167" t="s">
        <v>232</v>
      </c>
      <c r="E45">
        <v>44</v>
      </c>
      <c r="F45">
        <v>5</v>
      </c>
      <c r="G45">
        <v>44</v>
      </c>
      <c r="H45" s="168" t="s">
        <v>232</v>
      </c>
    </row>
    <row r="46" spans="4:8" customFormat="1" x14ac:dyDescent="0.15">
      <c r="D46" s="167" t="s">
        <v>233</v>
      </c>
      <c r="E46">
        <v>45</v>
      </c>
      <c r="F46">
        <v>5</v>
      </c>
      <c r="G46">
        <v>45</v>
      </c>
      <c r="H46" s="168" t="s">
        <v>233</v>
      </c>
    </row>
    <row r="47" spans="4:8" customFormat="1" x14ac:dyDescent="0.15">
      <c r="D47" s="167" t="s">
        <v>234</v>
      </c>
      <c r="E47">
        <v>46</v>
      </c>
      <c r="F47">
        <v>5</v>
      </c>
      <c r="G47">
        <v>46</v>
      </c>
      <c r="H47" s="168" t="s">
        <v>234</v>
      </c>
    </row>
    <row r="48" spans="4:8" customFormat="1" x14ac:dyDescent="0.15">
      <c r="D48" s="167" t="s">
        <v>138</v>
      </c>
      <c r="E48">
        <v>47</v>
      </c>
      <c r="F48">
        <v>6.1</v>
      </c>
      <c r="G48">
        <v>47</v>
      </c>
      <c r="H48" s="168" t="s">
        <v>138</v>
      </c>
    </row>
    <row r="49" spans="4:8" customFormat="1" x14ac:dyDescent="0.15">
      <c r="D49" s="167" t="s">
        <v>45</v>
      </c>
      <c r="E49">
        <v>48</v>
      </c>
      <c r="F49">
        <v>6.2</v>
      </c>
      <c r="G49">
        <v>48</v>
      </c>
      <c r="H49" s="168" t="s">
        <v>45</v>
      </c>
    </row>
    <row r="50" spans="4:8" customFormat="1" ht="12" customHeight="1" x14ac:dyDescent="0.15"/>
    <row r="51" spans="4:8" customFormat="1" x14ac:dyDescent="0.15"/>
    <row r="52" spans="4:8" customFormat="1" ht="12" customHeight="1" x14ac:dyDescent="0.15"/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5" bestFit="1" customWidth="1"/>
    <col min="2" max="2" width="5.83203125" style="84" customWidth="1"/>
    <col min="3" max="3" width="16.6640625" style="84" customWidth="1"/>
    <col min="4" max="4" width="39.6640625" style="84" customWidth="1"/>
    <col min="5" max="5" width="8.1640625" style="84" customWidth="1"/>
    <col min="6" max="6" width="34.3320312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7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11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11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169" t="s">
        <v>192</v>
      </c>
      <c r="G6" s="84">
        <v>0</v>
      </c>
      <c r="H6" s="84">
        <v>0</v>
      </c>
      <c r="I6" s="84">
        <v>0</v>
      </c>
      <c r="J6" s="84">
        <v>0</v>
      </c>
      <c r="K6" s="84">
        <v>1</v>
      </c>
      <c r="L6" s="84">
        <v>0</v>
      </c>
      <c r="M6" s="84">
        <v>1</v>
      </c>
      <c r="N6" s="84">
        <v>0</v>
      </c>
      <c r="O6" s="84">
        <v>1</v>
      </c>
      <c r="P6" s="73">
        <v>0</v>
      </c>
      <c r="Q6" s="84">
        <v>0</v>
      </c>
      <c r="R6" s="74">
        <v>1</v>
      </c>
      <c r="S6"/>
      <c r="T6"/>
    </row>
    <row r="7" spans="1:23" ht="15" customHeight="1" thickBot="1" x14ac:dyDescent="0.2">
      <c r="F7" s="169" t="s">
        <v>193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1</v>
      </c>
      <c r="C8" s="170" t="s">
        <v>227</v>
      </c>
      <c r="D8" s="88" t="s">
        <v>160</v>
      </c>
      <c r="F8" s="169" t="s">
        <v>194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5" t="s">
        <v>168</v>
      </c>
      <c r="B9" s="95"/>
      <c r="C9" s="83"/>
      <c r="D9" s="88" t="s">
        <v>160</v>
      </c>
      <c r="F9" s="169" t="s">
        <v>195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3">
        <v>0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169" t="s">
        <v>196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3">
        <v>0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169" t="s">
        <v>197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3">
        <v>0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169" t="s">
        <v>198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169" t="s">
        <v>199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169" t="s">
        <v>200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3">
        <v>0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169" t="s">
        <v>201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169" t="s">
        <v>202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169" t="s">
        <v>203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169" t="s">
        <v>204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1</v>
      </c>
      <c r="C19" s="171" t="s">
        <v>227</v>
      </c>
      <c r="D19" s="88" t="s">
        <v>160</v>
      </c>
      <c r="F19" s="169" t="s">
        <v>205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5" t="s">
        <v>168</v>
      </c>
      <c r="B20" s="95"/>
      <c r="C20" s="83"/>
      <c r="D20" s="88" t="s">
        <v>160</v>
      </c>
      <c r="F20" s="169" t="s">
        <v>206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169" t="s">
        <v>207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3">
        <v>0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169" t="s">
        <v>208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169" t="s">
        <v>209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169" t="s">
        <v>210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169" t="s">
        <v>211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169" t="s">
        <v>212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169" t="s">
        <v>213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169" t="s">
        <v>214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169" t="s">
        <v>215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3">
        <v>0</v>
      </c>
      <c r="Q29" s="84">
        <v>0</v>
      </c>
      <c r="R29" s="74">
        <v>1</v>
      </c>
      <c r="S29"/>
      <c r="T29"/>
    </row>
    <row r="30" spans="1:20" ht="15" customHeight="1" x14ac:dyDescent="0.15">
      <c r="F30" s="169" t="s">
        <v>216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3">
        <v>0</v>
      </c>
      <c r="Q30" s="84">
        <v>0</v>
      </c>
      <c r="R30" s="74">
        <v>1</v>
      </c>
      <c r="S30"/>
      <c r="T30"/>
    </row>
    <row r="31" spans="1:20" ht="15" customHeight="1" x14ac:dyDescent="0.15">
      <c r="A31" s="126"/>
      <c r="B31" s="137" t="s">
        <v>17</v>
      </c>
      <c r="C31" s="137" t="s">
        <v>1</v>
      </c>
      <c r="D31" s="137" t="s">
        <v>161</v>
      </c>
      <c r="E31" s="138" t="s">
        <v>163</v>
      </c>
      <c r="F31" s="169" t="s">
        <v>217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172" t="s">
        <v>227</v>
      </c>
      <c r="B32" s="96">
        <v>28.86</v>
      </c>
      <c r="C32" s="96">
        <v>93.1</v>
      </c>
      <c r="D32" s="96">
        <v>2686.866</v>
      </c>
      <c r="E32" s="128">
        <v>1</v>
      </c>
      <c r="F32" s="169" t="s">
        <v>218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3">
        <v>0</v>
      </c>
      <c r="Q32" s="84">
        <v>0</v>
      </c>
      <c r="R32" s="74">
        <v>1</v>
      </c>
      <c r="S32"/>
      <c r="T32"/>
    </row>
    <row r="33" spans="1:20" ht="15" customHeight="1" x14ac:dyDescent="0.15">
      <c r="A33" s="127"/>
      <c r="B33" s="96"/>
      <c r="C33" s="96"/>
      <c r="D33" s="96"/>
      <c r="E33" s="128"/>
      <c r="F33" s="169" t="s">
        <v>219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29"/>
      <c r="B34" s="96"/>
      <c r="C34" s="96"/>
      <c r="D34" s="96"/>
      <c r="E34" s="128"/>
      <c r="F34" s="169" t="s">
        <v>220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3">
        <v>0</v>
      </c>
      <c r="Q34" s="84">
        <v>0</v>
      </c>
      <c r="R34" s="74">
        <v>1</v>
      </c>
      <c r="S34"/>
      <c r="T34"/>
    </row>
    <row r="35" spans="1:20" ht="15" customHeight="1" x14ac:dyDescent="0.15">
      <c r="A35" s="130"/>
      <c r="B35" s="96"/>
      <c r="C35" s="96"/>
      <c r="D35" s="96"/>
      <c r="E35" s="128"/>
      <c r="F35" s="169" t="s">
        <v>221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1"/>
      <c r="B36" s="96"/>
      <c r="C36" s="96"/>
      <c r="D36" s="96"/>
      <c r="E36" s="128"/>
      <c r="F36" s="169" t="s">
        <v>222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1"/>
      <c r="B37" s="96"/>
      <c r="C37" s="96"/>
      <c r="D37" s="96"/>
      <c r="E37" s="128"/>
      <c r="F37" s="169" t="s">
        <v>223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2"/>
      <c r="B38" s="96"/>
      <c r="C38" s="96"/>
      <c r="D38" s="96"/>
      <c r="E38" s="128"/>
      <c r="F38" s="169" t="s">
        <v>224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3">
        <v>0</v>
      </c>
      <c r="Q38" s="84">
        <v>0</v>
      </c>
      <c r="R38" s="74">
        <v>1</v>
      </c>
      <c r="S38"/>
      <c r="T38"/>
    </row>
    <row r="39" spans="1:20" ht="15" customHeight="1" x14ac:dyDescent="0.15">
      <c r="A39" s="132"/>
      <c r="B39" s="96"/>
      <c r="C39" s="96"/>
      <c r="D39" s="96"/>
      <c r="E39" s="128"/>
      <c r="F39" s="169" t="s">
        <v>225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3">
        <v>0</v>
      </c>
      <c r="Q39" s="84">
        <v>0</v>
      </c>
      <c r="R39" s="74">
        <v>1</v>
      </c>
      <c r="S39"/>
      <c r="T39"/>
    </row>
    <row r="40" spans="1:20" ht="15" customHeight="1" x14ac:dyDescent="0.15">
      <c r="A40" s="132"/>
      <c r="B40" s="96"/>
      <c r="C40" s="96"/>
      <c r="D40" s="96"/>
      <c r="E40" s="128"/>
      <c r="F40" s="169" t="s">
        <v>226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3">
        <v>0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2"/>
      <c r="B41" s="96"/>
      <c r="C41" s="96"/>
      <c r="D41" s="97"/>
      <c r="E41" s="133"/>
      <c r="F41" s="169" t="s">
        <v>227</v>
      </c>
      <c r="G41" s="84">
        <v>0</v>
      </c>
      <c r="H41" s="84">
        <v>0</v>
      </c>
      <c r="I41" s="84">
        <v>0</v>
      </c>
      <c r="J41" s="84">
        <v>0</v>
      </c>
      <c r="K41" s="84">
        <v>0</v>
      </c>
      <c r="L41" s="84">
        <v>0</v>
      </c>
      <c r="M41" s="84">
        <v>1</v>
      </c>
      <c r="N41" s="84">
        <v>0</v>
      </c>
      <c r="O41" s="84">
        <v>0</v>
      </c>
      <c r="P41" s="73">
        <v>0</v>
      </c>
      <c r="Q41" s="84">
        <v>0</v>
      </c>
      <c r="R41" s="74">
        <v>1</v>
      </c>
      <c r="S41"/>
      <c r="T41"/>
    </row>
    <row r="42" spans="1:20" ht="15" customHeight="1" x14ac:dyDescent="0.15">
      <c r="A42" s="134"/>
      <c r="B42" s="135"/>
      <c r="C42" s="135" t="s">
        <v>162</v>
      </c>
      <c r="D42" s="135">
        <f>SUM(D32:D41)</f>
        <v>2686.866</v>
      </c>
      <c r="E42" s="136">
        <f>SUM(E32:E41)</f>
        <v>1</v>
      </c>
      <c r="F42" s="169" t="s">
        <v>228</v>
      </c>
      <c r="G42" s="84">
        <v>0</v>
      </c>
      <c r="H42" s="84">
        <v>0</v>
      </c>
      <c r="I42" s="84">
        <v>0</v>
      </c>
      <c r="J42" s="84">
        <v>0</v>
      </c>
      <c r="K42" s="84">
        <v>0</v>
      </c>
      <c r="L42" s="84">
        <v>1</v>
      </c>
      <c r="M42" s="84">
        <v>0</v>
      </c>
      <c r="N42" s="84">
        <v>1</v>
      </c>
      <c r="O42" s="84">
        <v>0</v>
      </c>
      <c r="P42" s="73">
        <v>1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169" t="s">
        <v>229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1</v>
      </c>
      <c r="M43" s="84">
        <v>0</v>
      </c>
      <c r="N43" s="84">
        <v>1</v>
      </c>
      <c r="O43" s="84">
        <v>0</v>
      </c>
      <c r="P43" s="73">
        <v>1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169" t="s">
        <v>230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1</v>
      </c>
      <c r="M44" s="84">
        <v>0</v>
      </c>
      <c r="N44" s="84">
        <v>0</v>
      </c>
      <c r="O44" s="84">
        <v>0</v>
      </c>
      <c r="P44" s="73">
        <v>0</v>
      </c>
      <c r="Q44" s="84">
        <v>0</v>
      </c>
      <c r="R44" s="74">
        <v>1</v>
      </c>
    </row>
    <row r="45" spans="1:20" ht="15" customHeight="1" x14ac:dyDescent="0.15">
      <c r="A45" s="84"/>
      <c r="F45" s="169" t="s">
        <v>231</v>
      </c>
      <c r="G45" s="84">
        <v>0</v>
      </c>
      <c r="H45" s="84">
        <v>0</v>
      </c>
      <c r="I45" s="84">
        <v>0</v>
      </c>
      <c r="J45" s="84">
        <v>0</v>
      </c>
      <c r="K45" s="84">
        <v>0</v>
      </c>
      <c r="L45" s="84">
        <v>1</v>
      </c>
      <c r="M45" s="84">
        <v>0</v>
      </c>
      <c r="N45" s="84">
        <v>0</v>
      </c>
      <c r="O45" s="84">
        <v>0</v>
      </c>
      <c r="P45" s="73">
        <v>0</v>
      </c>
      <c r="Q45" s="84">
        <v>0</v>
      </c>
      <c r="R45" s="74">
        <v>1</v>
      </c>
    </row>
    <row r="46" spans="1:20" ht="15" customHeight="1" x14ac:dyDescent="0.15">
      <c r="A46" s="84"/>
      <c r="F46" s="169" t="s">
        <v>232</v>
      </c>
      <c r="G46" s="84">
        <v>0</v>
      </c>
      <c r="H46" s="84">
        <v>0</v>
      </c>
      <c r="I46" s="84">
        <v>0</v>
      </c>
      <c r="J46" s="84">
        <v>0</v>
      </c>
      <c r="K46" s="84">
        <v>0</v>
      </c>
      <c r="L46" s="84">
        <v>1</v>
      </c>
      <c r="M46" s="84">
        <v>0</v>
      </c>
      <c r="N46" s="84">
        <v>0</v>
      </c>
      <c r="O46" s="84">
        <v>0</v>
      </c>
      <c r="P46" s="73">
        <v>0</v>
      </c>
      <c r="Q46" s="84">
        <v>0</v>
      </c>
      <c r="R46" s="74">
        <v>1</v>
      </c>
    </row>
    <row r="47" spans="1:20" ht="15" customHeight="1" x14ac:dyDescent="0.15">
      <c r="A47" s="84"/>
      <c r="F47" s="169" t="s">
        <v>233</v>
      </c>
      <c r="G47" s="84">
        <v>0</v>
      </c>
      <c r="H47" s="84">
        <v>0</v>
      </c>
      <c r="I47" s="84">
        <v>0</v>
      </c>
      <c r="J47" s="84">
        <v>0</v>
      </c>
      <c r="K47" s="84">
        <v>0</v>
      </c>
      <c r="L47" s="84">
        <v>1</v>
      </c>
      <c r="M47" s="84">
        <v>0</v>
      </c>
      <c r="N47" s="84">
        <v>0</v>
      </c>
      <c r="O47" s="84">
        <v>0</v>
      </c>
      <c r="P47" s="73">
        <v>0</v>
      </c>
      <c r="Q47" s="84">
        <v>0</v>
      </c>
      <c r="R47" s="74">
        <v>1</v>
      </c>
    </row>
    <row r="48" spans="1:20" ht="15" customHeight="1" x14ac:dyDescent="0.15">
      <c r="A48" s="84"/>
      <c r="F48" s="169" t="s">
        <v>234</v>
      </c>
      <c r="G48" s="84">
        <v>0</v>
      </c>
      <c r="H48" s="84">
        <v>0</v>
      </c>
      <c r="I48" s="84">
        <v>0</v>
      </c>
      <c r="J48" s="84">
        <v>0</v>
      </c>
      <c r="K48" s="84">
        <v>0</v>
      </c>
      <c r="L48" s="84">
        <v>1</v>
      </c>
      <c r="M48" s="84">
        <v>0</v>
      </c>
      <c r="N48" s="84">
        <v>0</v>
      </c>
      <c r="O48" s="84">
        <v>0</v>
      </c>
      <c r="P48" s="73">
        <v>0</v>
      </c>
      <c r="Q48" s="84">
        <v>0</v>
      </c>
      <c r="R48" s="74">
        <v>1</v>
      </c>
    </row>
    <row r="49" spans="6:18" s="8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Y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4.33203125" bestFit="1" customWidth="1"/>
    <col min="2" max="2" width="2.33203125" style="111" customWidth="1"/>
    <col min="3" max="5" width="7.83203125" style="111" customWidth="1"/>
    <col min="6" max="8" width="8.83203125" style="6"/>
    <col min="9" max="9" width="15.1640625" style="6" customWidth="1"/>
    <col min="10" max="10" width="17.1640625" style="6" customWidth="1"/>
    <col min="11" max="11" width="15.33203125" style="6" customWidth="1"/>
    <col min="12" max="12" width="17.5" style="6" customWidth="1"/>
    <col min="13" max="13" width="12.5" style="6" customWidth="1"/>
    <col min="14" max="14" width="14.5" style="6" customWidth="1"/>
    <col min="15" max="15" width="8.33203125" style="6" customWidth="1"/>
    <col min="16" max="16" width="22.1640625" style="6" customWidth="1"/>
    <col min="17" max="17" width="21.6640625" style="6" customWidth="1"/>
    <col min="18" max="18" width="7.5" style="6" customWidth="1"/>
    <col min="19" max="19" width="28.6640625" style="6" customWidth="1"/>
    <col min="20" max="20" width="28.33203125" style="6" customWidth="1"/>
    <col min="21" max="21" width="14.33203125" style="6" customWidth="1"/>
    <col min="22" max="22" width="34.33203125" style="6" customWidth="1"/>
    <col min="23" max="23" width="26.33203125" style="6" customWidth="1"/>
    <col min="24" max="24" width="14.5" style="6" customWidth="1"/>
    <col min="25" max="25" width="29.5" style="6" customWidth="1"/>
    <col min="26" max="26" width="29.1640625" style="6" customWidth="1"/>
    <col min="27" max="27" width="12" style="6" customWidth="1"/>
    <col min="28" max="28" width="12.5" style="6" customWidth="1"/>
    <col min="29" max="29" width="12.33203125" style="6" customWidth="1"/>
    <col min="30" max="30" width="12.1640625" style="6" customWidth="1"/>
    <col min="31" max="31" width="6.1640625" style="6" customWidth="1"/>
    <col min="32" max="32" width="14.83203125" style="6" customWidth="1"/>
    <col min="33" max="33" width="7.33203125" style="6" customWidth="1"/>
    <col min="34" max="34" width="8.6640625" style="6" customWidth="1"/>
    <col min="35" max="35" width="12" style="6" customWidth="1"/>
    <col min="36" max="36" width="12.1640625" style="6" customWidth="1"/>
    <col min="37" max="37" width="17.83203125" style="6" customWidth="1"/>
    <col min="38" max="38" width="16.5" style="6" customWidth="1"/>
    <col min="39" max="39" width="16.5" customWidth="1"/>
    <col min="40" max="40" width="14" customWidth="1"/>
    <col min="41" max="41" width="5.5" customWidth="1"/>
    <col min="42" max="42" width="17.33203125" customWidth="1"/>
    <col min="43" max="43" width="13.83203125" customWidth="1"/>
    <col min="44" max="44" width="16.6640625" customWidth="1"/>
    <col min="45" max="45" width="7.6640625" customWidth="1"/>
    <col min="46" max="46" width="21.6640625" customWidth="1"/>
    <col min="47" max="47" width="18" customWidth="1"/>
    <col min="48" max="48" width="18.1640625" customWidth="1"/>
    <col min="49" max="49" width="12" customWidth="1"/>
    <col min="50" max="50" width="20.83203125" customWidth="1"/>
    <col min="51" max="51" width="32.83203125" customWidth="1"/>
    <col min="81" max="81" width="22.1640625" bestFit="1" customWidth="1"/>
  </cols>
  <sheetData>
    <row r="1" spans="1:51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74" t="s">
        <v>192</v>
      </c>
      <c r="J1" s="174" t="s">
        <v>193</v>
      </c>
      <c r="K1" s="174" t="s">
        <v>194</v>
      </c>
      <c r="L1" s="174" t="s">
        <v>195</v>
      </c>
      <c r="M1" s="174" t="s">
        <v>196</v>
      </c>
      <c r="N1" s="174" t="s">
        <v>197</v>
      </c>
      <c r="O1" s="174" t="s">
        <v>198</v>
      </c>
      <c r="P1" s="174" t="s">
        <v>199</v>
      </c>
      <c r="Q1" s="174" t="s">
        <v>200</v>
      </c>
      <c r="R1" s="174" t="s">
        <v>201</v>
      </c>
      <c r="S1" s="174" t="s">
        <v>202</v>
      </c>
      <c r="T1" s="174" t="s">
        <v>203</v>
      </c>
      <c r="U1" s="174" t="s">
        <v>204</v>
      </c>
      <c r="V1" s="174" t="s">
        <v>205</v>
      </c>
      <c r="W1" s="174" t="s">
        <v>206</v>
      </c>
      <c r="X1" s="174" t="s">
        <v>207</v>
      </c>
      <c r="Y1" s="174" t="s">
        <v>208</v>
      </c>
      <c r="Z1" s="174" t="s">
        <v>209</v>
      </c>
      <c r="AA1" s="174" t="s">
        <v>210</v>
      </c>
      <c r="AB1" s="174" t="s">
        <v>211</v>
      </c>
      <c r="AC1" s="174" t="s">
        <v>212</v>
      </c>
      <c r="AD1" s="174" t="s">
        <v>213</v>
      </c>
      <c r="AE1" s="174" t="s">
        <v>214</v>
      </c>
      <c r="AF1" s="174" t="s">
        <v>215</v>
      </c>
      <c r="AG1" s="174" t="s">
        <v>216</v>
      </c>
      <c r="AH1" s="174" t="s">
        <v>217</v>
      </c>
      <c r="AI1" s="174" t="s">
        <v>218</v>
      </c>
      <c r="AJ1" s="174" t="s">
        <v>219</v>
      </c>
      <c r="AK1" s="174" t="s">
        <v>220</v>
      </c>
      <c r="AL1" s="174" t="s">
        <v>221</v>
      </c>
      <c r="AM1" s="174" t="s">
        <v>222</v>
      </c>
      <c r="AN1" s="174" t="s">
        <v>223</v>
      </c>
      <c r="AO1" s="174" t="s">
        <v>224</v>
      </c>
      <c r="AP1" s="174" t="s">
        <v>225</v>
      </c>
      <c r="AQ1" s="174" t="s">
        <v>226</v>
      </c>
      <c r="AR1" s="174" t="s">
        <v>227</v>
      </c>
      <c r="AS1" s="174" t="s">
        <v>228</v>
      </c>
      <c r="AT1" s="174" t="s">
        <v>229</v>
      </c>
      <c r="AU1" s="174" t="s">
        <v>230</v>
      </c>
      <c r="AV1" s="174" t="s">
        <v>231</v>
      </c>
      <c r="AW1" s="174" t="s">
        <v>232</v>
      </c>
      <c r="AX1" s="174" t="s">
        <v>233</v>
      </c>
      <c r="AY1" s="174" t="s">
        <v>234</v>
      </c>
    </row>
    <row r="2" spans="1:51" x14ac:dyDescent="0.15">
      <c r="A2" t="s">
        <v>38</v>
      </c>
      <c r="B2" s="11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1" x14ac:dyDescent="0.15">
      <c r="A3" t="s">
        <v>40</v>
      </c>
      <c r="B3" s="11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1" x14ac:dyDescent="0.15">
      <c r="A4" t="s">
        <v>41</v>
      </c>
      <c r="B4" s="11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1" x14ac:dyDescent="0.15">
      <c r="A5" s="173" t="s">
        <v>192</v>
      </c>
      <c r="B5" s="11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1" x14ac:dyDescent="0.15">
      <c r="A6" s="173" t="s">
        <v>193</v>
      </c>
      <c r="B6" s="11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1" x14ac:dyDescent="0.15">
      <c r="A7" s="173" t="s">
        <v>194</v>
      </c>
      <c r="B7" s="11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1" x14ac:dyDescent="0.15">
      <c r="A8" s="173" t="s">
        <v>195</v>
      </c>
      <c r="B8" s="11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1" x14ac:dyDescent="0.15">
      <c r="A9" s="173" t="s">
        <v>196</v>
      </c>
      <c r="B9" s="11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1" x14ac:dyDescent="0.15">
      <c r="A10" s="173" t="s">
        <v>197</v>
      </c>
      <c r="B10" s="11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1" x14ac:dyDescent="0.15">
      <c r="A11" s="173" t="s">
        <v>198</v>
      </c>
      <c r="B11" s="11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1" x14ac:dyDescent="0.15">
      <c r="A12" s="173" t="s">
        <v>199</v>
      </c>
      <c r="B12" s="11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1" x14ac:dyDescent="0.15">
      <c r="A13" s="173" t="s">
        <v>200</v>
      </c>
      <c r="B13" s="11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1" x14ac:dyDescent="0.15">
      <c r="A14" s="173" t="s">
        <v>201</v>
      </c>
      <c r="B14" s="11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1" x14ac:dyDescent="0.15">
      <c r="A15" s="173" t="s">
        <v>202</v>
      </c>
      <c r="B15" s="11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1" x14ac:dyDescent="0.15">
      <c r="A16" s="173" t="s">
        <v>203</v>
      </c>
      <c r="B16" s="11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3" t="s">
        <v>204</v>
      </c>
      <c r="B17" s="11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3" t="s">
        <v>205</v>
      </c>
      <c r="B18" s="11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3" t="s">
        <v>206</v>
      </c>
      <c r="B19" s="11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3" t="s">
        <v>207</v>
      </c>
      <c r="B20" s="11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3" t="s">
        <v>208</v>
      </c>
      <c r="B21" s="11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3" t="s">
        <v>209</v>
      </c>
      <c r="B22" s="11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3" t="s">
        <v>210</v>
      </c>
      <c r="B23" s="11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3" t="s">
        <v>211</v>
      </c>
      <c r="B24" s="11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3" t="s">
        <v>212</v>
      </c>
      <c r="B25" s="11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3" t="s">
        <v>213</v>
      </c>
      <c r="B26" s="11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3" t="s">
        <v>214</v>
      </c>
      <c r="B27" s="11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73" t="s">
        <v>215</v>
      </c>
      <c r="B28" s="11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73" t="s">
        <v>216</v>
      </c>
      <c r="B29" s="11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73" t="s">
        <v>217</v>
      </c>
      <c r="B30" s="11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73" t="s">
        <v>218</v>
      </c>
      <c r="B31" s="111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73" t="s">
        <v>219</v>
      </c>
      <c r="B32" s="111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73" t="s">
        <v>220</v>
      </c>
      <c r="B33" s="111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73" t="s">
        <v>221</v>
      </c>
      <c r="B34" s="111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73" t="s">
        <v>222</v>
      </c>
      <c r="B35" s="111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73" t="s">
        <v>223</v>
      </c>
      <c r="B36" s="111">
        <v>0</v>
      </c>
      <c r="C36"/>
      <c r="D36"/>
    </row>
    <row r="37" spans="1:38" ht="15" customHeight="1" x14ac:dyDescent="0.15">
      <c r="A37" s="173" t="s">
        <v>224</v>
      </c>
      <c r="B37" s="111">
        <v>0</v>
      </c>
      <c r="C37"/>
      <c r="D37"/>
    </row>
    <row r="38" spans="1:38" ht="15" customHeight="1" x14ac:dyDescent="0.15">
      <c r="A38" s="173" t="s">
        <v>225</v>
      </c>
      <c r="B38" s="111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73" t="s">
        <v>226</v>
      </c>
      <c r="B39" s="111">
        <v>0</v>
      </c>
      <c r="C39"/>
      <c r="D39"/>
    </row>
    <row r="40" spans="1:38" ht="15" customHeight="1" x14ac:dyDescent="0.15">
      <c r="A40" s="173" t="s">
        <v>227</v>
      </c>
      <c r="B40" s="111">
        <v>0</v>
      </c>
      <c r="C40"/>
      <c r="D40"/>
    </row>
    <row r="41" spans="1:38" ht="15" customHeight="1" x14ac:dyDescent="0.15">
      <c r="A41" s="173" t="s">
        <v>228</v>
      </c>
      <c r="B41" s="111">
        <v>0</v>
      </c>
      <c r="C41"/>
      <c r="D41"/>
    </row>
    <row r="42" spans="1:38" ht="15" customHeight="1" x14ac:dyDescent="0.15">
      <c r="A42" s="173" t="s">
        <v>229</v>
      </c>
      <c r="B42" s="111">
        <v>0</v>
      </c>
    </row>
    <row r="43" spans="1:38" ht="15" customHeight="1" x14ac:dyDescent="0.15">
      <c r="A43" s="173" t="s">
        <v>230</v>
      </c>
      <c r="B43" s="111">
        <v>0</v>
      </c>
    </row>
    <row r="44" spans="1:38" ht="15" customHeight="1" x14ac:dyDescent="0.15">
      <c r="A44" s="173" t="s">
        <v>231</v>
      </c>
      <c r="B44" s="111">
        <v>0</v>
      </c>
    </row>
    <row r="45" spans="1:38" ht="15" customHeight="1" x14ac:dyDescent="0.15">
      <c r="A45" s="173" t="s">
        <v>232</v>
      </c>
      <c r="B45" s="111">
        <v>0</v>
      </c>
    </row>
    <row r="46" spans="1:38" ht="15" customHeight="1" x14ac:dyDescent="0.15">
      <c r="A46" s="173" t="s">
        <v>233</v>
      </c>
      <c r="B46" s="111">
        <v>0</v>
      </c>
    </row>
    <row r="47" spans="1:38" ht="15" customHeight="1" x14ac:dyDescent="0.15">
      <c r="A47" s="173" t="s">
        <v>234</v>
      </c>
      <c r="B47" s="111">
        <v>0</v>
      </c>
    </row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2022-10-24T04:41:55Z</dcterms:modified>
</cp:coreProperties>
</file>