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5684F1B3-73E8-594E-914D-C249AAC99F92}" xr6:coauthVersionLast="45" xr6:coauthVersionMax="45" xr10:uidLastSave="{00000000-0000-0000-0000-000000000000}"/>
  <bookViews>
    <workbookView xWindow="0" yWindow="460" windowWidth="25600" windowHeight="14240" tabRatio="728" firstSheet="1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Main!$C$2:$N$48</definedName>
    <definedName name="matDetritus">Detritus!$C$2:$F$48</definedName>
    <definedName name="matDiet">Diets!$B$2:$AM$43</definedName>
    <definedName name="matDiscards">Discards!$C$2:$H$42</definedName>
    <definedName name="matFishery">Fishing!$C$2:$H$42</definedName>
    <definedName name="matFishing">Fishing!#REF!</definedName>
    <definedName name="matMort">Mortalities!$A$1:$AX$42</definedName>
    <definedName name="matOut">MainOutputs!$A$2:$I$48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<sst xmlns="http://schemas.openxmlformats.org/spreadsheetml/2006/main" count="1231" uniqueCount="249">
  <si>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</si>
  <si>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</si>
  <si>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</si>
  <si>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</si>
  <si>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</si>
  <si>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</si>
  <si>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</si>
  <si>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</si>
  <si>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</si>
  <si>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</si>
  <si>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</si>
  <si>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</si>
  <si>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</si>
  <si>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</si>
  <si>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</si>
  <si>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</si>
  <si>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</si>
  <si>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</si>
  <si>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</si>
  <si>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</si>
  <si>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</si>
  <si>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</si>
  <si>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</si>
  <si>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</si>
  <si>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</si>
  <si>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</si>
  <si>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</si>
  <si>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</si>
  <si>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</si>
  <si>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</si>
  <si>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</si>
  <si>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</si>
  <si>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</si>
  <si>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</si>
  <si>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</si>
  <si>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</si>
  <si>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</si>
  <si>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</si>
  <si>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</si>
  <si>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</si>
  <si>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</si>
  <si>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</si>
  <si>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</si>
  <si>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</si>
  <si>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</si>
  <si>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</si>
  <si>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</si>
  <si>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</si>
  <si>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</si>
  <si>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</si>
  <si>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</si>
  <si>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</si>
  <si>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</si>
  <si>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</si>
  <si>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</si>
  <si>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</si>
  <si>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</si>
  <si>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</si>
  <si>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</si>
  <si>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</si>
  <si>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</si>
  <si>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</si>
  <si>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</si>
  <si>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</si>
  <si>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</si>
  <si>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</si>
  <si>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</si>
  <si>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</si>
  <si>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</si>
  <si>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</si>
  <si>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</si>
  <si>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</si>
  <si>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</si>
  <si>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</si>
  <si>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</si>
  <si>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</si>
  <si>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</si>
  <si>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</si>
  <si>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</si>
  <si>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</si>
  <si>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</si>
  <si>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</si>
  <si>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</si>
  <si>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</si>
  <si>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</si>
  <si>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</si>
  <si>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</si>
  <si>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</si>
  <si>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</si>
  <si>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</si>
  <si>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</si>
  <si>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</si>
  <si>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</si>
  <si>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</si>
  <si>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</si>
  <si>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</si>
  <si>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</si>
  <si>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</si>
  <si>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</si>
  <si>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</si>
  <si>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</si>
  <si>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</si>
  <si>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</si>
  <si>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</si>
  <si>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</si>
  <si>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</si>
  <si>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</si>
  <si>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</si>
  <si>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</si>
  <si>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</si>
  <si>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</si>
  <si>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</si>
  <si>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</si>
  <si>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</si>
  <si>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</si>
  <si>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</si>
  <si>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</si>
  <si>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</si>
  <si>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</si>
  <si>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</si>
  <si>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</si>
  <si>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</si>
  <si>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</si>
  <si>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</si>
  <si>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</si>
  <si>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</si>
  <si>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</si>
  <si>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</si>
  <si>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</si>
  <si>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</si>
  <si>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</si>
  <si>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</si>
  <si>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</si>
  <si>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</si>
  <si>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</si>
  <si>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</si>
  <si>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</si>
  <si>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</si>
  <si>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</si>
  <si>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</si>
  <si>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</si>
  <si>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</si>
  <si>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</si>
  <si>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</si>
  <si>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</si>
  <si>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</si>
  <si>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</si>
  <si>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</si>
  <si>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</si>
  <si>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</si>
  <si>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</si>
  <si>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</si>
  <si>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</si>
  <si>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</si>
  <si>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</si>
  <si>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</si>
  <si>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</si>
  <si>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</si>
  <si>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</si>
  <si>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</si>
  <si>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</si>
  <si>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</si>
  <si>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</si>
  <si>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</si>
  <si>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</si>
  <si>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</si>
  <si>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</si>
  <si>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</si>
  <si>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</si>
  <si>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</si>
  <si>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</si>
  <si>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</si>
  <si>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</si>
  <si>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</si>
  <si>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</si>
  <si>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</si>
  <si>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</si>
  <si>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</si>
  <si>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</si>
  <si>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</si>
  <si>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</si>
  <si>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</si>
  <si>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</si>
  <si>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</si>
  <si>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</si>
  <si>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Low Barents sea</t>
  </si>
  <si>
    <t>Russian Federation</t>
  </si>
  <si>
    <t>BOX(10 68,60 85)</t>
  </si>
  <si>
    <t>continental shelf</t>
  </si>
  <si>
    <t>WetWeight</t>
  </si>
  <si>
    <t>; 20/04/2006 12:19:35 a.m.; 20/04/2006 12:22:14 a.m.; 18/07/2006 11:22:24 p.m.; 8/16/2006 3:01:39 PM; 8/16/2006 3:07:41 PM</t>
  </si>
  <si>
    <t>Blanchard J.L.,Pinnegar J.K.,Mackinson S.(2002). Exploring Marine Mammal-Fishery Interactions Using 'Ecopath with Ecosim': Modelling the Barents Sea Ecosystem Science Series Technical Report</t>
  </si>
  <si>
    <t>Toothed whales</t>
  </si>
  <si>
    <t>Sharks</t>
  </si>
  <si>
    <t>Seals</t>
  </si>
  <si>
    <t>Birds</t>
  </si>
  <si>
    <t>Adult saithe</t>
  </si>
  <si>
    <t>Benthic piscivores</t>
  </si>
  <si>
    <t>Adult cod (4+)</t>
  </si>
  <si>
    <t>Minke</t>
  </si>
  <si>
    <t>Other baleen whales</t>
  </si>
  <si>
    <t>Juvenile saithe</t>
  </si>
  <si>
    <t>Salmon and Seatrout</t>
  </si>
  <si>
    <t>Mackerel/Horse Mackerel</t>
  </si>
  <si>
    <t>Juvenile cod (1-3)</t>
  </si>
  <si>
    <t>Wolfishes</t>
  </si>
  <si>
    <t>Adult haddock (4+)</t>
  </si>
  <si>
    <t>Juvenile haddock (1-3)</t>
  </si>
  <si>
    <t>Polar cod (1+)</t>
  </si>
  <si>
    <t>Redfishes</t>
  </si>
  <si>
    <t>Adult capelin (2+)</t>
  </si>
  <si>
    <t>Squid</t>
  </si>
  <si>
    <t>Benthic Invertebrate Feeders 1 (BIF1)</t>
  </si>
  <si>
    <t>Lobsters  crabs</t>
  </si>
  <si>
    <t>Pelagic planktivorous fish</t>
  </si>
  <si>
    <t>Adult herring (4+)</t>
  </si>
  <si>
    <t>Juvenile capelin (1)</t>
  </si>
  <si>
    <t>Juvenile herring (1-3)</t>
  </si>
  <si>
    <t>Other macrobenthos</t>
  </si>
  <si>
    <t>Carnivorous zooplankton</t>
  </si>
  <si>
    <t>Epifaunal filter feeders</t>
  </si>
  <si>
    <t>Other crustaceans</t>
  </si>
  <si>
    <t>Prawns &amp;amp; shrimps</t>
  </si>
  <si>
    <t>Infaunal filter feeders</t>
  </si>
  <si>
    <t>Meiofauna</t>
  </si>
  <si>
    <t>Herbivorous zooplankton</t>
  </si>
  <si>
    <t>Planktonic micro-organisms</t>
  </si>
  <si>
    <t>Benthic micro-organisms</t>
  </si>
  <si>
    <t>Phytoplankton</t>
  </si>
  <si>
    <t>Seaweeds and algae</t>
  </si>
  <si>
    <t>Dead carcasses</t>
  </si>
  <si>
    <t>Water column detritus</t>
  </si>
  <si>
    <t>Benthic detritus</t>
  </si>
  <si>
    <t>Whalers</t>
  </si>
  <si>
    <t>Seal bashers</t>
  </si>
  <si>
    <t>Pelagic gear</t>
  </si>
  <si>
    <t>Demersal trawlers</t>
  </si>
  <si>
    <t>Invertebrate fisheries</t>
  </si>
  <si>
    <t>Shrimp trawlers</t>
  </si>
  <si>
    <t>Import</t>
  </si>
  <si>
    <t>export</t>
  </si>
  <si>
    <t>sum</t>
  </si>
  <si>
    <t>TOTAL</t>
  </si>
  <si>
    <t>F Whalers</t>
  </si>
  <si>
    <t>F Seal bashers</t>
  </si>
  <si>
    <t>F Pelagic gear</t>
  </si>
  <si>
    <t>F Demersal trawlers</t>
  </si>
  <si>
    <t>F Invertebrate fisheries</t>
  </si>
  <si>
    <t>F Shrimp trawlers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</si>
</sst>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75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C1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2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17C166"/>
        <bgColor indexed="64"/>
      </patternFill>
    </fill>
    <fill>
      <patternFill patternType="solid">
        <fgColor rgb="FF95FF00"/>
        <bgColor indexed="64"/>
      </patternFill>
    </fill>
    <fill>
      <patternFill patternType="solid">
        <fgColor rgb="FF7EFF00"/>
        <bgColor indexed="64"/>
      </patternFill>
    </fill>
    <fill>
      <patternFill patternType="solid">
        <fgColor rgb="FF77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FB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96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A3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8A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A4FF00"/>
        <bgColor indexed="64"/>
      </patternFill>
    </fill>
    <fill>
      <patternFill patternType="solid">
        <fgColor rgb="FFFF90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6FFF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FFEE00"/>
        <bgColor indexed="64"/>
      </patternFill>
    </fill>
    <fill>
      <patternFill patternType="solid">
        <fgColor rgb="FF7DFF00"/>
        <bgColor indexed="64"/>
      </patternFill>
    </fill>
    <fill>
      <patternFill patternType="solid">
        <fgColor rgb="FF7B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89FF00"/>
        <bgColor indexed="64"/>
      </patternFill>
    </fill>
    <fill>
      <patternFill patternType="solid">
        <fgColor rgb="FFCD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AC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8CFF00"/>
        <bgColor indexed="64"/>
      </patternFill>
    </fill>
    <fill>
      <patternFill patternType="solid">
        <fgColor rgb="FF8E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FF8A00"/>
        <bgColor indexed="64"/>
      </patternFill>
    </fill>
    <fill>
      <patternFill patternType="solid">
        <fgColor rgb="FF87FF00"/>
        <bgColor indexed="64"/>
      </patternFill>
    </fill>
    <fill>
      <patternFill patternType="solid">
        <fgColor rgb="FFFF590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8FFF00"/>
        <bgColor indexed="64"/>
      </patternFill>
    </fill>
    <fill>
      <patternFill patternType="solid">
        <fgColor rgb="FFB8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FFF500"/>
        <bgColor indexed="64"/>
      </patternFill>
    </fill>
    <fill>
      <patternFill patternType="solid">
        <fgColor rgb="FF86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A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F9FF00"/>
        <bgColor indexed="64"/>
      </patternFill>
    </fill>
    <fill>
      <patternFill patternType="solid">
        <fgColor rgb="FFC5FF00"/>
        <bgColor indexed="64"/>
      </patternFill>
    </fill>
    <fill>
      <patternFill patternType="solid">
        <fgColor rgb="FFD5FF00"/>
        <bgColor indexed="64"/>
      </patternFill>
    </fill>
    <fill>
      <patternFill patternType="solid">
        <fgColor rgb="FFF2FF00"/>
        <bgColor indexed="64"/>
      </patternFill>
    </fill>
    <fill>
      <patternFill patternType="solid">
        <fgColor rgb="FFFFA2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97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1" fillId="0" borderId="0" xfId="0" applyFont="1" applyAlignment="1">
      <alignment horizontal="center"/>
    </xf>
    <xf numFmtId="0" fontId="0" fillId="38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0" fillId="40" borderId="0" xfId="0" applyFill="1"/>
    <xf numFmtId="0" fontId="0" fillId="41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9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9" borderId="3" xfId="0" applyNumberFormat="1" applyFont="1" applyFill="1" applyBorder="1"/>
    <xf numFmtId="0" fontId="0" fillId="39" borderId="2" xfId="0" applyFont="1" applyFill="1" applyBorder="1"/>
    <xf numFmtId="0" fontId="0" fillId="39" borderId="3" xfId="0" applyFont="1" applyFill="1" applyBorder="1"/>
    <xf numFmtId="0" fontId="0" fillId="39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66.1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77" t="s">
        <v>171</v>
      </c>
      <c r="C53" s="109">
        <v>64</v>
      </c>
      <c r="D53" s="109"/>
    </row>
    <row r="54" spans="2:4" x14ac:dyDescent="0.15">
      <c r="B54" s="177" t="s">
        <v>172</v>
      </c>
      <c r="C54" s="177" t="s">
        <v>185</v>
      </c>
      <c r="D54" s="109"/>
    </row>
    <row r="55" spans="2:4" x14ac:dyDescent="0.15">
      <c r="B55" s="177" t="s">
        <v>173</v>
      </c>
      <c r="C55" s="177" t="s">
        <v>186</v>
      </c>
      <c r="D55" s="109"/>
    </row>
    <row r="56" spans="2:4" x14ac:dyDescent="0.15">
      <c r="B56" s="177" t="s">
        <v>174</v>
      </c>
      <c r="C56" s="109">
        <v>1400000</v>
      </c>
      <c r="D56" s="109"/>
    </row>
    <row r="57" spans="2:4" x14ac:dyDescent="0.15">
      <c r="B57" s="177" t="s">
        <v>175</v>
      </c>
      <c r="C57" s="177" t="s">
        <v>187</v>
      </c>
      <c r="D57" s="109"/>
    </row>
    <row r="58" spans="2:4" x14ac:dyDescent="0.15">
      <c r="B58" s="177" t="s">
        <v>176</v>
      </c>
      <c r="C58" s="177" t="s">
        <v>188</v>
      </c>
      <c r="D58" s="109"/>
    </row>
    <row r="59" spans="2:4" x14ac:dyDescent="0.15">
      <c r="B59" s="177" t="s">
        <v>177</v>
      </c>
      <c r="C59" s="177" t="s">
        <v>189</v>
      </c>
      <c r="D59" s="109"/>
    </row>
    <row r="60" spans="2:4" x14ac:dyDescent="0.15">
      <c r="B60" s="177" t="s">
        <v>178</v>
      </c>
      <c r="C60" s="177" t="s">
        <v>190</v>
      </c>
      <c r="D60" s="109"/>
    </row>
    <row r="61" spans="2:4" x14ac:dyDescent="0.15">
      <c r="B61" s="177" t="s">
        <v>179</v>
      </c>
      <c r="C61" s="109">
        <v>41</v>
      </c>
      <c r="D61" s="109"/>
    </row>
    <row r="62" spans="2:4" x14ac:dyDescent="0.15">
      <c r="B62" s="177" t="s">
        <v>180</v>
      </c>
      <c r="C62" s="109">
        <v>6</v>
      </c>
      <c r="D62" s="109"/>
    </row>
    <row r="63" spans="2:4" x14ac:dyDescent="0.15">
      <c r="B63" s="177" t="s">
        <v>181</v>
      </c>
      <c r="C63" s="109">
        <v>1995</v>
      </c>
      <c r="D63" s="109"/>
    </row>
    <row r="64" spans="2:4" x14ac:dyDescent="0.15">
      <c r="B64" s="177" t="s">
        <v>182</v>
      </c>
      <c r="C64" s="109">
        <v>1</v>
      </c>
      <c r="D64" s="109"/>
    </row>
    <row r="65" spans="2:4" x14ac:dyDescent="0.15">
      <c r="B65" s="177" t="s">
        <v>183</v>
      </c>
      <c r="C65" s="177" t="s">
        <v>191</v>
      </c>
      <c r="D65" s="109"/>
    </row>
    <row r="66" spans="2:4" x14ac:dyDescent="0.15">
      <c r="B66" s="177" t="s">
        <v>184</v>
      </c>
      <c r="D66" s="109"/>
    </row>
    <row r="67" spans="2:4" x14ac:dyDescent="0.15">
      <c r="B67" s="109"/>
      <c r="C67" s="109"/>
      <c r="D67" s="109"/>
    </row>
    <row r="68" spans="2:4" x14ac:dyDescent="0.15">
      <c r="B68" s="109"/>
      <c r="C68" s="109"/>
      <c r="D68" s="109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P5" sqref="P5"/>
    </sheetView>
  </sheetViews>
  <sheetFormatPr baseColWidth="10" defaultColWidth="8.83203125" defaultRowHeight="15" customHeight="1" x14ac:dyDescent="0.15"/>
  <cols>
    <col min="1" max="1" width="22.5" style="82" customWidth="1"/>
    <col min="2" max="3" width="3.33203125" style="82" customWidth="1"/>
    <col min="4" max="4" width="14.33203125" style="82" customWidth="1"/>
    <col min="5" max="5" width="32" style="82" bestFit="1" customWidth="1"/>
    <col min="6" max="6" width="2.33203125" style="82" bestFit="1" customWidth="1"/>
    <col min="7" max="7" width="12.83203125" style="82" bestFit="1" customWidth="1"/>
    <col min="8" max="8" width="10.83203125" style="82" customWidth="1"/>
    <col min="9" max="9" width="6.83203125" style="82" customWidth="1"/>
    <col min="10" max="10" width="12.83203125" style="82" customWidth="1"/>
    <col min="11" max="11" width="13.83203125" style="82" customWidth="1"/>
    <col min="12" max="12" width="2.33203125" style="82" customWidth="1"/>
    <col min="13" max="13" width="5.83203125" style="82" customWidth="1"/>
    <col min="14" max="14" width="2.33203125" style="82" customWidth="1"/>
    <col min="16" max="25" width="8.83203125" style="82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2"/>
  </cols>
  <sheetData>
    <row r="1" spans="1:46" s="99" customFormat="1" ht="15" customHeight="1" x14ac:dyDescent="0.15">
      <c r="A1" s="78" t="s">
        <v>18</v>
      </c>
      <c r="C1" s="79" t="s">
        <v>8</v>
      </c>
      <c r="D1" s="78" t="s">
        <v>23</v>
      </c>
      <c r="E1" s="78" t="s">
        <v>0</v>
      </c>
      <c r="F1" s="78" t="s">
        <v>7</v>
      </c>
      <c r="G1" s="80" t="s">
        <v>13</v>
      </c>
      <c r="H1" s="78" t="s">
        <v>1</v>
      </c>
      <c r="I1" s="78" t="s">
        <v>2</v>
      </c>
      <c r="J1" s="78" t="s">
        <v>14</v>
      </c>
      <c r="K1" s="78" t="s">
        <v>3</v>
      </c>
      <c r="L1" s="78" t="s">
        <v>4</v>
      </c>
      <c r="M1" s="78" t="s">
        <v>5</v>
      </c>
      <c r="N1" s="78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9">
        <v>1</v>
      </c>
      <c r="D2"/>
      <c r="E2" s="178" t="s">
        <v>192</v>
      </c>
      <c r="F2" s="82">
        <v>0</v>
      </c>
      <c r="G2" s="82">
        <v>1.779E-2</v>
      </c>
      <c r="H2" s="82">
        <v>0.02</v>
      </c>
      <c r="I2" s="6">
        <v>12.747999999999999</v>
      </c>
      <c r="J2" s="6">
        <v>0</v>
      </c>
      <c r="K2" s="6">
        <v>1.56887353E-3</v>
      </c>
      <c r="L2" s="6">
        <v>0</v>
      </c>
      <c r="M2" s="82">
        <v>0.112</v>
      </c>
      <c r="N2" s="82">
        <v>0</v>
      </c>
    </row>
    <row r="3" spans="1:46" ht="15" customHeight="1" x14ac:dyDescent="0.15">
      <c r="A3" s="1" t="s">
        <v>9</v>
      </c>
      <c r="B3" s="4">
        <v>38</v>
      </c>
      <c r="C3" s="82">
        <v>2</v>
      </c>
      <c r="D3"/>
      <c r="E3" s="178" t="s">
        <v>193</v>
      </c>
      <c r="F3" s="82">
        <v>0</v>
      </c>
      <c r="G3" s="82">
        <v>1.96599737E-2</v>
      </c>
      <c r="H3" s="82">
        <v>0.15</v>
      </c>
      <c r="I3" s="82">
        <v>4.7699999999999996</v>
      </c>
      <c r="J3" s="82">
        <v>0.75</v>
      </c>
      <c r="K3" s="82">
        <v>3.1446542600000002E-2</v>
      </c>
      <c r="L3" s="82">
        <v>0</v>
      </c>
      <c r="M3" s="82">
        <v>0.112</v>
      </c>
      <c r="N3" s="82">
        <v>0</v>
      </c>
    </row>
    <row r="4" spans="1:46" ht="15" customHeight="1" x14ac:dyDescent="0.15">
      <c r="A4" s="1" t="s">
        <v>10</v>
      </c>
      <c r="B4" s="4">
        <v>3</v>
      </c>
      <c r="C4" s="82">
        <v>3</v>
      </c>
      <c r="D4"/>
      <c r="E4" s="178" t="s">
        <v>194</v>
      </c>
      <c r="F4" s="82">
        <v>0</v>
      </c>
      <c r="G4" s="82">
        <v>0.111</v>
      </c>
      <c r="H4" s="82">
        <v>5.6000000000000001E-2</v>
      </c>
      <c r="I4" s="82">
        <v>13</v>
      </c>
      <c r="J4" s="82">
        <v>0.157253221</v>
      </c>
      <c r="K4" s="82">
        <v>4.3076924000000003E-3</v>
      </c>
      <c r="L4" s="82">
        <v>0</v>
      </c>
      <c r="M4" s="82">
        <v>0.112</v>
      </c>
      <c r="N4" s="82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6</v>
      </c>
      <c r="C5" s="82">
        <v>4</v>
      </c>
      <c r="D5"/>
      <c r="E5" s="178" t="s">
        <v>195</v>
      </c>
      <c r="F5" s="82">
        <v>0</v>
      </c>
      <c r="G5" s="82">
        <v>7.6600000000000001E-3</v>
      </c>
      <c r="H5" s="82">
        <v>1</v>
      </c>
      <c r="I5" s="82">
        <v>80</v>
      </c>
      <c r="J5" s="82">
        <v>0</v>
      </c>
      <c r="K5" s="82">
        <v>1.2500000000000001E-2</v>
      </c>
      <c r="L5" s="82">
        <v>0</v>
      </c>
      <c r="M5" s="82">
        <v>0.112</v>
      </c>
      <c r="N5" s="82">
        <v>0</v>
      </c>
      <c r="P5" s="73"/>
      <c r="Q5" s="73"/>
      <c r="R5" s="73"/>
    </row>
    <row r="6" spans="1:46" ht="15" customHeight="1" thickBot="1" x14ac:dyDescent="0.2">
      <c r="B6" s="1"/>
      <c r="C6" s="82">
        <v>5</v>
      </c>
      <c r="D6"/>
      <c r="E6" s="178" t="s">
        <v>196</v>
      </c>
      <c r="F6" s="82">
        <v>0</v>
      </c>
      <c r="G6" s="82">
        <v>0.3</v>
      </c>
      <c r="H6" s="82">
        <v>0.7</v>
      </c>
      <c r="I6" s="82">
        <v>2</v>
      </c>
      <c r="J6" s="82">
        <v>0.99577516300000002</v>
      </c>
      <c r="K6" s="82">
        <v>0.35</v>
      </c>
      <c r="L6" s="82">
        <v>0</v>
      </c>
      <c r="M6" s="82">
        <v>0.112</v>
      </c>
      <c r="N6" s="82">
        <v>0</v>
      </c>
      <c r="P6" s="73"/>
      <c r="Q6" s="73"/>
      <c r="R6" s="73"/>
      <c r="W6" s="36" t="s">
        <v>31</v>
      </c>
      <c r="X6" s="52">
        <f>MAX(MainOutputs!G:G)</f>
        <v>0.99597883224487305</v>
      </c>
    </row>
    <row r="7" spans="1:46" ht="15" customHeight="1" x14ac:dyDescent="0.15">
      <c r="A7" s="2" t="s">
        <v>27</v>
      </c>
      <c r="B7" s="82">
        <f ca="1">COUNTIF(OFFSET(cornerDiets,1,1,NumLiving+NumDead+1,NumLiving+NumDead),"&gt;0")+NumLiving+NumDead+1</f>
        <v>342</v>
      </c>
      <c r="C7" s="82">
        <v>6</v>
      </c>
      <c r="D7"/>
      <c r="E7" s="178" t="s">
        <v>197</v>
      </c>
      <c r="F7" s="82">
        <v>0</v>
      </c>
      <c r="G7" s="82">
        <v>0.54602146100000004</v>
      </c>
      <c r="H7" s="82">
        <v>0.54100000000000004</v>
      </c>
      <c r="I7" s="82">
        <v>2.6539999999999999</v>
      </c>
      <c r="J7" s="82">
        <v>0.99</v>
      </c>
      <c r="K7" s="82">
        <v>0.203843251</v>
      </c>
      <c r="L7" s="82">
        <v>0</v>
      </c>
      <c r="M7" s="82">
        <v>0.112</v>
      </c>
      <c r="N7" s="82">
        <v>0</v>
      </c>
      <c r="P7" s="73"/>
      <c r="Q7" s="73"/>
      <c r="R7" s="73"/>
    </row>
    <row r="8" spans="1:46" ht="15" customHeight="1" x14ac:dyDescent="0.15">
      <c r="A8" s="2" t="s">
        <v>28</v>
      </c>
      <c r="B8" s="82">
        <f ca="1">COUNTIF(OFFSET(cornerFishing,1,2,NumLiving+NumDead,NumGears),"&gt;0")+NumDead*COUNTIF(OFFSET(cornerDiscards,1,2,NumLiving+NumDead,NumGears),"&gt;0")+NumLiving+NumDead+1</f>
        <v>81</v>
      </c>
      <c r="C8" s="82">
        <v>7</v>
      </c>
      <c r="D8"/>
      <c r="E8" s="178" t="s">
        <v>198</v>
      </c>
      <c r="F8" s="82">
        <v>0</v>
      </c>
      <c r="G8" s="82">
        <v>1</v>
      </c>
      <c r="H8" s="82">
        <v>0.6</v>
      </c>
      <c r="I8" s="82">
        <v>2</v>
      </c>
      <c r="J8" s="82">
        <v>0.8737819</v>
      </c>
      <c r="K8" s="82">
        <v>0.3</v>
      </c>
      <c r="L8" s="82">
        <v>0</v>
      </c>
      <c r="M8" s="82">
        <v>0.112</v>
      </c>
      <c r="N8" s="82">
        <v>0</v>
      </c>
      <c r="P8" s="73"/>
      <c r="Q8" s="73"/>
      <c r="R8" s="73"/>
    </row>
    <row r="9" spans="1:46" ht="15" customHeight="1" x14ac:dyDescent="0.15">
      <c r="B9" s="1"/>
      <c r="C9" s="82">
        <v>8</v>
      </c>
      <c r="D9"/>
      <c r="E9" s="178" t="s">
        <v>199</v>
      </c>
      <c r="F9" s="82">
        <v>0</v>
      </c>
      <c r="G9" s="82">
        <v>0.15941</v>
      </c>
      <c r="H9" s="82">
        <v>3.5000000000000003E-2</v>
      </c>
      <c r="I9" s="82">
        <v>8.14</v>
      </c>
      <c r="J9" s="82">
        <v>5.8429747800000001E-2</v>
      </c>
      <c r="K9" s="82">
        <v>4.29975428E-3</v>
      </c>
      <c r="L9" s="82">
        <v>0</v>
      </c>
      <c r="M9" s="82">
        <v>0.112</v>
      </c>
      <c r="N9" s="82">
        <v>0</v>
      </c>
      <c r="P9" s="73"/>
      <c r="Q9" s="73"/>
      <c r="R9" s="73"/>
    </row>
    <row r="10" spans="1:46" ht="15" customHeight="1" x14ac:dyDescent="0.15">
      <c r="B10" s="1"/>
      <c r="C10" s="82">
        <v>9</v>
      </c>
      <c r="D10"/>
      <c r="E10" s="178" t="s">
        <v>200</v>
      </c>
      <c r="F10" s="82">
        <v>0</v>
      </c>
      <c r="G10" s="82">
        <v>0.11172</v>
      </c>
      <c r="H10" s="82">
        <v>0.02</v>
      </c>
      <c r="I10" s="82">
        <v>12.89</v>
      </c>
      <c r="J10" s="82">
        <v>0</v>
      </c>
      <c r="K10" s="82">
        <v>1.55159028E-3</v>
      </c>
      <c r="L10" s="82">
        <v>0</v>
      </c>
      <c r="M10" s="82">
        <v>0.112</v>
      </c>
      <c r="N10" s="82">
        <v>0</v>
      </c>
    </row>
    <row r="11" spans="1:46" ht="15" customHeight="1" x14ac:dyDescent="0.15">
      <c r="C11" s="82">
        <v>10</v>
      </c>
      <c r="D11"/>
      <c r="E11" s="178" t="s">
        <v>201</v>
      </c>
      <c r="F11" s="82">
        <v>0</v>
      </c>
      <c r="G11" s="82">
        <v>0.17399999999999999</v>
      </c>
      <c r="H11" s="82">
        <v>1.3062756099999999</v>
      </c>
      <c r="I11" s="82">
        <v>2.9380000000000002</v>
      </c>
      <c r="J11" s="82">
        <v>0.99</v>
      </c>
      <c r="K11" s="82">
        <v>0.44461390000000001</v>
      </c>
      <c r="L11" s="82">
        <v>0</v>
      </c>
      <c r="M11" s="82">
        <v>0.112</v>
      </c>
      <c r="N11" s="82">
        <v>0</v>
      </c>
    </row>
    <row r="12" spans="1:46" ht="15" customHeight="1" x14ac:dyDescent="0.15">
      <c r="C12" s="82">
        <v>11</v>
      </c>
      <c r="D12"/>
      <c r="E12" s="178" t="s">
        <v>202</v>
      </c>
      <c r="F12" s="82">
        <v>0</v>
      </c>
      <c r="G12" s="82">
        <v>8.3835430000000002E-2</v>
      </c>
      <c r="H12" s="82">
        <v>0.6</v>
      </c>
      <c r="I12" s="82">
        <v>4</v>
      </c>
      <c r="J12" s="82">
        <v>0.99</v>
      </c>
      <c r="K12" s="82">
        <v>0.15</v>
      </c>
      <c r="L12" s="82">
        <v>0</v>
      </c>
      <c r="M12" s="82">
        <v>0.112</v>
      </c>
      <c r="N12" s="82">
        <v>0</v>
      </c>
    </row>
    <row r="13" spans="1:46" ht="15" customHeight="1" x14ac:dyDescent="0.15">
      <c r="C13" s="82">
        <v>12</v>
      </c>
      <c r="D13"/>
      <c r="E13" s="178" t="s">
        <v>203</v>
      </c>
      <c r="F13" s="82">
        <v>0</v>
      </c>
      <c r="G13" s="82">
        <v>0.18</v>
      </c>
      <c r="H13" s="82">
        <v>0.624</v>
      </c>
      <c r="I13" s="82">
        <v>2.27</v>
      </c>
      <c r="J13" s="82">
        <v>0.92573714299999998</v>
      </c>
      <c r="K13" s="82">
        <v>0.27488990000000002</v>
      </c>
      <c r="L13" s="82">
        <v>0</v>
      </c>
      <c r="M13" s="82">
        <v>0.2</v>
      </c>
      <c r="N13" s="82">
        <v>0</v>
      </c>
    </row>
    <row r="14" spans="1:46" ht="15" customHeight="1" x14ac:dyDescent="0.15">
      <c r="C14" s="82">
        <v>13</v>
      </c>
      <c r="D14"/>
      <c r="E14" s="178" t="s">
        <v>204</v>
      </c>
      <c r="F14" s="82">
        <v>0</v>
      </c>
      <c r="G14" s="82">
        <v>0.31020150000000002</v>
      </c>
      <c r="H14" s="82">
        <v>1.5</v>
      </c>
      <c r="I14" s="82">
        <v>3.5</v>
      </c>
      <c r="J14" s="82">
        <v>0.99</v>
      </c>
      <c r="K14" s="82">
        <v>0.428571433</v>
      </c>
      <c r="L14" s="82">
        <v>0</v>
      </c>
      <c r="M14" s="82">
        <v>0.112</v>
      </c>
      <c r="N14" s="82">
        <v>0</v>
      </c>
    </row>
    <row r="15" spans="1:46" ht="15" customHeight="1" x14ac:dyDescent="0.15">
      <c r="C15" s="82">
        <v>14</v>
      </c>
      <c r="D15"/>
      <c r="E15" s="178" t="s">
        <v>205</v>
      </c>
      <c r="F15" s="82">
        <v>0</v>
      </c>
      <c r="G15" s="82">
        <v>3.5601710000000002E-2</v>
      </c>
      <c r="H15" s="82">
        <v>0.45</v>
      </c>
      <c r="I15" s="82">
        <v>1.77</v>
      </c>
      <c r="J15" s="82">
        <v>0.95</v>
      </c>
      <c r="K15" s="82">
        <v>0.2542373</v>
      </c>
      <c r="L15" s="82">
        <v>0</v>
      </c>
      <c r="M15" s="82">
        <v>0.112</v>
      </c>
      <c r="N15" s="82">
        <v>0</v>
      </c>
    </row>
    <row r="16" spans="1:46" ht="15" customHeight="1" x14ac:dyDescent="0.15">
      <c r="C16" s="82">
        <v>15</v>
      </c>
      <c r="D16"/>
      <c r="E16" s="178" t="s">
        <v>206</v>
      </c>
      <c r="F16" s="82">
        <v>0</v>
      </c>
      <c r="G16" s="82">
        <v>0.36716900000000002</v>
      </c>
      <c r="H16" s="82">
        <v>0.6</v>
      </c>
      <c r="I16" s="82">
        <v>2.3149999999999999</v>
      </c>
      <c r="J16" s="82">
        <v>0.90505139999999995</v>
      </c>
      <c r="K16" s="82">
        <v>0.25917926400000002</v>
      </c>
      <c r="L16" s="82">
        <v>0</v>
      </c>
      <c r="M16" s="82">
        <v>0.112</v>
      </c>
      <c r="N16" s="82">
        <v>0</v>
      </c>
    </row>
    <row r="17" spans="1:22" ht="15" customHeight="1" x14ac:dyDescent="0.15">
      <c r="C17" s="82">
        <v>16</v>
      </c>
      <c r="D17"/>
      <c r="E17" s="178" t="s">
        <v>207</v>
      </c>
      <c r="F17" s="82">
        <v>0</v>
      </c>
      <c r="G17" s="82">
        <v>0.17707192899999999</v>
      </c>
      <c r="H17" s="82">
        <v>1.5</v>
      </c>
      <c r="I17" s="82">
        <v>3.5</v>
      </c>
      <c r="J17" s="82">
        <v>0.99</v>
      </c>
      <c r="K17" s="82">
        <v>0.428571433</v>
      </c>
      <c r="L17" s="82">
        <v>0</v>
      </c>
      <c r="M17" s="82">
        <v>0.112</v>
      </c>
      <c r="N17" s="82">
        <v>0</v>
      </c>
      <c r="V17" s="1" t="s">
        <v>30</v>
      </c>
    </row>
    <row r="18" spans="1:22" ht="15" customHeight="1" x14ac:dyDescent="0.15">
      <c r="C18" s="82">
        <v>17</v>
      </c>
      <c r="D18"/>
      <c r="E18" s="178" t="s">
        <v>208</v>
      </c>
      <c r="F18" s="82">
        <v>0</v>
      </c>
      <c r="G18" s="82">
        <v>0.59685189999999999</v>
      </c>
      <c r="H18" s="82">
        <v>0.7</v>
      </c>
      <c r="I18" s="82">
        <v>2.633</v>
      </c>
      <c r="J18" s="82">
        <v>0.99</v>
      </c>
      <c r="K18" s="82">
        <v>0.265856445</v>
      </c>
      <c r="L18" s="82">
        <v>0</v>
      </c>
      <c r="M18" s="82">
        <v>0.2</v>
      </c>
      <c r="N18" s="82">
        <v>0</v>
      </c>
      <c r="V18" s="1"/>
    </row>
    <row r="19" spans="1:22" ht="15" customHeight="1" x14ac:dyDescent="0.15">
      <c r="C19" s="82">
        <v>18</v>
      </c>
      <c r="D19"/>
      <c r="E19" s="178" t="s">
        <v>209</v>
      </c>
      <c r="F19" s="82">
        <v>0</v>
      </c>
      <c r="G19" s="82">
        <v>0.43497154100000002</v>
      </c>
      <c r="H19" s="82">
        <v>0.5</v>
      </c>
      <c r="I19" s="82">
        <v>2</v>
      </c>
      <c r="J19" s="82">
        <v>0.99</v>
      </c>
      <c r="K19" s="82">
        <v>0.25</v>
      </c>
      <c r="L19" s="82">
        <v>0</v>
      </c>
      <c r="M19" s="82">
        <v>0.112</v>
      </c>
      <c r="N19" s="82">
        <v>0</v>
      </c>
    </row>
    <row r="20" spans="1:22" ht="15" customHeight="1" thickBot="1" x14ac:dyDescent="0.2">
      <c r="C20" s="82">
        <v>19</v>
      </c>
      <c r="D20"/>
      <c r="E20" s="178" t="s">
        <v>210</v>
      </c>
      <c r="F20" s="82">
        <v>0</v>
      </c>
      <c r="G20" s="82">
        <v>0.57427170000000005</v>
      </c>
      <c r="H20" s="82">
        <v>1</v>
      </c>
      <c r="I20" s="82">
        <v>4.7</v>
      </c>
      <c r="J20" s="82">
        <v>0.99</v>
      </c>
      <c r="K20" s="82">
        <v>0.212765962</v>
      </c>
      <c r="L20" s="82">
        <v>0</v>
      </c>
      <c r="M20" s="82">
        <v>0.2</v>
      </c>
      <c r="N20" s="82">
        <v>0</v>
      </c>
    </row>
    <row r="21" spans="1:22" ht="15" customHeight="1" thickBot="1" x14ac:dyDescent="0.2">
      <c r="A21" s="47" t="s">
        <v>137</v>
      </c>
      <c r="B21" s="100"/>
      <c r="C21" s="82">
        <v>20</v>
      </c>
      <c r="D21"/>
      <c r="E21" s="178" t="s">
        <v>211</v>
      </c>
      <c r="F21" s="82">
        <v>0</v>
      </c>
      <c r="G21" s="82">
        <v>0.28412490000000001</v>
      </c>
      <c r="H21" s="82">
        <v>1.4</v>
      </c>
      <c r="I21" s="82">
        <v>10</v>
      </c>
      <c r="J21" s="82">
        <v>0.99</v>
      </c>
      <c r="K21" s="82">
        <v>0.14000000000000001</v>
      </c>
      <c r="L21" s="82">
        <v>0</v>
      </c>
      <c r="M21" s="82">
        <v>0.112</v>
      </c>
      <c r="N21" s="82">
        <v>0</v>
      </c>
    </row>
    <row r="22" spans="1:22" ht="15" customHeight="1" x14ac:dyDescent="0.15">
      <c r="A22" s="101" t="s">
        <v>58</v>
      </c>
      <c r="B22" s="102">
        <v>0</v>
      </c>
      <c r="C22" s="82">
        <v>21</v>
      </c>
      <c r="D22"/>
      <c r="E22" s="178" t="s">
        <v>212</v>
      </c>
      <c r="F22" s="82">
        <v>0</v>
      </c>
      <c r="G22" s="82">
        <v>0.96842709999999999</v>
      </c>
      <c r="H22" s="82">
        <v>0.30969999999999998</v>
      </c>
      <c r="I22" s="82">
        <v>3.214</v>
      </c>
      <c r="J22" s="82">
        <v>0.95</v>
      </c>
      <c r="K22" s="82">
        <v>9.6359680000000003E-2</v>
      </c>
      <c r="L22" s="82">
        <v>0</v>
      </c>
      <c r="M22" s="82">
        <v>0.112</v>
      </c>
      <c r="N22" s="82">
        <v>0</v>
      </c>
    </row>
    <row r="23" spans="1:22" ht="15" customHeight="1" x14ac:dyDescent="0.15">
      <c r="A23" s="101" t="s">
        <v>59</v>
      </c>
      <c r="B23" s="102">
        <v>1</v>
      </c>
      <c r="C23" s="82">
        <v>22</v>
      </c>
      <c r="D23"/>
      <c r="E23" s="178" t="s">
        <v>213</v>
      </c>
      <c r="F23" s="82">
        <v>0</v>
      </c>
      <c r="G23" s="82">
        <v>9.9582359999999995E-2</v>
      </c>
      <c r="H23" s="82">
        <v>2</v>
      </c>
      <c r="I23" s="82">
        <v>6</v>
      </c>
      <c r="J23" s="82">
        <v>0.95</v>
      </c>
      <c r="K23" s="82">
        <v>0.333333343</v>
      </c>
      <c r="L23" s="82">
        <v>0</v>
      </c>
      <c r="M23" s="82">
        <v>0.2</v>
      </c>
      <c r="N23" s="82">
        <v>0</v>
      </c>
    </row>
    <row r="24" spans="1:22" ht="15" customHeight="1" x14ac:dyDescent="0.15">
      <c r="A24" s="101" t="s">
        <v>60</v>
      </c>
      <c r="B24" s="102">
        <v>2</v>
      </c>
      <c r="C24" s="82">
        <v>23</v>
      </c>
      <c r="D24"/>
      <c r="E24" s="178" t="s">
        <v>214</v>
      </c>
      <c r="F24" s="82">
        <v>0</v>
      </c>
      <c r="G24" s="82">
        <v>1.204745</v>
      </c>
      <c r="H24" s="82">
        <v>0.65700000000000003</v>
      </c>
      <c r="I24" s="82">
        <v>5.4649999999999999</v>
      </c>
      <c r="J24" s="82">
        <v>0.99</v>
      </c>
      <c r="K24" s="82">
        <v>0.120219573</v>
      </c>
      <c r="L24" s="82">
        <v>0</v>
      </c>
      <c r="M24" s="82">
        <v>0.2</v>
      </c>
      <c r="N24" s="82">
        <v>0</v>
      </c>
    </row>
    <row r="25" spans="1:22" ht="15" customHeight="1" thickBot="1" x14ac:dyDescent="0.2">
      <c r="A25" s="103" t="s">
        <v>44</v>
      </c>
      <c r="B25" s="104">
        <v>3</v>
      </c>
      <c r="C25" s="82">
        <v>24</v>
      </c>
      <c r="D25"/>
      <c r="E25" s="178" t="s">
        <v>215</v>
      </c>
      <c r="F25" s="82">
        <v>0</v>
      </c>
      <c r="G25" s="82">
        <v>1</v>
      </c>
      <c r="H25" s="82">
        <v>0.7</v>
      </c>
      <c r="I25" s="82">
        <v>4.84</v>
      </c>
      <c r="J25" s="82">
        <v>0.93272560000000004</v>
      </c>
      <c r="K25" s="82">
        <v>0.14462810000000001</v>
      </c>
      <c r="L25" s="82">
        <v>0</v>
      </c>
      <c r="M25" s="82">
        <v>0.2</v>
      </c>
      <c r="N25" s="82">
        <v>0</v>
      </c>
    </row>
    <row r="26" spans="1:22" ht="15" customHeight="1" x14ac:dyDescent="0.15">
      <c r="A26" s="105" t="s">
        <v>140</v>
      </c>
      <c r="C26" s="82">
        <v>25</v>
      </c>
      <c r="D26"/>
      <c r="E26" s="178" t="s">
        <v>216</v>
      </c>
      <c r="F26" s="82">
        <v>0</v>
      </c>
      <c r="G26" s="82">
        <v>0.49618574999999998</v>
      </c>
      <c r="H26" s="82">
        <v>2</v>
      </c>
      <c r="I26" s="82">
        <v>9.4</v>
      </c>
      <c r="J26" s="82">
        <v>0.99</v>
      </c>
      <c r="K26" s="82">
        <v>0.212765962</v>
      </c>
      <c r="L26" s="82">
        <v>0</v>
      </c>
      <c r="M26" s="82">
        <v>0.2</v>
      </c>
      <c r="N26" s="82">
        <v>0</v>
      </c>
    </row>
    <row r="27" spans="1:22" ht="15" customHeight="1" x14ac:dyDescent="0.15">
      <c r="C27" s="82">
        <v>26</v>
      </c>
      <c r="D27"/>
      <c r="E27" s="178" t="s">
        <v>217</v>
      </c>
      <c r="F27" s="82">
        <v>0</v>
      </c>
      <c r="G27" s="82">
        <v>1.9169</v>
      </c>
      <c r="H27" s="82">
        <v>1.5</v>
      </c>
      <c r="I27" s="82">
        <v>9.6839999999999993</v>
      </c>
      <c r="J27" s="82">
        <v>0.40191295700000002</v>
      </c>
      <c r="K27" s="82">
        <v>0.15489466499999999</v>
      </c>
      <c r="L27" s="82">
        <v>0</v>
      </c>
      <c r="M27" s="82">
        <v>0.2</v>
      </c>
      <c r="N27" s="82">
        <v>0</v>
      </c>
    </row>
    <row r="28" spans="1:22" ht="15" customHeight="1" x14ac:dyDescent="0.15">
      <c r="C28" s="82">
        <v>27</v>
      </c>
      <c r="D28"/>
      <c r="E28" s="178" t="s">
        <v>218</v>
      </c>
      <c r="F28" s="82">
        <v>0</v>
      </c>
      <c r="G28" s="82">
        <v>13.2352943</v>
      </c>
      <c r="H28" s="82">
        <v>2.5</v>
      </c>
      <c r="I28" s="82">
        <v>12.5</v>
      </c>
      <c r="J28" s="82">
        <v>0.559849441</v>
      </c>
      <c r="K28" s="82">
        <v>0.2</v>
      </c>
      <c r="L28" s="82">
        <v>0</v>
      </c>
      <c r="M28" s="82">
        <v>0.35</v>
      </c>
      <c r="N28" s="82">
        <v>0</v>
      </c>
    </row>
    <row r="29" spans="1:22" customFormat="1" ht="15" customHeight="1" x14ac:dyDescent="0.15">
      <c r="C29" s="82">
        <v>28</v>
      </c>
      <c r="E29" s="178" t="s">
        <v>219</v>
      </c>
      <c r="F29" s="82">
        <v>0</v>
      </c>
      <c r="G29" s="82">
        <v>6</v>
      </c>
      <c r="H29" s="82">
        <v>8</v>
      </c>
      <c r="I29" s="82">
        <v>20</v>
      </c>
      <c r="J29" s="82">
        <v>0.453156322</v>
      </c>
      <c r="K29" s="82">
        <v>0.4</v>
      </c>
      <c r="L29" s="82">
        <v>0</v>
      </c>
      <c r="M29" s="82">
        <v>0.18</v>
      </c>
      <c r="N29" s="82">
        <v>0</v>
      </c>
    </row>
    <row r="30" spans="1:22" customFormat="1" ht="15" customHeight="1" x14ac:dyDescent="0.15">
      <c r="C30" s="82">
        <v>29</v>
      </c>
      <c r="E30" s="178" t="s">
        <v>220</v>
      </c>
      <c r="F30" s="82">
        <v>0</v>
      </c>
      <c r="G30" s="82">
        <v>20</v>
      </c>
      <c r="H30" s="82">
        <v>1.58</v>
      </c>
      <c r="I30" s="82">
        <v>5.77</v>
      </c>
      <c r="J30" s="82">
        <v>0.30922280000000002</v>
      </c>
      <c r="K30" s="82">
        <v>0.27383017500000001</v>
      </c>
      <c r="L30" s="82">
        <v>0</v>
      </c>
      <c r="M30" s="82">
        <v>0.35</v>
      </c>
      <c r="N30" s="82">
        <v>0</v>
      </c>
    </row>
    <row r="31" spans="1:22" customFormat="1" ht="15" customHeight="1" x14ac:dyDescent="0.15">
      <c r="C31" s="82">
        <v>30</v>
      </c>
      <c r="E31" s="178" t="s">
        <v>221</v>
      </c>
      <c r="F31" s="82">
        <v>0</v>
      </c>
      <c r="G31" s="82">
        <v>1.142676</v>
      </c>
      <c r="H31" s="82">
        <v>1.48</v>
      </c>
      <c r="I31" s="82">
        <v>7.69</v>
      </c>
      <c r="J31" s="82">
        <v>0.95</v>
      </c>
      <c r="K31" s="82">
        <v>0.19245773599999999</v>
      </c>
      <c r="L31" s="82">
        <v>0</v>
      </c>
      <c r="M31" s="82">
        <v>0.2</v>
      </c>
      <c r="N31" s="82">
        <v>0</v>
      </c>
    </row>
    <row r="32" spans="1:22" customFormat="1" ht="15" customHeight="1" x14ac:dyDescent="0.15">
      <c r="C32" s="82">
        <v>31</v>
      </c>
      <c r="E32" s="178" t="s">
        <v>222</v>
      </c>
      <c r="F32" s="82">
        <v>0</v>
      </c>
      <c r="G32" s="82">
        <v>0.30744475100000002</v>
      </c>
      <c r="H32" s="82">
        <v>1.7</v>
      </c>
      <c r="I32" s="82">
        <v>9.67</v>
      </c>
      <c r="J32" s="82">
        <v>0.99</v>
      </c>
      <c r="K32" s="82">
        <v>0.17580145599999999</v>
      </c>
      <c r="L32" s="82">
        <v>0</v>
      </c>
      <c r="M32" s="82">
        <v>0.2</v>
      </c>
      <c r="N32" s="82">
        <v>0</v>
      </c>
    </row>
    <row r="33" spans="3:14" customFormat="1" ht="15" customHeight="1" x14ac:dyDescent="0.15">
      <c r="C33" s="82">
        <v>32</v>
      </c>
      <c r="E33" s="178" t="s">
        <v>223</v>
      </c>
      <c r="F33" s="82">
        <v>0</v>
      </c>
      <c r="G33" s="82">
        <v>20</v>
      </c>
      <c r="H33" s="82">
        <v>1.37</v>
      </c>
      <c r="I33" s="82">
        <v>11</v>
      </c>
      <c r="J33" s="82">
        <v>0.71704800000000002</v>
      </c>
      <c r="K33" s="82">
        <v>0.124545455</v>
      </c>
      <c r="L33" s="82">
        <v>0</v>
      </c>
      <c r="M33" s="82">
        <v>0.35</v>
      </c>
      <c r="N33" s="82">
        <v>0</v>
      </c>
    </row>
    <row r="34" spans="3:14" customFormat="1" ht="15" customHeight="1" x14ac:dyDescent="0.15">
      <c r="C34" s="82">
        <v>33</v>
      </c>
      <c r="E34" s="178" t="s">
        <v>224</v>
      </c>
      <c r="F34" s="82">
        <v>0</v>
      </c>
      <c r="G34" s="82">
        <v>9.7452220000000001</v>
      </c>
      <c r="H34" s="82">
        <v>19</v>
      </c>
      <c r="I34" s="82">
        <v>47.5</v>
      </c>
      <c r="J34" s="82">
        <v>0.99</v>
      </c>
      <c r="K34" s="82">
        <v>0.4</v>
      </c>
      <c r="L34" s="82">
        <v>0</v>
      </c>
      <c r="M34" s="82">
        <v>0.18</v>
      </c>
      <c r="N34" s="82">
        <v>0</v>
      </c>
    </row>
    <row r="35" spans="3:14" customFormat="1" ht="15" customHeight="1" x14ac:dyDescent="0.15">
      <c r="C35" s="82">
        <v>34</v>
      </c>
      <c r="E35" s="178" t="s">
        <v>225</v>
      </c>
      <c r="F35" s="82">
        <v>0</v>
      </c>
      <c r="G35" s="82">
        <v>15</v>
      </c>
      <c r="H35" s="82">
        <v>9</v>
      </c>
      <c r="I35" s="82">
        <v>25</v>
      </c>
      <c r="J35" s="82">
        <v>0.67979204699999995</v>
      </c>
      <c r="K35" s="82">
        <v>0.36</v>
      </c>
      <c r="L35" s="82">
        <v>0</v>
      </c>
      <c r="M35" s="82">
        <v>0.18</v>
      </c>
      <c r="N35" s="82">
        <v>0</v>
      </c>
    </row>
    <row r="36" spans="3:14" customFormat="1" ht="15" customHeight="1" x14ac:dyDescent="0.15">
      <c r="C36" s="82">
        <v>35</v>
      </c>
      <c r="E36" s="178" t="s">
        <v>226</v>
      </c>
      <c r="F36" s="82">
        <v>0</v>
      </c>
      <c r="G36" s="82">
        <v>1.1983459999999999</v>
      </c>
      <c r="H36" s="82">
        <v>150</v>
      </c>
      <c r="I36" s="82">
        <v>375</v>
      </c>
      <c r="J36" s="82">
        <v>0.99</v>
      </c>
      <c r="K36" s="82">
        <v>0.4</v>
      </c>
      <c r="L36" s="82">
        <v>0</v>
      </c>
      <c r="M36" s="82">
        <v>0.18</v>
      </c>
      <c r="N36" s="82">
        <v>0</v>
      </c>
    </row>
    <row r="37" spans="3:14" customFormat="1" ht="15" customHeight="1" x14ac:dyDescent="0.15">
      <c r="C37" s="82">
        <v>36</v>
      </c>
      <c r="E37" s="178" t="s">
        <v>227</v>
      </c>
      <c r="F37" s="82">
        <v>0</v>
      </c>
      <c r="G37" s="82">
        <v>1.1272115700000001</v>
      </c>
      <c r="H37" s="82">
        <v>150</v>
      </c>
      <c r="I37" s="82">
        <v>375</v>
      </c>
      <c r="J37" s="82">
        <v>0.99</v>
      </c>
      <c r="K37" s="82">
        <v>0.4</v>
      </c>
      <c r="L37" s="82">
        <v>0</v>
      </c>
      <c r="M37" s="82">
        <v>0.18</v>
      </c>
      <c r="N37" s="82">
        <v>0</v>
      </c>
    </row>
    <row r="38" spans="3:14" customFormat="1" ht="15" customHeight="1" x14ac:dyDescent="0.15">
      <c r="C38" s="82">
        <v>37</v>
      </c>
      <c r="E38" s="178" t="s">
        <v>228</v>
      </c>
      <c r="F38" s="82">
        <v>1</v>
      </c>
      <c r="G38" s="82">
        <v>20</v>
      </c>
      <c r="H38" s="82">
        <v>55</v>
      </c>
      <c r="I38" s="82">
        <v>0</v>
      </c>
      <c r="J38" s="82">
        <v>0.28985324499999998</v>
      </c>
      <c r="K38" s="82">
        <v>0</v>
      </c>
      <c r="L38" s="82">
        <v>0</v>
      </c>
      <c r="M38" s="82">
        <v>0</v>
      </c>
      <c r="N38" s="82">
        <v>0</v>
      </c>
    </row>
    <row r="39" spans="3:14" customFormat="1" ht="15" customHeight="1" x14ac:dyDescent="0.15">
      <c r="C39" s="82">
        <v>38</v>
      </c>
      <c r="E39" s="178" t="s">
        <v>229</v>
      </c>
      <c r="F39" s="82">
        <v>1</v>
      </c>
      <c r="G39" s="82">
        <v>1.8571429E-2</v>
      </c>
      <c r="H39" s="82">
        <v>2</v>
      </c>
      <c r="I39" s="82">
        <v>0</v>
      </c>
      <c r="J39" s="82">
        <v>0.23318470999999999</v>
      </c>
      <c r="K39" s="82">
        <v>0</v>
      </c>
      <c r="L39" s="82">
        <v>0</v>
      </c>
      <c r="M39" s="82">
        <v>0</v>
      </c>
      <c r="N39" s="82">
        <v>0</v>
      </c>
    </row>
    <row r="40" spans="3:14" customFormat="1" ht="15" customHeight="1" x14ac:dyDescent="0.15">
      <c r="C40" s="82">
        <v>39</v>
      </c>
      <c r="E40" s="178" t="s">
        <v>230</v>
      </c>
      <c r="F40" s="82">
        <v>2</v>
      </c>
      <c r="G40" s="82">
        <v>0</v>
      </c>
      <c r="H40" s="82">
        <v>0</v>
      </c>
      <c r="I40" s="82">
        <v>0</v>
      </c>
      <c r="J40" s="82">
        <v>0.98159724500000001</v>
      </c>
      <c r="K40" s="82">
        <v>0</v>
      </c>
      <c r="L40" s="82">
        <v>0</v>
      </c>
      <c r="M40" s="82">
        <v>0.2</v>
      </c>
      <c r="N40" s="82">
        <v>0</v>
      </c>
    </row>
    <row r="41" spans="3:14" customFormat="1" ht="15" customHeight="1" x14ac:dyDescent="0.15">
      <c r="C41" s="82">
        <v>40</v>
      </c>
      <c r="E41" s="178" t="s">
        <v>231</v>
      </c>
      <c r="F41" s="82">
        <v>2</v>
      </c>
      <c r="G41" s="82">
        <v>50</v>
      </c>
      <c r="H41" s="82">
        <v>0</v>
      </c>
      <c r="I41" s="82">
        <v>0</v>
      </c>
      <c r="J41" s="82">
        <v>0.66991204000000004</v>
      </c>
      <c r="K41" s="82">
        <v>0</v>
      </c>
      <c r="L41" s="82">
        <v>0</v>
      </c>
      <c r="M41" s="82">
        <v>0.2</v>
      </c>
      <c r="N41" s="82">
        <v>0</v>
      </c>
    </row>
    <row r="42" spans="3:14" customFormat="1" ht="15" customHeight="1" x14ac:dyDescent="0.15">
      <c r="C42" s="82">
        <v>41</v>
      </c>
      <c r="E42" s="178" t="s">
        <v>232</v>
      </c>
      <c r="F42" s="82">
        <v>2</v>
      </c>
      <c r="G42" s="82">
        <v>50</v>
      </c>
      <c r="H42" s="82">
        <v>0</v>
      </c>
      <c r="I42" s="82">
        <v>0</v>
      </c>
      <c r="J42" s="82">
        <v>0.95678865899999999</v>
      </c>
      <c r="K42" s="82">
        <v>0</v>
      </c>
      <c r="L42" s="82">
        <v>0</v>
      </c>
      <c r="M42" s="82">
        <v>0.2</v>
      </c>
      <c r="N42" s="82">
        <v>0</v>
      </c>
    </row>
    <row r="43" spans="3:14" customFormat="1" ht="15" customHeight="1" x14ac:dyDescent="0.15">
      <c r="C43" s="82">
        <v>42</v>
      </c>
      <c r="E43" s="178" t="s">
        <v>233</v>
      </c>
      <c r="F43" s="82">
        <v>3</v>
      </c>
      <c r="G43" s="82">
        <v>0</v>
      </c>
      <c r="H43" s="82">
        <v>0</v>
      </c>
      <c r="I43" s="82">
        <v>0</v>
      </c>
      <c r="J43" s="82">
        <v>0</v>
      </c>
      <c r="K43" s="82">
        <v>0</v>
      </c>
      <c r="L43" s="82">
        <v>0</v>
      </c>
      <c r="M43" s="82">
        <v>0</v>
      </c>
      <c r="N43" s="82">
        <v>0</v>
      </c>
    </row>
    <row r="44" spans="3:14" customFormat="1" ht="15" customHeight="1" x14ac:dyDescent="0.15">
      <c r="C44" s="82">
        <v>43</v>
      </c>
      <c r="E44" s="178" t="s">
        <v>234</v>
      </c>
      <c r="F44" s="82">
        <v>3</v>
      </c>
      <c r="G44" s="82">
        <v>0</v>
      </c>
      <c r="H44" s="82">
        <v>0</v>
      </c>
      <c r="I44" s="82">
        <v>0</v>
      </c>
      <c r="J44" s="82">
        <v>0</v>
      </c>
      <c r="K44" s="82">
        <v>0</v>
      </c>
      <c r="L44" s="82">
        <v>0</v>
      </c>
      <c r="M44" s="82">
        <v>0</v>
      </c>
      <c r="N44" s="82">
        <v>0</v>
      </c>
    </row>
    <row r="45" spans="3:14" customFormat="1" ht="15" customHeight="1" x14ac:dyDescent="0.15">
      <c r="C45" s="82">
        <v>44</v>
      </c>
      <c r="E45" s="178" t="s">
        <v>235</v>
      </c>
      <c r="F45" s="82">
        <v>3</v>
      </c>
      <c r="G45" s="82">
        <v>0</v>
      </c>
      <c r="H45" s="82">
        <v>0</v>
      </c>
      <c r="I45" s="82">
        <v>0</v>
      </c>
      <c r="J45" s="82">
        <v>0</v>
      </c>
      <c r="K45" s="82">
        <v>0</v>
      </c>
      <c r="L45" s="82">
        <v>0</v>
      </c>
      <c r="M45" s="82">
        <v>0</v>
      </c>
      <c r="N45" s="82">
        <v>0</v>
      </c>
    </row>
    <row r="46" spans="3:14" customFormat="1" ht="15" customHeight="1" x14ac:dyDescent="0.15">
      <c r="C46" s="82">
        <v>45</v>
      </c>
      <c r="E46" s="178" t="s">
        <v>236</v>
      </c>
      <c r="F46" s="82">
        <v>3</v>
      </c>
      <c r="G46" s="82">
        <v>0</v>
      </c>
      <c r="H46" s="82">
        <v>0</v>
      </c>
      <c r="I46" s="82">
        <v>0</v>
      </c>
      <c r="J46" s="82">
        <v>0</v>
      </c>
      <c r="K46" s="82">
        <v>0</v>
      </c>
      <c r="L46" s="82">
        <v>0</v>
      </c>
      <c r="M46" s="82">
        <v>0</v>
      </c>
      <c r="N46" s="82">
        <v>0</v>
      </c>
    </row>
    <row r="47" spans="3:14" customFormat="1" ht="15" customHeight="1" x14ac:dyDescent="0.15">
      <c r="C47" s="82">
        <v>46</v>
      </c>
      <c r="E47" s="178" t="s">
        <v>237</v>
      </c>
      <c r="F47" s="82">
        <v>3</v>
      </c>
      <c r="G47" s="82">
        <v>0</v>
      </c>
      <c r="H47" s="82">
        <v>0</v>
      </c>
      <c r="I47" s="82">
        <v>0</v>
      </c>
      <c r="J47" s="82">
        <v>0</v>
      </c>
      <c r="K47" s="82">
        <v>0</v>
      </c>
      <c r="L47" s="82">
        <v>0</v>
      </c>
      <c r="M47" s="82">
        <v>0</v>
      </c>
      <c r="N47" s="82">
        <v>0</v>
      </c>
    </row>
    <row r="48" spans="3:14" customFormat="1" ht="15" customHeight="1" x14ac:dyDescent="0.15">
      <c r="C48" s="82">
        <v>47</v>
      </c>
      <c r="E48" s="178" t="s">
        <v>238</v>
      </c>
      <c r="F48" s="82">
        <v>3</v>
      </c>
      <c r="G48" s="82">
        <v>0</v>
      </c>
      <c r="H48" s="82">
        <v>0</v>
      </c>
      <c r="I48" s="82">
        <v>0</v>
      </c>
      <c r="J48" s="82">
        <v>0</v>
      </c>
      <c r="K48" s="82">
        <v>0</v>
      </c>
      <c r="L48" s="82">
        <v>0</v>
      </c>
      <c r="M48" s="82">
        <v>0</v>
      </c>
      <c r="N48" s="82">
        <v>0</v>
      </c>
    </row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P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2" style="143" bestFit="1" customWidth="1"/>
    <col min="2" max="3" width="14.83203125" style="143" bestFit="1" customWidth="1"/>
    <col min="4" max="4" width="15.83203125" style="143" bestFit="1" customWidth="1"/>
    <col min="5" max="8" width="14.83203125" style="143" bestFit="1" customWidth="1"/>
    <col min="9" max="9" width="13.83203125" style="143" bestFit="1" customWidth="1"/>
    <col min="10" max="10" width="5.83203125" style="143" bestFit="1" customWidth="1"/>
    <col min="11" max="11" width="14.83203125" style="143" bestFit="1" customWidth="1"/>
    <col min="12" max="12" width="5.83203125" style="143" bestFit="1" customWidth="1"/>
    <col min="13" max="13" width="13.83203125" style="143" bestFit="1" customWidth="1"/>
    <col min="14" max="17" width="14.83203125" style="143" bestFit="1" customWidth="1"/>
    <col min="18" max="18" width="6.83203125" style="143" bestFit="1" customWidth="1"/>
    <col min="19" max="19" width="14.83203125" style="143" bestFit="1" customWidth="1"/>
    <col min="20" max="20" width="12.83203125" style="143" bestFit="1" customWidth="1"/>
    <col min="21" max="23" width="4.83203125" style="143" bestFit="1" customWidth="1"/>
    <col min="24" max="24" width="13.83203125" style="143" bestFit="1" customWidth="1"/>
    <col min="25" max="25" width="4.83203125" style="143" bestFit="1" customWidth="1"/>
    <col min="26" max="26" width="13.83203125" style="143" bestFit="1" customWidth="1"/>
    <col min="27" max="27" width="5.83203125" style="143" bestFit="1" customWidth="1"/>
    <col min="28" max="28" width="4.83203125" style="143" bestFit="1" customWidth="1"/>
    <col min="29" max="29" width="11.83203125" style="143" bestFit="1" customWidth="1"/>
    <col min="30" max="31" width="4.83203125" style="143" customWidth="1"/>
    <col min="32" max="32" width="13.83203125" style="143" customWidth="1"/>
    <col min="33" max="33" width="3.83203125" style="143" customWidth="1"/>
    <col min="34" max="34" width="15.83203125" style="143" customWidth="1"/>
    <col min="35" max="35" width="4.83203125" style="143" customWidth="1"/>
    <col min="36" max="37" width="5.83203125" style="143" customWidth="1"/>
    <col min="38" max="42" width="2.33203125" style="143" customWidth="1"/>
    <col min="43" max="16384" width="8.83203125" style="143"/>
  </cols>
  <sheetData>
    <row r="1" spans="1:42" x14ac:dyDescent="0.15">
      <c r="A1" s="142" t="s">
        <v>19</v>
      </c>
      <c r="B1" s="180" t="s">
        <v>192</v>
      </c>
      <c r="C1" s="180" t="s">
        <v>193</v>
      </c>
      <c r="D1" s="180" t="s">
        <v>194</v>
      </c>
      <c r="E1" s="180" t="s">
        <v>195</v>
      </c>
      <c r="F1" s="180" t="s">
        <v>196</v>
      </c>
      <c r="G1" s="180" t="s">
        <v>197</v>
      </c>
      <c r="H1" s="180" t="s">
        <v>198</v>
      </c>
      <c r="I1" s="180" t="s">
        <v>199</v>
      </c>
      <c r="J1" s="180" t="s">
        <v>200</v>
      </c>
      <c r="K1" s="180" t="s">
        <v>201</v>
      </c>
      <c r="L1" s="180" t="s">
        <v>202</v>
      </c>
      <c r="M1" s="180" t="s">
        <v>203</v>
      </c>
      <c r="N1" s="180" t="s">
        <v>204</v>
      </c>
      <c r="O1" s="180" t="s">
        <v>205</v>
      </c>
      <c r="P1" s="180" t="s">
        <v>206</v>
      </c>
      <c r="Q1" s="180" t="s">
        <v>207</v>
      </c>
      <c r="R1" s="180" t="s">
        <v>208</v>
      </c>
      <c r="S1" s="180" t="s">
        <v>209</v>
      </c>
      <c r="T1" s="180" t="s">
        <v>210</v>
      </c>
      <c r="U1" s="180" t="s">
        <v>211</v>
      </c>
      <c r="V1" s="180" t="s">
        <v>212</v>
      </c>
      <c r="W1" s="180" t="s">
        <v>213</v>
      </c>
      <c r="X1" s="180" t="s">
        <v>214</v>
      </c>
      <c r="Y1" s="180" t="s">
        <v>215</v>
      </c>
      <c r="Z1" s="180" t="s">
        <v>216</v>
      </c>
      <c r="AA1" s="180" t="s">
        <v>217</v>
      </c>
      <c r="AB1" s="180" t="s">
        <v>218</v>
      </c>
      <c r="AC1" s="180" t="s">
        <v>219</v>
      </c>
      <c r="AD1" s="180" t="s">
        <v>220</v>
      </c>
      <c r="AE1" s="180" t="s">
        <v>221</v>
      </c>
      <c r="AF1" s="180" t="s">
        <v>222</v>
      </c>
      <c r="AG1" s="180" t="s">
        <v>223</v>
      </c>
      <c r="AH1" s="180" t="s">
        <v>224</v>
      </c>
      <c r="AI1" s="180" t="s">
        <v>225</v>
      </c>
      <c r="AJ1" s="180" t="s">
        <v>226</v>
      </c>
      <c r="AK1" s="180" t="s">
        <v>227</v>
      </c>
      <c r="AL1" s="180" t="s">
        <v>228</v>
      </c>
      <c r="AM1" s="180" t="s">
        <v>229</v>
      </c>
      <c r="AN1" s="180" t="s">
        <v>230</v>
      </c>
      <c r="AO1" s="180" t="s">
        <v>231</v>
      </c>
      <c r="AP1" s="180" t="s">
        <v>232</v>
      </c>
    </row>
    <row r="2" spans="1:42" customFormat="1" x14ac:dyDescent="0.15">
      <c r="A2" s="179" t="s">
        <v>192</v>
      </c>
      <c r="B2" s="143">
        <v>0</v>
      </c>
      <c r="C2" s="143">
        <v>0</v>
      </c>
      <c r="D2" s="143">
        <v>0</v>
      </c>
      <c r="E2" s="143">
        <v>0</v>
      </c>
      <c r="F2" s="143">
        <v>0</v>
      </c>
      <c r="G2" s="143">
        <v>0</v>
      </c>
      <c r="H2" s="143">
        <v>0</v>
      </c>
      <c r="I2" s="143">
        <v>0</v>
      </c>
      <c r="J2" s="143">
        <v>0</v>
      </c>
      <c r="K2" s="143">
        <v>0</v>
      </c>
      <c r="L2" s="143">
        <v>0</v>
      </c>
      <c r="M2" s="143">
        <v>0</v>
      </c>
      <c r="N2" s="143">
        <v>0</v>
      </c>
      <c r="O2" s="143">
        <v>0</v>
      </c>
      <c r="P2" s="143">
        <v>0</v>
      </c>
      <c r="Q2" s="143">
        <v>0</v>
      </c>
      <c r="R2" s="143">
        <v>0</v>
      </c>
      <c r="S2" s="143">
        <v>0</v>
      </c>
      <c r="T2" s="143">
        <v>0</v>
      </c>
      <c r="U2" s="143">
        <v>0</v>
      </c>
      <c r="V2" s="143">
        <v>0</v>
      </c>
      <c r="W2" s="143">
        <v>0</v>
      </c>
      <c r="X2" s="143">
        <v>0</v>
      </c>
      <c r="Y2" s="143">
        <v>0</v>
      </c>
      <c r="Z2" s="143">
        <v>0</v>
      </c>
      <c r="AA2" s="143">
        <v>0</v>
      </c>
      <c r="AB2" s="143">
        <v>0</v>
      </c>
      <c r="AC2" s="143">
        <v>0</v>
      </c>
      <c r="AD2" s="143">
        <v>0</v>
      </c>
      <c r="AE2" s="143">
        <v>0</v>
      </c>
      <c r="AF2" s="143">
        <v>0</v>
      </c>
      <c r="AG2" s="143">
        <v>0</v>
      </c>
      <c r="AH2" s="143">
        <v>0</v>
      </c>
      <c r="AI2" s="143">
        <v>0</v>
      </c>
      <c r="AJ2" s="143">
        <v>0</v>
      </c>
      <c r="AK2" s="143">
        <v>0</v>
      </c>
      <c r="AL2" s="143">
        <v>0</v>
      </c>
      <c r="AM2" s="143">
        <v>0</v>
      </c>
      <c r="AN2" s="143">
        <v>0</v>
      </c>
      <c r="AO2" s="143">
        <v>0</v>
      </c>
      <c r="AP2" s="143">
        <v>0</v>
      </c>
    </row>
    <row r="3" spans="1:42" customFormat="1" x14ac:dyDescent="0.15">
      <c r="A3" s="179" t="s">
        <v>193</v>
      </c>
      <c r="B3" s="143">
        <v>0</v>
      </c>
      <c r="C3" s="143">
        <v>4.9984282916441247E-3</v>
      </c>
      <c r="D3" s="143">
        <v>2.0011666948763259E-4</v>
      </c>
      <c r="E3" s="143">
        <v>0</v>
      </c>
      <c r="F3" s="143">
        <v>0</v>
      </c>
      <c r="G3" s="143">
        <v>1.0020880085018591E-3</v>
      </c>
      <c r="H3" s="143">
        <v>0</v>
      </c>
      <c r="I3" s="143">
        <v>0</v>
      </c>
      <c r="J3" s="143">
        <v>0</v>
      </c>
      <c r="K3" s="143">
        <v>0</v>
      </c>
      <c r="L3" s="143">
        <v>0</v>
      </c>
      <c r="M3" s="143">
        <v>0</v>
      </c>
      <c r="N3" s="143">
        <v>0</v>
      </c>
      <c r="O3" s="143">
        <v>0</v>
      </c>
      <c r="P3" s="143">
        <v>0</v>
      </c>
      <c r="Q3" s="143">
        <v>0</v>
      </c>
      <c r="R3" s="143">
        <v>0</v>
      </c>
      <c r="S3" s="143">
        <v>0</v>
      </c>
      <c r="T3" s="143">
        <v>0</v>
      </c>
      <c r="U3" s="143">
        <v>0</v>
      </c>
      <c r="V3" s="143">
        <v>0</v>
      </c>
      <c r="W3" s="143">
        <v>0</v>
      </c>
      <c r="X3" s="143">
        <v>0</v>
      </c>
      <c r="Y3" s="143">
        <v>0</v>
      </c>
      <c r="Z3" s="143">
        <v>0</v>
      </c>
      <c r="AA3" s="143">
        <v>0</v>
      </c>
      <c r="AB3" s="143">
        <v>0</v>
      </c>
      <c r="AC3" s="143">
        <v>0</v>
      </c>
      <c r="AD3" s="143">
        <v>0</v>
      </c>
      <c r="AE3" s="143">
        <v>0</v>
      </c>
      <c r="AF3" s="143">
        <v>0</v>
      </c>
      <c r="AG3" s="143">
        <v>0</v>
      </c>
      <c r="AH3" s="143">
        <v>0</v>
      </c>
      <c r="AI3" s="143">
        <v>0</v>
      </c>
      <c r="AJ3" s="143">
        <v>0</v>
      </c>
      <c r="AK3" s="143">
        <v>0</v>
      </c>
      <c r="AL3" s="143">
        <v>0</v>
      </c>
      <c r="AM3" s="143">
        <v>0</v>
      </c>
      <c r="AN3" s="143">
        <v>0</v>
      </c>
      <c r="AO3" s="143">
        <v>0</v>
      </c>
      <c r="AP3" s="143">
        <v>0</v>
      </c>
    </row>
    <row r="4" spans="1:42" customFormat="1" x14ac:dyDescent="0.15">
      <c r="A4" s="179" t="s">
        <v>194</v>
      </c>
      <c r="B4" s="143">
        <v>0</v>
      </c>
      <c r="C4" s="143">
        <v>9.9968565732882521E-3</v>
      </c>
      <c r="D4" s="143">
        <v>0</v>
      </c>
      <c r="E4" s="143">
        <v>0</v>
      </c>
      <c r="F4" s="143">
        <v>0</v>
      </c>
      <c r="G4" s="143">
        <v>0</v>
      </c>
      <c r="H4" s="143">
        <v>0</v>
      </c>
      <c r="I4" s="143">
        <v>0</v>
      </c>
      <c r="J4" s="143">
        <v>0</v>
      </c>
      <c r="K4" s="143">
        <v>0</v>
      </c>
      <c r="L4" s="143">
        <v>0</v>
      </c>
      <c r="M4" s="143">
        <v>0</v>
      </c>
      <c r="N4" s="143">
        <v>0</v>
      </c>
      <c r="O4" s="143">
        <v>0</v>
      </c>
      <c r="P4" s="143">
        <v>0</v>
      </c>
      <c r="Q4" s="143">
        <v>0</v>
      </c>
      <c r="R4" s="143">
        <v>0</v>
      </c>
      <c r="S4" s="143">
        <v>0</v>
      </c>
      <c r="T4" s="143">
        <v>0</v>
      </c>
      <c r="U4" s="143">
        <v>0</v>
      </c>
      <c r="V4" s="143">
        <v>0</v>
      </c>
      <c r="W4" s="143">
        <v>0</v>
      </c>
      <c r="X4" s="143">
        <v>0</v>
      </c>
      <c r="Y4" s="143">
        <v>0</v>
      </c>
      <c r="Z4" s="143">
        <v>0</v>
      </c>
      <c r="AA4" s="143">
        <v>0</v>
      </c>
      <c r="AB4" s="143">
        <v>0</v>
      </c>
      <c r="AC4" s="143">
        <v>0</v>
      </c>
      <c r="AD4" s="143">
        <v>0</v>
      </c>
      <c r="AE4" s="143">
        <v>0</v>
      </c>
      <c r="AF4" s="143">
        <v>0</v>
      </c>
      <c r="AG4" s="143">
        <v>0</v>
      </c>
      <c r="AH4" s="143">
        <v>0</v>
      </c>
      <c r="AI4" s="143">
        <v>0</v>
      </c>
      <c r="AJ4" s="143">
        <v>0</v>
      </c>
      <c r="AK4" s="143">
        <v>0</v>
      </c>
      <c r="AL4" s="143">
        <v>0</v>
      </c>
      <c r="AM4" s="143">
        <v>0</v>
      </c>
      <c r="AN4" s="143">
        <v>0</v>
      </c>
      <c r="AO4" s="143">
        <v>0</v>
      </c>
      <c r="AP4" s="143">
        <v>0</v>
      </c>
    </row>
    <row r="5" spans="1:42" customFormat="1" x14ac:dyDescent="0.15">
      <c r="A5" s="179" t="s">
        <v>195</v>
      </c>
      <c r="B5" s="143">
        <v>0</v>
      </c>
      <c r="C5" s="143">
        <v>0</v>
      </c>
      <c r="D5" s="143">
        <v>0</v>
      </c>
      <c r="E5" s="143">
        <v>0</v>
      </c>
      <c r="F5" s="143">
        <v>0</v>
      </c>
      <c r="G5" s="143">
        <v>0</v>
      </c>
      <c r="H5" s="143">
        <v>0</v>
      </c>
      <c r="I5" s="143">
        <v>0</v>
      </c>
      <c r="J5" s="143">
        <v>0</v>
      </c>
      <c r="K5" s="143">
        <v>0</v>
      </c>
      <c r="L5" s="143">
        <v>0</v>
      </c>
      <c r="M5" s="143">
        <v>0</v>
      </c>
      <c r="N5" s="143">
        <v>0</v>
      </c>
      <c r="O5" s="143">
        <v>0</v>
      </c>
      <c r="P5" s="143">
        <v>0</v>
      </c>
      <c r="Q5" s="143">
        <v>0</v>
      </c>
      <c r="R5" s="143">
        <v>0</v>
      </c>
      <c r="S5" s="143">
        <v>0</v>
      </c>
      <c r="T5" s="143">
        <v>0</v>
      </c>
      <c r="U5" s="143">
        <v>0</v>
      </c>
      <c r="V5" s="143">
        <v>0</v>
      </c>
      <c r="W5" s="143">
        <v>0</v>
      </c>
      <c r="X5" s="143">
        <v>0</v>
      </c>
      <c r="Y5" s="143">
        <v>0</v>
      </c>
      <c r="Z5" s="143">
        <v>0</v>
      </c>
      <c r="AA5" s="143">
        <v>0</v>
      </c>
      <c r="AB5" s="143">
        <v>0</v>
      </c>
      <c r="AC5" s="143">
        <v>0</v>
      </c>
      <c r="AD5" s="143">
        <v>0</v>
      </c>
      <c r="AE5" s="143">
        <v>0</v>
      </c>
      <c r="AF5" s="143">
        <v>0</v>
      </c>
      <c r="AG5" s="143">
        <v>0</v>
      </c>
      <c r="AH5" s="143">
        <v>0</v>
      </c>
      <c r="AI5" s="143">
        <v>0</v>
      </c>
      <c r="AJ5" s="143">
        <v>0</v>
      </c>
      <c r="AK5" s="143">
        <v>0</v>
      </c>
      <c r="AL5" s="143">
        <v>0</v>
      </c>
      <c r="AM5" s="143">
        <v>0</v>
      </c>
      <c r="AN5" s="143">
        <v>0</v>
      </c>
      <c r="AO5" s="143">
        <v>0</v>
      </c>
      <c r="AP5" s="143">
        <v>0</v>
      </c>
    </row>
    <row r="6" spans="1:42" customFormat="1" x14ac:dyDescent="0.15">
      <c r="A6" s="179" t="s">
        <v>196</v>
      </c>
      <c r="B6" s="143">
        <v>6.0011760480486662E-2</v>
      </c>
      <c r="C6" s="143">
        <v>1.0000177682983705E-2</v>
      </c>
      <c r="D6" s="143">
        <v>0.12020813955303881</v>
      </c>
      <c r="E6" s="143">
        <v>1.4054378307075772E-2</v>
      </c>
      <c r="F6" s="143">
        <v>0</v>
      </c>
      <c r="G6" s="143">
        <v>0</v>
      </c>
      <c r="H6" s="143">
        <v>0</v>
      </c>
      <c r="I6" s="143">
        <v>0</v>
      </c>
      <c r="J6" s="143">
        <v>0</v>
      </c>
      <c r="K6" s="143">
        <v>0</v>
      </c>
      <c r="L6" s="143">
        <v>0</v>
      </c>
      <c r="M6" s="143">
        <v>0</v>
      </c>
      <c r="N6" s="143">
        <v>0</v>
      </c>
      <c r="O6" s="143">
        <v>0</v>
      </c>
      <c r="P6" s="143">
        <v>0</v>
      </c>
      <c r="Q6" s="143">
        <v>0</v>
      </c>
      <c r="R6" s="143">
        <v>0</v>
      </c>
      <c r="S6" s="143">
        <v>0</v>
      </c>
      <c r="T6" s="143">
        <v>0</v>
      </c>
      <c r="U6" s="143">
        <v>0</v>
      </c>
      <c r="V6" s="143">
        <v>0</v>
      </c>
      <c r="W6" s="143">
        <v>0</v>
      </c>
      <c r="X6" s="143">
        <v>0</v>
      </c>
      <c r="Y6" s="143">
        <v>0</v>
      </c>
      <c r="Z6" s="143">
        <v>0</v>
      </c>
      <c r="AA6" s="143">
        <v>0</v>
      </c>
      <c r="AB6" s="143">
        <v>0</v>
      </c>
      <c r="AC6" s="143">
        <v>0</v>
      </c>
      <c r="AD6" s="143">
        <v>0</v>
      </c>
      <c r="AE6" s="143">
        <v>0</v>
      </c>
      <c r="AF6" s="143">
        <v>0</v>
      </c>
      <c r="AG6" s="143">
        <v>0</v>
      </c>
      <c r="AH6" s="143">
        <v>0</v>
      </c>
      <c r="AI6" s="143">
        <v>0</v>
      </c>
      <c r="AJ6" s="143">
        <v>0</v>
      </c>
      <c r="AK6" s="143">
        <v>0</v>
      </c>
      <c r="AL6" s="143">
        <v>0</v>
      </c>
      <c r="AM6" s="143">
        <v>0</v>
      </c>
      <c r="AN6" s="143">
        <v>0</v>
      </c>
      <c r="AO6" s="143">
        <v>0</v>
      </c>
      <c r="AP6" s="143">
        <v>0</v>
      </c>
    </row>
    <row r="7" spans="1:42" customFormat="1" x14ac:dyDescent="0.15">
      <c r="A7" s="179" t="s">
        <v>197</v>
      </c>
      <c r="B7" s="143">
        <v>0.25675038879284556</v>
      </c>
      <c r="C7" s="143">
        <v>5.7277212247679635E-2</v>
      </c>
      <c r="D7" s="143">
        <v>2.4006791220973871E-2</v>
      </c>
      <c r="E7" s="143">
        <v>9.6372874848519335E-2</v>
      </c>
      <c r="F7" s="143">
        <v>0</v>
      </c>
      <c r="G7" s="143">
        <v>5.4746536640205054E-2</v>
      </c>
      <c r="H7" s="143">
        <v>2.605487308907092E-2</v>
      </c>
      <c r="I7" s="143">
        <v>0</v>
      </c>
      <c r="J7" s="143">
        <v>0</v>
      </c>
      <c r="K7" s="143">
        <v>0</v>
      </c>
      <c r="L7" s="143">
        <v>0</v>
      </c>
      <c r="M7" s="143">
        <v>0</v>
      </c>
      <c r="N7" s="143">
        <v>0</v>
      </c>
      <c r="O7" s="143">
        <v>0</v>
      </c>
      <c r="P7" s="143">
        <v>0</v>
      </c>
      <c r="Q7" s="143">
        <v>0</v>
      </c>
      <c r="R7" s="143">
        <v>0</v>
      </c>
      <c r="S7" s="143">
        <v>0</v>
      </c>
      <c r="T7" s="143">
        <v>0</v>
      </c>
      <c r="U7" s="143">
        <v>0</v>
      </c>
      <c r="V7" s="143">
        <v>0</v>
      </c>
      <c r="W7" s="143">
        <v>0</v>
      </c>
      <c r="X7" s="143">
        <v>0</v>
      </c>
      <c r="Y7" s="143">
        <v>0</v>
      </c>
      <c r="Z7" s="143">
        <v>0</v>
      </c>
      <c r="AA7" s="143">
        <v>0</v>
      </c>
      <c r="AB7" s="143">
        <v>0</v>
      </c>
      <c r="AC7" s="143">
        <v>0</v>
      </c>
      <c r="AD7" s="143">
        <v>0</v>
      </c>
      <c r="AE7" s="143">
        <v>0</v>
      </c>
      <c r="AF7" s="143">
        <v>0</v>
      </c>
      <c r="AG7" s="143">
        <v>0</v>
      </c>
      <c r="AH7" s="143">
        <v>0</v>
      </c>
      <c r="AI7" s="143">
        <v>0</v>
      </c>
      <c r="AJ7" s="143">
        <v>0</v>
      </c>
      <c r="AK7" s="143">
        <v>0</v>
      </c>
      <c r="AL7" s="143">
        <v>0</v>
      </c>
      <c r="AM7" s="143">
        <v>0</v>
      </c>
      <c r="AN7" s="143">
        <v>0</v>
      </c>
      <c r="AO7" s="143">
        <v>0</v>
      </c>
      <c r="AP7" s="143">
        <v>0</v>
      </c>
    </row>
    <row r="8" spans="1:42" customFormat="1" x14ac:dyDescent="0.15">
      <c r="A8" s="179" t="s">
        <v>198</v>
      </c>
      <c r="B8" s="143">
        <v>9.0717796040168219E-2</v>
      </c>
      <c r="C8" s="143">
        <v>5.1121965312115783E-2</v>
      </c>
      <c r="D8" s="143">
        <v>0.1101734793208838</v>
      </c>
      <c r="E8" s="143">
        <v>3.2124293716173216E-2</v>
      </c>
      <c r="F8" s="143">
        <v>0</v>
      </c>
      <c r="G8" s="143">
        <v>0.10015831985328393</v>
      </c>
      <c r="H8" s="143">
        <v>0</v>
      </c>
      <c r="I8" s="143">
        <v>0</v>
      </c>
      <c r="J8" s="143">
        <v>0</v>
      </c>
      <c r="K8" s="143">
        <v>0</v>
      </c>
      <c r="L8" s="143">
        <v>0</v>
      </c>
      <c r="M8" s="143">
        <v>0</v>
      </c>
      <c r="N8" s="143">
        <v>0</v>
      </c>
      <c r="O8" s="143">
        <v>0</v>
      </c>
      <c r="P8" s="143">
        <v>0</v>
      </c>
      <c r="Q8" s="143">
        <v>0</v>
      </c>
      <c r="R8" s="143">
        <v>0</v>
      </c>
      <c r="S8" s="143">
        <v>0</v>
      </c>
      <c r="T8" s="143">
        <v>0</v>
      </c>
      <c r="U8" s="143">
        <v>0</v>
      </c>
      <c r="V8" s="143">
        <v>0</v>
      </c>
      <c r="W8" s="143">
        <v>0</v>
      </c>
      <c r="X8" s="143">
        <v>0</v>
      </c>
      <c r="Y8" s="143">
        <v>0</v>
      </c>
      <c r="Z8" s="143">
        <v>0</v>
      </c>
      <c r="AA8" s="143">
        <v>0</v>
      </c>
      <c r="AB8" s="143">
        <v>0</v>
      </c>
      <c r="AC8" s="143">
        <v>0</v>
      </c>
      <c r="AD8" s="143">
        <v>0</v>
      </c>
      <c r="AE8" s="143">
        <v>0</v>
      </c>
      <c r="AF8" s="143">
        <v>0</v>
      </c>
      <c r="AG8" s="143">
        <v>0</v>
      </c>
      <c r="AH8" s="143">
        <v>0</v>
      </c>
      <c r="AI8" s="143">
        <v>0</v>
      </c>
      <c r="AJ8" s="143">
        <v>0</v>
      </c>
      <c r="AK8" s="143">
        <v>0</v>
      </c>
      <c r="AL8" s="143">
        <v>0</v>
      </c>
      <c r="AM8" s="143">
        <v>0</v>
      </c>
      <c r="AN8" s="143">
        <v>0</v>
      </c>
      <c r="AO8" s="143">
        <v>0</v>
      </c>
      <c r="AP8" s="143">
        <v>0</v>
      </c>
    </row>
    <row r="9" spans="1:42" customFormat="1" x14ac:dyDescent="0.15">
      <c r="A9" s="179" t="s">
        <v>199</v>
      </c>
      <c r="B9" s="143">
        <v>0</v>
      </c>
      <c r="C9" s="143">
        <v>0</v>
      </c>
      <c r="D9" s="143">
        <v>0</v>
      </c>
      <c r="E9" s="143">
        <v>0</v>
      </c>
      <c r="F9" s="143">
        <v>0</v>
      </c>
      <c r="G9" s="143">
        <v>0</v>
      </c>
      <c r="H9" s="143">
        <v>0</v>
      </c>
      <c r="I9" s="143">
        <v>0</v>
      </c>
      <c r="J9" s="143">
        <v>0</v>
      </c>
      <c r="K9" s="143">
        <v>0</v>
      </c>
      <c r="L9" s="143">
        <v>0</v>
      </c>
      <c r="M9" s="143">
        <v>0</v>
      </c>
      <c r="N9" s="143">
        <v>0</v>
      </c>
      <c r="O9" s="143">
        <v>0</v>
      </c>
      <c r="P9" s="143">
        <v>0</v>
      </c>
      <c r="Q9" s="143">
        <v>0</v>
      </c>
      <c r="R9" s="143">
        <v>0</v>
      </c>
      <c r="S9" s="143">
        <v>0</v>
      </c>
      <c r="T9" s="143">
        <v>0</v>
      </c>
      <c r="U9" s="143">
        <v>0</v>
      </c>
      <c r="V9" s="143">
        <v>0</v>
      </c>
      <c r="W9" s="143">
        <v>0</v>
      </c>
      <c r="X9" s="143">
        <v>0</v>
      </c>
      <c r="Y9" s="143">
        <v>0</v>
      </c>
      <c r="Z9" s="143">
        <v>0</v>
      </c>
      <c r="AA9" s="143">
        <v>0</v>
      </c>
      <c r="AB9" s="143">
        <v>0</v>
      </c>
      <c r="AC9" s="143">
        <v>0</v>
      </c>
      <c r="AD9" s="143">
        <v>0</v>
      </c>
      <c r="AE9" s="143">
        <v>0</v>
      </c>
      <c r="AF9" s="143">
        <v>0</v>
      </c>
      <c r="AG9" s="143">
        <v>0</v>
      </c>
      <c r="AH9" s="143">
        <v>0</v>
      </c>
      <c r="AI9" s="143">
        <v>0</v>
      </c>
      <c r="AJ9" s="143">
        <v>0</v>
      </c>
      <c r="AK9" s="143">
        <v>0</v>
      </c>
      <c r="AL9" s="143">
        <v>0</v>
      </c>
      <c r="AM9" s="143">
        <v>0</v>
      </c>
      <c r="AN9" s="143">
        <v>0</v>
      </c>
      <c r="AO9" s="143">
        <v>0</v>
      </c>
      <c r="AP9" s="143">
        <v>0</v>
      </c>
    </row>
    <row r="10" spans="1:42" customFormat="1" x14ac:dyDescent="0.15">
      <c r="A10" s="179" t="s">
        <v>200</v>
      </c>
      <c r="B10" s="143">
        <v>0</v>
      </c>
      <c r="C10" s="143">
        <v>0</v>
      </c>
      <c r="D10" s="143">
        <v>0</v>
      </c>
      <c r="E10" s="143">
        <v>0</v>
      </c>
      <c r="F10" s="143">
        <v>0</v>
      </c>
      <c r="G10" s="143">
        <v>0</v>
      </c>
      <c r="H10" s="143">
        <v>0</v>
      </c>
      <c r="I10" s="143">
        <v>0</v>
      </c>
      <c r="J10" s="143">
        <v>0</v>
      </c>
      <c r="K10" s="143">
        <v>0</v>
      </c>
      <c r="L10" s="143">
        <v>0</v>
      </c>
      <c r="M10" s="143">
        <v>0</v>
      </c>
      <c r="N10" s="143">
        <v>0</v>
      </c>
      <c r="O10" s="143">
        <v>0</v>
      </c>
      <c r="P10" s="143">
        <v>0</v>
      </c>
      <c r="Q10" s="143">
        <v>0</v>
      </c>
      <c r="R10" s="143">
        <v>0</v>
      </c>
      <c r="S10" s="143">
        <v>0</v>
      </c>
      <c r="T10" s="143">
        <v>0</v>
      </c>
      <c r="U10" s="143">
        <v>0</v>
      </c>
      <c r="V10" s="143">
        <v>0</v>
      </c>
      <c r="W10" s="143">
        <v>0</v>
      </c>
      <c r="X10" s="143">
        <v>0</v>
      </c>
      <c r="Y10" s="143">
        <v>0</v>
      </c>
      <c r="Z10" s="143">
        <v>0</v>
      </c>
      <c r="AA10" s="143">
        <v>0</v>
      </c>
      <c r="AB10" s="143">
        <v>0</v>
      </c>
      <c r="AC10" s="143">
        <v>0</v>
      </c>
      <c r="AD10" s="143">
        <v>0</v>
      </c>
      <c r="AE10" s="143">
        <v>0</v>
      </c>
      <c r="AF10" s="143">
        <v>0</v>
      </c>
      <c r="AG10" s="143">
        <v>0</v>
      </c>
      <c r="AH10" s="143">
        <v>0</v>
      </c>
      <c r="AI10" s="143">
        <v>0</v>
      </c>
      <c r="AJ10" s="143">
        <v>0</v>
      </c>
      <c r="AK10" s="143">
        <v>0</v>
      </c>
      <c r="AL10" s="143">
        <v>0</v>
      </c>
      <c r="AM10" s="143">
        <v>0</v>
      </c>
      <c r="AN10" s="143">
        <v>0</v>
      </c>
      <c r="AO10" s="143">
        <v>0</v>
      </c>
      <c r="AP10" s="143">
        <v>0</v>
      </c>
    </row>
    <row r="11" spans="1:42" customFormat="1" x14ac:dyDescent="0.15">
      <c r="A11" s="179" t="s">
        <v>201</v>
      </c>
      <c r="B11" s="143">
        <v>0</v>
      </c>
      <c r="C11" s="143">
        <v>1.9993713166576499E-2</v>
      </c>
      <c r="D11" s="143">
        <v>1.1720295056778896E-2</v>
      </c>
      <c r="E11" s="143">
        <v>5.1198090175775916E-2</v>
      </c>
      <c r="F11" s="143">
        <v>0</v>
      </c>
      <c r="G11" s="143">
        <v>0</v>
      </c>
      <c r="H11" s="143">
        <v>0</v>
      </c>
      <c r="I11" s="143">
        <v>2.000032815401237E-2</v>
      </c>
      <c r="J11" s="143">
        <v>2.9000000000000001E-2</v>
      </c>
      <c r="K11" s="143">
        <v>1.9999411826028646E-2</v>
      </c>
      <c r="L11" s="143">
        <v>0</v>
      </c>
      <c r="M11" s="143">
        <v>4.0000003391999731E-2</v>
      </c>
      <c r="N11" s="143">
        <v>4.804875623266136E-2</v>
      </c>
      <c r="O11" s="143">
        <v>0</v>
      </c>
      <c r="P11" s="143">
        <v>0</v>
      </c>
      <c r="Q11" s="143">
        <v>0</v>
      </c>
      <c r="R11" s="143">
        <v>0</v>
      </c>
      <c r="S11" s="143">
        <v>0</v>
      </c>
      <c r="T11" s="143">
        <v>0</v>
      </c>
      <c r="U11" s="143">
        <v>0.01</v>
      </c>
      <c r="V11" s="143">
        <v>0</v>
      </c>
      <c r="W11" s="143">
        <v>0</v>
      </c>
      <c r="X11" s="143">
        <v>0</v>
      </c>
      <c r="Y11" s="143">
        <v>0</v>
      </c>
      <c r="Z11" s="143">
        <v>0</v>
      </c>
      <c r="AA11" s="143">
        <v>0</v>
      </c>
      <c r="AB11" s="143">
        <v>0</v>
      </c>
      <c r="AC11" s="143">
        <v>0</v>
      </c>
      <c r="AD11" s="143">
        <v>0</v>
      </c>
      <c r="AE11" s="143">
        <v>0</v>
      </c>
      <c r="AF11" s="143">
        <v>0</v>
      </c>
      <c r="AG11" s="143">
        <v>0</v>
      </c>
      <c r="AH11" s="143">
        <v>0</v>
      </c>
      <c r="AI11" s="143">
        <v>0</v>
      </c>
      <c r="AJ11" s="143">
        <v>0</v>
      </c>
      <c r="AK11" s="143">
        <v>0</v>
      </c>
      <c r="AL11" s="143">
        <v>0</v>
      </c>
      <c r="AM11" s="143">
        <v>0</v>
      </c>
      <c r="AN11" s="143">
        <v>0</v>
      </c>
      <c r="AO11" s="143">
        <v>0</v>
      </c>
      <c r="AP11" s="143">
        <v>0</v>
      </c>
    </row>
    <row r="12" spans="1:42" customFormat="1" x14ac:dyDescent="0.15">
      <c r="A12" s="179" t="s">
        <v>202</v>
      </c>
      <c r="B12" s="143">
        <v>6.0011760480486662E-2</v>
      </c>
      <c r="C12" s="143">
        <v>0</v>
      </c>
      <c r="D12" s="143">
        <v>2.5023329967512498E-2</v>
      </c>
      <c r="E12" s="143">
        <v>0</v>
      </c>
      <c r="F12" s="143">
        <v>0</v>
      </c>
      <c r="G12" s="143">
        <v>0</v>
      </c>
      <c r="H12" s="143">
        <v>0</v>
      </c>
      <c r="I12" s="143">
        <v>0</v>
      </c>
      <c r="J12" s="143">
        <v>0</v>
      </c>
      <c r="K12" s="143">
        <v>0</v>
      </c>
      <c r="L12" s="143">
        <v>0</v>
      </c>
      <c r="M12" s="143">
        <v>0</v>
      </c>
      <c r="N12" s="143">
        <v>0</v>
      </c>
      <c r="O12" s="143">
        <v>0</v>
      </c>
      <c r="P12" s="143">
        <v>0</v>
      </c>
      <c r="Q12" s="143">
        <v>0</v>
      </c>
      <c r="R12" s="143">
        <v>0</v>
      </c>
      <c r="S12" s="143">
        <v>0</v>
      </c>
      <c r="T12" s="143">
        <v>0</v>
      </c>
      <c r="U12" s="143">
        <v>0</v>
      </c>
      <c r="V12" s="143">
        <v>0</v>
      </c>
      <c r="W12" s="143">
        <v>0</v>
      </c>
      <c r="X12" s="143">
        <v>0</v>
      </c>
      <c r="Y12" s="143">
        <v>0</v>
      </c>
      <c r="Z12" s="143">
        <v>0</v>
      </c>
      <c r="AA12" s="143">
        <v>0</v>
      </c>
      <c r="AB12" s="143">
        <v>0</v>
      </c>
      <c r="AC12" s="143">
        <v>0</v>
      </c>
      <c r="AD12" s="143">
        <v>0</v>
      </c>
      <c r="AE12" s="143">
        <v>0</v>
      </c>
      <c r="AF12" s="143">
        <v>0</v>
      </c>
      <c r="AG12" s="143">
        <v>0</v>
      </c>
      <c r="AH12" s="143">
        <v>0</v>
      </c>
      <c r="AI12" s="143">
        <v>0</v>
      </c>
      <c r="AJ12" s="143">
        <v>0</v>
      </c>
      <c r="AK12" s="143">
        <v>0</v>
      </c>
      <c r="AL12" s="143">
        <v>0</v>
      </c>
      <c r="AM12" s="143">
        <v>0</v>
      </c>
      <c r="AN12" s="143">
        <v>0</v>
      </c>
      <c r="AO12" s="143">
        <v>0</v>
      </c>
      <c r="AP12" s="143">
        <v>0</v>
      </c>
    </row>
    <row r="13" spans="1:42" customFormat="1" x14ac:dyDescent="0.15">
      <c r="A13" s="179" t="s">
        <v>203</v>
      </c>
      <c r="B13" s="143">
        <v>0</v>
      </c>
      <c r="C13" s="143">
        <v>4.1199406222014449E-2</v>
      </c>
      <c r="D13" s="143">
        <v>2.5021328073908389E-2</v>
      </c>
      <c r="E13" s="143">
        <v>0</v>
      </c>
      <c r="F13" s="143">
        <v>9.9887205543032903E-2</v>
      </c>
      <c r="G13" s="143">
        <v>0</v>
      </c>
      <c r="H13" s="143">
        <v>0</v>
      </c>
      <c r="I13" s="143">
        <v>0</v>
      </c>
      <c r="J13" s="143">
        <v>0</v>
      </c>
      <c r="K13" s="143">
        <v>0</v>
      </c>
      <c r="L13" s="143">
        <v>0</v>
      </c>
      <c r="M13" s="143">
        <v>1.0000000797999937E-2</v>
      </c>
      <c r="N13" s="143">
        <v>0</v>
      </c>
      <c r="O13" s="143">
        <v>0</v>
      </c>
      <c r="P13" s="143">
        <v>0</v>
      </c>
      <c r="Q13" s="143">
        <v>0</v>
      </c>
      <c r="R13" s="143">
        <v>0</v>
      </c>
      <c r="S13" s="143">
        <v>0</v>
      </c>
      <c r="T13" s="143">
        <v>0</v>
      </c>
      <c r="U13" s="143">
        <v>0</v>
      </c>
      <c r="V13" s="143">
        <v>0</v>
      </c>
      <c r="W13" s="143">
        <v>0</v>
      </c>
      <c r="X13" s="143">
        <v>0</v>
      </c>
      <c r="Y13" s="143">
        <v>0</v>
      </c>
      <c r="Z13" s="143">
        <v>0</v>
      </c>
      <c r="AA13" s="143">
        <v>0</v>
      </c>
      <c r="AB13" s="143">
        <v>0</v>
      </c>
      <c r="AC13" s="143">
        <v>0</v>
      </c>
      <c r="AD13" s="143">
        <v>0</v>
      </c>
      <c r="AE13" s="143">
        <v>0</v>
      </c>
      <c r="AF13" s="143">
        <v>0</v>
      </c>
      <c r="AG13" s="143">
        <v>0</v>
      </c>
      <c r="AH13" s="143">
        <v>0</v>
      </c>
      <c r="AI13" s="143">
        <v>0</v>
      </c>
      <c r="AJ13" s="143">
        <v>0</v>
      </c>
      <c r="AK13" s="143">
        <v>0</v>
      </c>
      <c r="AL13" s="143">
        <v>0</v>
      </c>
      <c r="AM13" s="143">
        <v>0</v>
      </c>
      <c r="AN13" s="143">
        <v>0</v>
      </c>
      <c r="AO13" s="143">
        <v>0</v>
      </c>
      <c r="AP13" s="143">
        <v>0</v>
      </c>
    </row>
    <row r="14" spans="1:42" customFormat="1" x14ac:dyDescent="0.15">
      <c r="A14" s="179" t="s">
        <v>204</v>
      </c>
      <c r="B14" s="143">
        <v>0</v>
      </c>
      <c r="C14" s="143">
        <v>0</v>
      </c>
      <c r="D14" s="143">
        <v>3.9061506841172905E-2</v>
      </c>
      <c r="E14" s="143">
        <v>5.1198090175775916E-2</v>
      </c>
      <c r="F14" s="143">
        <v>8.776221608404992E-3</v>
      </c>
      <c r="G14" s="143">
        <v>5.0069992127204588E-2</v>
      </c>
      <c r="H14" s="143">
        <v>1.001919301125531E-2</v>
      </c>
      <c r="I14" s="143">
        <v>9.9991023769661597E-2</v>
      </c>
      <c r="J14" s="143">
        <v>0.05</v>
      </c>
      <c r="K14" s="143">
        <v>8.7813625723476424E-3</v>
      </c>
      <c r="L14" s="143">
        <v>0</v>
      </c>
      <c r="M14" s="143">
        <v>4.9999995990000323E-2</v>
      </c>
      <c r="N14" s="143">
        <v>8.704049860996323E-3</v>
      </c>
      <c r="O14" s="143">
        <v>5.0027463381880268E-3</v>
      </c>
      <c r="P14" s="143">
        <v>0</v>
      </c>
      <c r="Q14" s="143">
        <v>0</v>
      </c>
      <c r="R14" s="143">
        <v>0</v>
      </c>
      <c r="S14" s="143">
        <v>0</v>
      </c>
      <c r="T14" s="143">
        <v>0</v>
      </c>
      <c r="U14" s="143">
        <v>0.01</v>
      </c>
      <c r="V14" s="143">
        <v>0</v>
      </c>
      <c r="W14" s="143">
        <v>0</v>
      </c>
      <c r="X14" s="143">
        <v>0</v>
      </c>
      <c r="Y14" s="143">
        <v>0</v>
      </c>
      <c r="Z14" s="143">
        <v>0</v>
      </c>
      <c r="AA14" s="143">
        <v>0</v>
      </c>
      <c r="AB14" s="143">
        <v>0</v>
      </c>
      <c r="AC14" s="143">
        <v>0</v>
      </c>
      <c r="AD14" s="143">
        <v>0</v>
      </c>
      <c r="AE14" s="143">
        <v>0</v>
      </c>
      <c r="AF14" s="143">
        <v>0</v>
      </c>
      <c r="AG14" s="143">
        <v>0</v>
      </c>
      <c r="AH14" s="143">
        <v>0</v>
      </c>
      <c r="AI14" s="143">
        <v>0</v>
      </c>
      <c r="AJ14" s="143">
        <v>0</v>
      </c>
      <c r="AK14" s="143">
        <v>0</v>
      </c>
      <c r="AL14" s="143">
        <v>0</v>
      </c>
      <c r="AM14" s="143">
        <v>0</v>
      </c>
      <c r="AN14" s="143">
        <v>0</v>
      </c>
      <c r="AO14" s="143">
        <v>0</v>
      </c>
      <c r="AP14" s="143">
        <v>0</v>
      </c>
    </row>
    <row r="15" spans="1:42" customFormat="1" x14ac:dyDescent="0.15">
      <c r="A15" s="179" t="s">
        <v>205</v>
      </c>
      <c r="B15" s="143">
        <v>0</v>
      </c>
      <c r="C15" s="143">
        <v>5.0243165392701732E-2</v>
      </c>
      <c r="D15" s="143">
        <v>1.0002830083839819E-3</v>
      </c>
      <c r="E15" s="143">
        <v>0</v>
      </c>
      <c r="F15" s="143">
        <v>0</v>
      </c>
      <c r="G15" s="143">
        <v>0</v>
      </c>
      <c r="H15" s="143">
        <v>0</v>
      </c>
      <c r="I15" s="143">
        <v>0</v>
      </c>
      <c r="J15" s="143">
        <v>0</v>
      </c>
      <c r="K15" s="143">
        <v>9.9997055130143422E-3</v>
      </c>
      <c r="L15" s="143">
        <v>0</v>
      </c>
      <c r="M15" s="143">
        <v>0</v>
      </c>
      <c r="N15" s="143">
        <v>0</v>
      </c>
      <c r="O15" s="143">
        <v>0</v>
      </c>
      <c r="P15" s="143">
        <v>0</v>
      </c>
      <c r="Q15" s="143">
        <v>0</v>
      </c>
      <c r="R15" s="143">
        <v>0</v>
      </c>
      <c r="S15" s="143">
        <v>0</v>
      </c>
      <c r="T15" s="143">
        <v>0</v>
      </c>
      <c r="U15" s="143">
        <v>0</v>
      </c>
      <c r="V15" s="143">
        <v>0</v>
      </c>
      <c r="W15" s="143">
        <v>0</v>
      </c>
      <c r="X15" s="143">
        <v>0</v>
      </c>
      <c r="Y15" s="143">
        <v>0</v>
      </c>
      <c r="Z15" s="143">
        <v>0</v>
      </c>
      <c r="AA15" s="143">
        <v>0</v>
      </c>
      <c r="AB15" s="143">
        <v>0</v>
      </c>
      <c r="AC15" s="143">
        <v>0</v>
      </c>
      <c r="AD15" s="143">
        <v>0</v>
      </c>
      <c r="AE15" s="143">
        <v>0</v>
      </c>
      <c r="AF15" s="143">
        <v>0</v>
      </c>
      <c r="AG15" s="143">
        <v>0</v>
      </c>
      <c r="AH15" s="143">
        <v>0</v>
      </c>
      <c r="AI15" s="143">
        <v>0</v>
      </c>
      <c r="AJ15" s="143">
        <v>0</v>
      </c>
      <c r="AK15" s="143">
        <v>0</v>
      </c>
      <c r="AL15" s="143">
        <v>0</v>
      </c>
      <c r="AM15" s="143">
        <v>0</v>
      </c>
      <c r="AN15" s="143">
        <v>0</v>
      </c>
      <c r="AO15" s="143">
        <v>0</v>
      </c>
      <c r="AP15" s="143">
        <v>0</v>
      </c>
    </row>
    <row r="16" spans="1:42" customFormat="1" x14ac:dyDescent="0.15">
      <c r="A16" s="179" t="s">
        <v>206</v>
      </c>
      <c r="B16" s="143">
        <v>2.9008590233775042E-2</v>
      </c>
      <c r="C16" s="143">
        <v>6.0291780171243758E-2</v>
      </c>
      <c r="D16" s="143">
        <v>7.504877937268678E-2</v>
      </c>
      <c r="E16" s="143">
        <v>2.0077683610108263E-3</v>
      </c>
      <c r="F16" s="143">
        <v>0</v>
      </c>
      <c r="G16" s="143">
        <v>0</v>
      </c>
      <c r="H16" s="143">
        <v>1.3114617591152835E-2</v>
      </c>
      <c r="I16" s="143">
        <v>0</v>
      </c>
      <c r="J16" s="143">
        <v>0</v>
      </c>
      <c r="K16" s="143">
        <v>0</v>
      </c>
      <c r="L16" s="143">
        <v>0</v>
      </c>
      <c r="M16" s="143">
        <v>0</v>
      </c>
      <c r="N16" s="143">
        <v>0</v>
      </c>
      <c r="O16" s="143">
        <v>0</v>
      </c>
      <c r="P16" s="143">
        <v>0</v>
      </c>
      <c r="Q16" s="143">
        <v>0</v>
      </c>
      <c r="R16" s="143">
        <v>0</v>
      </c>
      <c r="S16" s="143">
        <v>0</v>
      </c>
      <c r="T16" s="143">
        <v>0</v>
      </c>
      <c r="U16" s="143">
        <v>0</v>
      </c>
      <c r="V16" s="143">
        <v>0</v>
      </c>
      <c r="W16" s="143">
        <v>0</v>
      </c>
      <c r="X16" s="143">
        <v>0</v>
      </c>
      <c r="Y16" s="143">
        <v>0</v>
      </c>
      <c r="Z16" s="143">
        <v>0</v>
      </c>
      <c r="AA16" s="143">
        <v>0</v>
      </c>
      <c r="AB16" s="143">
        <v>0</v>
      </c>
      <c r="AC16" s="143">
        <v>0</v>
      </c>
      <c r="AD16" s="143">
        <v>0</v>
      </c>
      <c r="AE16" s="143">
        <v>0</v>
      </c>
      <c r="AF16" s="143">
        <v>0</v>
      </c>
      <c r="AG16" s="143">
        <v>0</v>
      </c>
      <c r="AH16" s="143">
        <v>0</v>
      </c>
      <c r="AI16" s="143">
        <v>0</v>
      </c>
      <c r="AJ16" s="143">
        <v>0</v>
      </c>
      <c r="AK16" s="143">
        <v>0</v>
      </c>
      <c r="AL16" s="143">
        <v>0</v>
      </c>
      <c r="AM16" s="143">
        <v>0</v>
      </c>
      <c r="AN16" s="143">
        <v>0</v>
      </c>
      <c r="AO16" s="143">
        <v>0</v>
      </c>
      <c r="AP16" s="143">
        <v>0</v>
      </c>
    </row>
    <row r="17" spans="1:42" customFormat="1" x14ac:dyDescent="0.15">
      <c r="A17" s="179" t="s">
        <v>207</v>
      </c>
      <c r="B17" s="143">
        <v>0</v>
      </c>
      <c r="C17" s="143">
        <v>5.0243157992702408E-3</v>
      </c>
      <c r="D17" s="143">
        <v>1.2007805547839026E-2</v>
      </c>
      <c r="E17" s="143">
        <v>5.1198090175775916E-2</v>
      </c>
      <c r="F17" s="143">
        <v>0</v>
      </c>
      <c r="G17" s="143">
        <v>0</v>
      </c>
      <c r="H17" s="143">
        <v>1.3114617591152835E-2</v>
      </c>
      <c r="I17" s="143">
        <v>4.9988211884555586E-2</v>
      </c>
      <c r="J17" s="143">
        <v>0.04</v>
      </c>
      <c r="K17" s="143">
        <v>9.994825513251997E-3</v>
      </c>
      <c r="L17" s="143">
        <v>0</v>
      </c>
      <c r="M17" s="143">
        <v>4.9999995990000323E-2</v>
      </c>
      <c r="N17" s="143">
        <v>0</v>
      </c>
      <c r="O17" s="143">
        <v>0</v>
      </c>
      <c r="P17" s="143">
        <v>0</v>
      </c>
      <c r="Q17" s="143">
        <v>2.7992984942673644E-3</v>
      </c>
      <c r="R17" s="143">
        <v>0</v>
      </c>
      <c r="S17" s="143">
        <v>0</v>
      </c>
      <c r="T17" s="143">
        <v>0</v>
      </c>
      <c r="U17" s="143">
        <v>0.01</v>
      </c>
      <c r="V17" s="143">
        <v>0</v>
      </c>
      <c r="W17" s="143">
        <v>0</v>
      </c>
      <c r="X17" s="143">
        <v>0</v>
      </c>
      <c r="Y17" s="143">
        <v>0</v>
      </c>
      <c r="Z17" s="143">
        <v>0</v>
      </c>
      <c r="AA17" s="143">
        <v>0</v>
      </c>
      <c r="AB17" s="143">
        <v>0</v>
      </c>
      <c r="AC17" s="143">
        <v>0</v>
      </c>
      <c r="AD17" s="143">
        <v>0</v>
      </c>
      <c r="AE17" s="143">
        <v>0</v>
      </c>
      <c r="AF17" s="143">
        <v>0</v>
      </c>
      <c r="AG17" s="143">
        <v>0</v>
      </c>
      <c r="AH17" s="143">
        <v>0</v>
      </c>
      <c r="AI17" s="143">
        <v>0</v>
      </c>
      <c r="AJ17" s="143">
        <v>0</v>
      </c>
      <c r="AK17" s="143">
        <v>0</v>
      </c>
      <c r="AL17" s="143">
        <v>0</v>
      </c>
      <c r="AM17" s="143">
        <v>0</v>
      </c>
      <c r="AN17" s="143">
        <v>0</v>
      </c>
      <c r="AO17" s="143">
        <v>0</v>
      </c>
      <c r="AP17" s="143">
        <v>0</v>
      </c>
    </row>
    <row r="18" spans="1:42" customFormat="1" x14ac:dyDescent="0.15">
      <c r="A18" s="179" t="s">
        <v>208</v>
      </c>
      <c r="B18" s="143">
        <v>0</v>
      </c>
      <c r="C18" s="143">
        <v>4.0194526314161934E-2</v>
      </c>
      <c r="D18" s="143">
        <v>7.5070003805965638E-2</v>
      </c>
      <c r="E18" s="143">
        <v>0</v>
      </c>
      <c r="F18" s="143">
        <v>4.9693313982684333E-2</v>
      </c>
      <c r="G18" s="143">
        <v>2.1934678653868774E-2</v>
      </c>
      <c r="H18" s="143">
        <v>5.7245554078872496E-2</v>
      </c>
      <c r="I18" s="143">
        <v>0</v>
      </c>
      <c r="J18" s="143">
        <v>0</v>
      </c>
      <c r="K18" s="143">
        <v>4.9962242466838794E-2</v>
      </c>
      <c r="L18" s="143">
        <v>0</v>
      </c>
      <c r="M18" s="143">
        <v>0</v>
      </c>
      <c r="N18" s="143">
        <v>5.0048287200728854E-2</v>
      </c>
      <c r="O18" s="143">
        <v>0</v>
      </c>
      <c r="P18" s="143">
        <v>0</v>
      </c>
      <c r="Q18" s="143">
        <v>0</v>
      </c>
      <c r="R18" s="143">
        <v>0</v>
      </c>
      <c r="S18" s="143">
        <v>0</v>
      </c>
      <c r="T18" s="143">
        <v>0</v>
      </c>
      <c r="U18" s="143">
        <v>0.01</v>
      </c>
      <c r="V18" s="143">
        <v>0</v>
      </c>
      <c r="W18" s="143">
        <v>0</v>
      </c>
      <c r="X18" s="143">
        <v>0</v>
      </c>
      <c r="Y18" s="143">
        <v>0</v>
      </c>
      <c r="Z18" s="143">
        <v>0</v>
      </c>
      <c r="AA18" s="143">
        <v>0</v>
      </c>
      <c r="AB18" s="143">
        <v>0</v>
      </c>
      <c r="AC18" s="143">
        <v>0</v>
      </c>
      <c r="AD18" s="143">
        <v>0</v>
      </c>
      <c r="AE18" s="143">
        <v>0</v>
      </c>
      <c r="AF18" s="143">
        <v>0</v>
      </c>
      <c r="AG18" s="143">
        <v>0</v>
      </c>
      <c r="AH18" s="143">
        <v>0</v>
      </c>
      <c r="AI18" s="143">
        <v>0</v>
      </c>
      <c r="AJ18" s="143">
        <v>0</v>
      </c>
      <c r="AK18" s="143">
        <v>0</v>
      </c>
      <c r="AL18" s="143">
        <v>0</v>
      </c>
      <c r="AM18" s="143">
        <v>0</v>
      </c>
      <c r="AN18" s="143">
        <v>0</v>
      </c>
      <c r="AO18" s="143">
        <v>0</v>
      </c>
      <c r="AP18" s="143">
        <v>0</v>
      </c>
    </row>
    <row r="19" spans="1:42" customFormat="1" x14ac:dyDescent="0.15">
      <c r="A19" s="179" t="s">
        <v>209</v>
      </c>
      <c r="B19" s="143">
        <v>0</v>
      </c>
      <c r="C19" s="143">
        <v>5.0243165392701732E-2</v>
      </c>
      <c r="D19" s="143">
        <v>0</v>
      </c>
      <c r="E19" s="143">
        <v>0</v>
      </c>
      <c r="F19" s="143">
        <v>0</v>
      </c>
      <c r="G19" s="143">
        <v>2.7373268320102527E-2</v>
      </c>
      <c r="H19" s="143">
        <v>4.3715073003855166E-2</v>
      </c>
      <c r="I19" s="143">
        <v>0</v>
      </c>
      <c r="J19" s="143">
        <v>0</v>
      </c>
      <c r="K19" s="143">
        <v>0</v>
      </c>
      <c r="L19" s="143">
        <v>0</v>
      </c>
      <c r="M19" s="143">
        <v>0</v>
      </c>
      <c r="N19" s="143">
        <v>1.0001330440278754E-2</v>
      </c>
      <c r="O19" s="143">
        <v>4.9026909786242676E-2</v>
      </c>
      <c r="P19" s="143">
        <v>3.9631797129468939E-2</v>
      </c>
      <c r="Q19" s="143">
        <v>5.2186908430269602E-2</v>
      </c>
      <c r="R19" s="143">
        <v>0</v>
      </c>
      <c r="S19" s="143">
        <v>2.0997220062991665E-3</v>
      </c>
      <c r="T19" s="143">
        <v>0</v>
      </c>
      <c r="U19" s="143">
        <v>0</v>
      </c>
      <c r="V19" s="143">
        <v>0</v>
      </c>
      <c r="W19" s="143">
        <v>0</v>
      </c>
      <c r="X19" s="143">
        <v>0</v>
      </c>
      <c r="Y19" s="143">
        <v>0</v>
      </c>
      <c r="Z19" s="143">
        <v>0</v>
      </c>
      <c r="AA19" s="143">
        <v>0</v>
      </c>
      <c r="AB19" s="143">
        <v>0</v>
      </c>
      <c r="AC19" s="143">
        <v>0</v>
      </c>
      <c r="AD19" s="143">
        <v>0</v>
      </c>
      <c r="AE19" s="143">
        <v>0</v>
      </c>
      <c r="AF19" s="143">
        <v>0</v>
      </c>
      <c r="AG19" s="143">
        <v>0</v>
      </c>
      <c r="AH19" s="143">
        <v>0</v>
      </c>
      <c r="AI19" s="143">
        <v>0</v>
      </c>
      <c r="AJ19" s="143">
        <v>0</v>
      </c>
      <c r="AK19" s="143">
        <v>0</v>
      </c>
      <c r="AL19" s="143">
        <v>0</v>
      </c>
      <c r="AM19" s="143">
        <v>0</v>
      </c>
      <c r="AN19" s="143">
        <v>0</v>
      </c>
      <c r="AO19" s="143">
        <v>0</v>
      </c>
      <c r="AP19" s="143">
        <v>0</v>
      </c>
    </row>
    <row r="20" spans="1:42" customFormat="1" x14ac:dyDescent="0.15">
      <c r="A20" s="179" t="s">
        <v>210</v>
      </c>
      <c r="B20" s="143">
        <v>4.8309467891291737E-2</v>
      </c>
      <c r="C20" s="143">
        <v>1.0048630678540567E-2</v>
      </c>
      <c r="D20" s="143">
        <v>1.0017344862728572E-2</v>
      </c>
      <c r="E20" s="143">
        <v>0</v>
      </c>
      <c r="F20" s="143">
        <v>0.16980823142315674</v>
      </c>
      <c r="G20" s="143">
        <v>3.006262815505651E-2</v>
      </c>
      <c r="H20" s="143">
        <v>7.1713042417533956E-2</v>
      </c>
      <c r="I20" s="143">
        <v>2.500261644259864E-2</v>
      </c>
      <c r="J20" s="143">
        <v>2.5000000000000001E-2</v>
      </c>
      <c r="K20" s="143">
        <v>0</v>
      </c>
      <c r="L20" s="143">
        <v>0.1</v>
      </c>
      <c r="M20" s="143">
        <v>0</v>
      </c>
      <c r="N20" s="143">
        <v>7.8736624342576111E-2</v>
      </c>
      <c r="O20" s="143">
        <v>0</v>
      </c>
      <c r="P20" s="143">
        <v>5.6902072878582864E-2</v>
      </c>
      <c r="Q20" s="143">
        <v>2.8192927350835291E-2</v>
      </c>
      <c r="R20" s="143">
        <v>0</v>
      </c>
      <c r="S20" s="143">
        <v>0</v>
      </c>
      <c r="T20" s="143">
        <v>0</v>
      </c>
      <c r="U20" s="143">
        <v>0</v>
      </c>
      <c r="V20" s="143">
        <v>0</v>
      </c>
      <c r="W20" s="143">
        <v>0</v>
      </c>
      <c r="X20" s="143">
        <v>0</v>
      </c>
      <c r="Y20" s="143">
        <v>0</v>
      </c>
      <c r="Z20" s="143">
        <v>0</v>
      </c>
      <c r="AA20" s="143">
        <v>0</v>
      </c>
      <c r="AB20" s="143">
        <v>0</v>
      </c>
      <c r="AC20" s="143">
        <v>0</v>
      </c>
      <c r="AD20" s="143">
        <v>0</v>
      </c>
      <c r="AE20" s="143">
        <v>0</v>
      </c>
      <c r="AF20" s="143">
        <v>0</v>
      </c>
      <c r="AG20" s="143">
        <v>0</v>
      </c>
      <c r="AH20" s="143">
        <v>0</v>
      </c>
      <c r="AI20" s="143">
        <v>0</v>
      </c>
      <c r="AJ20" s="143">
        <v>0</v>
      </c>
      <c r="AK20" s="143">
        <v>0</v>
      </c>
      <c r="AL20" s="143">
        <v>0</v>
      </c>
      <c r="AM20" s="143">
        <v>0</v>
      </c>
      <c r="AN20" s="143">
        <v>0</v>
      </c>
      <c r="AO20" s="143">
        <v>0</v>
      </c>
      <c r="AP20" s="143">
        <v>0</v>
      </c>
    </row>
    <row r="21" spans="1:42" customFormat="1" x14ac:dyDescent="0.15">
      <c r="A21" s="179" t="s">
        <v>211</v>
      </c>
      <c r="B21" s="143">
        <v>2.0003925626828653E-3</v>
      </c>
      <c r="C21" s="143">
        <v>0.12559154948325491</v>
      </c>
      <c r="D21" s="143">
        <v>0</v>
      </c>
      <c r="E21" s="143">
        <v>0</v>
      </c>
      <c r="F21" s="143">
        <v>9.9887205543032903E-2</v>
      </c>
      <c r="G21" s="143">
        <v>6.2103806188689416E-2</v>
      </c>
      <c r="H21" s="143">
        <v>0.11522069152943716</v>
      </c>
      <c r="I21" s="143">
        <v>0</v>
      </c>
      <c r="J21" s="143">
        <v>0</v>
      </c>
      <c r="K21" s="143">
        <v>0</v>
      </c>
      <c r="L21" s="143">
        <v>0</v>
      </c>
      <c r="M21" s="143">
        <v>0</v>
      </c>
      <c r="N21" s="143">
        <v>1.1005118524248258E-3</v>
      </c>
      <c r="O21" s="143">
        <v>0</v>
      </c>
      <c r="P21" s="143">
        <v>0</v>
      </c>
      <c r="Q21" s="143">
        <v>0</v>
      </c>
      <c r="R21" s="143">
        <v>0</v>
      </c>
      <c r="S21" s="143">
        <v>0</v>
      </c>
      <c r="T21" s="143">
        <v>0</v>
      </c>
      <c r="U21" s="143">
        <v>0</v>
      </c>
      <c r="V21" s="143">
        <v>0</v>
      </c>
      <c r="W21" s="143">
        <v>0</v>
      </c>
      <c r="X21" s="143">
        <v>0</v>
      </c>
      <c r="Y21" s="143">
        <v>0</v>
      </c>
      <c r="Z21" s="143">
        <v>0</v>
      </c>
      <c r="AA21" s="143">
        <v>0</v>
      </c>
      <c r="AB21" s="143">
        <v>0</v>
      </c>
      <c r="AC21" s="143">
        <v>0</v>
      </c>
      <c r="AD21" s="143">
        <v>0</v>
      </c>
      <c r="AE21" s="143">
        <v>0</v>
      </c>
      <c r="AF21" s="143">
        <v>0</v>
      </c>
      <c r="AG21" s="143">
        <v>0</v>
      </c>
      <c r="AH21" s="143">
        <v>0</v>
      </c>
      <c r="AI21" s="143">
        <v>0</v>
      </c>
      <c r="AJ21" s="143">
        <v>0</v>
      </c>
      <c r="AK21" s="143">
        <v>0</v>
      </c>
      <c r="AL21" s="143">
        <v>0</v>
      </c>
      <c r="AM21" s="143">
        <v>0</v>
      </c>
      <c r="AN21" s="143">
        <v>0</v>
      </c>
      <c r="AO21" s="143">
        <v>0</v>
      </c>
      <c r="AP21" s="143">
        <v>0</v>
      </c>
    </row>
    <row r="22" spans="1:42" customFormat="1" x14ac:dyDescent="0.15">
      <c r="A22" s="179" t="s">
        <v>212</v>
      </c>
      <c r="B22" s="143">
        <v>0</v>
      </c>
      <c r="C22" s="143">
        <v>5.0243165392701732E-2</v>
      </c>
      <c r="D22" s="143">
        <v>5.0086726014062131E-2</v>
      </c>
      <c r="E22" s="143">
        <v>0.16463700828288791</v>
      </c>
      <c r="F22" s="143">
        <v>0</v>
      </c>
      <c r="G22" s="143">
        <v>3.0035749056706081E-2</v>
      </c>
      <c r="H22" s="143">
        <v>2.0671539197944275E-2</v>
      </c>
      <c r="I22" s="143">
        <v>0</v>
      </c>
      <c r="J22" s="143">
        <v>0</v>
      </c>
      <c r="K22" s="143">
        <v>0</v>
      </c>
      <c r="L22" s="143">
        <v>0</v>
      </c>
      <c r="M22" s="143">
        <v>0</v>
      </c>
      <c r="N22" s="143">
        <v>8.4039098657895609E-3</v>
      </c>
      <c r="O22" s="143">
        <v>4.0021969825504216E-3</v>
      </c>
      <c r="P22" s="143">
        <v>8.1859124070943635E-3</v>
      </c>
      <c r="Q22" s="143">
        <v>3.1991971305912266E-3</v>
      </c>
      <c r="R22" s="143">
        <v>0</v>
      </c>
      <c r="S22" s="143">
        <v>0</v>
      </c>
      <c r="T22" s="143">
        <v>0</v>
      </c>
      <c r="U22" s="143">
        <v>0</v>
      </c>
      <c r="V22" s="143">
        <v>0</v>
      </c>
      <c r="W22" s="143">
        <v>0</v>
      </c>
      <c r="X22" s="143">
        <v>0</v>
      </c>
      <c r="Y22" s="143">
        <v>0</v>
      </c>
      <c r="Z22" s="143">
        <v>0</v>
      </c>
      <c r="AA22" s="143">
        <v>0</v>
      </c>
      <c r="AB22" s="143">
        <v>0</v>
      </c>
      <c r="AC22" s="143">
        <v>0</v>
      </c>
      <c r="AD22" s="143">
        <v>0</v>
      </c>
      <c r="AE22" s="143">
        <v>0</v>
      </c>
      <c r="AF22" s="143">
        <v>0</v>
      </c>
      <c r="AG22" s="143">
        <v>0</v>
      </c>
      <c r="AH22" s="143">
        <v>0</v>
      </c>
      <c r="AI22" s="143">
        <v>0</v>
      </c>
      <c r="AJ22" s="143">
        <v>0</v>
      </c>
      <c r="AK22" s="143">
        <v>0</v>
      </c>
      <c r="AL22" s="143">
        <v>0</v>
      </c>
      <c r="AM22" s="143">
        <v>0</v>
      </c>
      <c r="AN22" s="143">
        <v>0</v>
      </c>
      <c r="AO22" s="143">
        <v>0</v>
      </c>
      <c r="AP22" s="143">
        <v>0</v>
      </c>
    </row>
    <row r="23" spans="1:42" customFormat="1" x14ac:dyDescent="0.15">
      <c r="A23" s="179" t="s">
        <v>213</v>
      </c>
      <c r="B23" s="143">
        <v>0</v>
      </c>
      <c r="C23" s="143">
        <v>0.10048632878540364</v>
      </c>
      <c r="D23" s="143">
        <v>0</v>
      </c>
      <c r="E23" s="143">
        <v>0</v>
      </c>
      <c r="F23" s="143">
        <v>0</v>
      </c>
      <c r="G23" s="143">
        <v>0.10016743985272421</v>
      </c>
      <c r="H23" s="143">
        <v>0</v>
      </c>
      <c r="I23" s="143">
        <v>0</v>
      </c>
      <c r="J23" s="143">
        <v>0</v>
      </c>
      <c r="K23" s="143">
        <v>0</v>
      </c>
      <c r="L23" s="143">
        <v>0</v>
      </c>
      <c r="M23" s="143">
        <v>0</v>
      </c>
      <c r="N23" s="143">
        <v>0</v>
      </c>
      <c r="O23" s="143">
        <v>7.5041199672820372E-2</v>
      </c>
      <c r="P23" s="143">
        <v>0</v>
      </c>
      <c r="Q23" s="143">
        <v>0</v>
      </c>
      <c r="R23" s="143">
        <v>0</v>
      </c>
      <c r="S23" s="143">
        <v>0</v>
      </c>
      <c r="T23" s="143">
        <v>0</v>
      </c>
      <c r="U23" s="143">
        <v>0</v>
      </c>
      <c r="V23" s="143">
        <v>0</v>
      </c>
      <c r="W23" s="143">
        <v>0.05</v>
      </c>
      <c r="X23" s="143">
        <v>0</v>
      </c>
      <c r="Y23" s="143">
        <v>0</v>
      </c>
      <c r="Z23" s="143">
        <v>0</v>
      </c>
      <c r="AA23" s="143">
        <v>0</v>
      </c>
      <c r="AB23" s="143">
        <v>0</v>
      </c>
      <c r="AC23" s="143">
        <v>0</v>
      </c>
      <c r="AD23" s="143">
        <v>0</v>
      </c>
      <c r="AE23" s="143">
        <v>0</v>
      </c>
      <c r="AF23" s="143">
        <v>0</v>
      </c>
      <c r="AG23" s="143">
        <v>0</v>
      </c>
      <c r="AH23" s="143">
        <v>0</v>
      </c>
      <c r="AI23" s="143">
        <v>0</v>
      </c>
      <c r="AJ23" s="143">
        <v>0</v>
      </c>
      <c r="AK23" s="143">
        <v>0</v>
      </c>
      <c r="AL23" s="143">
        <v>0</v>
      </c>
      <c r="AM23" s="143">
        <v>0</v>
      </c>
      <c r="AN23" s="143">
        <v>0</v>
      </c>
      <c r="AO23" s="143">
        <v>0</v>
      </c>
      <c r="AP23" s="143">
        <v>0</v>
      </c>
    </row>
    <row r="24" spans="1:42" customFormat="1" x14ac:dyDescent="0.15">
      <c r="A24" s="179" t="s">
        <v>214</v>
      </c>
      <c r="B24" s="143">
        <v>2.6405176847414037E-2</v>
      </c>
      <c r="C24" s="143">
        <v>0.10551063532467474</v>
      </c>
      <c r="D24" s="143">
        <v>0</v>
      </c>
      <c r="E24" s="143">
        <v>0.46493890239107621</v>
      </c>
      <c r="F24" s="143">
        <v>9.9887205543032903E-2</v>
      </c>
      <c r="G24" s="143">
        <v>0</v>
      </c>
      <c r="H24" s="143">
        <v>5.217687587553721E-2</v>
      </c>
      <c r="I24" s="143">
        <v>7.2011287214825526E-2</v>
      </c>
      <c r="J24" s="143">
        <v>7.1999999999999995E-2</v>
      </c>
      <c r="K24" s="143">
        <v>2.9999118539042927E-2</v>
      </c>
      <c r="L24" s="143">
        <v>0.1</v>
      </c>
      <c r="M24" s="143">
        <v>4.9999995990000323E-2</v>
      </c>
      <c r="N24" s="143">
        <v>2.1810145651691974E-2</v>
      </c>
      <c r="O24" s="143">
        <v>0</v>
      </c>
      <c r="P24" s="143">
        <v>0</v>
      </c>
      <c r="Q24" s="143">
        <v>0</v>
      </c>
      <c r="R24" s="143">
        <v>0</v>
      </c>
      <c r="S24" s="143">
        <v>0</v>
      </c>
      <c r="T24" s="143">
        <v>0</v>
      </c>
      <c r="U24" s="143">
        <v>0.01</v>
      </c>
      <c r="V24" s="143">
        <v>0</v>
      </c>
      <c r="W24" s="143">
        <v>0</v>
      </c>
      <c r="X24" s="143">
        <v>0</v>
      </c>
      <c r="Y24" s="143">
        <v>0</v>
      </c>
      <c r="Z24" s="143">
        <v>0</v>
      </c>
      <c r="AA24" s="143">
        <v>0</v>
      </c>
      <c r="AB24" s="143">
        <v>0</v>
      </c>
      <c r="AC24" s="143">
        <v>0</v>
      </c>
      <c r="AD24" s="143">
        <v>0</v>
      </c>
      <c r="AE24" s="143">
        <v>0</v>
      </c>
      <c r="AF24" s="143">
        <v>0</v>
      </c>
      <c r="AG24" s="143">
        <v>0</v>
      </c>
      <c r="AH24" s="143">
        <v>0</v>
      </c>
      <c r="AI24" s="143">
        <v>0</v>
      </c>
      <c r="AJ24" s="143">
        <v>0</v>
      </c>
      <c r="AK24" s="143">
        <v>0</v>
      </c>
      <c r="AL24" s="143">
        <v>0</v>
      </c>
      <c r="AM24" s="143">
        <v>0</v>
      </c>
      <c r="AN24" s="143">
        <v>0</v>
      </c>
      <c r="AO24" s="143">
        <v>0</v>
      </c>
      <c r="AP24" s="143">
        <v>0</v>
      </c>
    </row>
    <row r="25" spans="1:42" customFormat="1" x14ac:dyDescent="0.15">
      <c r="A25" s="179" t="s">
        <v>215</v>
      </c>
      <c r="B25" s="143">
        <v>0.41678170480747867</v>
      </c>
      <c r="C25" s="143">
        <v>5.0243165392701732E-2</v>
      </c>
      <c r="D25" s="143">
        <v>0.10017074696113967</v>
      </c>
      <c r="E25" s="143">
        <v>3.9994744712135613E-2</v>
      </c>
      <c r="F25" s="143">
        <v>9.9865985543979741E-2</v>
      </c>
      <c r="G25" s="143">
        <v>0</v>
      </c>
      <c r="H25" s="143">
        <v>1.3114617591152835E-2</v>
      </c>
      <c r="I25" s="143">
        <v>0</v>
      </c>
      <c r="J25" s="143">
        <v>0.184</v>
      </c>
      <c r="K25" s="143">
        <v>0</v>
      </c>
      <c r="L25" s="143">
        <v>0.1</v>
      </c>
      <c r="M25" s="143">
        <v>0</v>
      </c>
      <c r="N25" s="143">
        <v>0</v>
      </c>
      <c r="O25" s="143">
        <v>0</v>
      </c>
      <c r="P25" s="143">
        <v>0</v>
      </c>
      <c r="Q25" s="143">
        <v>0</v>
      </c>
      <c r="R25" s="143">
        <v>0</v>
      </c>
      <c r="S25" s="143">
        <v>0</v>
      </c>
      <c r="T25" s="143">
        <v>0</v>
      </c>
      <c r="U25" s="143">
        <v>0</v>
      </c>
      <c r="V25" s="143">
        <v>0</v>
      </c>
      <c r="W25" s="143">
        <v>0</v>
      </c>
      <c r="X25" s="143">
        <v>0</v>
      </c>
      <c r="Y25" s="143">
        <v>0</v>
      </c>
      <c r="Z25" s="143">
        <v>0</v>
      </c>
      <c r="AA25" s="143">
        <v>0</v>
      </c>
      <c r="AB25" s="143">
        <v>0</v>
      </c>
      <c r="AC25" s="143">
        <v>0</v>
      </c>
      <c r="AD25" s="143">
        <v>0</v>
      </c>
      <c r="AE25" s="143">
        <v>0</v>
      </c>
      <c r="AF25" s="143">
        <v>0</v>
      </c>
      <c r="AG25" s="143">
        <v>0</v>
      </c>
      <c r="AH25" s="143">
        <v>0</v>
      </c>
      <c r="AI25" s="143">
        <v>0</v>
      </c>
      <c r="AJ25" s="143">
        <v>0</v>
      </c>
      <c r="AK25" s="143">
        <v>0</v>
      </c>
      <c r="AL25" s="143">
        <v>0</v>
      </c>
      <c r="AM25" s="143">
        <v>0</v>
      </c>
      <c r="AN25" s="143">
        <v>0</v>
      </c>
      <c r="AO25" s="143">
        <v>0</v>
      </c>
      <c r="AP25" s="143">
        <v>0</v>
      </c>
    </row>
    <row r="26" spans="1:42" customFormat="1" x14ac:dyDescent="0.15">
      <c r="A26" s="179" t="s">
        <v>216</v>
      </c>
      <c r="B26" s="143">
        <v>1.0002961863370716E-2</v>
      </c>
      <c r="C26" s="143">
        <v>1.0048630678540567E-2</v>
      </c>
      <c r="D26" s="143">
        <v>0</v>
      </c>
      <c r="E26" s="143">
        <v>0</v>
      </c>
      <c r="F26" s="143">
        <v>0.13984207176024677</v>
      </c>
      <c r="G26" s="143">
        <v>0</v>
      </c>
      <c r="H26" s="143">
        <v>7.1713042417533956E-2</v>
      </c>
      <c r="I26" s="143">
        <v>1.5001569465559169E-2</v>
      </c>
      <c r="J26" s="143">
        <v>1.4999999999999999E-2</v>
      </c>
      <c r="K26" s="143">
        <v>0.42977751206983511</v>
      </c>
      <c r="L26" s="143">
        <v>7.4999999999999997E-2</v>
      </c>
      <c r="M26" s="143">
        <v>0.15000002396999809</v>
      </c>
      <c r="N26" s="143">
        <v>5.0048287200728854E-2</v>
      </c>
      <c r="O26" s="143">
        <v>0</v>
      </c>
      <c r="P26" s="143">
        <v>0</v>
      </c>
      <c r="Q26" s="143">
        <v>0</v>
      </c>
      <c r="R26" s="143">
        <v>0</v>
      </c>
      <c r="S26" s="143">
        <v>4.9993380149980143E-2</v>
      </c>
      <c r="T26" s="143">
        <v>0</v>
      </c>
      <c r="U26" s="143">
        <v>0.01</v>
      </c>
      <c r="V26" s="143">
        <v>0</v>
      </c>
      <c r="W26" s="143">
        <v>0</v>
      </c>
      <c r="X26" s="143">
        <v>0</v>
      </c>
      <c r="Y26" s="143">
        <v>0</v>
      </c>
      <c r="Z26" s="143">
        <v>0</v>
      </c>
      <c r="AA26" s="143">
        <v>1.4999999999999999E-2</v>
      </c>
      <c r="AB26" s="143">
        <v>0</v>
      </c>
      <c r="AC26" s="143">
        <v>0</v>
      </c>
      <c r="AD26" s="143">
        <v>0</v>
      </c>
      <c r="AE26" s="143">
        <v>0</v>
      </c>
      <c r="AF26" s="143">
        <v>0</v>
      </c>
      <c r="AG26" s="143">
        <v>0</v>
      </c>
      <c r="AH26" s="143">
        <v>0</v>
      </c>
      <c r="AI26" s="143">
        <v>0</v>
      </c>
      <c r="AJ26" s="143">
        <v>0</v>
      </c>
      <c r="AK26" s="143">
        <v>0</v>
      </c>
      <c r="AL26" s="143">
        <v>0</v>
      </c>
      <c r="AM26" s="143">
        <v>0</v>
      </c>
      <c r="AN26" s="143">
        <v>0</v>
      </c>
      <c r="AO26" s="143">
        <v>0</v>
      </c>
      <c r="AP26" s="143">
        <v>0</v>
      </c>
    </row>
    <row r="27" spans="1:42" customFormat="1" x14ac:dyDescent="0.15">
      <c r="A27" s="179" t="s">
        <v>217</v>
      </c>
      <c r="B27" s="143">
        <v>0</v>
      </c>
      <c r="C27" s="143">
        <v>5.0243165392701732E-2</v>
      </c>
      <c r="D27" s="143">
        <v>7.0121419740505786E-2</v>
      </c>
      <c r="E27" s="143">
        <v>3.0276021523186643E-2</v>
      </c>
      <c r="F27" s="143">
        <v>4.7935669961110414E-2</v>
      </c>
      <c r="G27" s="143">
        <v>3.0838748107426027E-3</v>
      </c>
      <c r="H27" s="143">
        <v>1.3114617591152835E-2</v>
      </c>
      <c r="I27" s="143">
        <v>0.36096761360847901</v>
      </c>
      <c r="J27" s="143">
        <v>0.2</v>
      </c>
      <c r="K27" s="143">
        <v>0.14763841781000903</v>
      </c>
      <c r="L27" s="143">
        <v>7.4999999999999997E-2</v>
      </c>
      <c r="M27" s="143">
        <v>0.15000002396999809</v>
      </c>
      <c r="N27" s="143">
        <v>1.8208471809210706E-2</v>
      </c>
      <c r="O27" s="143">
        <v>0</v>
      </c>
      <c r="P27" s="143">
        <v>3.9931281407777292E-3</v>
      </c>
      <c r="Q27" s="143">
        <v>0</v>
      </c>
      <c r="R27" s="143">
        <v>0</v>
      </c>
      <c r="S27" s="143">
        <v>0</v>
      </c>
      <c r="T27" s="143">
        <v>0</v>
      </c>
      <c r="U27" s="143">
        <v>0.01</v>
      </c>
      <c r="V27" s="143">
        <v>0</v>
      </c>
      <c r="W27" s="143">
        <v>0</v>
      </c>
      <c r="X27" s="143">
        <v>0</v>
      </c>
      <c r="Y27" s="143">
        <v>0</v>
      </c>
      <c r="Z27" s="143">
        <v>0</v>
      </c>
      <c r="AA27" s="143">
        <v>0</v>
      </c>
      <c r="AB27" s="143">
        <v>0</v>
      </c>
      <c r="AC27" s="143">
        <v>0</v>
      </c>
      <c r="AD27" s="143">
        <v>0</v>
      </c>
      <c r="AE27" s="143">
        <v>0</v>
      </c>
      <c r="AF27" s="143">
        <v>0</v>
      </c>
      <c r="AG27" s="143">
        <v>0</v>
      </c>
      <c r="AH27" s="143">
        <v>0</v>
      </c>
      <c r="AI27" s="143">
        <v>0</v>
      </c>
      <c r="AJ27" s="143">
        <v>0</v>
      </c>
      <c r="AK27" s="143">
        <v>0</v>
      </c>
      <c r="AL27" s="143">
        <v>0</v>
      </c>
      <c r="AM27" s="143">
        <v>0</v>
      </c>
      <c r="AN27" s="143">
        <v>0</v>
      </c>
      <c r="AO27" s="143">
        <v>0</v>
      </c>
      <c r="AP27" s="143">
        <v>0</v>
      </c>
    </row>
    <row r="28" spans="1:42" customFormat="1" x14ac:dyDescent="0.15">
      <c r="A28" s="179" t="s">
        <v>218</v>
      </c>
      <c r="B28" s="143">
        <v>0</v>
      </c>
      <c r="C28" s="143">
        <v>9.700001630509851E-2</v>
      </c>
      <c r="D28" s="143">
        <v>0</v>
      </c>
      <c r="E28" s="143">
        <v>0</v>
      </c>
      <c r="F28" s="143">
        <v>0</v>
      </c>
      <c r="G28" s="143">
        <v>5.0069992127204588E-2</v>
      </c>
      <c r="H28" s="143">
        <v>0.34163363474461494</v>
      </c>
      <c r="I28" s="143">
        <v>0</v>
      </c>
      <c r="J28" s="143">
        <v>0</v>
      </c>
      <c r="K28" s="143">
        <v>0</v>
      </c>
      <c r="L28" s="143">
        <v>0</v>
      </c>
      <c r="M28" s="143">
        <v>0</v>
      </c>
      <c r="N28" s="143">
        <v>0</v>
      </c>
      <c r="O28" s="143">
        <v>0.27314993580906632</v>
      </c>
      <c r="P28" s="143">
        <v>0.26649438069781201</v>
      </c>
      <c r="Q28" s="143">
        <v>4.5788524669087574E-2</v>
      </c>
      <c r="R28" s="143">
        <v>0</v>
      </c>
      <c r="S28" s="143">
        <v>0</v>
      </c>
      <c r="T28" s="143">
        <v>0</v>
      </c>
      <c r="U28" s="143">
        <v>0</v>
      </c>
      <c r="V28" s="143">
        <v>0.1</v>
      </c>
      <c r="W28" s="143">
        <v>0.2</v>
      </c>
      <c r="X28" s="143">
        <v>0</v>
      </c>
      <c r="Y28" s="143">
        <v>0</v>
      </c>
      <c r="Z28" s="143">
        <v>0</v>
      </c>
      <c r="AA28" s="143">
        <v>0</v>
      </c>
      <c r="AB28" s="143">
        <v>0.1</v>
      </c>
      <c r="AC28" s="143">
        <v>0</v>
      </c>
      <c r="AD28" s="143">
        <v>0</v>
      </c>
      <c r="AE28" s="143">
        <v>0</v>
      </c>
      <c r="AF28" s="143">
        <v>1.4992503753823088E-2</v>
      </c>
      <c r="AG28" s="143">
        <v>0</v>
      </c>
      <c r="AH28" s="143">
        <v>9.9800772165676752E-4</v>
      </c>
      <c r="AI28" s="143">
        <v>0</v>
      </c>
      <c r="AJ28" s="143">
        <v>0</v>
      </c>
      <c r="AK28" s="143">
        <v>0</v>
      </c>
      <c r="AL28" s="143">
        <v>0</v>
      </c>
      <c r="AM28" s="143">
        <v>0</v>
      </c>
      <c r="AN28" s="143">
        <v>0</v>
      </c>
      <c r="AO28" s="143">
        <v>0</v>
      </c>
      <c r="AP28" s="143">
        <v>0</v>
      </c>
    </row>
    <row r="29" spans="1:42" customFormat="1" x14ac:dyDescent="0.15">
      <c r="A29" s="179" t="s">
        <v>219</v>
      </c>
      <c r="B29" s="143">
        <v>0</v>
      </c>
      <c r="C29" s="143">
        <v>0</v>
      </c>
      <c r="D29" s="143">
        <v>0.2510619039829316</v>
      </c>
      <c r="E29" s="143">
        <v>0</v>
      </c>
      <c r="F29" s="143">
        <v>0.18255189185453458</v>
      </c>
      <c r="G29" s="143">
        <v>0.18774675147798187</v>
      </c>
      <c r="H29" s="143">
        <v>3.0383034321138265E-2</v>
      </c>
      <c r="I29" s="143">
        <v>0.35703734946030807</v>
      </c>
      <c r="J29" s="143">
        <v>0.38500000000000001</v>
      </c>
      <c r="K29" s="143">
        <v>0.29184891378695788</v>
      </c>
      <c r="L29" s="143">
        <v>0.55000000000000004</v>
      </c>
      <c r="M29" s="143">
        <v>0.39999996792000259</v>
      </c>
      <c r="N29" s="143">
        <v>0.32745235677058587</v>
      </c>
      <c r="O29" s="143">
        <v>2.501372989094014E-2</v>
      </c>
      <c r="P29" s="143">
        <v>3.9999157102861053E-2</v>
      </c>
      <c r="Q29" s="143">
        <v>0.44002159196168139</v>
      </c>
      <c r="R29" s="143">
        <v>0.8891</v>
      </c>
      <c r="S29" s="143">
        <v>0.62391740187175226</v>
      </c>
      <c r="T29" s="143">
        <v>0.75075073753753685</v>
      </c>
      <c r="U29" s="143">
        <v>0.53</v>
      </c>
      <c r="V29" s="143">
        <v>0</v>
      </c>
      <c r="W29" s="143">
        <v>0</v>
      </c>
      <c r="X29" s="143">
        <v>0.38812807991781284</v>
      </c>
      <c r="Y29" s="143">
        <v>0.35</v>
      </c>
      <c r="Z29" s="143">
        <v>5.9376249406237508E-2</v>
      </c>
      <c r="AA29" s="143">
        <v>0.13</v>
      </c>
      <c r="AB29" s="143">
        <v>0</v>
      </c>
      <c r="AC29" s="143">
        <v>4.9999995000000498E-2</v>
      </c>
      <c r="AD29" s="143">
        <v>0</v>
      </c>
      <c r="AE29" s="143">
        <v>0</v>
      </c>
      <c r="AF29" s="143">
        <v>0.11994002983058472</v>
      </c>
      <c r="AG29" s="143">
        <v>0</v>
      </c>
      <c r="AH29" s="143">
        <v>0</v>
      </c>
      <c r="AI29" s="143">
        <v>0</v>
      </c>
      <c r="AJ29" s="143">
        <v>0</v>
      </c>
      <c r="AK29" s="143">
        <v>0</v>
      </c>
      <c r="AL29" s="143">
        <v>0</v>
      </c>
      <c r="AM29" s="143">
        <v>0</v>
      </c>
      <c r="AN29" s="143">
        <v>0</v>
      </c>
      <c r="AO29" s="143">
        <v>0</v>
      </c>
      <c r="AP29" s="143">
        <v>0</v>
      </c>
    </row>
    <row r="30" spans="1:42" customFormat="1" x14ac:dyDescent="0.15">
      <c r="A30" s="179" t="s">
        <v>220</v>
      </c>
      <c r="B30" s="143">
        <v>0</v>
      </c>
      <c r="C30" s="143">
        <v>0</v>
      </c>
      <c r="D30" s="143">
        <v>0</v>
      </c>
      <c r="E30" s="143">
        <v>0</v>
      </c>
      <c r="F30" s="143">
        <v>0</v>
      </c>
      <c r="G30" s="143">
        <v>5.0069992127204588E-2</v>
      </c>
      <c r="H30" s="143">
        <v>7.5719457062085058E-3</v>
      </c>
      <c r="I30" s="143">
        <v>0</v>
      </c>
      <c r="J30" s="143">
        <v>0</v>
      </c>
      <c r="K30" s="143">
        <v>0</v>
      </c>
      <c r="L30" s="143">
        <v>0</v>
      </c>
      <c r="M30" s="143">
        <v>0</v>
      </c>
      <c r="N30" s="143">
        <v>8.0035358721835329E-3</v>
      </c>
      <c r="O30" s="143">
        <v>0.54875229760744004</v>
      </c>
      <c r="P30" s="143">
        <v>0.38234197230697098</v>
      </c>
      <c r="Q30" s="143">
        <v>0.2352409756025366</v>
      </c>
      <c r="R30" s="143">
        <v>0</v>
      </c>
      <c r="S30" s="143">
        <v>0</v>
      </c>
      <c r="T30" s="143">
        <v>0</v>
      </c>
      <c r="U30" s="143">
        <v>0</v>
      </c>
      <c r="V30" s="143">
        <v>0.25</v>
      </c>
      <c r="W30" s="143">
        <v>0.2</v>
      </c>
      <c r="X30" s="143">
        <v>0</v>
      </c>
      <c r="Y30" s="143">
        <v>0</v>
      </c>
      <c r="Z30" s="143">
        <v>0</v>
      </c>
      <c r="AA30" s="143">
        <v>0</v>
      </c>
      <c r="AB30" s="143">
        <v>0.05</v>
      </c>
      <c r="AC30" s="143">
        <v>0</v>
      </c>
      <c r="AD30" s="143">
        <v>0</v>
      </c>
      <c r="AE30" s="143">
        <v>0</v>
      </c>
      <c r="AF30" s="143">
        <v>0</v>
      </c>
      <c r="AG30" s="143">
        <v>0</v>
      </c>
      <c r="AH30" s="143">
        <v>0</v>
      </c>
      <c r="AI30" s="143">
        <v>0</v>
      </c>
      <c r="AJ30" s="143">
        <v>0</v>
      </c>
      <c r="AK30" s="143">
        <v>0</v>
      </c>
      <c r="AL30" s="143">
        <v>0</v>
      </c>
      <c r="AM30" s="143">
        <v>0</v>
      </c>
      <c r="AN30" s="143">
        <v>0</v>
      </c>
      <c r="AO30" s="143">
        <v>0</v>
      </c>
      <c r="AP30" s="143">
        <v>0</v>
      </c>
    </row>
    <row r="31" spans="1:42" customFormat="1" x14ac:dyDescent="0.15">
      <c r="A31" s="179" t="s">
        <v>221</v>
      </c>
      <c r="B31" s="143">
        <v>0</v>
      </c>
      <c r="C31" s="143">
        <v>0</v>
      </c>
      <c r="D31" s="143">
        <v>0</v>
      </c>
      <c r="E31" s="143">
        <v>0</v>
      </c>
      <c r="F31" s="143">
        <v>0</v>
      </c>
      <c r="G31" s="143">
        <v>5.0083719826362116E-2</v>
      </c>
      <c r="H31" s="143">
        <v>2.8521061693382803E-2</v>
      </c>
      <c r="I31" s="143">
        <v>0</v>
      </c>
      <c r="J31" s="143">
        <v>0</v>
      </c>
      <c r="K31" s="143">
        <v>0</v>
      </c>
      <c r="L31" s="143">
        <v>0</v>
      </c>
      <c r="M31" s="143">
        <v>0</v>
      </c>
      <c r="N31" s="143">
        <v>0.25101799599124264</v>
      </c>
      <c r="O31" s="143">
        <v>0</v>
      </c>
      <c r="P31" s="143">
        <v>5.3907226095499618E-2</v>
      </c>
      <c r="Q31" s="143">
        <v>6.2803107063622826E-2</v>
      </c>
      <c r="R31" s="143">
        <v>0</v>
      </c>
      <c r="S31" s="143">
        <v>0.17399434752198306</v>
      </c>
      <c r="T31" s="143">
        <v>0</v>
      </c>
      <c r="U31" s="143">
        <v>0</v>
      </c>
      <c r="V31" s="143">
        <v>0</v>
      </c>
      <c r="W31" s="143">
        <v>0.15</v>
      </c>
      <c r="X31" s="143">
        <v>0</v>
      </c>
      <c r="Y31" s="143">
        <v>0</v>
      </c>
      <c r="Z31" s="143">
        <v>0</v>
      </c>
      <c r="AA31" s="143">
        <v>0</v>
      </c>
      <c r="AB31" s="143">
        <v>0</v>
      </c>
      <c r="AC31" s="143">
        <v>0</v>
      </c>
      <c r="AD31" s="143">
        <v>0</v>
      </c>
      <c r="AE31" s="143">
        <v>0.1</v>
      </c>
      <c r="AF31" s="143">
        <v>0</v>
      </c>
      <c r="AG31" s="143">
        <v>0</v>
      </c>
      <c r="AH31" s="143">
        <v>0</v>
      </c>
      <c r="AI31" s="143">
        <v>0</v>
      </c>
      <c r="AJ31" s="143">
        <v>0</v>
      </c>
      <c r="AK31" s="143">
        <v>0</v>
      </c>
      <c r="AL31" s="143">
        <v>0</v>
      </c>
      <c r="AM31" s="143">
        <v>0</v>
      </c>
      <c r="AN31" s="143">
        <v>0</v>
      </c>
      <c r="AO31" s="143">
        <v>0</v>
      </c>
      <c r="AP31" s="143">
        <v>0</v>
      </c>
    </row>
    <row r="32" spans="1:42" customFormat="1" x14ac:dyDescent="0.15">
      <c r="A32" s="179" t="s">
        <v>222</v>
      </c>
      <c r="B32" s="143">
        <v>0</v>
      </c>
      <c r="C32" s="143">
        <v>0</v>
      </c>
      <c r="D32" s="143">
        <v>0</v>
      </c>
      <c r="E32" s="143">
        <v>0</v>
      </c>
      <c r="F32" s="143">
        <v>1.8649972367838234E-3</v>
      </c>
      <c r="G32" s="143">
        <v>5.0083719826362116E-2</v>
      </c>
      <c r="H32" s="143">
        <v>5.012019805533631E-2</v>
      </c>
      <c r="I32" s="143">
        <v>0</v>
      </c>
      <c r="J32" s="143">
        <v>0</v>
      </c>
      <c r="K32" s="143">
        <v>1.9984899026735414E-3</v>
      </c>
      <c r="L32" s="143">
        <v>0</v>
      </c>
      <c r="M32" s="143">
        <v>0</v>
      </c>
      <c r="N32" s="143">
        <v>0.10000717440288542</v>
      </c>
      <c r="O32" s="143">
        <v>1.2006589947651268E-2</v>
      </c>
      <c r="P32" s="143">
        <v>5.9896915661666397E-2</v>
      </c>
      <c r="Q32" s="143">
        <v>5.2286882134350524E-2</v>
      </c>
      <c r="R32" s="143">
        <v>7.9000000000000008E-3</v>
      </c>
      <c r="S32" s="143">
        <v>0.14999514844998546</v>
      </c>
      <c r="T32" s="143">
        <v>0</v>
      </c>
      <c r="U32" s="143">
        <v>0</v>
      </c>
      <c r="V32" s="143">
        <v>0</v>
      </c>
      <c r="W32" s="143">
        <v>0</v>
      </c>
      <c r="X32" s="143">
        <v>0</v>
      </c>
      <c r="Y32" s="143">
        <v>0</v>
      </c>
      <c r="Z32" s="143">
        <v>0</v>
      </c>
      <c r="AA32" s="143">
        <v>0</v>
      </c>
      <c r="AB32" s="143">
        <v>0</v>
      </c>
      <c r="AC32" s="143">
        <v>0</v>
      </c>
      <c r="AD32" s="143">
        <v>0</v>
      </c>
      <c r="AE32" s="143">
        <v>0</v>
      </c>
      <c r="AF32" s="143">
        <v>0</v>
      </c>
      <c r="AG32" s="143">
        <v>0</v>
      </c>
      <c r="AH32" s="143">
        <v>0</v>
      </c>
      <c r="AI32" s="143">
        <v>0</v>
      </c>
      <c r="AJ32" s="143">
        <v>0</v>
      </c>
      <c r="AK32" s="143">
        <v>0</v>
      </c>
      <c r="AL32" s="143">
        <v>0</v>
      </c>
      <c r="AM32" s="143">
        <v>0</v>
      </c>
      <c r="AN32" s="143">
        <v>0</v>
      </c>
      <c r="AO32" s="143">
        <v>0</v>
      </c>
      <c r="AP32" s="143">
        <v>0</v>
      </c>
    </row>
    <row r="33" spans="1:42" customFormat="1" x14ac:dyDescent="0.15">
      <c r="A33" s="179" t="s">
        <v>223</v>
      </c>
      <c r="B33" s="143">
        <v>0</v>
      </c>
      <c r="C33" s="143">
        <v>0</v>
      </c>
      <c r="D33" s="143">
        <v>0</v>
      </c>
      <c r="E33" s="143">
        <v>0</v>
      </c>
      <c r="F33" s="143">
        <v>0</v>
      </c>
      <c r="G33" s="143">
        <v>0.13120744294779924</v>
      </c>
      <c r="H33" s="143">
        <v>1.0059185909703585E-2</v>
      </c>
      <c r="I33" s="143">
        <v>0</v>
      </c>
      <c r="J33" s="143">
        <v>0</v>
      </c>
      <c r="K33" s="143">
        <v>0</v>
      </c>
      <c r="L33" s="143">
        <v>0</v>
      </c>
      <c r="M33" s="143">
        <v>0</v>
      </c>
      <c r="N33" s="143">
        <v>1.1105165622650506E-2</v>
      </c>
      <c r="O33" s="143">
        <v>8.0043939651008433E-3</v>
      </c>
      <c r="P33" s="143">
        <v>8.3855683926332816E-2</v>
      </c>
      <c r="Q33" s="143">
        <v>7.0482342877089238E-2</v>
      </c>
      <c r="R33" s="143">
        <v>0</v>
      </c>
      <c r="S33" s="143">
        <v>0</v>
      </c>
      <c r="T33" s="143">
        <v>0</v>
      </c>
      <c r="U33" s="143">
        <v>0</v>
      </c>
      <c r="V33" s="143">
        <v>0.65</v>
      </c>
      <c r="W33" s="143">
        <v>0.1</v>
      </c>
      <c r="X33" s="143">
        <v>0</v>
      </c>
      <c r="Y33" s="143">
        <v>0</v>
      </c>
      <c r="Z33" s="143">
        <v>0</v>
      </c>
      <c r="AA33" s="143">
        <v>0</v>
      </c>
      <c r="AB33" s="143">
        <v>0.1</v>
      </c>
      <c r="AC33" s="143">
        <v>0</v>
      </c>
      <c r="AD33" s="143">
        <v>0</v>
      </c>
      <c r="AE33" s="143">
        <v>0.02</v>
      </c>
      <c r="AF33" s="143">
        <v>1.4992503753823088E-2</v>
      </c>
      <c r="AG33" s="143">
        <v>0</v>
      </c>
      <c r="AH33" s="143">
        <v>9.9800772165676752E-4</v>
      </c>
      <c r="AI33" s="143">
        <v>0</v>
      </c>
      <c r="AJ33" s="143">
        <v>0</v>
      </c>
      <c r="AK33" s="143">
        <v>0</v>
      </c>
      <c r="AL33" s="143">
        <v>0</v>
      </c>
      <c r="AM33" s="143">
        <v>0</v>
      </c>
      <c r="AN33" s="143">
        <v>0</v>
      </c>
      <c r="AO33" s="143">
        <v>0</v>
      </c>
      <c r="AP33" s="143">
        <v>0</v>
      </c>
    </row>
    <row r="34" spans="1:42" customFormat="1" x14ac:dyDescent="0.15">
      <c r="A34" s="179" t="s">
        <v>224</v>
      </c>
      <c r="B34" s="143">
        <v>0</v>
      </c>
      <c r="C34" s="143">
        <v>0</v>
      </c>
      <c r="D34" s="143">
        <v>0</v>
      </c>
      <c r="E34" s="143">
        <v>0</v>
      </c>
      <c r="F34" s="143">
        <v>0</v>
      </c>
      <c r="G34" s="143">
        <v>0</v>
      </c>
      <c r="H34" s="143">
        <v>0</v>
      </c>
      <c r="I34" s="143">
        <v>0</v>
      </c>
      <c r="J34" s="143">
        <v>0</v>
      </c>
      <c r="K34" s="143">
        <v>0</v>
      </c>
      <c r="L34" s="143">
        <v>0</v>
      </c>
      <c r="M34" s="143">
        <v>0</v>
      </c>
      <c r="N34" s="143">
        <v>0</v>
      </c>
      <c r="O34" s="143">
        <v>0</v>
      </c>
      <c r="P34" s="143">
        <v>0</v>
      </c>
      <c r="Q34" s="143">
        <v>0</v>
      </c>
      <c r="R34" s="143">
        <v>0</v>
      </c>
      <c r="S34" s="143">
        <v>0</v>
      </c>
      <c r="T34" s="143">
        <v>0</v>
      </c>
      <c r="U34" s="143">
        <v>0</v>
      </c>
      <c r="V34" s="143">
        <v>0</v>
      </c>
      <c r="W34" s="143">
        <v>0.05</v>
      </c>
      <c r="X34" s="143">
        <v>0</v>
      </c>
      <c r="Y34" s="143">
        <v>0</v>
      </c>
      <c r="Z34" s="143">
        <v>0</v>
      </c>
      <c r="AA34" s="143">
        <v>0</v>
      </c>
      <c r="AB34" s="143">
        <v>0.25</v>
      </c>
      <c r="AC34" s="143">
        <v>4.9999995000000498E-2</v>
      </c>
      <c r="AD34" s="143">
        <v>0.4</v>
      </c>
      <c r="AE34" s="143">
        <v>0.2</v>
      </c>
      <c r="AF34" s="143">
        <v>0</v>
      </c>
      <c r="AG34" s="143">
        <v>0.4</v>
      </c>
      <c r="AH34" s="143">
        <v>0</v>
      </c>
      <c r="AI34" s="143">
        <v>0</v>
      </c>
      <c r="AJ34" s="143">
        <v>0</v>
      </c>
      <c r="AK34" s="143">
        <v>0</v>
      </c>
      <c r="AL34" s="143">
        <v>0</v>
      </c>
      <c r="AM34" s="143">
        <v>0</v>
      </c>
      <c r="AN34" s="143">
        <v>0</v>
      </c>
      <c r="AO34" s="143">
        <v>0</v>
      </c>
      <c r="AP34" s="143">
        <v>0</v>
      </c>
    </row>
    <row r="35" spans="1:42" customFormat="1" x14ac:dyDescent="0.15">
      <c r="A35" s="179" t="s">
        <v>225</v>
      </c>
      <c r="B35" s="143">
        <v>0</v>
      </c>
      <c r="C35" s="143">
        <v>0</v>
      </c>
      <c r="D35" s="143">
        <v>0</v>
      </c>
      <c r="E35" s="143">
        <v>0</v>
      </c>
      <c r="F35" s="143">
        <v>0</v>
      </c>
      <c r="G35" s="143">
        <v>0</v>
      </c>
      <c r="H35" s="143">
        <v>1.0722584583963716E-2</v>
      </c>
      <c r="I35" s="143">
        <v>0</v>
      </c>
      <c r="J35" s="143">
        <v>0</v>
      </c>
      <c r="K35" s="143">
        <v>0</v>
      </c>
      <c r="L35" s="143">
        <v>0</v>
      </c>
      <c r="M35" s="143">
        <v>9.9999991980000646E-2</v>
      </c>
      <c r="N35" s="143">
        <v>7.3033968833647513E-3</v>
      </c>
      <c r="O35" s="143">
        <v>0</v>
      </c>
      <c r="P35" s="143">
        <v>0</v>
      </c>
      <c r="Q35" s="143">
        <v>0</v>
      </c>
      <c r="R35" s="143">
        <v>0.10299999999999999</v>
      </c>
      <c r="S35" s="143">
        <v>0</v>
      </c>
      <c r="T35" s="143">
        <v>0.24924926246246312</v>
      </c>
      <c r="U35" s="143">
        <v>0.4</v>
      </c>
      <c r="V35" s="143">
        <v>0</v>
      </c>
      <c r="W35" s="143">
        <v>0</v>
      </c>
      <c r="X35" s="143">
        <v>0.51183891044151375</v>
      </c>
      <c r="Y35" s="143">
        <v>0.55000000000000004</v>
      </c>
      <c r="Z35" s="143">
        <v>0.94062375059376258</v>
      </c>
      <c r="AA35" s="143">
        <v>0.65500000000000003</v>
      </c>
      <c r="AB35" s="143">
        <v>0</v>
      </c>
      <c r="AC35" s="143">
        <v>0.55000004499999544</v>
      </c>
      <c r="AD35" s="143">
        <v>0</v>
      </c>
      <c r="AE35" s="143">
        <v>0.05</v>
      </c>
      <c r="AF35" s="143">
        <v>0.23988005966116943</v>
      </c>
      <c r="AG35" s="143">
        <v>0</v>
      </c>
      <c r="AH35" s="143">
        <v>0</v>
      </c>
      <c r="AI35" s="143">
        <v>0</v>
      </c>
      <c r="AJ35" s="143">
        <v>0</v>
      </c>
      <c r="AK35" s="143">
        <v>0</v>
      </c>
      <c r="AL35" s="143">
        <v>0</v>
      </c>
      <c r="AM35" s="143">
        <v>0</v>
      </c>
      <c r="AN35" s="143">
        <v>0</v>
      </c>
      <c r="AO35" s="143">
        <v>0</v>
      </c>
      <c r="AP35" s="143">
        <v>0</v>
      </c>
    </row>
    <row r="36" spans="1:42" customFormat="1" x14ac:dyDescent="0.15">
      <c r="A36" s="179" t="s">
        <v>226</v>
      </c>
      <c r="B36" s="143">
        <v>0</v>
      </c>
      <c r="C36" s="143">
        <v>0</v>
      </c>
      <c r="D36" s="143">
        <v>0</v>
      </c>
      <c r="E36" s="143">
        <v>0</v>
      </c>
      <c r="F36" s="143">
        <v>0</v>
      </c>
      <c r="G36" s="143">
        <v>0</v>
      </c>
      <c r="H36" s="143">
        <v>0</v>
      </c>
      <c r="I36" s="143">
        <v>0</v>
      </c>
      <c r="J36" s="143">
        <v>0</v>
      </c>
      <c r="K36" s="143">
        <v>0</v>
      </c>
      <c r="L36" s="143">
        <v>0</v>
      </c>
      <c r="M36" s="143">
        <v>0</v>
      </c>
      <c r="N36" s="143">
        <v>0</v>
      </c>
      <c r="O36" s="143">
        <v>0</v>
      </c>
      <c r="P36" s="143">
        <v>0</v>
      </c>
      <c r="Q36" s="143">
        <v>0</v>
      </c>
      <c r="R36" s="143">
        <v>0</v>
      </c>
      <c r="S36" s="143">
        <v>0</v>
      </c>
      <c r="T36" s="143">
        <v>0</v>
      </c>
      <c r="U36" s="143">
        <v>0</v>
      </c>
      <c r="V36" s="143">
        <v>0</v>
      </c>
      <c r="W36" s="143">
        <v>0</v>
      </c>
      <c r="X36" s="143">
        <v>5.0016504820336698E-2</v>
      </c>
      <c r="Y36" s="143">
        <v>0.05</v>
      </c>
      <c r="Z36" s="143">
        <v>0</v>
      </c>
      <c r="AA36" s="143">
        <v>0.1</v>
      </c>
      <c r="AB36" s="143">
        <v>0.1</v>
      </c>
      <c r="AC36" s="143">
        <v>9.9999990000000996E-2</v>
      </c>
      <c r="AD36" s="143">
        <v>0</v>
      </c>
      <c r="AE36" s="143">
        <v>0.05</v>
      </c>
      <c r="AF36" s="143">
        <v>0</v>
      </c>
      <c r="AG36" s="143">
        <v>0</v>
      </c>
      <c r="AH36" s="143">
        <v>0.14970116624851532</v>
      </c>
      <c r="AI36" s="143">
        <v>0.2</v>
      </c>
      <c r="AJ36" s="143">
        <v>5.0000000000000001E-3</v>
      </c>
      <c r="AK36" s="143">
        <v>0</v>
      </c>
      <c r="AL36" s="143">
        <v>0</v>
      </c>
      <c r="AM36" s="143">
        <v>0</v>
      </c>
      <c r="AN36" s="143">
        <v>0</v>
      </c>
      <c r="AO36" s="143">
        <v>0</v>
      </c>
      <c r="AP36" s="143">
        <v>0</v>
      </c>
    </row>
    <row r="37" spans="1:42" customFormat="1" x14ac:dyDescent="0.15">
      <c r="A37" s="179" t="s">
        <v>227</v>
      </c>
      <c r="B37" s="143">
        <v>0</v>
      </c>
      <c r="C37" s="143">
        <v>0</v>
      </c>
      <c r="D37" s="143">
        <v>0</v>
      </c>
      <c r="E37" s="143">
        <v>0</v>
      </c>
      <c r="F37" s="143">
        <v>0</v>
      </c>
      <c r="G37" s="143">
        <v>0</v>
      </c>
      <c r="H37" s="143">
        <v>0</v>
      </c>
      <c r="I37" s="143">
        <v>0</v>
      </c>
      <c r="J37" s="143">
        <v>0</v>
      </c>
      <c r="K37" s="143">
        <v>0</v>
      </c>
      <c r="L37" s="143">
        <v>0</v>
      </c>
      <c r="M37" s="143">
        <v>0</v>
      </c>
      <c r="N37" s="143">
        <v>0</v>
      </c>
      <c r="O37" s="143">
        <v>0</v>
      </c>
      <c r="P37" s="143">
        <v>0</v>
      </c>
      <c r="Q37" s="143">
        <v>0</v>
      </c>
      <c r="R37" s="143">
        <v>0</v>
      </c>
      <c r="S37" s="143">
        <v>0</v>
      </c>
      <c r="T37" s="143">
        <v>0</v>
      </c>
      <c r="U37" s="143">
        <v>0</v>
      </c>
      <c r="V37" s="143">
        <v>0</v>
      </c>
      <c r="W37" s="143">
        <v>0.05</v>
      </c>
      <c r="X37" s="143">
        <v>0</v>
      </c>
      <c r="Y37" s="143">
        <v>0</v>
      </c>
      <c r="Z37" s="143">
        <v>0</v>
      </c>
      <c r="AA37" s="143">
        <v>0</v>
      </c>
      <c r="AB37" s="143">
        <v>0.1</v>
      </c>
      <c r="AC37" s="143">
        <v>0</v>
      </c>
      <c r="AD37" s="143">
        <v>0.3</v>
      </c>
      <c r="AE37" s="143">
        <v>0.08</v>
      </c>
      <c r="AF37" s="143">
        <v>0</v>
      </c>
      <c r="AG37" s="143">
        <v>0</v>
      </c>
      <c r="AH37" s="143">
        <v>0.24950191941419164</v>
      </c>
      <c r="AI37" s="143">
        <v>0</v>
      </c>
      <c r="AJ37" s="143">
        <v>0</v>
      </c>
      <c r="AK37" s="143">
        <v>0</v>
      </c>
      <c r="AL37" s="143">
        <v>0</v>
      </c>
      <c r="AM37" s="143">
        <v>0</v>
      </c>
      <c r="AN37" s="143">
        <v>0</v>
      </c>
      <c r="AO37" s="143">
        <v>0</v>
      </c>
      <c r="AP37" s="143">
        <v>0</v>
      </c>
    </row>
    <row r="38" spans="1:42" customFormat="1" x14ac:dyDescent="0.15">
      <c r="A38" s="179" t="s">
        <v>228</v>
      </c>
      <c r="B38" s="143">
        <v>0</v>
      </c>
      <c r="C38" s="143">
        <v>0</v>
      </c>
      <c r="D38" s="143">
        <v>0</v>
      </c>
      <c r="E38" s="143">
        <v>0</v>
      </c>
      <c r="F38" s="143">
        <v>0</v>
      </c>
      <c r="G38" s="143">
        <v>0</v>
      </c>
      <c r="H38" s="143">
        <v>0</v>
      </c>
      <c r="I38" s="143">
        <v>0</v>
      </c>
      <c r="J38" s="143">
        <v>0</v>
      </c>
      <c r="K38" s="143">
        <v>0</v>
      </c>
      <c r="L38" s="143">
        <v>0</v>
      </c>
      <c r="M38" s="143">
        <v>0</v>
      </c>
      <c r="N38" s="143">
        <v>0</v>
      </c>
      <c r="O38" s="143">
        <v>0</v>
      </c>
      <c r="P38" s="143">
        <v>0</v>
      </c>
      <c r="Q38" s="143">
        <v>0</v>
      </c>
      <c r="R38" s="143">
        <v>0</v>
      </c>
      <c r="S38" s="143">
        <v>0</v>
      </c>
      <c r="T38" s="143">
        <v>0</v>
      </c>
      <c r="U38" s="143">
        <v>0</v>
      </c>
      <c r="V38" s="143">
        <v>0</v>
      </c>
      <c r="W38" s="143">
        <v>0</v>
      </c>
      <c r="X38" s="143">
        <v>5.0016504820336698E-2</v>
      </c>
      <c r="Y38" s="143">
        <v>0.05</v>
      </c>
      <c r="Z38" s="143">
        <v>0</v>
      </c>
      <c r="AA38" s="143">
        <v>0.1</v>
      </c>
      <c r="AB38" s="143">
        <v>0</v>
      </c>
      <c r="AC38" s="143">
        <v>9.9999990000000996E-2</v>
      </c>
      <c r="AD38" s="143">
        <v>0</v>
      </c>
      <c r="AE38" s="143">
        <v>0.05</v>
      </c>
      <c r="AF38" s="143">
        <v>8.4957521438330824E-2</v>
      </c>
      <c r="AG38" s="143">
        <v>0</v>
      </c>
      <c r="AH38" s="143">
        <v>0</v>
      </c>
      <c r="AI38" s="143">
        <v>0.75</v>
      </c>
      <c r="AJ38" s="143">
        <v>0.05</v>
      </c>
      <c r="AK38" s="143">
        <v>0</v>
      </c>
      <c r="AL38" s="143">
        <v>0</v>
      </c>
      <c r="AM38" s="143">
        <v>0</v>
      </c>
      <c r="AN38" s="143">
        <v>0</v>
      </c>
      <c r="AO38" s="143">
        <v>0</v>
      </c>
      <c r="AP38" s="143">
        <v>0</v>
      </c>
    </row>
    <row r="39" spans="1:42" x14ac:dyDescent="0.15">
      <c r="A39" s="179" t="s">
        <v>229</v>
      </c>
      <c r="B39" s="143">
        <v>0</v>
      </c>
      <c r="C39" s="143">
        <v>0</v>
      </c>
      <c r="D39" s="143">
        <v>0</v>
      </c>
      <c r="E39" s="143">
        <v>0</v>
      </c>
      <c r="F39" s="143">
        <v>0</v>
      </c>
      <c r="G39" s="143">
        <v>0</v>
      </c>
      <c r="H39" s="143">
        <v>0</v>
      </c>
      <c r="I39" s="143">
        <v>0</v>
      </c>
      <c r="J39" s="143">
        <v>0</v>
      </c>
      <c r="K39" s="143">
        <v>0</v>
      </c>
      <c r="L39" s="143">
        <v>0</v>
      </c>
      <c r="M39" s="143">
        <v>0</v>
      </c>
      <c r="N39" s="143">
        <v>0</v>
      </c>
      <c r="O39" s="143">
        <v>0</v>
      </c>
      <c r="P39" s="143">
        <v>4.7917536529332823E-3</v>
      </c>
      <c r="Q39" s="143">
        <v>6.9982442856683308E-3</v>
      </c>
      <c r="R39" s="143">
        <v>0</v>
      </c>
      <c r="S39" s="143">
        <v>0</v>
      </c>
      <c r="T39" s="143">
        <v>0</v>
      </c>
      <c r="U39" s="143">
        <v>0</v>
      </c>
      <c r="V39" s="143">
        <v>0</v>
      </c>
      <c r="W39" s="143">
        <v>0</v>
      </c>
      <c r="X39" s="143">
        <v>0</v>
      </c>
      <c r="Y39" s="143">
        <v>0</v>
      </c>
      <c r="Z39" s="143">
        <v>0</v>
      </c>
      <c r="AA39" s="143">
        <v>0</v>
      </c>
      <c r="AB39" s="143">
        <v>0</v>
      </c>
      <c r="AC39" s="143">
        <v>0</v>
      </c>
      <c r="AD39" s="143">
        <v>0</v>
      </c>
      <c r="AE39" s="143">
        <v>0</v>
      </c>
      <c r="AF39" s="143">
        <v>0</v>
      </c>
      <c r="AG39" s="143">
        <v>0</v>
      </c>
      <c r="AH39" s="143">
        <v>0</v>
      </c>
      <c r="AI39" s="143">
        <v>0</v>
      </c>
      <c r="AJ39" s="143">
        <v>0</v>
      </c>
      <c r="AK39" s="143">
        <v>0</v>
      </c>
      <c r="AL39" s="143">
        <v>0</v>
      </c>
      <c r="AM39" s="143">
        <v>0</v>
      </c>
      <c r="AN39" s="143">
        <v>0</v>
      </c>
      <c r="AO39" s="143">
        <v>0</v>
      </c>
      <c r="AP39" s="143">
        <v>0</v>
      </c>
    </row>
    <row r="40" spans="1:42" x14ac:dyDescent="0.15">
      <c r="A40" s="179" t="s">
        <v>230</v>
      </c>
      <c r="B40" s="143">
        <v>0</v>
      </c>
      <c r="C40" s="143">
        <v>0</v>
      </c>
      <c r="D40" s="143">
        <v>0</v>
      </c>
      <c r="E40" s="143">
        <v>1.9997373306067851E-3</v>
      </c>
      <c r="F40" s="143">
        <v>0</v>
      </c>
      <c r="G40" s="143">
        <v>0</v>
      </c>
      <c r="H40" s="143">
        <v>0</v>
      </c>
      <c r="I40" s="143">
        <v>0</v>
      </c>
      <c r="J40" s="143">
        <v>0</v>
      </c>
      <c r="K40" s="143">
        <v>0</v>
      </c>
      <c r="L40" s="143">
        <v>0</v>
      </c>
      <c r="M40" s="143">
        <v>0</v>
      </c>
      <c r="N40" s="143">
        <v>0</v>
      </c>
      <c r="O40" s="143">
        <v>0</v>
      </c>
      <c r="P40" s="143">
        <v>0</v>
      </c>
      <c r="Q40" s="143">
        <v>0</v>
      </c>
      <c r="R40" s="143">
        <v>0</v>
      </c>
      <c r="S40" s="143">
        <v>0</v>
      </c>
      <c r="T40" s="143">
        <v>0</v>
      </c>
      <c r="U40" s="143">
        <v>0</v>
      </c>
      <c r="V40" s="143">
        <v>0</v>
      </c>
      <c r="W40" s="143">
        <v>0.1</v>
      </c>
      <c r="X40" s="143">
        <v>0</v>
      </c>
      <c r="Y40" s="143">
        <v>0</v>
      </c>
      <c r="Z40" s="143">
        <v>0</v>
      </c>
      <c r="AA40" s="143">
        <v>0</v>
      </c>
      <c r="AB40" s="143">
        <v>0</v>
      </c>
      <c r="AC40" s="143">
        <v>0</v>
      </c>
      <c r="AD40" s="143">
        <v>0</v>
      </c>
      <c r="AE40" s="143">
        <v>0.05</v>
      </c>
      <c r="AF40" s="143">
        <v>4.997501304607694E-2</v>
      </c>
      <c r="AG40" s="143">
        <v>0</v>
      </c>
      <c r="AH40" s="143">
        <v>1.5000003725500081E-2</v>
      </c>
      <c r="AI40" s="143">
        <v>0</v>
      </c>
      <c r="AJ40" s="143">
        <v>0</v>
      </c>
      <c r="AK40" s="143">
        <v>1.4999999999999999E-2</v>
      </c>
      <c r="AL40" s="143">
        <v>0</v>
      </c>
      <c r="AM40" s="143">
        <v>0</v>
      </c>
      <c r="AN40" s="143">
        <v>0</v>
      </c>
      <c r="AO40" s="143">
        <v>0</v>
      </c>
      <c r="AP40" s="143">
        <v>0</v>
      </c>
    </row>
    <row r="41" spans="1:42" x14ac:dyDescent="0.15">
      <c r="A41" s="179" t="s">
        <v>231</v>
      </c>
      <c r="B41" s="143">
        <v>0</v>
      </c>
      <c r="C41" s="143">
        <v>0</v>
      </c>
      <c r="D41" s="143">
        <v>0</v>
      </c>
      <c r="E41" s="143">
        <v>0</v>
      </c>
      <c r="F41" s="143">
        <v>0</v>
      </c>
      <c r="G41" s="143">
        <v>0</v>
      </c>
      <c r="H41" s="143">
        <v>0</v>
      </c>
      <c r="I41" s="143">
        <v>0</v>
      </c>
      <c r="J41" s="143">
        <v>0</v>
      </c>
      <c r="K41" s="143">
        <v>0</v>
      </c>
      <c r="L41" s="143">
        <v>0</v>
      </c>
      <c r="M41" s="143">
        <v>0</v>
      </c>
      <c r="N41" s="143">
        <v>0</v>
      </c>
      <c r="O41" s="143">
        <v>0</v>
      </c>
      <c r="P41" s="143">
        <v>0</v>
      </c>
      <c r="Q41" s="143">
        <v>0</v>
      </c>
      <c r="R41" s="143">
        <v>0</v>
      </c>
      <c r="S41" s="143">
        <v>0</v>
      </c>
      <c r="T41" s="143">
        <v>0</v>
      </c>
      <c r="U41" s="143">
        <v>0</v>
      </c>
      <c r="V41" s="143">
        <v>0</v>
      </c>
      <c r="W41" s="143">
        <v>0</v>
      </c>
      <c r="X41" s="143">
        <v>0</v>
      </c>
      <c r="Y41" s="143">
        <v>0</v>
      </c>
      <c r="Z41" s="143">
        <v>0</v>
      </c>
      <c r="AA41" s="143">
        <v>0</v>
      </c>
      <c r="AB41" s="143">
        <v>0</v>
      </c>
      <c r="AC41" s="143">
        <v>4.9999995000000498E-2</v>
      </c>
      <c r="AD41" s="143">
        <v>0.15</v>
      </c>
      <c r="AE41" s="143">
        <v>0.05</v>
      </c>
      <c r="AF41" s="143">
        <v>0.21289355182428793</v>
      </c>
      <c r="AG41" s="143">
        <v>0.4</v>
      </c>
      <c r="AH41" s="143">
        <v>9.9800767665676665E-2</v>
      </c>
      <c r="AI41" s="143">
        <v>0.01</v>
      </c>
      <c r="AJ41" s="143">
        <v>0.85</v>
      </c>
      <c r="AK41" s="143">
        <v>5.5E-2</v>
      </c>
      <c r="AL41" s="143">
        <v>0</v>
      </c>
      <c r="AM41" s="143">
        <v>0</v>
      </c>
      <c r="AN41" s="143">
        <v>0</v>
      </c>
      <c r="AO41" s="143">
        <v>0</v>
      </c>
      <c r="AP41" s="143">
        <v>0</v>
      </c>
    </row>
    <row r="42" spans="1:42" x14ac:dyDescent="0.15">
      <c r="A42" s="179" t="s">
        <v>232</v>
      </c>
      <c r="B42" s="143">
        <v>0</v>
      </c>
      <c r="C42" s="143">
        <v>0</v>
      </c>
      <c r="D42" s="143">
        <v>0</v>
      </c>
      <c r="E42" s="143">
        <v>0</v>
      </c>
      <c r="F42" s="143">
        <v>0</v>
      </c>
      <c r="G42" s="143">
        <v>0</v>
      </c>
      <c r="H42" s="143">
        <v>0</v>
      </c>
      <c r="I42" s="143">
        <v>0</v>
      </c>
      <c r="J42" s="143">
        <v>0</v>
      </c>
      <c r="K42" s="143">
        <v>0</v>
      </c>
      <c r="L42" s="143">
        <v>0</v>
      </c>
      <c r="M42" s="143">
        <v>0</v>
      </c>
      <c r="N42" s="143">
        <v>0</v>
      </c>
      <c r="O42" s="143">
        <v>0</v>
      </c>
      <c r="P42" s="143">
        <v>0</v>
      </c>
      <c r="Q42" s="143">
        <v>0</v>
      </c>
      <c r="R42" s="143">
        <v>0</v>
      </c>
      <c r="S42" s="143">
        <v>0</v>
      </c>
      <c r="T42" s="143">
        <v>0</v>
      </c>
      <c r="U42" s="143">
        <v>0</v>
      </c>
      <c r="V42" s="143">
        <v>0</v>
      </c>
      <c r="W42" s="143">
        <v>0.1</v>
      </c>
      <c r="X42" s="143">
        <v>0</v>
      </c>
      <c r="Y42" s="143">
        <v>0</v>
      </c>
      <c r="Z42" s="143">
        <v>0</v>
      </c>
      <c r="AA42" s="143">
        <v>0</v>
      </c>
      <c r="AB42" s="143">
        <v>0.3</v>
      </c>
      <c r="AC42" s="143">
        <v>9.9999990000000996E-2</v>
      </c>
      <c r="AD42" s="143">
        <v>0.15</v>
      </c>
      <c r="AE42" s="143">
        <v>0.35</v>
      </c>
      <c r="AF42" s="143">
        <v>0.26236881669190398</v>
      </c>
      <c r="AG42" s="143">
        <v>0.2</v>
      </c>
      <c r="AH42" s="143">
        <v>0.4840001275028028</v>
      </c>
      <c r="AI42" s="143">
        <v>0.04</v>
      </c>
      <c r="AJ42" s="143">
        <v>9.5000000000000001E-2</v>
      </c>
      <c r="AK42" s="143">
        <v>0.93</v>
      </c>
      <c r="AL42" s="143">
        <v>0</v>
      </c>
      <c r="AM42" s="143">
        <v>0</v>
      </c>
      <c r="AN42" s="143">
        <v>0</v>
      </c>
      <c r="AO42" s="143">
        <v>0</v>
      </c>
      <c r="AP42" s="143">
        <v>0</v>
      </c>
    </row>
    <row r="43" spans="1:42" x14ac:dyDescent="0.15">
      <c r="A43" s="179" t="s">
        <v>239</v>
      </c>
      <c r="B43" s="143">
        <v>0</v>
      </c>
      <c r="C43" s="143">
        <v>0</v>
      </c>
      <c r="D43" s="143">
        <v>0</v>
      </c>
      <c r="E43" s="143">
        <v>0</v>
      </c>
      <c r="F43" s="143">
        <v>0</v>
      </c>
      <c r="G43" s="143">
        <v>0</v>
      </c>
      <c r="H43" s="143">
        <v>0</v>
      </c>
      <c r="I43" s="143">
        <v>0</v>
      </c>
      <c r="J43" s="143">
        <v>0</v>
      </c>
      <c r="K43" s="143">
        <v>0</v>
      </c>
      <c r="L43" s="143">
        <v>0</v>
      </c>
      <c r="M43" s="143">
        <v>0</v>
      </c>
      <c r="N43" s="143">
        <v>0</v>
      </c>
      <c r="O43" s="143">
        <v>0</v>
      </c>
      <c r="P43" s="143">
        <v>0</v>
      </c>
      <c r="Q43" s="143">
        <v>0</v>
      </c>
      <c r="R43" s="143">
        <v>0</v>
      </c>
      <c r="S43" s="143">
        <v>0</v>
      </c>
      <c r="T43" s="143">
        <v>0</v>
      </c>
      <c r="U43" s="143">
        <v>0</v>
      </c>
      <c r="V43" s="143">
        <v>0</v>
      </c>
      <c r="W43" s="143">
        <v>0</v>
      </c>
      <c r="X43" s="143">
        <v>0</v>
      </c>
      <c r="Y43" s="143">
        <v>0</v>
      </c>
      <c r="Z43" s="143">
        <v>0</v>
      </c>
      <c r="AA43" s="143">
        <v>0</v>
      </c>
      <c r="AB43" s="143">
        <v>0</v>
      </c>
      <c r="AC43" s="143">
        <v>0</v>
      </c>
      <c r="AD43" s="143">
        <v>0</v>
      </c>
      <c r="AE43" s="143">
        <v>0</v>
      </c>
      <c r="AF43" s="143">
        <v>0</v>
      </c>
      <c r="AG43" s="143">
        <v>0</v>
      </c>
      <c r="AH43" s="143">
        <v>0</v>
      </c>
      <c r="AI43" s="143">
        <v>0</v>
      </c>
      <c r="AJ43" s="143">
        <v>0</v>
      </c>
      <c r="AK43" s="143">
        <v>0</v>
      </c>
      <c r="AL43" s="143">
        <v>0</v>
      </c>
      <c r="AM43" s="143">
        <v>0</v>
      </c>
      <c r="AN43" s="143">
        <v>0</v>
      </c>
      <c r="AO43" s="143">
        <v>0</v>
      </c>
      <c r="AP43" s="143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32" activePane="bottomRight" state="frozen"/>
      <selection pane="topRight" activeCell="C1" sqref="C1"/>
      <selection pane="bottomLeft" activeCell="A2" sqref="A2"/>
      <selection pane="bottomRight" activeCell="H49" sqref="H49"/>
    </sheetView>
  </sheetViews>
  <sheetFormatPr baseColWidth="10" defaultColWidth="8.83203125" defaultRowHeight="13" x14ac:dyDescent="0.15"/>
  <cols>
    <col min="1" max="1" width="3.33203125" customWidth="1"/>
    <col min="2" max="2" width="32" customWidth="1"/>
    <col min="3" max="4" width="18" style="111" customWidth="1"/>
    <col min="5" max="6" width="18" style="110" customWidth="1"/>
    <col min="7" max="7" width="18" style="111" customWidth="1"/>
    <col min="8" max="8" width="8.83203125" style="111"/>
  </cols>
  <sheetData>
    <row r="1" spans="1:8" ht="70" x14ac:dyDescent="0.15">
      <c r="A1" s="5" t="s">
        <v>20</v>
      </c>
      <c r="B1" s="1" t="s">
        <v>0</v>
      </c>
      <c r="C1" s="182" t="s">
        <v>230</v>
      </c>
      <c r="D1" s="182" t="s">
        <v>231</v>
      </c>
      <c r="E1" s="182" t="s">
        <v>232</v>
      </c>
      <c r="F1" s="182" t="s">
        <v>240</v>
      </c>
      <c r="G1" s="182" t="s">
        <v>241</v>
      </c>
      <c r="H1"/>
    </row>
    <row r="2" spans="1:8" x14ac:dyDescent="0.15">
      <c r="A2">
        <v>1</v>
      </c>
      <c r="B2" s="181" t="s">
        <v>192</v>
      </c>
      <c r="C2" s="111">
        <v>0.01</v>
      </c>
      <c r="D2" s="111">
        <v>0.7</v>
      </c>
      <c r="E2" s="110">
        <v>0.28999999999999998</v>
      </c>
      <c r="F2" s="110">
        <v>0</v>
      </c>
      <c r="G2" s="111">
        <v>1</v>
      </c>
      <c r="H2"/>
    </row>
    <row r="3" spans="1:8" x14ac:dyDescent="0.15">
      <c r="A3">
        <v>2</v>
      </c>
      <c r="B3" s="181" t="s">
        <v>193</v>
      </c>
      <c r="C3" s="111">
        <v>0.01</v>
      </c>
      <c r="D3" s="111">
        <v>0.7</v>
      </c>
      <c r="E3" s="110">
        <v>0.28999999999999998</v>
      </c>
      <c r="F3" s="110">
        <v>0</v>
      </c>
      <c r="G3" s="111">
        <v>1</v>
      </c>
      <c r="H3"/>
    </row>
    <row r="4" spans="1:8" x14ac:dyDescent="0.15">
      <c r="A4">
        <v>3</v>
      </c>
      <c r="B4" s="181" t="s">
        <v>194</v>
      </c>
      <c r="C4" s="111">
        <v>0.01</v>
      </c>
      <c r="D4" s="111">
        <v>0.7</v>
      </c>
      <c r="E4" s="110">
        <v>0.28999999999999998</v>
      </c>
      <c r="F4" s="110">
        <v>0</v>
      </c>
      <c r="G4" s="111">
        <v>1</v>
      </c>
      <c r="H4"/>
    </row>
    <row r="5" spans="1:8" x14ac:dyDescent="0.15">
      <c r="A5">
        <v>4</v>
      </c>
      <c r="B5" s="181" t="s">
        <v>195</v>
      </c>
      <c r="C5" s="111">
        <v>0.01</v>
      </c>
      <c r="D5" s="111">
        <v>0.5</v>
      </c>
      <c r="E5" s="110">
        <v>0</v>
      </c>
      <c r="F5" s="110">
        <v>0.49</v>
      </c>
      <c r="G5" s="111">
        <v>1</v>
      </c>
      <c r="H5"/>
    </row>
    <row r="6" spans="1:8" x14ac:dyDescent="0.15">
      <c r="A6">
        <v>5</v>
      </c>
      <c r="B6" s="181" t="s">
        <v>196</v>
      </c>
      <c r="C6" s="111">
        <v>0.01</v>
      </c>
      <c r="D6" s="111">
        <v>0.7</v>
      </c>
      <c r="E6" s="110">
        <v>0.28999999999999998</v>
      </c>
      <c r="F6" s="110">
        <v>0</v>
      </c>
      <c r="G6" s="111">
        <v>1</v>
      </c>
      <c r="H6"/>
    </row>
    <row r="7" spans="1:8" x14ac:dyDescent="0.15">
      <c r="A7">
        <v>6</v>
      </c>
      <c r="B7" s="181" t="s">
        <v>197</v>
      </c>
      <c r="C7" s="111">
        <v>0.01</v>
      </c>
      <c r="D7" s="111">
        <v>0.19</v>
      </c>
      <c r="E7" s="110">
        <v>0.8</v>
      </c>
      <c r="F7" s="110">
        <v>0</v>
      </c>
      <c r="G7" s="111">
        <v>1</v>
      </c>
      <c r="H7"/>
    </row>
    <row r="8" spans="1:8" x14ac:dyDescent="0.15">
      <c r="A8">
        <v>7</v>
      </c>
      <c r="B8" s="181" t="s">
        <v>198</v>
      </c>
      <c r="C8" s="111">
        <v>0.01</v>
      </c>
      <c r="D8" s="111">
        <v>0.19</v>
      </c>
      <c r="E8" s="110">
        <v>0.8</v>
      </c>
      <c r="F8" s="110">
        <v>0</v>
      </c>
      <c r="G8" s="111">
        <v>1</v>
      </c>
      <c r="H8"/>
    </row>
    <row r="9" spans="1:8" x14ac:dyDescent="0.15">
      <c r="A9">
        <v>8</v>
      </c>
      <c r="B9" s="181" t="s">
        <v>199</v>
      </c>
      <c r="C9" s="111">
        <v>0.01</v>
      </c>
      <c r="D9" s="111">
        <v>0.7</v>
      </c>
      <c r="E9" s="110">
        <v>0.28999999999999998</v>
      </c>
      <c r="F9" s="110">
        <v>0</v>
      </c>
      <c r="G9" s="111">
        <v>1</v>
      </c>
      <c r="H9"/>
    </row>
    <row r="10" spans="1:8" x14ac:dyDescent="0.15">
      <c r="A10">
        <v>9</v>
      </c>
      <c r="B10" s="181" t="s">
        <v>200</v>
      </c>
      <c r="C10" s="111">
        <v>0.01</v>
      </c>
      <c r="D10" s="111">
        <v>0.7</v>
      </c>
      <c r="E10" s="110">
        <v>0.28999999999999998</v>
      </c>
      <c r="F10" s="110">
        <v>0</v>
      </c>
      <c r="G10" s="111">
        <v>1</v>
      </c>
      <c r="H10"/>
    </row>
    <row r="11" spans="1:8" x14ac:dyDescent="0.15">
      <c r="A11">
        <v>10</v>
      </c>
      <c r="B11" s="181" t="s">
        <v>201</v>
      </c>
      <c r="C11" s="111">
        <v>0.01</v>
      </c>
      <c r="D11" s="111">
        <v>0.7</v>
      </c>
      <c r="E11" s="110">
        <v>0.28999999999999998</v>
      </c>
      <c r="F11" s="110">
        <v>0</v>
      </c>
      <c r="G11" s="111">
        <v>1</v>
      </c>
      <c r="H11"/>
    </row>
    <row r="12" spans="1:8" x14ac:dyDescent="0.15">
      <c r="A12">
        <v>11</v>
      </c>
      <c r="B12" s="181" t="s">
        <v>202</v>
      </c>
      <c r="C12" s="111">
        <v>0.01</v>
      </c>
      <c r="D12" s="111">
        <v>0.19</v>
      </c>
      <c r="E12" s="110">
        <v>0.8</v>
      </c>
      <c r="F12" s="110">
        <v>0</v>
      </c>
      <c r="G12" s="111">
        <v>1</v>
      </c>
      <c r="H12"/>
    </row>
    <row r="13" spans="1:8" x14ac:dyDescent="0.15">
      <c r="A13">
        <v>12</v>
      </c>
      <c r="B13" s="181" t="s">
        <v>203</v>
      </c>
      <c r="C13" s="111">
        <v>0.01</v>
      </c>
      <c r="D13" s="111">
        <v>0.7</v>
      </c>
      <c r="E13" s="110">
        <v>0.28999999999999998</v>
      </c>
      <c r="F13" s="110">
        <v>0</v>
      </c>
      <c r="G13" s="111">
        <v>1</v>
      </c>
      <c r="H13"/>
    </row>
    <row r="14" spans="1:8" x14ac:dyDescent="0.15">
      <c r="A14">
        <v>13</v>
      </c>
      <c r="B14" s="181" t="s">
        <v>204</v>
      </c>
      <c r="C14" s="111">
        <v>0.01</v>
      </c>
      <c r="D14" s="111">
        <v>0.19</v>
      </c>
      <c r="E14" s="110">
        <v>0.8</v>
      </c>
      <c r="F14" s="110">
        <v>0</v>
      </c>
      <c r="G14" s="111">
        <v>1</v>
      </c>
      <c r="H14"/>
    </row>
    <row r="15" spans="1:8" x14ac:dyDescent="0.15">
      <c r="A15">
        <v>14</v>
      </c>
      <c r="B15" s="181" t="s">
        <v>205</v>
      </c>
      <c r="C15" s="111">
        <v>0.01</v>
      </c>
      <c r="D15" s="111">
        <v>0.19</v>
      </c>
      <c r="E15" s="110">
        <v>0.8</v>
      </c>
      <c r="F15" s="110">
        <v>0</v>
      </c>
      <c r="G15" s="111">
        <v>1</v>
      </c>
      <c r="H15"/>
    </row>
    <row r="16" spans="1:8" x14ac:dyDescent="0.15">
      <c r="A16">
        <v>15</v>
      </c>
      <c r="B16" s="181" t="s">
        <v>206</v>
      </c>
      <c r="C16" s="111">
        <v>0.01</v>
      </c>
      <c r="D16" s="111">
        <v>0.19</v>
      </c>
      <c r="E16" s="110">
        <v>0.8</v>
      </c>
      <c r="F16" s="110">
        <v>0</v>
      </c>
      <c r="G16" s="111">
        <v>1</v>
      </c>
      <c r="H16"/>
    </row>
    <row r="17" spans="1:8" ht="15" customHeight="1" x14ac:dyDescent="0.15">
      <c r="A17">
        <v>16</v>
      </c>
      <c r="B17" s="181" t="s">
        <v>207</v>
      </c>
      <c r="C17" s="111">
        <v>0.01</v>
      </c>
      <c r="D17" s="111">
        <v>0.19</v>
      </c>
      <c r="E17" s="110">
        <v>0.8</v>
      </c>
      <c r="F17" s="110">
        <v>0</v>
      </c>
      <c r="G17" s="111">
        <v>1</v>
      </c>
      <c r="H17"/>
    </row>
    <row r="18" spans="1:8" ht="15" customHeight="1" x14ac:dyDescent="0.15">
      <c r="A18">
        <v>17</v>
      </c>
      <c r="B18" s="181" t="s">
        <v>208</v>
      </c>
      <c r="C18" s="111">
        <v>0.01</v>
      </c>
      <c r="D18" s="111">
        <v>0.19</v>
      </c>
      <c r="E18" s="110">
        <v>0.8</v>
      </c>
      <c r="F18" s="110">
        <v>0</v>
      </c>
      <c r="G18" s="111">
        <v>1</v>
      </c>
      <c r="H18"/>
    </row>
    <row r="19" spans="1:8" ht="15" customHeight="1" x14ac:dyDescent="0.15">
      <c r="A19">
        <v>18</v>
      </c>
      <c r="B19" s="181" t="s">
        <v>209</v>
      </c>
      <c r="C19" s="111">
        <v>0.01</v>
      </c>
      <c r="D19" s="111">
        <v>0.19</v>
      </c>
      <c r="E19" s="110">
        <v>0.8</v>
      </c>
      <c r="F19" s="110">
        <v>0</v>
      </c>
      <c r="G19" s="111">
        <v>1</v>
      </c>
      <c r="H19"/>
    </row>
    <row r="20" spans="1:8" ht="15" customHeight="1" x14ac:dyDescent="0.15">
      <c r="A20">
        <v>19</v>
      </c>
      <c r="B20" s="181" t="s">
        <v>210</v>
      </c>
      <c r="C20" s="111">
        <v>0.01</v>
      </c>
      <c r="D20" s="111">
        <v>0.7</v>
      </c>
      <c r="E20" s="110">
        <v>0.28999999999999998</v>
      </c>
      <c r="F20" s="110">
        <v>0</v>
      </c>
      <c r="G20" s="111">
        <v>1</v>
      </c>
      <c r="H20"/>
    </row>
    <row r="21" spans="1:8" ht="15" customHeight="1" x14ac:dyDescent="0.15">
      <c r="A21">
        <v>20</v>
      </c>
      <c r="B21" s="181" t="s">
        <v>211</v>
      </c>
      <c r="C21" s="111">
        <v>0.01</v>
      </c>
      <c r="D21" s="111">
        <v>0.8</v>
      </c>
      <c r="E21" s="110">
        <v>0.19</v>
      </c>
      <c r="F21" s="110">
        <v>0</v>
      </c>
      <c r="G21" s="111">
        <v>1</v>
      </c>
      <c r="H21"/>
    </row>
    <row r="22" spans="1:8" ht="15" customHeight="1" x14ac:dyDescent="0.15">
      <c r="A22">
        <v>21</v>
      </c>
      <c r="B22" s="181" t="s">
        <v>212</v>
      </c>
      <c r="C22" s="111">
        <v>0.01</v>
      </c>
      <c r="D22" s="111">
        <v>0.19</v>
      </c>
      <c r="E22" s="110">
        <v>0.8</v>
      </c>
      <c r="F22" s="110">
        <v>0</v>
      </c>
      <c r="G22" s="111">
        <v>1</v>
      </c>
      <c r="H22"/>
    </row>
    <row r="23" spans="1:8" ht="15" customHeight="1" x14ac:dyDescent="0.15">
      <c r="A23">
        <v>22</v>
      </c>
      <c r="B23" s="181" t="s">
        <v>213</v>
      </c>
      <c r="C23" s="111">
        <v>0.01</v>
      </c>
      <c r="D23" s="111">
        <v>0.09</v>
      </c>
      <c r="E23" s="110">
        <v>0.9</v>
      </c>
      <c r="F23" s="110">
        <v>0</v>
      </c>
      <c r="G23" s="111">
        <v>1</v>
      </c>
      <c r="H23"/>
    </row>
    <row r="24" spans="1:8" ht="15" customHeight="1" x14ac:dyDescent="0.15">
      <c r="A24">
        <v>23</v>
      </c>
      <c r="B24" s="181" t="s">
        <v>214</v>
      </c>
      <c r="C24" s="111">
        <v>0.01</v>
      </c>
      <c r="D24" s="111">
        <v>0.7</v>
      </c>
      <c r="E24" s="110">
        <v>0.28999999999999998</v>
      </c>
      <c r="F24" s="110">
        <v>0</v>
      </c>
      <c r="G24" s="111">
        <v>1</v>
      </c>
      <c r="H24"/>
    </row>
    <row r="25" spans="1:8" ht="15" customHeight="1" x14ac:dyDescent="0.15">
      <c r="A25">
        <v>24</v>
      </c>
      <c r="B25" s="181" t="s">
        <v>215</v>
      </c>
      <c r="C25" s="111">
        <v>0.01</v>
      </c>
      <c r="D25" s="111">
        <v>0.7</v>
      </c>
      <c r="E25" s="110">
        <v>0.28999999999999998</v>
      </c>
      <c r="F25" s="110">
        <v>0</v>
      </c>
      <c r="G25" s="111">
        <v>1</v>
      </c>
      <c r="H25"/>
    </row>
    <row r="26" spans="1:8" ht="15" customHeight="1" x14ac:dyDescent="0.15">
      <c r="A26">
        <v>25</v>
      </c>
      <c r="B26" s="181" t="s">
        <v>216</v>
      </c>
      <c r="C26" s="111">
        <v>0.01</v>
      </c>
      <c r="D26" s="111">
        <v>0.7</v>
      </c>
      <c r="E26" s="110">
        <v>0.28999999999999998</v>
      </c>
      <c r="F26" s="110">
        <v>0</v>
      </c>
      <c r="G26" s="111">
        <v>1</v>
      </c>
      <c r="H26"/>
    </row>
    <row r="27" spans="1:8" ht="15" customHeight="1" x14ac:dyDescent="0.15">
      <c r="A27">
        <v>26</v>
      </c>
      <c r="B27" s="181" t="s">
        <v>217</v>
      </c>
      <c r="C27" s="111">
        <v>0.01</v>
      </c>
      <c r="D27" s="111">
        <v>0.7</v>
      </c>
      <c r="E27" s="110">
        <v>0.28999999999999998</v>
      </c>
      <c r="F27" s="110">
        <v>0</v>
      </c>
      <c r="G27" s="111">
        <v>1</v>
      </c>
      <c r="H27"/>
    </row>
    <row r="28" spans="1:8" ht="15" customHeight="1" x14ac:dyDescent="0.15">
      <c r="A28">
        <v>27</v>
      </c>
      <c r="B28" s="181" t="s">
        <v>218</v>
      </c>
      <c r="C28" s="111">
        <v>0.01</v>
      </c>
      <c r="D28" s="111">
        <v>0.09</v>
      </c>
      <c r="E28" s="110">
        <v>0.9</v>
      </c>
      <c r="F28" s="110">
        <v>0</v>
      </c>
      <c r="G28" s="111">
        <v>1</v>
      </c>
      <c r="H28"/>
    </row>
    <row r="29" spans="1:8" ht="15" customHeight="1" x14ac:dyDescent="0.15">
      <c r="A29">
        <v>28</v>
      </c>
      <c r="B29" s="181" t="s">
        <v>219</v>
      </c>
      <c r="C29" s="111">
        <v>0.01</v>
      </c>
      <c r="D29" s="111">
        <v>0.8</v>
      </c>
      <c r="E29" s="110">
        <v>0.19</v>
      </c>
      <c r="F29" s="110">
        <v>0</v>
      </c>
      <c r="G29" s="111">
        <v>1</v>
      </c>
      <c r="H29"/>
    </row>
    <row r="30" spans="1:8" ht="15" customHeight="1" x14ac:dyDescent="0.15">
      <c r="A30">
        <v>29</v>
      </c>
      <c r="B30" s="181" t="s">
        <v>220</v>
      </c>
      <c r="C30" s="111">
        <v>0.01</v>
      </c>
      <c r="D30" s="111">
        <v>0.09</v>
      </c>
      <c r="E30" s="110">
        <v>0.9</v>
      </c>
      <c r="F30" s="110">
        <v>0</v>
      </c>
      <c r="G30" s="111">
        <v>1</v>
      </c>
      <c r="H30"/>
    </row>
    <row r="31" spans="1:8" ht="15" customHeight="1" x14ac:dyDescent="0.15">
      <c r="A31">
        <v>30</v>
      </c>
      <c r="B31" s="181" t="s">
        <v>221</v>
      </c>
      <c r="C31" s="111">
        <v>0.01</v>
      </c>
      <c r="D31" s="111">
        <v>0.09</v>
      </c>
      <c r="E31" s="110">
        <v>0.9</v>
      </c>
      <c r="F31" s="110">
        <v>0</v>
      </c>
      <c r="G31" s="111">
        <v>1</v>
      </c>
      <c r="H31"/>
    </row>
    <row r="32" spans="1:8" ht="15" customHeight="1" x14ac:dyDescent="0.15">
      <c r="A32">
        <v>31</v>
      </c>
      <c r="B32" s="181" t="s">
        <v>222</v>
      </c>
      <c r="C32" s="111">
        <v>0.01</v>
      </c>
      <c r="D32" s="111">
        <v>0.09</v>
      </c>
      <c r="E32" s="110">
        <v>0.9</v>
      </c>
      <c r="F32" s="110">
        <v>0</v>
      </c>
      <c r="G32" s="111">
        <v>1</v>
      </c>
    </row>
    <row r="33" spans="1:8" ht="15" customHeight="1" x14ac:dyDescent="0.15">
      <c r="A33">
        <v>32</v>
      </c>
      <c r="B33" s="181" t="s">
        <v>223</v>
      </c>
      <c r="C33" s="111">
        <v>0.01</v>
      </c>
      <c r="D33" s="111">
        <v>0.09</v>
      </c>
      <c r="E33" s="110">
        <v>0.9</v>
      </c>
      <c r="F33" s="110">
        <v>0</v>
      </c>
      <c r="G33" s="111">
        <v>1</v>
      </c>
    </row>
    <row r="34" spans="1:8" ht="15" customHeight="1" x14ac:dyDescent="0.15">
      <c r="A34">
        <v>33</v>
      </c>
      <c r="B34" s="181" t="s">
        <v>224</v>
      </c>
      <c r="C34" s="111">
        <v>0.01</v>
      </c>
      <c r="D34" s="111">
        <v>0.01</v>
      </c>
      <c r="E34" s="110">
        <v>0.98</v>
      </c>
      <c r="F34" s="110">
        <v>0</v>
      </c>
      <c r="G34" s="111">
        <v>1</v>
      </c>
    </row>
    <row r="35" spans="1:8" ht="15" customHeight="1" x14ac:dyDescent="0.15">
      <c r="A35">
        <v>34</v>
      </c>
      <c r="B35" s="181" t="s">
        <v>225</v>
      </c>
      <c r="C35" s="111">
        <v>0.01</v>
      </c>
      <c r="D35" s="111">
        <v>0.8</v>
      </c>
      <c r="E35" s="110">
        <v>0.19</v>
      </c>
      <c r="F35" s="110">
        <v>0</v>
      </c>
      <c r="G35" s="111">
        <v>1</v>
      </c>
    </row>
    <row r="36" spans="1:8" ht="15" customHeight="1" x14ac:dyDescent="0.15">
      <c r="A36">
        <v>35</v>
      </c>
      <c r="B36" s="181" t="s">
        <v>226</v>
      </c>
      <c r="C36" s="111">
        <v>0.01</v>
      </c>
      <c r="D36" s="111">
        <v>0.8</v>
      </c>
      <c r="E36" s="111">
        <v>0.19</v>
      </c>
      <c r="F36" s="111">
        <v>0</v>
      </c>
      <c r="G36" s="111">
        <v>1</v>
      </c>
      <c r="H36"/>
    </row>
    <row r="37" spans="1:8" ht="15" customHeight="1" x14ac:dyDescent="0.15">
      <c r="A37">
        <v>36</v>
      </c>
      <c r="B37" s="181" t="s">
        <v>227</v>
      </c>
      <c r="C37" s="111">
        <v>0.01</v>
      </c>
      <c r="D37" s="111">
        <v>0.01</v>
      </c>
      <c r="E37" s="111">
        <v>0.98</v>
      </c>
      <c r="F37" s="111">
        <v>0</v>
      </c>
      <c r="G37" s="111">
        <v>1</v>
      </c>
      <c r="H37"/>
    </row>
    <row r="38" spans="1:8" ht="15" customHeight="1" x14ac:dyDescent="0.15">
      <c r="A38">
        <v>37</v>
      </c>
      <c r="B38" s="181" t="s">
        <v>228</v>
      </c>
      <c r="C38" s="111">
        <v>0.01</v>
      </c>
      <c r="D38" s="111">
        <v>0.8</v>
      </c>
      <c r="E38" s="111">
        <v>0.19</v>
      </c>
      <c r="F38" s="111">
        <v>0</v>
      </c>
      <c r="G38" s="111">
        <v>1</v>
      </c>
      <c r="H38"/>
    </row>
    <row r="39" spans="1:8" ht="15" customHeight="1" x14ac:dyDescent="0.15">
      <c r="A39">
        <v>38</v>
      </c>
      <c r="B39" s="181" t="s">
        <v>229</v>
      </c>
      <c r="C39" s="111">
        <v>0.01</v>
      </c>
      <c r="D39" s="111">
        <v>0.09</v>
      </c>
      <c r="E39" s="111">
        <v>0.9</v>
      </c>
      <c r="F39" s="111">
        <v>0</v>
      </c>
      <c r="G39" s="111">
        <v>1</v>
      </c>
      <c r="H39"/>
    </row>
    <row r="40" spans="1:8" ht="15" customHeight="1" x14ac:dyDescent="0.15">
      <c r="A40">
        <v>39</v>
      </c>
      <c r="B40" s="181" t="s">
        <v>230</v>
      </c>
      <c r="C40" s="111">
        <v>0</v>
      </c>
      <c r="D40" s="111">
        <v>0.2</v>
      </c>
      <c r="E40" s="111">
        <v>0.8</v>
      </c>
      <c r="F40" s="111">
        <v>0</v>
      </c>
      <c r="G40" s="111">
        <v>1</v>
      </c>
      <c r="H40"/>
    </row>
    <row r="41" spans="1:8" ht="15" customHeight="1" x14ac:dyDescent="0.15">
      <c r="A41">
        <v>40</v>
      </c>
      <c r="B41" s="181" t="s">
        <v>231</v>
      </c>
      <c r="C41" s="111">
        <v>0</v>
      </c>
      <c r="D41" s="111">
        <v>0</v>
      </c>
      <c r="E41" s="111">
        <v>1</v>
      </c>
      <c r="F41" s="111">
        <v>0</v>
      </c>
      <c r="G41" s="111">
        <v>1</v>
      </c>
      <c r="H41"/>
    </row>
    <row r="42" spans="1:8" ht="15" customHeight="1" x14ac:dyDescent="0.15">
      <c r="A42">
        <v>41</v>
      </c>
      <c r="B42" s="181" t="s">
        <v>232</v>
      </c>
      <c r="C42" s="111">
        <v>0</v>
      </c>
      <c r="D42" s="111">
        <v>0</v>
      </c>
      <c r="E42" s="111">
        <v>0</v>
      </c>
      <c r="F42" s="111">
        <v>1</v>
      </c>
      <c r="G42" s="111">
        <v>1</v>
      </c>
      <c r="H42"/>
    </row>
    <row r="43" spans="1:8" ht="15" customHeight="1" x14ac:dyDescent="0.15">
      <c r="A43">
        <v>42</v>
      </c>
      <c r="B43" s="181" t="s">
        <v>233</v>
      </c>
      <c r="C43" s="111">
        <v>1</v>
      </c>
      <c r="D43" s="111">
        <v>0</v>
      </c>
      <c r="E43" s="111">
        <v>0</v>
      </c>
      <c r="F43" s="111">
        <v>0</v>
      </c>
      <c r="G43" s="111">
        <v>1</v>
      </c>
      <c r="H43"/>
    </row>
    <row r="44" spans="1:8" ht="15" customHeight="1" x14ac:dyDescent="0.15">
      <c r="A44">
        <v>43</v>
      </c>
      <c r="B44" s="181" t="s">
        <v>234</v>
      </c>
      <c r="C44" s="111">
        <v>1</v>
      </c>
      <c r="D44" s="111">
        <v>0</v>
      </c>
      <c r="E44" s="110">
        <v>0</v>
      </c>
      <c r="F44" s="110">
        <v>0</v>
      </c>
      <c r="G44" s="111">
        <v>1</v>
      </c>
      <c r="H44"/>
    </row>
    <row r="45" spans="1:8" ht="15" customHeight="1" x14ac:dyDescent="0.15">
      <c r="A45">
        <v>44</v>
      </c>
      <c r="B45" s="181" t="s">
        <v>235</v>
      </c>
      <c r="C45" s="111">
        <v>1</v>
      </c>
      <c r="D45" s="111">
        <v>0</v>
      </c>
      <c r="E45" s="110">
        <v>0</v>
      </c>
      <c r="F45" s="110">
        <v>0</v>
      </c>
      <c r="G45" s="111">
        <v>1</v>
      </c>
      <c r="H45"/>
    </row>
    <row r="46" spans="1:8" ht="15" customHeight="1" x14ac:dyDescent="0.15">
      <c r="A46">
        <v>45</v>
      </c>
      <c r="B46" s="181" t="s">
        <v>236</v>
      </c>
      <c r="C46" s="111">
        <v>1</v>
      </c>
      <c r="D46" s="111">
        <v>0</v>
      </c>
      <c r="E46" s="111">
        <v>0</v>
      </c>
      <c r="F46" s="111">
        <v>0</v>
      </c>
      <c r="G46" s="111">
        <v>1</v>
      </c>
      <c r="H46"/>
    </row>
    <row r="47" spans="1:8" ht="15" customHeight="1" x14ac:dyDescent="0.15">
      <c r="A47">
        <v>46</v>
      </c>
      <c r="B47" s="181" t="s">
        <v>237</v>
      </c>
      <c r="C47" s="111">
        <v>1</v>
      </c>
      <c r="D47" s="111">
        <v>0</v>
      </c>
      <c r="E47" s="110">
        <v>0</v>
      </c>
      <c r="F47" s="110">
        <v>0</v>
      </c>
      <c r="G47" s="111">
        <v>1</v>
      </c>
      <c r="H47"/>
    </row>
    <row r="48" spans="1:8" ht="15" customHeight="1" x14ac:dyDescent="0.15">
      <c r="A48">
        <v>47</v>
      </c>
      <c r="B48" s="181" t="s">
        <v>238</v>
      </c>
      <c r="C48" s="111">
        <v>1</v>
      </c>
      <c r="D48" s="111">
        <v>0</v>
      </c>
      <c r="E48" s="110">
        <v>0</v>
      </c>
      <c r="F48" s="110">
        <v>0</v>
      </c>
      <c r="G48" s="111">
        <v>1</v>
      </c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I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32" bestFit="1" customWidth="1"/>
    <col min="3" max="3" width="8.83203125" bestFit="1" customWidth="1"/>
    <col min="4" max="4" width="5.83203125" bestFit="1" customWidth="1"/>
    <col min="5" max="5" width="7.83203125" bestFit="1" customWidth="1"/>
    <col min="6" max="9" width="8.83203125" customWidth="1"/>
  </cols>
  <sheetData>
    <row r="1" spans="1:9" s="112" customFormat="1" ht="112" x14ac:dyDescent="0.15">
      <c r="A1" s="5" t="s">
        <v>21</v>
      </c>
      <c r="B1" s="3" t="s">
        <v>0</v>
      </c>
      <c r="C1" s="184" t="s">
        <v>233</v>
      </c>
      <c r="D1" s="184" t="s">
        <v>234</v>
      </c>
      <c r="E1" s="184" t="s">
        <v>235</v>
      </c>
      <c r="F1" s="184" t="s">
        <v>236</v>
      </c>
      <c r="G1" s="184" t="s">
        <v>237</v>
      </c>
      <c r="H1" s="184" t="s">
        <v>238</v>
      </c>
      <c r="I1" s="184" t="s">
        <v>242</v>
      </c>
    </row>
    <row r="2" spans="1:9" ht="15" customHeight="1" x14ac:dyDescent="0.15">
      <c r="A2">
        <v>1</v>
      </c>
      <c r="B2" s="183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</row>
    <row r="3" spans="1:9" ht="15" customHeight="1" x14ac:dyDescent="0.15">
      <c r="A3">
        <v>2</v>
      </c>
      <c r="B3" s="183" t="s">
        <v>193</v>
      </c>
      <c r="C3">
        <v>0</v>
      </c>
      <c r="D3">
        <v>0</v>
      </c>
      <c r="E3">
        <v>0</v>
      </c>
      <c r="F3">
        <v>2.1399999999999998E-6</v>
      </c>
      <c r="G3">
        <v>0</v>
      </c>
      <c r="H3">
        <v>0</v>
      </c>
      <c r="I3">
        <v>2.1399999999999998E-6</v>
      </c>
    </row>
    <row r="4" spans="1:9" ht="15" customHeight="1" x14ac:dyDescent="0.15">
      <c r="A4">
        <v>3</v>
      </c>
      <c r="B4" s="183" t="s">
        <v>194</v>
      </c>
      <c r="C4">
        <v>0</v>
      </c>
      <c r="D4">
        <v>4.0000000000000003E-5</v>
      </c>
      <c r="E4">
        <v>0</v>
      </c>
      <c r="F4">
        <v>0</v>
      </c>
      <c r="G4">
        <v>0</v>
      </c>
      <c r="H4">
        <v>0</v>
      </c>
      <c r="I4">
        <v>4.0000000000000003E-5</v>
      </c>
    </row>
    <row r="5" spans="1:9" ht="15" customHeight="1" x14ac:dyDescent="0.15">
      <c r="A5">
        <v>4</v>
      </c>
      <c r="B5" s="183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</row>
    <row r="6" spans="1:9" ht="15" customHeight="1" x14ac:dyDescent="0.15">
      <c r="A6">
        <v>5</v>
      </c>
      <c r="B6" s="183" t="s">
        <v>196</v>
      </c>
      <c r="C6">
        <v>0</v>
      </c>
      <c r="D6">
        <v>0</v>
      </c>
      <c r="E6">
        <v>0</v>
      </c>
      <c r="F6">
        <v>1.2534999999999999E-2</v>
      </c>
      <c r="G6">
        <v>0</v>
      </c>
      <c r="H6">
        <v>0</v>
      </c>
      <c r="I6">
        <v>1.2534999999999999E-2</v>
      </c>
    </row>
    <row r="7" spans="1:9" ht="15" customHeight="1" x14ac:dyDescent="0.15">
      <c r="A7">
        <v>6</v>
      </c>
      <c r="B7" s="183" t="s">
        <v>197</v>
      </c>
      <c r="C7">
        <v>0</v>
      </c>
      <c r="D7">
        <v>0</v>
      </c>
      <c r="E7">
        <v>0</v>
      </c>
      <c r="F7">
        <v>3.5000000000000001E-3</v>
      </c>
      <c r="G7">
        <v>0</v>
      </c>
      <c r="H7">
        <v>0</v>
      </c>
      <c r="I7">
        <v>3.5000000000000001E-3</v>
      </c>
    </row>
    <row r="8" spans="1:9" ht="15" customHeight="1" x14ac:dyDescent="0.15">
      <c r="A8">
        <v>7</v>
      </c>
      <c r="B8" s="183" t="s">
        <v>198</v>
      </c>
      <c r="C8">
        <v>0</v>
      </c>
      <c r="D8">
        <v>0</v>
      </c>
      <c r="E8">
        <v>0</v>
      </c>
      <c r="F8">
        <v>0.17513100000000001</v>
      </c>
      <c r="G8">
        <v>0</v>
      </c>
      <c r="H8">
        <v>0</v>
      </c>
      <c r="I8">
        <v>0.17513100000000001</v>
      </c>
    </row>
    <row r="9" spans="1:9" ht="15" customHeight="1" x14ac:dyDescent="0.15">
      <c r="A9">
        <v>8</v>
      </c>
      <c r="B9" s="183" t="s">
        <v>199</v>
      </c>
      <c r="C9">
        <v>3.2600000000000001E-4</v>
      </c>
      <c r="D9">
        <v>0</v>
      </c>
      <c r="E9">
        <v>0</v>
      </c>
      <c r="F9">
        <v>0</v>
      </c>
      <c r="G9">
        <v>0</v>
      </c>
      <c r="H9">
        <v>0</v>
      </c>
      <c r="I9">
        <v>3.2600000000000001E-4</v>
      </c>
    </row>
    <row r="10" spans="1:9" ht="15" customHeight="1" x14ac:dyDescent="0.15">
      <c r="A10">
        <v>9</v>
      </c>
      <c r="B10" s="183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</row>
    <row r="11" spans="1:9" ht="15" customHeight="1" x14ac:dyDescent="0.15">
      <c r="A11">
        <v>10</v>
      </c>
      <c r="B11" s="183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</row>
    <row r="12" spans="1:9" ht="15" customHeight="1" x14ac:dyDescent="0.15">
      <c r="A12">
        <v>11</v>
      </c>
      <c r="B12" s="183" t="s">
        <v>202</v>
      </c>
      <c r="C12">
        <v>0</v>
      </c>
      <c r="D12">
        <v>0</v>
      </c>
      <c r="E12">
        <v>0</v>
      </c>
      <c r="F12">
        <v>8.8599999999999999E-5</v>
      </c>
      <c r="G12">
        <v>0</v>
      </c>
      <c r="H12">
        <v>0</v>
      </c>
      <c r="I12">
        <v>8.8599999999999999E-5</v>
      </c>
    </row>
    <row r="13" spans="1:9" ht="15" customHeight="1" x14ac:dyDescent="0.15">
      <c r="A13">
        <v>12</v>
      </c>
      <c r="B13" s="183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ht="15" customHeight="1" x14ac:dyDescent="0.15">
      <c r="A14">
        <v>13</v>
      </c>
      <c r="B14" s="183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ht="15" customHeight="1" x14ac:dyDescent="0.15">
      <c r="A15">
        <v>14</v>
      </c>
      <c r="B15" s="183" t="s">
        <v>205</v>
      </c>
      <c r="C15">
        <v>0</v>
      </c>
      <c r="D15">
        <v>0</v>
      </c>
      <c r="E15">
        <v>0</v>
      </c>
      <c r="F15">
        <v>3.9529999999999999E-3</v>
      </c>
      <c r="G15">
        <v>0</v>
      </c>
      <c r="H15">
        <v>0</v>
      </c>
      <c r="I15">
        <v>3.9529999999999999E-3</v>
      </c>
    </row>
    <row r="16" spans="1:9" ht="15" customHeight="1" x14ac:dyDescent="0.15">
      <c r="A16">
        <v>15</v>
      </c>
      <c r="B16" s="183" t="s">
        <v>206</v>
      </c>
      <c r="C16">
        <v>0</v>
      </c>
      <c r="D16">
        <v>0</v>
      </c>
      <c r="E16">
        <v>0</v>
      </c>
      <c r="F16">
        <v>5.1423000000000003E-2</v>
      </c>
      <c r="G16">
        <v>0</v>
      </c>
      <c r="H16">
        <v>0</v>
      </c>
      <c r="I16">
        <v>5.1423000000000003E-2</v>
      </c>
    </row>
    <row r="17" spans="1:9" ht="15" customHeight="1" x14ac:dyDescent="0.15">
      <c r="A17">
        <v>16</v>
      </c>
      <c r="B17" s="183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</row>
    <row r="18" spans="1:9" ht="15" customHeight="1" x14ac:dyDescent="0.15">
      <c r="A18">
        <v>17</v>
      </c>
      <c r="B18" s="183" t="s">
        <v>208</v>
      </c>
      <c r="C18">
        <v>0</v>
      </c>
      <c r="D18">
        <v>0</v>
      </c>
      <c r="E18">
        <v>0</v>
      </c>
      <c r="F18">
        <v>1.7163999999999999E-2</v>
      </c>
      <c r="G18">
        <v>0</v>
      </c>
      <c r="H18">
        <v>0</v>
      </c>
      <c r="I18">
        <v>1.7163999999999999E-2</v>
      </c>
    </row>
    <row r="19" spans="1:9" ht="15" customHeight="1" x14ac:dyDescent="0.15">
      <c r="A19">
        <v>18</v>
      </c>
      <c r="B19" s="183" t="s">
        <v>209</v>
      </c>
      <c r="C19">
        <v>0</v>
      </c>
      <c r="D19">
        <v>0</v>
      </c>
      <c r="E19">
        <v>0</v>
      </c>
      <c r="F19">
        <v>1.696E-3</v>
      </c>
      <c r="G19">
        <v>0</v>
      </c>
      <c r="H19">
        <v>0</v>
      </c>
      <c r="I19">
        <v>1.696E-3</v>
      </c>
    </row>
    <row r="20" spans="1:9" ht="15" customHeight="1" x14ac:dyDescent="0.15">
      <c r="A20">
        <v>19</v>
      </c>
      <c r="B20" s="183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ht="15" customHeight="1" x14ac:dyDescent="0.15">
      <c r="A21">
        <v>20</v>
      </c>
      <c r="B21" s="183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ht="15" customHeight="1" x14ac:dyDescent="0.15">
      <c r="A22">
        <v>21</v>
      </c>
      <c r="B22" s="183" t="s">
        <v>212</v>
      </c>
      <c r="C22">
        <v>0</v>
      </c>
      <c r="D22">
        <v>0</v>
      </c>
      <c r="E22">
        <v>0</v>
      </c>
      <c r="F22">
        <v>3.8809999999999999E-3</v>
      </c>
      <c r="G22">
        <v>0</v>
      </c>
      <c r="H22">
        <v>0</v>
      </c>
      <c r="I22">
        <v>3.8809999999999999E-3</v>
      </c>
    </row>
    <row r="23" spans="1:9" ht="15" customHeight="1" x14ac:dyDescent="0.15">
      <c r="A23">
        <v>22</v>
      </c>
      <c r="B23" s="183" t="s">
        <v>213</v>
      </c>
      <c r="C23">
        <v>0</v>
      </c>
      <c r="D23">
        <v>0</v>
      </c>
      <c r="E23">
        <v>0</v>
      </c>
      <c r="F23">
        <v>0</v>
      </c>
      <c r="G23">
        <v>2.2900000000000001E-5</v>
      </c>
      <c r="H23">
        <v>0</v>
      </c>
      <c r="I23">
        <v>2.2900000000000001E-5</v>
      </c>
    </row>
    <row r="24" spans="1:9" ht="15" customHeight="1" x14ac:dyDescent="0.15">
      <c r="A24">
        <v>23</v>
      </c>
      <c r="B24" s="183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 ht="15" customHeight="1" x14ac:dyDescent="0.15">
      <c r="A25">
        <v>24</v>
      </c>
      <c r="B25" s="183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</row>
    <row r="26" spans="1:9" ht="15" customHeight="1" x14ac:dyDescent="0.15">
      <c r="A26">
        <v>25</v>
      </c>
      <c r="B26" s="183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 ht="15" customHeight="1" x14ac:dyDescent="0.15">
      <c r="A27">
        <v>26</v>
      </c>
      <c r="B27" s="183" t="s">
        <v>217</v>
      </c>
      <c r="C27">
        <v>0</v>
      </c>
      <c r="D27">
        <v>0</v>
      </c>
      <c r="E27">
        <v>1.8600000000000001E-3</v>
      </c>
      <c r="F27">
        <v>0</v>
      </c>
      <c r="G27">
        <v>0</v>
      </c>
      <c r="H27">
        <v>0</v>
      </c>
      <c r="I27">
        <v>1.8600000000000001E-3</v>
      </c>
    </row>
    <row r="28" spans="1:9" ht="15" customHeight="1" x14ac:dyDescent="0.15">
      <c r="A28">
        <v>27</v>
      </c>
      <c r="B28" s="183" t="s">
        <v>218</v>
      </c>
      <c r="C28">
        <v>0</v>
      </c>
      <c r="D28">
        <v>0</v>
      </c>
      <c r="E28">
        <v>0</v>
      </c>
      <c r="F28">
        <v>5.9800000000000001E-3</v>
      </c>
      <c r="G28">
        <v>0</v>
      </c>
      <c r="H28">
        <v>0</v>
      </c>
      <c r="I28">
        <v>5.9800000000000001E-3</v>
      </c>
    </row>
    <row r="29" spans="1:9" ht="15" customHeight="1" x14ac:dyDescent="0.15">
      <c r="A29">
        <v>28</v>
      </c>
      <c r="B29" s="183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0" spans="1:9" ht="15" customHeight="1" x14ac:dyDescent="0.15">
      <c r="A30">
        <v>29</v>
      </c>
      <c r="B30" s="183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</row>
    <row r="31" spans="1:9" ht="15" customHeight="1" x14ac:dyDescent="0.15">
      <c r="A31">
        <v>30</v>
      </c>
      <c r="B31" s="183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</row>
    <row r="32" spans="1:9" ht="15" customHeight="1" x14ac:dyDescent="0.15">
      <c r="A32">
        <v>31</v>
      </c>
      <c r="B32" s="183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6.9160000000000003E-3</v>
      </c>
      <c r="I32">
        <v>6.9160000000000003E-3</v>
      </c>
    </row>
    <row r="33" spans="1:9" ht="15" customHeight="1" x14ac:dyDescent="0.15">
      <c r="A33">
        <v>32</v>
      </c>
      <c r="B33" s="183" t="s">
        <v>223</v>
      </c>
      <c r="C33">
        <v>0</v>
      </c>
      <c r="D33">
        <v>0</v>
      </c>
      <c r="E33">
        <v>0</v>
      </c>
      <c r="F33">
        <v>0</v>
      </c>
      <c r="G33">
        <v>3.93E-5</v>
      </c>
      <c r="H33">
        <v>0</v>
      </c>
      <c r="I33">
        <v>3.93E-5</v>
      </c>
    </row>
    <row r="34" spans="1:9" ht="15" customHeight="1" x14ac:dyDescent="0.15">
      <c r="A34">
        <v>33</v>
      </c>
      <c r="B34" s="183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</row>
    <row r="35" spans="1:9" ht="15" customHeight="1" x14ac:dyDescent="0.15">
      <c r="A35">
        <v>34</v>
      </c>
      <c r="B35" s="183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</row>
    <row r="36" spans="1:9" ht="15" customHeight="1" x14ac:dyDescent="0.15">
      <c r="A36">
        <v>35</v>
      </c>
      <c r="B36" s="183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</row>
    <row r="37" spans="1:9" ht="15" customHeight="1" x14ac:dyDescent="0.15">
      <c r="A37">
        <v>36</v>
      </c>
      <c r="B37" s="183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</row>
    <row r="38" spans="1:9" ht="15" customHeight="1" x14ac:dyDescent="0.15">
      <c r="A38">
        <v>37</v>
      </c>
      <c r="B38" s="183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</row>
    <row r="39" spans="1:9" ht="15" customHeight="1" x14ac:dyDescent="0.15">
      <c r="A39">
        <v>38</v>
      </c>
      <c r="B39" s="183" t="s">
        <v>229</v>
      </c>
      <c r="C39">
        <v>0</v>
      </c>
      <c r="D39">
        <v>0</v>
      </c>
      <c r="E39">
        <v>0</v>
      </c>
      <c r="F39">
        <v>0</v>
      </c>
      <c r="G39">
        <v>2.5099999999999998E-4</v>
      </c>
      <c r="H39">
        <v>0</v>
      </c>
      <c r="I39">
        <v>2.5099999999999998E-4</v>
      </c>
    </row>
    <row r="40" spans="1:9" ht="15" customHeight="1" x14ac:dyDescent="0.15">
      <c r="A40">
        <v>39</v>
      </c>
      <c r="B40" s="183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</row>
    <row r="41" spans="1:9" ht="15" customHeight="1" x14ac:dyDescent="0.15">
      <c r="A41">
        <v>40</v>
      </c>
      <c r="B41" s="183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</row>
    <row r="42" spans="1:9" ht="15" customHeight="1" x14ac:dyDescent="0.15">
      <c r="A42">
        <v>41</v>
      </c>
      <c r="B42" s="183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</row>
    <row r="43" spans="1:9" ht="15" customHeight="1" x14ac:dyDescent="0.15"/>
    <row r="44" spans="1:9" ht="15" customHeight="1" x14ac:dyDescent="0.15"/>
    <row r="45" spans="1:9" ht="15" customHeight="1" x14ac:dyDescent="0.15"/>
    <row r="46" spans="1:9" ht="15" customHeight="1" x14ac:dyDescent="0.15"/>
    <row r="47" spans="1:9" ht="15" customHeight="1" x14ac:dyDescent="0.15"/>
    <row r="48" spans="1:9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I42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32" bestFit="1" customWidth="1"/>
    <col min="3" max="5" width="2.33203125" bestFit="1" customWidth="1"/>
    <col min="6" max="6" width="8.83203125" customWidth="1"/>
    <col min="7" max="7" width="2.33203125" customWidth="1"/>
    <col min="8" max="8" width="8.83203125" customWidth="1"/>
    <col min="9" max="9" width="9.83203125" customWidth="1"/>
  </cols>
  <sheetData>
    <row r="1" spans="1:9" s="112" customFormat="1" ht="112" x14ac:dyDescent="0.15">
      <c r="A1" s="5" t="s">
        <v>22</v>
      </c>
      <c r="B1" s="3" t="s">
        <v>0</v>
      </c>
      <c r="C1" s="186" t="s">
        <v>233</v>
      </c>
      <c r="D1" s="186" t="s">
        <v>234</v>
      </c>
      <c r="E1" s="186" t="s">
        <v>235</v>
      </c>
      <c r="F1" s="186" t="s">
        <v>236</v>
      </c>
      <c r="G1" s="186" t="s">
        <v>237</v>
      </c>
      <c r="H1" s="186" t="s">
        <v>238</v>
      </c>
      <c r="I1" s="186" t="s">
        <v>242</v>
      </c>
    </row>
    <row r="2" spans="1:9" x14ac:dyDescent="0.15">
      <c r="A2">
        <v>1</v>
      </c>
      <c r="B2" s="185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</row>
    <row r="3" spans="1:9" x14ac:dyDescent="0.15">
      <c r="A3">
        <v>2</v>
      </c>
      <c r="B3" s="185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</row>
    <row r="4" spans="1:9" x14ac:dyDescent="0.15">
      <c r="A4">
        <v>3</v>
      </c>
      <c r="B4" s="185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</row>
    <row r="5" spans="1:9" x14ac:dyDescent="0.15">
      <c r="A5">
        <v>4</v>
      </c>
      <c r="B5" s="185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</row>
    <row r="6" spans="1:9" x14ac:dyDescent="0.15">
      <c r="A6">
        <v>5</v>
      </c>
      <c r="B6" s="185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</row>
    <row r="7" spans="1:9" x14ac:dyDescent="0.15">
      <c r="A7">
        <v>6</v>
      </c>
      <c r="B7" s="185" t="s">
        <v>197</v>
      </c>
      <c r="C7">
        <v>0</v>
      </c>
      <c r="D7">
        <v>0</v>
      </c>
      <c r="E7">
        <v>0</v>
      </c>
      <c r="F7">
        <v>5.6900000000000001E-5</v>
      </c>
      <c r="G7">
        <v>0</v>
      </c>
      <c r="H7">
        <v>1.5200000000000001E-4</v>
      </c>
      <c r="I7">
        <v>2.0890000000000001E-4</v>
      </c>
    </row>
    <row r="8" spans="1:9" x14ac:dyDescent="0.15">
      <c r="A8">
        <v>7</v>
      </c>
      <c r="B8" s="185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</row>
    <row r="9" spans="1:9" x14ac:dyDescent="0.15">
      <c r="A9">
        <v>8</v>
      </c>
      <c r="B9" s="185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</row>
    <row r="10" spans="1:9" x14ac:dyDescent="0.15">
      <c r="A10">
        <v>9</v>
      </c>
      <c r="B10" s="185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</row>
    <row r="11" spans="1:9" x14ac:dyDescent="0.15">
      <c r="A11">
        <v>10</v>
      </c>
      <c r="B11" s="185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</row>
    <row r="12" spans="1:9" x14ac:dyDescent="0.15">
      <c r="A12">
        <v>11</v>
      </c>
      <c r="B12" s="185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</row>
    <row r="13" spans="1:9" x14ac:dyDescent="0.15">
      <c r="A13">
        <v>12</v>
      </c>
      <c r="B13" s="185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15">
      <c r="A14">
        <v>13</v>
      </c>
      <c r="B14" s="185" t="s">
        <v>204</v>
      </c>
      <c r="C14">
        <v>0</v>
      </c>
      <c r="D14">
        <v>0</v>
      </c>
      <c r="E14">
        <v>0</v>
      </c>
      <c r="F14">
        <v>1.0212000000000001E-2</v>
      </c>
      <c r="G14">
        <v>0</v>
      </c>
      <c r="H14">
        <v>0</v>
      </c>
      <c r="I14">
        <v>1.0212000000000001E-2</v>
      </c>
    </row>
    <row r="15" spans="1:9" x14ac:dyDescent="0.15">
      <c r="A15">
        <v>14</v>
      </c>
      <c r="B15" s="185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</row>
    <row r="16" spans="1:9" x14ac:dyDescent="0.15">
      <c r="A16">
        <v>15</v>
      </c>
      <c r="B16" s="185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15">
      <c r="A17">
        <v>16</v>
      </c>
      <c r="B17" s="185" t="s">
        <v>207</v>
      </c>
      <c r="C17">
        <v>0</v>
      </c>
      <c r="D17">
        <v>0</v>
      </c>
      <c r="E17">
        <v>0</v>
      </c>
      <c r="F17">
        <v>9.4000000000000004E-3</v>
      </c>
      <c r="G17">
        <v>0</v>
      </c>
      <c r="H17">
        <v>0</v>
      </c>
      <c r="I17">
        <v>9.4000000000000004E-3</v>
      </c>
    </row>
    <row r="18" spans="1:9" x14ac:dyDescent="0.15">
      <c r="A18">
        <v>17</v>
      </c>
      <c r="B18" s="185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6.9699999999999995E-7</v>
      </c>
      <c r="I18">
        <v>6.9699999999999995E-7</v>
      </c>
    </row>
    <row r="19" spans="1:9" x14ac:dyDescent="0.15">
      <c r="A19">
        <v>18</v>
      </c>
      <c r="B19" s="185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9.6299999999999993E-7</v>
      </c>
      <c r="I19">
        <v>9.6299999999999993E-7</v>
      </c>
    </row>
    <row r="20" spans="1:9" x14ac:dyDescent="0.15">
      <c r="A20">
        <v>19</v>
      </c>
      <c r="B20" s="185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3.6300000000000001E-9</v>
      </c>
      <c r="I20">
        <v>3.6300000000000001E-9</v>
      </c>
    </row>
    <row r="21" spans="1:9" x14ac:dyDescent="0.15">
      <c r="A21">
        <v>20</v>
      </c>
      <c r="B21" s="185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x14ac:dyDescent="0.15">
      <c r="A22">
        <v>21</v>
      </c>
      <c r="B22" s="185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 x14ac:dyDescent="0.15">
      <c r="A23">
        <v>22</v>
      </c>
      <c r="B23" s="185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 x14ac:dyDescent="0.15">
      <c r="A24">
        <v>23</v>
      </c>
      <c r="B24" s="185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 x14ac:dyDescent="0.15">
      <c r="A25">
        <v>24</v>
      </c>
      <c r="B25" s="185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</row>
    <row r="26" spans="1:9" x14ac:dyDescent="0.15">
      <c r="A26">
        <v>25</v>
      </c>
      <c r="B26" s="185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 x14ac:dyDescent="0.15">
      <c r="A27">
        <v>26</v>
      </c>
      <c r="B27" s="185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28" spans="1:9" x14ac:dyDescent="0.15">
      <c r="A28">
        <v>27</v>
      </c>
      <c r="B28" s="185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</row>
    <row r="29" spans="1:9" x14ac:dyDescent="0.15">
      <c r="A29">
        <v>28</v>
      </c>
      <c r="B29" s="185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0" spans="1:9" x14ac:dyDescent="0.15">
      <c r="A30">
        <v>29</v>
      </c>
      <c r="B30" s="185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</row>
    <row r="31" spans="1:9" x14ac:dyDescent="0.15">
      <c r="A31">
        <v>30</v>
      </c>
      <c r="B31" s="185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</row>
    <row r="32" spans="1:9" x14ac:dyDescent="0.15">
      <c r="A32">
        <v>31</v>
      </c>
      <c r="B32" s="185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</row>
    <row r="33" spans="1:9" x14ac:dyDescent="0.15">
      <c r="A33">
        <v>32</v>
      </c>
      <c r="B33" s="185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</row>
    <row r="34" spans="1:9" x14ac:dyDescent="0.15">
      <c r="A34">
        <v>33</v>
      </c>
      <c r="B34" s="185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</row>
    <row r="35" spans="1:9" x14ac:dyDescent="0.15">
      <c r="A35">
        <v>34</v>
      </c>
      <c r="B35" s="185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</row>
    <row r="36" spans="1:9" x14ac:dyDescent="0.15">
      <c r="A36">
        <v>35</v>
      </c>
      <c r="B36" s="185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</row>
    <row r="37" spans="1:9" x14ac:dyDescent="0.15">
      <c r="A37">
        <v>36</v>
      </c>
      <c r="B37" s="185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</row>
    <row r="38" spans="1:9" x14ac:dyDescent="0.15">
      <c r="A38">
        <v>37</v>
      </c>
      <c r="B38" s="185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</row>
    <row r="39" spans="1:9" x14ac:dyDescent="0.15">
      <c r="A39">
        <v>38</v>
      </c>
      <c r="B39" s="185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</row>
    <row r="40" spans="1:9" x14ac:dyDescent="0.15">
      <c r="A40">
        <v>39</v>
      </c>
      <c r="B40" s="185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</row>
    <row r="41" spans="1:9" x14ac:dyDescent="0.15">
      <c r="A41">
        <v>40</v>
      </c>
      <c r="B41" s="185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</row>
    <row r="42" spans="1:9" x14ac:dyDescent="0.15">
      <c r="A42">
        <v>41</v>
      </c>
      <c r="B42" s="185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32" bestFit="1" customWidth="1"/>
    <col min="6" max="6" width="4.83203125" bestFit="1" customWidth="1"/>
    <col min="7" max="9" width="3.83203125" bestFit="1" customWidth="1"/>
    <col min="10" max="11" width="4.83203125" style="111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3" customFormat="1" ht="14" thickBot="1" x14ac:dyDescent="0.2">
      <c r="D1" s="114" t="s">
        <v>8</v>
      </c>
      <c r="E1" s="114" t="s">
        <v>0</v>
      </c>
      <c r="F1" s="115" t="s">
        <v>99</v>
      </c>
      <c r="G1" s="116" t="s">
        <v>84</v>
      </c>
      <c r="H1" s="116" t="s">
        <v>85</v>
      </c>
      <c r="I1" s="116" t="s">
        <v>86</v>
      </c>
      <c r="J1" s="116" t="s">
        <v>87</v>
      </c>
      <c r="K1" s="116" t="s">
        <v>88</v>
      </c>
      <c r="L1" s="117" t="s">
        <v>89</v>
      </c>
      <c r="M1" s="117" t="s">
        <v>93</v>
      </c>
      <c r="N1" s="117" t="s">
        <v>92</v>
      </c>
      <c r="O1" s="117" t="s">
        <v>90</v>
      </c>
      <c r="P1" s="117" t="s">
        <v>91</v>
      </c>
      <c r="Q1" s="118" t="s">
        <v>94</v>
      </c>
      <c r="R1" s="118" t="s">
        <v>95</v>
      </c>
      <c r="S1" s="118" t="s">
        <v>96</v>
      </c>
      <c r="T1" s="118" t="s">
        <v>97</v>
      </c>
      <c r="U1" s="118" t="s">
        <v>98</v>
      </c>
      <c r="V1" s="116" t="s">
        <v>100</v>
      </c>
      <c r="W1" s="116" t="s">
        <v>101</v>
      </c>
      <c r="X1" s="116" t="s">
        <v>102</v>
      </c>
      <c r="Y1" s="116" t="s">
        <v>134</v>
      </c>
      <c r="Z1" s="117" t="s">
        <v>103</v>
      </c>
      <c r="AA1" s="117" t="s">
        <v>104</v>
      </c>
      <c r="AB1" s="117" t="s">
        <v>105</v>
      </c>
      <c r="AC1" s="119" t="s">
        <v>135</v>
      </c>
      <c r="AD1" s="118" t="s">
        <v>106</v>
      </c>
      <c r="AE1" s="118" t="s">
        <v>107</v>
      </c>
      <c r="AF1" s="118" t="s">
        <v>108</v>
      </c>
      <c r="AG1" s="118" t="s">
        <v>136</v>
      </c>
      <c r="AH1" s="116" t="s">
        <v>109</v>
      </c>
      <c r="AI1" s="116" t="s">
        <v>111</v>
      </c>
      <c r="AJ1" s="116" t="s">
        <v>110</v>
      </c>
      <c r="AK1" s="117" t="s">
        <v>115</v>
      </c>
      <c r="AL1" s="117" t="s">
        <v>116</v>
      </c>
      <c r="AM1" s="117" t="s">
        <v>117</v>
      </c>
      <c r="AN1" s="118" t="s">
        <v>112</v>
      </c>
      <c r="AO1" s="118" t="s">
        <v>113</v>
      </c>
      <c r="AP1" s="118" t="s">
        <v>114</v>
      </c>
    </row>
    <row r="2" spans="1:42" x14ac:dyDescent="0.15">
      <c r="A2" s="120" t="s">
        <v>74</v>
      </c>
      <c r="B2" s="121">
        <v>1</v>
      </c>
      <c r="D2">
        <v>1</v>
      </c>
      <c r="E2" s="187" t="s">
        <v>192</v>
      </c>
      <c r="F2">
        <v>0.98</v>
      </c>
      <c r="G2">
        <v>0.8</v>
      </c>
      <c r="H2">
        <v>0.8</v>
      </c>
      <c r="I2">
        <v>0.8</v>
      </c>
      <c r="J2" s="111">
        <v>0.25</v>
      </c>
      <c r="K2" s="111">
        <v>0.05</v>
      </c>
    </row>
    <row r="3" spans="1:42" x14ac:dyDescent="0.15">
      <c r="A3" s="120" t="s">
        <v>75</v>
      </c>
      <c r="B3" s="122">
        <v>1</v>
      </c>
      <c r="D3">
        <v>2</v>
      </c>
      <c r="E3" s="187" t="s">
        <v>193</v>
      </c>
      <c r="F3">
        <v>0.98</v>
      </c>
      <c r="G3">
        <v>0.8</v>
      </c>
      <c r="H3">
        <v>0.8</v>
      </c>
      <c r="I3">
        <v>0.8</v>
      </c>
      <c r="J3" s="111">
        <v>0.25</v>
      </c>
      <c r="K3" s="111">
        <v>0.05</v>
      </c>
    </row>
    <row r="4" spans="1:42" x14ac:dyDescent="0.15">
      <c r="A4" s="120" t="s">
        <v>76</v>
      </c>
      <c r="B4" s="122">
        <v>1</v>
      </c>
      <c r="D4">
        <v>3</v>
      </c>
      <c r="E4" s="187" t="s">
        <v>194</v>
      </c>
      <c r="F4">
        <v>0.98</v>
      </c>
      <c r="G4">
        <v>0.8</v>
      </c>
      <c r="H4">
        <v>0.8</v>
      </c>
      <c r="I4">
        <v>0.8</v>
      </c>
      <c r="J4" s="111">
        <v>0.25</v>
      </c>
      <c r="K4" s="111">
        <v>0.05</v>
      </c>
    </row>
    <row r="5" spans="1:42" x14ac:dyDescent="0.15">
      <c r="A5" s="120" t="s">
        <v>77</v>
      </c>
      <c r="B5" s="122">
        <v>1</v>
      </c>
      <c r="D5">
        <v>4</v>
      </c>
      <c r="E5" s="187" t="s">
        <v>195</v>
      </c>
      <c r="F5">
        <v>0.98</v>
      </c>
      <c r="G5">
        <v>0.8</v>
      </c>
      <c r="H5">
        <v>0.8</v>
      </c>
      <c r="I5">
        <v>0.8</v>
      </c>
      <c r="J5" s="111">
        <v>0.25</v>
      </c>
      <c r="K5" s="111">
        <v>0.05</v>
      </c>
    </row>
    <row r="6" spans="1:42" x14ac:dyDescent="0.15">
      <c r="A6" s="120" t="s">
        <v>78</v>
      </c>
      <c r="B6" s="122">
        <v>1</v>
      </c>
      <c r="D6">
        <v>5</v>
      </c>
      <c r="E6" s="187" t="s">
        <v>196</v>
      </c>
      <c r="F6">
        <v>0.98</v>
      </c>
      <c r="G6">
        <v>0.8</v>
      </c>
      <c r="H6">
        <v>0.8</v>
      </c>
      <c r="I6">
        <v>0.8</v>
      </c>
      <c r="J6" s="111">
        <v>0.25</v>
      </c>
      <c r="K6" s="111">
        <v>0.05</v>
      </c>
    </row>
    <row r="7" spans="1:42" x14ac:dyDescent="0.15">
      <c r="A7" s="120" t="s">
        <v>79</v>
      </c>
      <c r="B7" s="122">
        <v>1</v>
      </c>
      <c r="D7">
        <v>6</v>
      </c>
      <c r="E7" s="187" t="s">
        <v>197</v>
      </c>
      <c r="F7">
        <v>0.98</v>
      </c>
      <c r="G7">
        <v>0.8</v>
      </c>
      <c r="H7">
        <v>0.8</v>
      </c>
      <c r="I7">
        <v>0.8</v>
      </c>
      <c r="J7" s="111">
        <v>0.25</v>
      </c>
      <c r="K7" s="111">
        <v>0.05</v>
      </c>
    </row>
    <row r="8" spans="1:42" x14ac:dyDescent="0.15">
      <c r="A8" s="120" t="s">
        <v>80</v>
      </c>
      <c r="B8" s="122">
        <v>1</v>
      </c>
      <c r="D8">
        <v>7</v>
      </c>
      <c r="E8" s="187" t="s">
        <v>198</v>
      </c>
      <c r="F8">
        <v>0.98</v>
      </c>
      <c r="G8">
        <v>0.8</v>
      </c>
      <c r="H8">
        <v>0.8</v>
      </c>
      <c r="I8">
        <v>0.8</v>
      </c>
      <c r="J8" s="111">
        <v>0.25</v>
      </c>
      <c r="K8" s="111">
        <v>0.05</v>
      </c>
    </row>
    <row r="9" spans="1:42" x14ac:dyDescent="0.15">
      <c r="A9" s="120" t="s">
        <v>81</v>
      </c>
      <c r="B9" s="122">
        <v>0.1</v>
      </c>
      <c r="C9" s="61" t="s">
        <v>150</v>
      </c>
      <c r="D9">
        <v>8</v>
      </c>
      <c r="E9" s="187" t="s">
        <v>199</v>
      </c>
      <c r="F9">
        <v>0.98</v>
      </c>
      <c r="G9">
        <v>0.8</v>
      </c>
      <c r="H9">
        <v>0.8</v>
      </c>
      <c r="I9">
        <v>0.8</v>
      </c>
      <c r="J9" s="111">
        <v>0.25</v>
      </c>
      <c r="K9" s="111">
        <v>0.05</v>
      </c>
    </row>
    <row r="10" spans="1:42" ht="14" thickBot="1" x14ac:dyDescent="0.2">
      <c r="A10" s="120" t="s">
        <v>149</v>
      </c>
      <c r="B10" s="123">
        <f>1/3</f>
        <v>0.33333333333333331</v>
      </c>
      <c r="C10" s="61" t="s">
        <v>150</v>
      </c>
      <c r="D10">
        <v>9</v>
      </c>
      <c r="E10" s="187" t="s">
        <v>200</v>
      </c>
      <c r="F10">
        <v>0.98</v>
      </c>
      <c r="G10">
        <v>0.8</v>
      </c>
      <c r="H10">
        <v>0.8</v>
      </c>
      <c r="I10">
        <v>0.8</v>
      </c>
      <c r="J10" s="111">
        <v>0.25</v>
      </c>
      <c r="K10" s="111">
        <v>0.05</v>
      </c>
    </row>
    <row r="11" spans="1:42" x14ac:dyDescent="0.15">
      <c r="D11">
        <v>10</v>
      </c>
      <c r="E11" s="187" t="s">
        <v>201</v>
      </c>
      <c r="F11">
        <v>0.98</v>
      </c>
      <c r="G11">
        <v>0.8</v>
      </c>
      <c r="H11">
        <v>0.8</v>
      </c>
      <c r="I11">
        <v>0.8</v>
      </c>
      <c r="J11" s="111">
        <v>0.25</v>
      </c>
      <c r="K11" s="111">
        <v>0.05</v>
      </c>
    </row>
    <row r="12" spans="1:42" x14ac:dyDescent="0.15">
      <c r="D12">
        <v>11</v>
      </c>
      <c r="E12" s="187" t="s">
        <v>202</v>
      </c>
      <c r="F12">
        <v>0.98</v>
      </c>
      <c r="G12">
        <v>0.8</v>
      </c>
      <c r="H12">
        <v>0.8</v>
      </c>
      <c r="I12">
        <v>0.8</v>
      </c>
      <c r="J12" s="111">
        <v>0.25</v>
      </c>
      <c r="K12" s="111">
        <v>0.05</v>
      </c>
    </row>
    <row r="13" spans="1:42" x14ac:dyDescent="0.15">
      <c r="D13">
        <v>12</v>
      </c>
      <c r="E13" s="187" t="s">
        <v>203</v>
      </c>
      <c r="F13">
        <v>0.98</v>
      </c>
      <c r="G13">
        <v>0.8</v>
      </c>
      <c r="H13">
        <v>0.8</v>
      </c>
      <c r="I13">
        <v>0.8</v>
      </c>
      <c r="J13" s="111">
        <v>0.25</v>
      </c>
      <c r="K13" s="111">
        <v>0.05</v>
      </c>
    </row>
    <row r="14" spans="1:42" x14ac:dyDescent="0.15">
      <c r="D14">
        <v>13</v>
      </c>
      <c r="E14" s="187" t="s">
        <v>204</v>
      </c>
      <c r="F14">
        <v>0.98</v>
      </c>
      <c r="G14">
        <v>0.8</v>
      </c>
      <c r="H14">
        <v>0.8</v>
      </c>
      <c r="I14">
        <v>0.8</v>
      </c>
      <c r="J14" s="111">
        <v>0.25</v>
      </c>
      <c r="K14" s="111">
        <v>0.05</v>
      </c>
    </row>
    <row r="15" spans="1:42" x14ac:dyDescent="0.15">
      <c r="D15">
        <v>14</v>
      </c>
      <c r="E15" s="187" t="s">
        <v>205</v>
      </c>
      <c r="F15">
        <v>0.98</v>
      </c>
      <c r="G15">
        <v>0.8</v>
      </c>
      <c r="H15">
        <v>0.8</v>
      </c>
      <c r="I15">
        <v>0.8</v>
      </c>
      <c r="J15" s="111">
        <v>0.25</v>
      </c>
      <c r="K15" s="111">
        <v>0.05</v>
      </c>
    </row>
    <row r="16" spans="1:42" x14ac:dyDescent="0.15">
      <c r="D16">
        <v>15</v>
      </c>
      <c r="E16" s="187" t="s">
        <v>206</v>
      </c>
      <c r="F16">
        <v>0.98</v>
      </c>
      <c r="G16">
        <v>0.8</v>
      </c>
      <c r="H16">
        <v>0.8</v>
      </c>
      <c r="I16">
        <v>0.8</v>
      </c>
      <c r="J16" s="111">
        <v>0.25</v>
      </c>
      <c r="K16" s="111">
        <v>0.05</v>
      </c>
    </row>
    <row r="17" spans="4:33" ht="15" customHeight="1" x14ac:dyDescent="0.15">
      <c r="D17">
        <v>16</v>
      </c>
      <c r="E17" s="187" t="s">
        <v>207</v>
      </c>
      <c r="F17">
        <v>0.98</v>
      </c>
      <c r="G17">
        <v>0.8</v>
      </c>
      <c r="H17">
        <v>0.8</v>
      </c>
      <c r="I17">
        <v>0.8</v>
      </c>
      <c r="J17" s="111">
        <v>0.25</v>
      </c>
      <c r="K17" s="111">
        <v>0.05</v>
      </c>
    </row>
    <row r="18" spans="4:33" ht="15" customHeight="1" x14ac:dyDescent="0.15">
      <c r="D18">
        <v>17</v>
      </c>
      <c r="E18" s="187" t="s">
        <v>208</v>
      </c>
      <c r="F18">
        <v>0.98</v>
      </c>
      <c r="G18">
        <v>0.8</v>
      </c>
      <c r="H18">
        <v>0.8</v>
      </c>
      <c r="I18">
        <v>0.8</v>
      </c>
      <c r="J18" s="111">
        <v>0.25</v>
      </c>
      <c r="K18" s="111">
        <v>0.05</v>
      </c>
    </row>
    <row r="19" spans="4:33" ht="15" customHeight="1" x14ac:dyDescent="0.15">
      <c r="D19">
        <v>18</v>
      </c>
      <c r="E19" s="187" t="s">
        <v>209</v>
      </c>
      <c r="F19">
        <v>0.98</v>
      </c>
      <c r="G19">
        <v>0.8</v>
      </c>
      <c r="H19">
        <v>0.8</v>
      </c>
      <c r="I19">
        <v>0.8</v>
      </c>
      <c r="J19" s="111">
        <v>0.25</v>
      </c>
      <c r="K19" s="111">
        <v>0.05</v>
      </c>
    </row>
    <row r="20" spans="4:33" ht="15" customHeight="1" x14ac:dyDescent="0.15">
      <c r="D20">
        <v>19</v>
      </c>
      <c r="E20" s="187" t="s">
        <v>210</v>
      </c>
      <c r="F20">
        <v>0.98</v>
      </c>
      <c r="G20">
        <v>0.8</v>
      </c>
      <c r="H20">
        <v>0.8</v>
      </c>
      <c r="I20">
        <v>0.8</v>
      </c>
      <c r="J20" s="111">
        <v>0.25</v>
      </c>
      <c r="K20" s="111">
        <v>0.05</v>
      </c>
    </row>
    <row r="21" spans="4:33" ht="15" customHeight="1" x14ac:dyDescent="0.15">
      <c r="D21">
        <v>20</v>
      </c>
      <c r="E21" s="187" t="s">
        <v>211</v>
      </c>
      <c r="F21">
        <v>0.98</v>
      </c>
      <c r="G21">
        <v>0.8</v>
      </c>
      <c r="H21">
        <v>0.8</v>
      </c>
      <c r="I21">
        <v>0.8</v>
      </c>
      <c r="J21" s="111">
        <v>0.25</v>
      </c>
      <c r="K21" s="111">
        <v>0.05</v>
      </c>
    </row>
    <row r="22" spans="4:33" ht="15" customHeight="1" x14ac:dyDescent="0.15">
      <c r="D22">
        <v>21</v>
      </c>
      <c r="E22" s="187" t="s">
        <v>212</v>
      </c>
      <c r="F22">
        <v>0.98</v>
      </c>
      <c r="G22">
        <v>0.8</v>
      </c>
      <c r="H22">
        <v>0.8</v>
      </c>
      <c r="I22">
        <v>0.8</v>
      </c>
      <c r="J22" s="111">
        <v>0.25</v>
      </c>
      <c r="K22" s="111">
        <v>0.05</v>
      </c>
    </row>
    <row r="23" spans="4:33" ht="15" customHeight="1" x14ac:dyDescent="0.15">
      <c r="D23">
        <v>22</v>
      </c>
      <c r="E23" s="187" t="s">
        <v>213</v>
      </c>
      <c r="F23">
        <v>0.98</v>
      </c>
      <c r="G23">
        <v>0.8</v>
      </c>
      <c r="H23">
        <v>0.8</v>
      </c>
      <c r="I23">
        <v>0.8</v>
      </c>
      <c r="J23" s="111">
        <v>0.25</v>
      </c>
      <c r="K23" s="111">
        <v>0.05</v>
      </c>
    </row>
    <row r="24" spans="4:33" ht="15" customHeight="1" x14ac:dyDescent="0.15">
      <c r="D24">
        <v>23</v>
      </c>
      <c r="E24" s="187" t="s">
        <v>214</v>
      </c>
      <c r="F24">
        <v>0.98</v>
      </c>
      <c r="G24">
        <v>0.8</v>
      </c>
      <c r="H24">
        <v>0.8</v>
      </c>
      <c r="I24">
        <v>0.8</v>
      </c>
      <c r="J24" s="111">
        <v>0.25</v>
      </c>
      <c r="K24" s="111">
        <v>0.05</v>
      </c>
    </row>
    <row r="25" spans="4:33" ht="15" customHeight="1" x14ac:dyDescent="0.15">
      <c r="D25">
        <v>24</v>
      </c>
      <c r="E25" s="187" t="s">
        <v>215</v>
      </c>
      <c r="F25">
        <v>0.98</v>
      </c>
      <c r="G25">
        <v>0.8</v>
      </c>
      <c r="H25">
        <v>0.8</v>
      </c>
      <c r="I25">
        <v>0.8</v>
      </c>
      <c r="J25" s="111">
        <v>0.25</v>
      </c>
      <c r="K25" s="111">
        <v>0.05</v>
      </c>
    </row>
    <row r="26" spans="4:33" ht="15" customHeight="1" x14ac:dyDescent="0.15">
      <c r="D26">
        <v>25</v>
      </c>
      <c r="E26" s="187" t="s">
        <v>216</v>
      </c>
      <c r="F26">
        <v>0.98</v>
      </c>
      <c r="G26">
        <v>0.8</v>
      </c>
      <c r="H26">
        <v>0.8</v>
      </c>
      <c r="I26">
        <v>0.8</v>
      </c>
      <c r="J26" s="111">
        <v>0.25</v>
      </c>
      <c r="K26" s="111">
        <v>0.05</v>
      </c>
    </row>
    <row r="27" spans="4:33" ht="15" customHeight="1" x14ac:dyDescent="0.15">
      <c r="D27">
        <v>26</v>
      </c>
      <c r="E27" s="187" t="s">
        <v>217</v>
      </c>
      <c r="F27">
        <v>0.98</v>
      </c>
      <c r="G27">
        <v>0.8</v>
      </c>
      <c r="H27">
        <v>0.8</v>
      </c>
      <c r="I27">
        <v>0.8</v>
      </c>
      <c r="J27" s="111">
        <v>0.25</v>
      </c>
      <c r="K27" s="111">
        <v>0.05</v>
      </c>
    </row>
    <row r="28" spans="4:33" ht="15" customHeight="1" x14ac:dyDescent="0.15">
      <c r="D28">
        <v>27</v>
      </c>
      <c r="E28" s="187" t="s">
        <v>218</v>
      </c>
      <c r="F28">
        <v>0.98</v>
      </c>
      <c r="G28">
        <v>0.8</v>
      </c>
      <c r="H28">
        <v>0.8</v>
      </c>
      <c r="I28">
        <v>0.8</v>
      </c>
      <c r="J28" s="111">
        <v>0.25</v>
      </c>
      <c r="K28" s="111">
        <v>0.05</v>
      </c>
    </row>
    <row r="29" spans="4:33" ht="15" customHeight="1" x14ac:dyDescent="0.15">
      <c r="D29">
        <v>28</v>
      </c>
      <c r="E29" s="187" t="s">
        <v>219</v>
      </c>
      <c r="F29">
        <v>0.98</v>
      </c>
      <c r="G29">
        <v>0.8</v>
      </c>
      <c r="H29">
        <v>0.8</v>
      </c>
      <c r="I29">
        <v>0.8</v>
      </c>
      <c r="J29" s="111">
        <v>0.25</v>
      </c>
      <c r="K29" s="111">
        <v>0.05</v>
      </c>
      <c r="Y29"/>
      <c r="AC29"/>
      <c r="AG29"/>
    </row>
    <row r="30" spans="4:33" ht="15" customHeight="1" x14ac:dyDescent="0.15">
      <c r="D30">
        <v>29</v>
      </c>
      <c r="E30" s="187" t="s">
        <v>220</v>
      </c>
      <c r="F30">
        <v>0.98</v>
      </c>
      <c r="G30">
        <v>0.8</v>
      </c>
      <c r="H30">
        <v>0.8</v>
      </c>
      <c r="I30">
        <v>0.8</v>
      </c>
      <c r="J30" s="111">
        <v>0.25</v>
      </c>
      <c r="K30" s="111">
        <v>0.05</v>
      </c>
      <c r="Y30"/>
      <c r="AC30"/>
      <c r="AG30"/>
    </row>
    <row r="31" spans="4:33" ht="15" customHeight="1" x14ac:dyDescent="0.15">
      <c r="D31">
        <v>30</v>
      </c>
      <c r="E31" s="187" t="s">
        <v>221</v>
      </c>
      <c r="F31">
        <v>0.98</v>
      </c>
      <c r="G31">
        <v>0.8</v>
      </c>
      <c r="H31">
        <v>0.8</v>
      </c>
      <c r="I31">
        <v>0.8</v>
      </c>
      <c r="J31" s="111">
        <v>0.25</v>
      </c>
      <c r="K31" s="111">
        <v>0.05</v>
      </c>
      <c r="Y31"/>
      <c r="AC31"/>
      <c r="AG31"/>
    </row>
    <row r="32" spans="4:33" ht="15" customHeight="1" x14ac:dyDescent="0.15">
      <c r="D32">
        <v>31</v>
      </c>
      <c r="E32" s="187" t="s">
        <v>222</v>
      </c>
      <c r="F32">
        <v>0.98</v>
      </c>
      <c r="G32">
        <v>0.8</v>
      </c>
      <c r="H32">
        <v>0.8</v>
      </c>
      <c r="I32">
        <v>0.8</v>
      </c>
      <c r="J32" s="111">
        <v>0.25</v>
      </c>
      <c r="K32" s="111">
        <v>0.05</v>
      </c>
      <c r="Y32"/>
      <c r="AC32"/>
      <c r="AG32"/>
    </row>
    <row r="33" spans="4:33" ht="15" customHeight="1" x14ac:dyDescent="0.15">
      <c r="D33">
        <v>32</v>
      </c>
      <c r="E33" s="187" t="s">
        <v>223</v>
      </c>
      <c r="F33">
        <v>0.98</v>
      </c>
      <c r="G33">
        <v>0.8</v>
      </c>
      <c r="H33">
        <v>0.8</v>
      </c>
      <c r="I33">
        <v>0.8</v>
      </c>
      <c r="J33" s="111">
        <v>0.25</v>
      </c>
      <c r="K33" s="111">
        <v>0.05</v>
      </c>
      <c r="Y33"/>
      <c r="AC33"/>
      <c r="AG33"/>
    </row>
    <row r="34" spans="4:33" ht="15" customHeight="1" x14ac:dyDescent="0.15">
      <c r="D34">
        <v>33</v>
      </c>
      <c r="E34" s="187" t="s">
        <v>224</v>
      </c>
      <c r="F34">
        <v>0.98</v>
      </c>
      <c r="G34">
        <v>0.8</v>
      </c>
      <c r="H34">
        <v>0.8</v>
      </c>
      <c r="I34">
        <v>0.8</v>
      </c>
      <c r="J34" s="111">
        <v>0.25</v>
      </c>
      <c r="K34" s="111">
        <v>0.05</v>
      </c>
      <c r="Y34"/>
      <c r="AC34"/>
      <c r="AG34"/>
    </row>
    <row r="35" spans="4:33" ht="15" customHeight="1" x14ac:dyDescent="0.15">
      <c r="D35">
        <v>34</v>
      </c>
      <c r="E35" s="187" t="s">
        <v>225</v>
      </c>
      <c r="F35">
        <v>0.98</v>
      </c>
      <c r="G35">
        <v>0.8</v>
      </c>
      <c r="H35">
        <v>0.8</v>
      </c>
      <c r="I35">
        <v>0.8</v>
      </c>
      <c r="J35" s="111">
        <v>0.25</v>
      </c>
      <c r="K35" s="111">
        <v>0.05</v>
      </c>
      <c r="Y35"/>
      <c r="AC35"/>
      <c r="AG35"/>
    </row>
    <row r="36" spans="4:33" ht="15" customHeight="1" x14ac:dyDescent="0.15">
      <c r="D36">
        <v>35</v>
      </c>
      <c r="E36" s="187" t="s">
        <v>226</v>
      </c>
      <c r="F36">
        <v>0.98</v>
      </c>
      <c r="G36">
        <v>0.8</v>
      </c>
      <c r="H36">
        <v>0.8</v>
      </c>
      <c r="I36">
        <v>0.8</v>
      </c>
      <c r="J36" s="111">
        <v>0.25</v>
      </c>
      <c r="K36" s="111">
        <v>0.05</v>
      </c>
      <c r="Y36"/>
      <c r="AC36"/>
      <c r="AG36"/>
    </row>
    <row r="37" spans="4:33" ht="15" customHeight="1" x14ac:dyDescent="0.15">
      <c r="D37">
        <v>36</v>
      </c>
      <c r="E37" s="187" t="s">
        <v>227</v>
      </c>
      <c r="F37">
        <v>0.98</v>
      </c>
      <c r="G37">
        <v>0.8</v>
      </c>
      <c r="H37">
        <v>0.8</v>
      </c>
      <c r="I37">
        <v>0.8</v>
      </c>
      <c r="J37" s="111">
        <v>0.25</v>
      </c>
      <c r="K37" s="111">
        <v>0.05</v>
      </c>
      <c r="Y37"/>
      <c r="AC37"/>
      <c r="AG37"/>
    </row>
    <row r="38" spans="4:33" ht="15" customHeight="1" x14ac:dyDescent="0.15">
      <c r="D38">
        <v>37</v>
      </c>
      <c r="E38" s="187" t="s">
        <v>228</v>
      </c>
      <c r="F38">
        <v>0.98</v>
      </c>
      <c r="G38">
        <v>0.8</v>
      </c>
      <c r="H38">
        <v>0.8</v>
      </c>
      <c r="I38">
        <v>0</v>
      </c>
      <c r="J38" s="111">
        <v>0</v>
      </c>
      <c r="K38" s="111">
        <v>0</v>
      </c>
      <c r="Y38"/>
      <c r="AC38"/>
      <c r="AG38"/>
    </row>
    <row r="39" spans="4:33" ht="15" customHeight="1" x14ac:dyDescent="0.15">
      <c r="D39">
        <v>38</v>
      </c>
      <c r="E39" s="187" t="s">
        <v>229</v>
      </c>
      <c r="F39">
        <v>0.98</v>
      </c>
      <c r="G39">
        <v>0.8</v>
      </c>
      <c r="H39">
        <v>0.8</v>
      </c>
      <c r="I39">
        <v>0</v>
      </c>
      <c r="J39" s="111">
        <v>0</v>
      </c>
      <c r="K39" s="111">
        <v>0</v>
      </c>
    </row>
    <row r="40" spans="4:33" ht="15" customHeight="1" x14ac:dyDescent="0.15">
      <c r="D40">
        <v>39</v>
      </c>
      <c r="E40" s="187" t="s">
        <v>230</v>
      </c>
      <c r="F40">
        <v>0.98</v>
      </c>
      <c r="G40">
        <v>0.8</v>
      </c>
      <c r="H40">
        <v>0</v>
      </c>
      <c r="I40">
        <v>0</v>
      </c>
      <c r="J40" s="111">
        <v>0</v>
      </c>
      <c r="K40" s="111">
        <v>0</v>
      </c>
      <c r="Y40"/>
      <c r="AC40"/>
      <c r="AG40"/>
    </row>
    <row r="41" spans="4:33" ht="15" customHeight="1" x14ac:dyDescent="0.15">
      <c r="D41">
        <v>40</v>
      </c>
      <c r="E41" s="187" t="s">
        <v>231</v>
      </c>
      <c r="F41">
        <v>0.98</v>
      </c>
      <c r="G41">
        <v>0.8</v>
      </c>
      <c r="H41">
        <v>0</v>
      </c>
      <c r="I41">
        <v>0</v>
      </c>
      <c r="J41" s="111">
        <v>0</v>
      </c>
      <c r="K41" s="111">
        <v>0</v>
      </c>
      <c r="Y41"/>
      <c r="AC41"/>
      <c r="AG41"/>
    </row>
    <row r="42" spans="4:33" ht="15" customHeight="1" x14ac:dyDescent="0.15">
      <c r="D42">
        <v>41</v>
      </c>
      <c r="E42" s="187" t="s">
        <v>232</v>
      </c>
      <c r="F42">
        <v>0.98</v>
      </c>
      <c r="G42">
        <v>0.8</v>
      </c>
      <c r="H42">
        <v>0</v>
      </c>
      <c r="I42">
        <v>0</v>
      </c>
      <c r="J42" s="111">
        <v>0</v>
      </c>
      <c r="K42" s="111">
        <v>0</v>
      </c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P43"/>
  <sheetViews>
    <sheetView workbookViewId="0">
      <selection activeCell="A3" sqref="A3"/>
    </sheetView>
  </sheetViews>
  <sheetFormatPr baseColWidth="10" defaultRowHeight="13" x14ac:dyDescent="0.15"/>
  <cols>
    <col min="1" max="1" width="32" style="109" bestFit="1" customWidth="1"/>
    <col min="2" max="37" width="3.83203125" style="109" customWidth="1"/>
    <col min="38" max="42" width="2.33203125" style="109" customWidth="1"/>
    <col min="43" max="16384" width="10.83203125" style="109"/>
  </cols>
  <sheetData>
    <row r="1" spans="1:42" x14ac:dyDescent="0.15">
      <c r="A1" s="63" t="s">
        <v>118</v>
      </c>
      <c r="B1" s="189" t="s">
        <v>192</v>
      </c>
      <c r="C1" s="189" t="s">
        <v>193</v>
      </c>
      <c r="D1" s="189" t="s">
        <v>194</v>
      </c>
      <c r="E1" s="189" t="s">
        <v>195</v>
      </c>
      <c r="F1" s="189" t="s">
        <v>196</v>
      </c>
      <c r="G1" s="189" t="s">
        <v>197</v>
      </c>
      <c r="H1" s="189" t="s">
        <v>198</v>
      </c>
      <c r="I1" s="189" t="s">
        <v>199</v>
      </c>
      <c r="J1" s="189" t="s">
        <v>200</v>
      </c>
      <c r="K1" s="189" t="s">
        <v>201</v>
      </c>
      <c r="L1" s="189" t="s">
        <v>202</v>
      </c>
      <c r="M1" s="189" t="s">
        <v>203</v>
      </c>
      <c r="N1" s="189" t="s">
        <v>204</v>
      </c>
      <c r="O1" s="189" t="s">
        <v>205</v>
      </c>
      <c r="P1" s="189" t="s">
        <v>206</v>
      </c>
      <c r="Q1" s="189" t="s">
        <v>207</v>
      </c>
      <c r="R1" s="189" t="s">
        <v>208</v>
      </c>
      <c r="S1" s="189" t="s">
        <v>209</v>
      </c>
      <c r="T1" s="189" t="s">
        <v>210</v>
      </c>
      <c r="U1" s="189" t="s">
        <v>211</v>
      </c>
      <c r="V1" s="189" t="s">
        <v>212</v>
      </c>
      <c r="W1" s="189" t="s">
        <v>213</v>
      </c>
      <c r="X1" s="189" t="s">
        <v>214</v>
      </c>
      <c r="Y1" s="189" t="s">
        <v>215</v>
      </c>
      <c r="Z1" s="189" t="s">
        <v>216</v>
      </c>
      <c r="AA1" s="189" t="s">
        <v>217</v>
      </c>
      <c r="AB1" s="189" t="s">
        <v>218</v>
      </c>
      <c r="AC1" s="189" t="s">
        <v>219</v>
      </c>
      <c r="AD1" s="189" t="s">
        <v>220</v>
      </c>
      <c r="AE1" s="189" t="s">
        <v>221</v>
      </c>
      <c r="AF1" s="189" t="s">
        <v>222</v>
      </c>
      <c r="AG1" s="189" t="s">
        <v>223</v>
      </c>
      <c r="AH1" s="189" t="s">
        <v>224</v>
      </c>
      <c r="AI1" s="189" t="s">
        <v>225</v>
      </c>
      <c r="AJ1" s="189" t="s">
        <v>226</v>
      </c>
      <c r="AK1" s="189" t="s">
        <v>227</v>
      </c>
      <c r="AL1" s="189" t="s">
        <v>228</v>
      </c>
      <c r="AM1" s="189" t="s">
        <v>229</v>
      </c>
      <c r="AN1" s="189" t="s">
        <v>230</v>
      </c>
      <c r="AO1" s="189" t="s">
        <v>231</v>
      </c>
      <c r="AP1" s="189" t="s">
        <v>232</v>
      </c>
    </row>
    <row r="2" spans="1:42" customFormat="1" x14ac:dyDescent="0.15">
      <c r="A2" s="188" t="s">
        <v>192</v>
      </c>
      <c r="B2" s="109">
        <v>0</v>
      </c>
      <c r="C2" s="109">
        <v>0</v>
      </c>
      <c r="D2" s="109">
        <v>0</v>
      </c>
      <c r="E2" s="109">
        <v>0</v>
      </c>
      <c r="F2" s="109">
        <v>0</v>
      </c>
      <c r="G2" s="109">
        <v>0</v>
      </c>
      <c r="H2" s="109">
        <v>0</v>
      </c>
      <c r="I2" s="109">
        <v>0</v>
      </c>
      <c r="J2" s="109">
        <v>0</v>
      </c>
      <c r="K2" s="109">
        <v>0</v>
      </c>
      <c r="L2" s="109">
        <v>0</v>
      </c>
      <c r="M2" s="109">
        <v>0</v>
      </c>
      <c r="N2" s="109">
        <v>0</v>
      </c>
      <c r="O2" s="109">
        <v>0</v>
      </c>
      <c r="P2" s="109">
        <v>0</v>
      </c>
      <c r="Q2" s="109">
        <v>0</v>
      </c>
      <c r="R2" s="109">
        <v>0</v>
      </c>
      <c r="S2" s="109">
        <v>0</v>
      </c>
      <c r="T2" s="109">
        <v>0</v>
      </c>
      <c r="U2" s="109">
        <v>0</v>
      </c>
      <c r="V2" s="109">
        <v>0</v>
      </c>
      <c r="W2" s="109">
        <v>0</v>
      </c>
      <c r="X2" s="109">
        <v>0</v>
      </c>
      <c r="Y2" s="109">
        <v>0</v>
      </c>
      <c r="Z2" s="109">
        <v>0</v>
      </c>
      <c r="AA2" s="109">
        <v>0</v>
      </c>
      <c r="AB2" s="109">
        <v>0</v>
      </c>
      <c r="AC2" s="109">
        <v>0</v>
      </c>
      <c r="AD2" s="109">
        <v>0</v>
      </c>
      <c r="AE2" s="109">
        <v>0</v>
      </c>
      <c r="AF2" s="109">
        <v>0</v>
      </c>
      <c r="AG2" s="109">
        <v>0</v>
      </c>
      <c r="AH2" s="109">
        <v>0</v>
      </c>
      <c r="AI2" s="109">
        <v>0</v>
      </c>
      <c r="AJ2" s="109">
        <v>0</v>
      </c>
      <c r="AK2" s="109">
        <v>0</v>
      </c>
      <c r="AL2" s="109">
        <v>0</v>
      </c>
      <c r="AM2" s="109">
        <v>0</v>
      </c>
      <c r="AN2" s="109">
        <v>0</v>
      </c>
      <c r="AO2" s="109">
        <v>0</v>
      </c>
      <c r="AP2" s="109">
        <v>0</v>
      </c>
    </row>
    <row r="3" spans="1:42" customFormat="1" x14ac:dyDescent="0.15">
      <c r="A3" s="188" t="s">
        <v>193</v>
      </c>
      <c r="B3" s="109">
        <v>0</v>
      </c>
      <c r="C3" s="109">
        <v>0.8</v>
      </c>
      <c r="D3" s="109">
        <v>0.8</v>
      </c>
      <c r="E3" s="109">
        <v>0</v>
      </c>
      <c r="F3" s="109">
        <v>0</v>
      </c>
      <c r="G3" s="109">
        <v>0.8</v>
      </c>
      <c r="H3" s="109">
        <v>0</v>
      </c>
      <c r="I3" s="109">
        <v>0</v>
      </c>
      <c r="J3" s="109">
        <v>0</v>
      </c>
      <c r="K3" s="109">
        <v>0</v>
      </c>
      <c r="L3" s="109">
        <v>0</v>
      </c>
      <c r="M3" s="109">
        <v>0</v>
      </c>
      <c r="N3" s="109">
        <v>0</v>
      </c>
      <c r="O3" s="109">
        <v>0</v>
      </c>
      <c r="P3" s="109">
        <v>0</v>
      </c>
      <c r="Q3" s="109">
        <v>0</v>
      </c>
      <c r="R3" s="109">
        <v>0</v>
      </c>
      <c r="S3" s="109">
        <v>0</v>
      </c>
      <c r="T3" s="109">
        <v>0</v>
      </c>
      <c r="U3" s="109">
        <v>0</v>
      </c>
      <c r="V3" s="109">
        <v>0</v>
      </c>
      <c r="W3" s="109">
        <v>0</v>
      </c>
      <c r="X3" s="109">
        <v>0</v>
      </c>
      <c r="Y3" s="109">
        <v>0</v>
      </c>
      <c r="Z3" s="109">
        <v>0</v>
      </c>
      <c r="AA3" s="109">
        <v>0</v>
      </c>
      <c r="AB3" s="109">
        <v>0</v>
      </c>
      <c r="AC3" s="109">
        <v>0</v>
      </c>
      <c r="AD3" s="109">
        <v>0</v>
      </c>
      <c r="AE3" s="109">
        <v>0</v>
      </c>
      <c r="AF3" s="109">
        <v>0</v>
      </c>
      <c r="AG3" s="109">
        <v>0</v>
      </c>
      <c r="AH3" s="109">
        <v>0</v>
      </c>
      <c r="AI3" s="109">
        <v>0</v>
      </c>
      <c r="AJ3" s="109">
        <v>0</v>
      </c>
      <c r="AK3" s="109">
        <v>0</v>
      </c>
      <c r="AL3" s="109">
        <v>0</v>
      </c>
      <c r="AM3" s="109">
        <v>0</v>
      </c>
      <c r="AN3" s="109">
        <v>0</v>
      </c>
      <c r="AO3" s="109">
        <v>0</v>
      </c>
      <c r="AP3" s="109">
        <v>0</v>
      </c>
    </row>
    <row r="4" spans="1:42" customFormat="1" x14ac:dyDescent="0.15">
      <c r="A4" s="188" t="s">
        <v>194</v>
      </c>
      <c r="B4" s="109">
        <v>0</v>
      </c>
      <c r="C4" s="109">
        <v>0.8</v>
      </c>
      <c r="D4" s="109">
        <v>0</v>
      </c>
      <c r="E4" s="109">
        <v>0</v>
      </c>
      <c r="F4" s="109">
        <v>0</v>
      </c>
      <c r="G4" s="109">
        <v>0</v>
      </c>
      <c r="H4" s="109">
        <v>0</v>
      </c>
      <c r="I4" s="109">
        <v>0</v>
      </c>
      <c r="J4" s="109">
        <v>0</v>
      </c>
      <c r="K4" s="109">
        <v>0</v>
      </c>
      <c r="L4" s="109">
        <v>0</v>
      </c>
      <c r="M4" s="109">
        <v>0</v>
      </c>
      <c r="N4" s="109">
        <v>0</v>
      </c>
      <c r="O4" s="109">
        <v>0</v>
      </c>
      <c r="P4" s="109">
        <v>0</v>
      </c>
      <c r="Q4" s="109">
        <v>0</v>
      </c>
      <c r="R4" s="109">
        <v>0</v>
      </c>
      <c r="S4" s="109">
        <v>0</v>
      </c>
      <c r="T4" s="109">
        <v>0</v>
      </c>
      <c r="U4" s="109">
        <v>0</v>
      </c>
      <c r="V4" s="109">
        <v>0</v>
      </c>
      <c r="W4" s="109">
        <v>0</v>
      </c>
      <c r="X4" s="109">
        <v>0</v>
      </c>
      <c r="Y4" s="109">
        <v>0</v>
      </c>
      <c r="Z4" s="109">
        <v>0</v>
      </c>
      <c r="AA4" s="109">
        <v>0</v>
      </c>
      <c r="AB4" s="109">
        <v>0</v>
      </c>
      <c r="AC4" s="109">
        <v>0</v>
      </c>
      <c r="AD4" s="109">
        <v>0</v>
      </c>
      <c r="AE4" s="109">
        <v>0</v>
      </c>
      <c r="AF4" s="109">
        <v>0</v>
      </c>
      <c r="AG4" s="109">
        <v>0</v>
      </c>
      <c r="AH4" s="109">
        <v>0</v>
      </c>
      <c r="AI4" s="109">
        <v>0</v>
      </c>
      <c r="AJ4" s="109">
        <v>0</v>
      </c>
      <c r="AK4" s="109">
        <v>0</v>
      </c>
      <c r="AL4" s="109">
        <v>0</v>
      </c>
      <c r="AM4" s="109">
        <v>0</v>
      </c>
      <c r="AN4" s="109">
        <v>0</v>
      </c>
      <c r="AO4" s="109">
        <v>0</v>
      </c>
      <c r="AP4" s="109">
        <v>0</v>
      </c>
    </row>
    <row r="5" spans="1:42" customFormat="1" x14ac:dyDescent="0.15">
      <c r="A5" s="188" t="s">
        <v>195</v>
      </c>
      <c r="B5" s="109">
        <v>0</v>
      </c>
      <c r="C5" s="109">
        <v>0</v>
      </c>
      <c r="D5" s="109">
        <v>0</v>
      </c>
      <c r="E5" s="109">
        <v>0</v>
      </c>
      <c r="F5" s="109">
        <v>0</v>
      </c>
      <c r="G5" s="109">
        <v>0</v>
      </c>
      <c r="H5" s="109">
        <v>0</v>
      </c>
      <c r="I5" s="109">
        <v>0</v>
      </c>
      <c r="J5" s="109">
        <v>0</v>
      </c>
      <c r="K5" s="109">
        <v>0</v>
      </c>
      <c r="L5" s="109">
        <v>0</v>
      </c>
      <c r="M5" s="109">
        <v>0</v>
      </c>
      <c r="N5" s="109">
        <v>0</v>
      </c>
      <c r="O5" s="109">
        <v>0</v>
      </c>
      <c r="P5" s="109">
        <v>0</v>
      </c>
      <c r="Q5" s="109">
        <v>0</v>
      </c>
      <c r="R5" s="109">
        <v>0</v>
      </c>
      <c r="S5" s="109">
        <v>0</v>
      </c>
      <c r="T5" s="109">
        <v>0</v>
      </c>
      <c r="U5" s="109">
        <v>0</v>
      </c>
      <c r="V5" s="109">
        <v>0</v>
      </c>
      <c r="W5" s="109">
        <v>0</v>
      </c>
      <c r="X5" s="109">
        <v>0</v>
      </c>
      <c r="Y5" s="109">
        <v>0</v>
      </c>
      <c r="Z5" s="109">
        <v>0</v>
      </c>
      <c r="AA5" s="109">
        <v>0</v>
      </c>
      <c r="AB5" s="109">
        <v>0</v>
      </c>
      <c r="AC5" s="109">
        <v>0</v>
      </c>
      <c r="AD5" s="109">
        <v>0</v>
      </c>
      <c r="AE5" s="109">
        <v>0</v>
      </c>
      <c r="AF5" s="109">
        <v>0</v>
      </c>
      <c r="AG5" s="109">
        <v>0</v>
      </c>
      <c r="AH5" s="109">
        <v>0</v>
      </c>
      <c r="AI5" s="109">
        <v>0</v>
      </c>
      <c r="AJ5" s="109">
        <v>0</v>
      </c>
      <c r="AK5" s="109">
        <v>0</v>
      </c>
      <c r="AL5" s="109">
        <v>0</v>
      </c>
      <c r="AM5" s="109">
        <v>0</v>
      </c>
      <c r="AN5" s="109">
        <v>0</v>
      </c>
      <c r="AO5" s="109">
        <v>0</v>
      </c>
      <c r="AP5" s="109">
        <v>0</v>
      </c>
    </row>
    <row r="6" spans="1:42" customFormat="1" x14ac:dyDescent="0.15">
      <c r="A6" s="188" t="s">
        <v>196</v>
      </c>
      <c r="B6" s="109">
        <v>0.8</v>
      </c>
      <c r="C6" s="109">
        <v>0.8</v>
      </c>
      <c r="D6" s="109">
        <v>0.8</v>
      </c>
      <c r="E6" s="109">
        <v>0.8</v>
      </c>
      <c r="F6" s="109">
        <v>0</v>
      </c>
      <c r="G6" s="109">
        <v>0</v>
      </c>
      <c r="H6" s="109">
        <v>0</v>
      </c>
      <c r="I6" s="109">
        <v>0</v>
      </c>
      <c r="J6" s="109">
        <v>0</v>
      </c>
      <c r="K6" s="109">
        <v>0</v>
      </c>
      <c r="L6" s="109">
        <v>0</v>
      </c>
      <c r="M6" s="109">
        <v>0</v>
      </c>
      <c r="N6" s="109">
        <v>0</v>
      </c>
      <c r="O6" s="109">
        <v>0</v>
      </c>
      <c r="P6" s="109">
        <v>0</v>
      </c>
      <c r="Q6" s="109">
        <v>0</v>
      </c>
      <c r="R6" s="109">
        <v>0</v>
      </c>
      <c r="S6" s="109">
        <v>0</v>
      </c>
      <c r="T6" s="109">
        <v>0</v>
      </c>
      <c r="U6" s="109">
        <v>0</v>
      </c>
      <c r="V6" s="109">
        <v>0</v>
      </c>
      <c r="W6" s="109">
        <v>0</v>
      </c>
      <c r="X6" s="109">
        <v>0</v>
      </c>
      <c r="Y6" s="109">
        <v>0</v>
      </c>
      <c r="Z6" s="109">
        <v>0</v>
      </c>
      <c r="AA6" s="109">
        <v>0</v>
      </c>
      <c r="AB6" s="109">
        <v>0</v>
      </c>
      <c r="AC6" s="109">
        <v>0</v>
      </c>
      <c r="AD6" s="109">
        <v>0</v>
      </c>
      <c r="AE6" s="109">
        <v>0</v>
      </c>
      <c r="AF6" s="109">
        <v>0</v>
      </c>
      <c r="AG6" s="109">
        <v>0</v>
      </c>
      <c r="AH6" s="109">
        <v>0</v>
      </c>
      <c r="AI6" s="109">
        <v>0</v>
      </c>
      <c r="AJ6" s="109">
        <v>0</v>
      </c>
      <c r="AK6" s="109">
        <v>0</v>
      </c>
      <c r="AL6" s="109">
        <v>0</v>
      </c>
      <c r="AM6" s="109">
        <v>0</v>
      </c>
      <c r="AN6" s="109">
        <v>0</v>
      </c>
      <c r="AO6" s="109">
        <v>0</v>
      </c>
      <c r="AP6" s="109">
        <v>0</v>
      </c>
    </row>
    <row r="7" spans="1:42" customFormat="1" x14ac:dyDescent="0.15">
      <c r="A7" s="188" t="s">
        <v>197</v>
      </c>
      <c r="B7" s="109">
        <v>0.8</v>
      </c>
      <c r="C7" s="109">
        <v>0.8</v>
      </c>
      <c r="D7" s="109">
        <v>0.8</v>
      </c>
      <c r="E7" s="109">
        <v>0.8</v>
      </c>
      <c r="F7" s="109">
        <v>0</v>
      </c>
      <c r="G7" s="109">
        <v>0.8</v>
      </c>
      <c r="H7" s="109">
        <v>0.8</v>
      </c>
      <c r="I7" s="109">
        <v>0</v>
      </c>
      <c r="J7" s="109">
        <v>0</v>
      </c>
      <c r="K7" s="109">
        <v>0</v>
      </c>
      <c r="L7" s="109">
        <v>0</v>
      </c>
      <c r="M7" s="109">
        <v>0</v>
      </c>
      <c r="N7" s="109">
        <v>0</v>
      </c>
      <c r="O7" s="109">
        <v>0</v>
      </c>
      <c r="P7" s="109">
        <v>0</v>
      </c>
      <c r="Q7" s="109">
        <v>0</v>
      </c>
      <c r="R7" s="109">
        <v>0</v>
      </c>
      <c r="S7" s="109">
        <v>0</v>
      </c>
      <c r="T7" s="109">
        <v>0</v>
      </c>
      <c r="U7" s="109">
        <v>0</v>
      </c>
      <c r="V7" s="109">
        <v>0</v>
      </c>
      <c r="W7" s="109">
        <v>0</v>
      </c>
      <c r="X7" s="109">
        <v>0</v>
      </c>
      <c r="Y7" s="109">
        <v>0</v>
      </c>
      <c r="Z7" s="109">
        <v>0</v>
      </c>
      <c r="AA7" s="109">
        <v>0</v>
      </c>
      <c r="AB7" s="109">
        <v>0</v>
      </c>
      <c r="AC7" s="109">
        <v>0</v>
      </c>
      <c r="AD7" s="109">
        <v>0</v>
      </c>
      <c r="AE7" s="109">
        <v>0</v>
      </c>
      <c r="AF7" s="109">
        <v>0</v>
      </c>
      <c r="AG7" s="109">
        <v>0</v>
      </c>
      <c r="AH7" s="109">
        <v>0</v>
      </c>
      <c r="AI7" s="109">
        <v>0</v>
      </c>
      <c r="AJ7" s="109">
        <v>0</v>
      </c>
      <c r="AK7" s="109">
        <v>0</v>
      </c>
      <c r="AL7" s="109">
        <v>0</v>
      </c>
      <c r="AM7" s="109">
        <v>0</v>
      </c>
      <c r="AN7" s="109">
        <v>0</v>
      </c>
      <c r="AO7" s="109">
        <v>0</v>
      </c>
      <c r="AP7" s="109">
        <v>0</v>
      </c>
    </row>
    <row r="8" spans="1:42" customFormat="1" x14ac:dyDescent="0.15">
      <c r="A8" s="188" t="s">
        <v>198</v>
      </c>
      <c r="B8" s="109">
        <v>0.8</v>
      </c>
      <c r="C8" s="109">
        <v>0.8</v>
      </c>
      <c r="D8" s="109">
        <v>0.8</v>
      </c>
      <c r="E8" s="109">
        <v>0.8</v>
      </c>
      <c r="F8" s="109">
        <v>0</v>
      </c>
      <c r="G8" s="109">
        <v>0.8</v>
      </c>
      <c r="H8" s="109">
        <v>0</v>
      </c>
      <c r="I8" s="109">
        <v>0</v>
      </c>
      <c r="J8" s="109">
        <v>0</v>
      </c>
      <c r="K8" s="109">
        <v>0</v>
      </c>
      <c r="L8" s="109">
        <v>0</v>
      </c>
      <c r="M8" s="109">
        <v>0</v>
      </c>
      <c r="N8" s="109">
        <v>0</v>
      </c>
      <c r="O8" s="109">
        <v>0</v>
      </c>
      <c r="P8" s="109">
        <v>0</v>
      </c>
      <c r="Q8" s="109">
        <v>0</v>
      </c>
      <c r="R8" s="109">
        <v>0</v>
      </c>
      <c r="S8" s="109">
        <v>0</v>
      </c>
      <c r="T8" s="109">
        <v>0</v>
      </c>
      <c r="U8" s="109">
        <v>0</v>
      </c>
      <c r="V8" s="109">
        <v>0</v>
      </c>
      <c r="W8" s="109">
        <v>0</v>
      </c>
      <c r="X8" s="109">
        <v>0</v>
      </c>
      <c r="Y8" s="109">
        <v>0</v>
      </c>
      <c r="Z8" s="109">
        <v>0</v>
      </c>
      <c r="AA8" s="109">
        <v>0</v>
      </c>
      <c r="AB8" s="109">
        <v>0</v>
      </c>
      <c r="AC8" s="109">
        <v>0</v>
      </c>
      <c r="AD8" s="109">
        <v>0</v>
      </c>
      <c r="AE8" s="109">
        <v>0</v>
      </c>
      <c r="AF8" s="109">
        <v>0</v>
      </c>
      <c r="AG8" s="109">
        <v>0</v>
      </c>
      <c r="AH8" s="109">
        <v>0</v>
      </c>
      <c r="AI8" s="109">
        <v>0</v>
      </c>
      <c r="AJ8" s="109">
        <v>0</v>
      </c>
      <c r="AK8" s="109">
        <v>0</v>
      </c>
      <c r="AL8" s="109">
        <v>0</v>
      </c>
      <c r="AM8" s="109">
        <v>0</v>
      </c>
      <c r="AN8" s="109">
        <v>0</v>
      </c>
      <c r="AO8" s="109">
        <v>0</v>
      </c>
      <c r="AP8" s="109">
        <v>0</v>
      </c>
    </row>
    <row r="9" spans="1:42" customFormat="1" x14ac:dyDescent="0.15">
      <c r="A9" s="188" t="s">
        <v>199</v>
      </c>
      <c r="B9" s="109">
        <v>0</v>
      </c>
      <c r="C9" s="109">
        <v>0</v>
      </c>
      <c r="D9" s="109">
        <v>0</v>
      </c>
      <c r="E9" s="109">
        <v>0</v>
      </c>
      <c r="F9" s="109">
        <v>0</v>
      </c>
      <c r="G9" s="109">
        <v>0</v>
      </c>
      <c r="H9" s="109">
        <v>0</v>
      </c>
      <c r="I9" s="109">
        <v>0</v>
      </c>
      <c r="J9" s="109">
        <v>0</v>
      </c>
      <c r="K9" s="109">
        <v>0</v>
      </c>
      <c r="L9" s="109">
        <v>0</v>
      </c>
      <c r="M9" s="109">
        <v>0</v>
      </c>
      <c r="N9" s="109">
        <v>0</v>
      </c>
      <c r="O9" s="109">
        <v>0</v>
      </c>
      <c r="P9" s="109">
        <v>0</v>
      </c>
      <c r="Q9" s="109">
        <v>0</v>
      </c>
      <c r="R9" s="109">
        <v>0</v>
      </c>
      <c r="S9" s="109">
        <v>0</v>
      </c>
      <c r="T9" s="109">
        <v>0</v>
      </c>
      <c r="U9" s="109">
        <v>0</v>
      </c>
      <c r="V9" s="109">
        <v>0</v>
      </c>
      <c r="W9" s="109">
        <v>0</v>
      </c>
      <c r="X9" s="109">
        <v>0</v>
      </c>
      <c r="Y9" s="109">
        <v>0</v>
      </c>
      <c r="Z9" s="109">
        <v>0</v>
      </c>
      <c r="AA9" s="109">
        <v>0</v>
      </c>
      <c r="AB9" s="109">
        <v>0</v>
      </c>
      <c r="AC9" s="109">
        <v>0</v>
      </c>
      <c r="AD9" s="109">
        <v>0</v>
      </c>
      <c r="AE9" s="109">
        <v>0</v>
      </c>
      <c r="AF9" s="109">
        <v>0</v>
      </c>
      <c r="AG9" s="109">
        <v>0</v>
      </c>
      <c r="AH9" s="109">
        <v>0</v>
      </c>
      <c r="AI9" s="109">
        <v>0</v>
      </c>
      <c r="AJ9" s="109">
        <v>0</v>
      </c>
      <c r="AK9" s="109">
        <v>0</v>
      </c>
      <c r="AL9" s="109">
        <v>0</v>
      </c>
      <c r="AM9" s="109">
        <v>0</v>
      </c>
      <c r="AN9" s="109">
        <v>0</v>
      </c>
      <c r="AO9" s="109">
        <v>0</v>
      </c>
      <c r="AP9" s="109">
        <v>0</v>
      </c>
    </row>
    <row r="10" spans="1:42" customFormat="1" x14ac:dyDescent="0.15">
      <c r="A10" s="188" t="s">
        <v>200</v>
      </c>
      <c r="B10" s="109">
        <v>0</v>
      </c>
      <c r="C10" s="109">
        <v>0</v>
      </c>
      <c r="D10" s="109">
        <v>0</v>
      </c>
      <c r="E10" s="109">
        <v>0</v>
      </c>
      <c r="F10" s="109">
        <v>0</v>
      </c>
      <c r="G10" s="109">
        <v>0</v>
      </c>
      <c r="H10" s="109">
        <v>0</v>
      </c>
      <c r="I10" s="109">
        <v>0</v>
      </c>
      <c r="J10" s="109">
        <v>0</v>
      </c>
      <c r="K10" s="109">
        <v>0</v>
      </c>
      <c r="L10" s="109">
        <v>0</v>
      </c>
      <c r="M10" s="109">
        <v>0</v>
      </c>
      <c r="N10" s="109">
        <v>0</v>
      </c>
      <c r="O10" s="109">
        <v>0</v>
      </c>
      <c r="P10" s="109">
        <v>0</v>
      </c>
      <c r="Q10" s="109">
        <v>0</v>
      </c>
      <c r="R10" s="109">
        <v>0</v>
      </c>
      <c r="S10" s="109">
        <v>0</v>
      </c>
      <c r="T10" s="109">
        <v>0</v>
      </c>
      <c r="U10" s="109">
        <v>0</v>
      </c>
      <c r="V10" s="109">
        <v>0</v>
      </c>
      <c r="W10" s="109">
        <v>0</v>
      </c>
      <c r="X10" s="109">
        <v>0</v>
      </c>
      <c r="Y10" s="109">
        <v>0</v>
      </c>
      <c r="Z10" s="109">
        <v>0</v>
      </c>
      <c r="AA10" s="109">
        <v>0</v>
      </c>
      <c r="AB10" s="109">
        <v>0</v>
      </c>
      <c r="AC10" s="109">
        <v>0</v>
      </c>
      <c r="AD10" s="109">
        <v>0</v>
      </c>
      <c r="AE10" s="109">
        <v>0</v>
      </c>
      <c r="AF10" s="109">
        <v>0</v>
      </c>
      <c r="AG10" s="109">
        <v>0</v>
      </c>
      <c r="AH10" s="109">
        <v>0</v>
      </c>
      <c r="AI10" s="109">
        <v>0</v>
      </c>
      <c r="AJ10" s="109">
        <v>0</v>
      </c>
      <c r="AK10" s="109">
        <v>0</v>
      </c>
      <c r="AL10" s="109">
        <v>0</v>
      </c>
      <c r="AM10" s="109">
        <v>0</v>
      </c>
      <c r="AN10" s="109">
        <v>0</v>
      </c>
      <c r="AO10" s="109">
        <v>0</v>
      </c>
      <c r="AP10" s="109">
        <v>0</v>
      </c>
    </row>
    <row r="11" spans="1:42" customFormat="1" x14ac:dyDescent="0.15">
      <c r="A11" s="188" t="s">
        <v>201</v>
      </c>
      <c r="B11" s="109">
        <v>0</v>
      </c>
      <c r="C11" s="109">
        <v>0.8</v>
      </c>
      <c r="D11" s="109">
        <v>0.8</v>
      </c>
      <c r="E11" s="109">
        <v>0.8</v>
      </c>
      <c r="F11" s="109">
        <v>0</v>
      </c>
      <c r="G11" s="109">
        <v>0</v>
      </c>
      <c r="H11" s="109">
        <v>0</v>
      </c>
      <c r="I11" s="109">
        <v>0.8</v>
      </c>
      <c r="J11" s="109">
        <v>0.8</v>
      </c>
      <c r="K11" s="109">
        <v>0.8</v>
      </c>
      <c r="L11" s="109">
        <v>0</v>
      </c>
      <c r="M11" s="109">
        <v>0.8</v>
      </c>
      <c r="N11" s="109">
        <v>0.8</v>
      </c>
      <c r="O11" s="109">
        <v>0</v>
      </c>
      <c r="P11" s="109">
        <v>0</v>
      </c>
      <c r="Q11" s="109">
        <v>0</v>
      </c>
      <c r="R11" s="109">
        <v>0</v>
      </c>
      <c r="S11" s="109">
        <v>0</v>
      </c>
      <c r="T11" s="109">
        <v>0</v>
      </c>
      <c r="U11" s="109">
        <v>0.8</v>
      </c>
      <c r="V11" s="109">
        <v>0</v>
      </c>
      <c r="W11" s="109">
        <v>0</v>
      </c>
      <c r="X11" s="109">
        <v>0</v>
      </c>
      <c r="Y11" s="109">
        <v>0</v>
      </c>
      <c r="Z11" s="109">
        <v>0</v>
      </c>
      <c r="AA11" s="109">
        <v>0</v>
      </c>
      <c r="AB11" s="109">
        <v>0</v>
      </c>
      <c r="AC11" s="109">
        <v>0</v>
      </c>
      <c r="AD11" s="109">
        <v>0</v>
      </c>
      <c r="AE11" s="109">
        <v>0</v>
      </c>
      <c r="AF11" s="109">
        <v>0</v>
      </c>
      <c r="AG11" s="109">
        <v>0</v>
      </c>
      <c r="AH11" s="109">
        <v>0</v>
      </c>
      <c r="AI11" s="109">
        <v>0</v>
      </c>
      <c r="AJ11" s="109">
        <v>0</v>
      </c>
      <c r="AK11" s="109">
        <v>0</v>
      </c>
      <c r="AL11" s="109">
        <v>0</v>
      </c>
      <c r="AM11" s="109">
        <v>0</v>
      </c>
      <c r="AN11" s="109">
        <v>0</v>
      </c>
      <c r="AO11" s="109">
        <v>0</v>
      </c>
      <c r="AP11" s="109">
        <v>0</v>
      </c>
    </row>
    <row r="12" spans="1:42" customFormat="1" x14ac:dyDescent="0.15">
      <c r="A12" s="188" t="s">
        <v>202</v>
      </c>
      <c r="B12" s="109">
        <v>0.8</v>
      </c>
      <c r="C12" s="109">
        <v>0</v>
      </c>
      <c r="D12" s="109">
        <v>0.8</v>
      </c>
      <c r="E12" s="109">
        <v>0</v>
      </c>
      <c r="F12" s="109">
        <v>0</v>
      </c>
      <c r="G12" s="109">
        <v>0</v>
      </c>
      <c r="H12" s="109">
        <v>0</v>
      </c>
      <c r="I12" s="109">
        <v>0</v>
      </c>
      <c r="J12" s="109">
        <v>0</v>
      </c>
      <c r="K12" s="109">
        <v>0</v>
      </c>
      <c r="L12" s="109">
        <v>0</v>
      </c>
      <c r="M12" s="109">
        <v>0</v>
      </c>
      <c r="N12" s="109">
        <v>0</v>
      </c>
      <c r="O12" s="109">
        <v>0</v>
      </c>
      <c r="P12" s="109">
        <v>0</v>
      </c>
      <c r="Q12" s="109">
        <v>0</v>
      </c>
      <c r="R12" s="109">
        <v>0</v>
      </c>
      <c r="S12" s="109">
        <v>0</v>
      </c>
      <c r="T12" s="109">
        <v>0</v>
      </c>
      <c r="U12" s="109">
        <v>0</v>
      </c>
      <c r="V12" s="109">
        <v>0</v>
      </c>
      <c r="W12" s="109">
        <v>0</v>
      </c>
      <c r="X12" s="109">
        <v>0</v>
      </c>
      <c r="Y12" s="109">
        <v>0</v>
      </c>
      <c r="Z12" s="109">
        <v>0</v>
      </c>
      <c r="AA12" s="109">
        <v>0</v>
      </c>
      <c r="AB12" s="109">
        <v>0</v>
      </c>
      <c r="AC12" s="109">
        <v>0</v>
      </c>
      <c r="AD12" s="109">
        <v>0</v>
      </c>
      <c r="AE12" s="109">
        <v>0</v>
      </c>
      <c r="AF12" s="109">
        <v>0</v>
      </c>
      <c r="AG12" s="109">
        <v>0</v>
      </c>
      <c r="AH12" s="109">
        <v>0</v>
      </c>
      <c r="AI12" s="109">
        <v>0</v>
      </c>
      <c r="AJ12" s="109">
        <v>0</v>
      </c>
      <c r="AK12" s="109">
        <v>0</v>
      </c>
      <c r="AL12" s="109">
        <v>0</v>
      </c>
      <c r="AM12" s="109">
        <v>0</v>
      </c>
      <c r="AN12" s="109">
        <v>0</v>
      </c>
      <c r="AO12" s="109">
        <v>0</v>
      </c>
      <c r="AP12" s="109">
        <v>0</v>
      </c>
    </row>
    <row r="13" spans="1:42" customFormat="1" x14ac:dyDescent="0.15">
      <c r="A13" s="188" t="s">
        <v>203</v>
      </c>
      <c r="B13" s="109">
        <v>0</v>
      </c>
      <c r="C13" s="109">
        <v>0.8</v>
      </c>
      <c r="D13" s="109">
        <v>0.8</v>
      </c>
      <c r="E13" s="109">
        <v>0</v>
      </c>
      <c r="F13" s="109">
        <v>0.8</v>
      </c>
      <c r="G13" s="109">
        <v>0</v>
      </c>
      <c r="H13" s="109">
        <v>0</v>
      </c>
      <c r="I13" s="109">
        <v>0</v>
      </c>
      <c r="J13" s="109">
        <v>0</v>
      </c>
      <c r="K13" s="109">
        <v>0</v>
      </c>
      <c r="L13" s="109">
        <v>0</v>
      </c>
      <c r="M13" s="109">
        <v>0.8</v>
      </c>
      <c r="N13" s="109">
        <v>0</v>
      </c>
      <c r="O13" s="109">
        <v>0</v>
      </c>
      <c r="P13" s="109">
        <v>0</v>
      </c>
      <c r="Q13" s="109">
        <v>0</v>
      </c>
      <c r="R13" s="109">
        <v>0</v>
      </c>
      <c r="S13" s="109">
        <v>0</v>
      </c>
      <c r="T13" s="109">
        <v>0</v>
      </c>
      <c r="U13" s="109">
        <v>0</v>
      </c>
      <c r="V13" s="109">
        <v>0</v>
      </c>
      <c r="W13" s="109">
        <v>0</v>
      </c>
      <c r="X13" s="109">
        <v>0</v>
      </c>
      <c r="Y13" s="109">
        <v>0</v>
      </c>
      <c r="Z13" s="109">
        <v>0</v>
      </c>
      <c r="AA13" s="109">
        <v>0</v>
      </c>
      <c r="AB13" s="109">
        <v>0</v>
      </c>
      <c r="AC13" s="109">
        <v>0</v>
      </c>
      <c r="AD13" s="109">
        <v>0</v>
      </c>
      <c r="AE13" s="109">
        <v>0</v>
      </c>
      <c r="AF13" s="109">
        <v>0</v>
      </c>
      <c r="AG13" s="109">
        <v>0</v>
      </c>
      <c r="AH13" s="109">
        <v>0</v>
      </c>
      <c r="AI13" s="109">
        <v>0</v>
      </c>
      <c r="AJ13" s="109">
        <v>0</v>
      </c>
      <c r="AK13" s="109">
        <v>0</v>
      </c>
      <c r="AL13" s="109">
        <v>0</v>
      </c>
      <c r="AM13" s="109">
        <v>0</v>
      </c>
      <c r="AN13" s="109">
        <v>0</v>
      </c>
      <c r="AO13" s="109">
        <v>0</v>
      </c>
      <c r="AP13" s="109">
        <v>0</v>
      </c>
    </row>
    <row r="14" spans="1:42" customFormat="1" x14ac:dyDescent="0.15">
      <c r="A14" s="188" t="s">
        <v>204</v>
      </c>
      <c r="B14" s="109">
        <v>0</v>
      </c>
      <c r="C14" s="109">
        <v>0</v>
      </c>
      <c r="D14" s="109">
        <v>0.8</v>
      </c>
      <c r="E14" s="109">
        <v>0.8</v>
      </c>
      <c r="F14" s="109">
        <v>0.8</v>
      </c>
      <c r="G14" s="109">
        <v>0.8</v>
      </c>
      <c r="H14" s="109">
        <v>0.8</v>
      </c>
      <c r="I14" s="109">
        <v>0.8</v>
      </c>
      <c r="J14" s="109">
        <v>0.8</v>
      </c>
      <c r="K14" s="109">
        <v>0.8</v>
      </c>
      <c r="L14" s="109">
        <v>0</v>
      </c>
      <c r="M14" s="109">
        <v>0.8</v>
      </c>
      <c r="N14" s="109">
        <v>0.8</v>
      </c>
      <c r="O14" s="109">
        <v>0.8</v>
      </c>
      <c r="P14" s="109">
        <v>0</v>
      </c>
      <c r="Q14" s="109">
        <v>0</v>
      </c>
      <c r="R14" s="109">
        <v>0</v>
      </c>
      <c r="S14" s="109">
        <v>0</v>
      </c>
      <c r="T14" s="109">
        <v>0</v>
      </c>
      <c r="U14" s="109">
        <v>0.8</v>
      </c>
      <c r="V14" s="109">
        <v>0</v>
      </c>
      <c r="W14" s="109">
        <v>0</v>
      </c>
      <c r="X14" s="109">
        <v>0</v>
      </c>
      <c r="Y14" s="109">
        <v>0</v>
      </c>
      <c r="Z14" s="109">
        <v>0</v>
      </c>
      <c r="AA14" s="109">
        <v>0</v>
      </c>
      <c r="AB14" s="109">
        <v>0</v>
      </c>
      <c r="AC14" s="109">
        <v>0</v>
      </c>
      <c r="AD14" s="109">
        <v>0</v>
      </c>
      <c r="AE14" s="109">
        <v>0</v>
      </c>
      <c r="AF14" s="109">
        <v>0</v>
      </c>
      <c r="AG14" s="109">
        <v>0</v>
      </c>
      <c r="AH14" s="109">
        <v>0</v>
      </c>
      <c r="AI14" s="109">
        <v>0</v>
      </c>
      <c r="AJ14" s="109">
        <v>0</v>
      </c>
      <c r="AK14" s="109">
        <v>0</v>
      </c>
      <c r="AL14" s="109">
        <v>0</v>
      </c>
      <c r="AM14" s="109">
        <v>0</v>
      </c>
      <c r="AN14" s="109">
        <v>0</v>
      </c>
      <c r="AO14" s="109">
        <v>0</v>
      </c>
      <c r="AP14" s="109">
        <v>0</v>
      </c>
    </row>
    <row r="15" spans="1:42" customFormat="1" x14ac:dyDescent="0.15">
      <c r="A15" s="188" t="s">
        <v>205</v>
      </c>
      <c r="B15" s="109">
        <v>0</v>
      </c>
      <c r="C15" s="109">
        <v>0.8</v>
      </c>
      <c r="D15" s="109">
        <v>0.8</v>
      </c>
      <c r="E15" s="109">
        <v>0</v>
      </c>
      <c r="F15" s="109">
        <v>0</v>
      </c>
      <c r="G15" s="109">
        <v>0</v>
      </c>
      <c r="H15" s="109">
        <v>0</v>
      </c>
      <c r="I15" s="109">
        <v>0</v>
      </c>
      <c r="J15" s="109">
        <v>0</v>
      </c>
      <c r="K15" s="109">
        <v>0.8</v>
      </c>
      <c r="L15" s="109">
        <v>0</v>
      </c>
      <c r="M15" s="109">
        <v>0</v>
      </c>
      <c r="N15" s="109">
        <v>0</v>
      </c>
      <c r="O15" s="109">
        <v>0</v>
      </c>
      <c r="P15" s="109">
        <v>0</v>
      </c>
      <c r="Q15" s="109">
        <v>0</v>
      </c>
      <c r="R15" s="109">
        <v>0</v>
      </c>
      <c r="S15" s="109">
        <v>0</v>
      </c>
      <c r="T15" s="109">
        <v>0</v>
      </c>
      <c r="U15" s="109">
        <v>0</v>
      </c>
      <c r="V15" s="109">
        <v>0</v>
      </c>
      <c r="W15" s="109">
        <v>0</v>
      </c>
      <c r="X15" s="109">
        <v>0</v>
      </c>
      <c r="Y15" s="109">
        <v>0</v>
      </c>
      <c r="Z15" s="109">
        <v>0</v>
      </c>
      <c r="AA15" s="109">
        <v>0</v>
      </c>
      <c r="AB15" s="109">
        <v>0</v>
      </c>
      <c r="AC15" s="109">
        <v>0</v>
      </c>
      <c r="AD15" s="109">
        <v>0</v>
      </c>
      <c r="AE15" s="109">
        <v>0</v>
      </c>
      <c r="AF15" s="109">
        <v>0</v>
      </c>
      <c r="AG15" s="109">
        <v>0</v>
      </c>
      <c r="AH15" s="109">
        <v>0</v>
      </c>
      <c r="AI15" s="109">
        <v>0</v>
      </c>
      <c r="AJ15" s="109">
        <v>0</v>
      </c>
      <c r="AK15" s="109">
        <v>0</v>
      </c>
      <c r="AL15" s="109">
        <v>0</v>
      </c>
      <c r="AM15" s="109">
        <v>0</v>
      </c>
      <c r="AN15" s="109">
        <v>0</v>
      </c>
      <c r="AO15" s="109">
        <v>0</v>
      </c>
      <c r="AP15" s="109">
        <v>0</v>
      </c>
    </row>
    <row r="16" spans="1:42" customFormat="1" x14ac:dyDescent="0.15">
      <c r="A16" s="188" t="s">
        <v>206</v>
      </c>
      <c r="B16" s="109">
        <v>0.8</v>
      </c>
      <c r="C16" s="109">
        <v>0.8</v>
      </c>
      <c r="D16" s="109">
        <v>0.8</v>
      </c>
      <c r="E16" s="109">
        <v>0.8</v>
      </c>
      <c r="F16" s="109">
        <v>0</v>
      </c>
      <c r="G16" s="109">
        <v>0</v>
      </c>
      <c r="H16" s="109">
        <v>0.8</v>
      </c>
      <c r="I16" s="109">
        <v>0</v>
      </c>
      <c r="J16" s="109">
        <v>0</v>
      </c>
      <c r="K16" s="109">
        <v>0</v>
      </c>
      <c r="L16" s="109">
        <v>0</v>
      </c>
      <c r="M16" s="109">
        <v>0</v>
      </c>
      <c r="N16" s="109">
        <v>0</v>
      </c>
      <c r="O16" s="109">
        <v>0</v>
      </c>
      <c r="P16" s="109">
        <v>0</v>
      </c>
      <c r="Q16" s="109">
        <v>0</v>
      </c>
      <c r="R16" s="109">
        <v>0</v>
      </c>
      <c r="S16" s="109">
        <v>0</v>
      </c>
      <c r="T16" s="109">
        <v>0</v>
      </c>
      <c r="U16" s="109">
        <v>0</v>
      </c>
      <c r="V16" s="109">
        <v>0</v>
      </c>
      <c r="W16" s="109">
        <v>0</v>
      </c>
      <c r="X16" s="109">
        <v>0</v>
      </c>
      <c r="Y16" s="109">
        <v>0</v>
      </c>
      <c r="Z16" s="109">
        <v>0</v>
      </c>
      <c r="AA16" s="109">
        <v>0</v>
      </c>
      <c r="AB16" s="109">
        <v>0</v>
      </c>
      <c r="AC16" s="109">
        <v>0</v>
      </c>
      <c r="AD16" s="109">
        <v>0</v>
      </c>
      <c r="AE16" s="109">
        <v>0</v>
      </c>
      <c r="AF16" s="109">
        <v>0</v>
      </c>
      <c r="AG16" s="109">
        <v>0</v>
      </c>
      <c r="AH16" s="109">
        <v>0</v>
      </c>
      <c r="AI16" s="109">
        <v>0</v>
      </c>
      <c r="AJ16" s="109">
        <v>0</v>
      </c>
      <c r="AK16" s="109">
        <v>0</v>
      </c>
      <c r="AL16" s="109">
        <v>0</v>
      </c>
      <c r="AM16" s="109">
        <v>0</v>
      </c>
      <c r="AN16" s="109">
        <v>0</v>
      </c>
      <c r="AO16" s="109">
        <v>0</v>
      </c>
      <c r="AP16" s="109">
        <v>0</v>
      </c>
    </row>
    <row r="17" spans="1:42" customFormat="1" x14ac:dyDescent="0.15">
      <c r="A17" s="188" t="s">
        <v>207</v>
      </c>
      <c r="B17" s="109">
        <v>0</v>
      </c>
      <c r="C17" s="109">
        <v>0.8</v>
      </c>
      <c r="D17" s="109">
        <v>0.8</v>
      </c>
      <c r="E17" s="109">
        <v>0.8</v>
      </c>
      <c r="F17" s="109">
        <v>0</v>
      </c>
      <c r="G17" s="109">
        <v>0</v>
      </c>
      <c r="H17" s="109">
        <v>0.8</v>
      </c>
      <c r="I17" s="109">
        <v>0.8</v>
      </c>
      <c r="J17" s="109">
        <v>0.8</v>
      </c>
      <c r="K17" s="109">
        <v>0.8</v>
      </c>
      <c r="L17" s="109">
        <v>0</v>
      </c>
      <c r="M17" s="109">
        <v>0.8</v>
      </c>
      <c r="N17" s="109">
        <v>0</v>
      </c>
      <c r="O17" s="109">
        <v>0</v>
      </c>
      <c r="P17" s="109">
        <v>0</v>
      </c>
      <c r="Q17" s="109">
        <v>0.8</v>
      </c>
      <c r="R17" s="109">
        <v>0</v>
      </c>
      <c r="S17" s="109">
        <v>0</v>
      </c>
      <c r="T17" s="109">
        <v>0</v>
      </c>
      <c r="U17" s="109">
        <v>0.8</v>
      </c>
      <c r="V17" s="109">
        <v>0</v>
      </c>
      <c r="W17" s="109">
        <v>0</v>
      </c>
      <c r="X17" s="109">
        <v>0</v>
      </c>
      <c r="Y17" s="109">
        <v>0</v>
      </c>
      <c r="Z17" s="109">
        <v>0</v>
      </c>
      <c r="AA17" s="109">
        <v>0</v>
      </c>
      <c r="AB17" s="109">
        <v>0</v>
      </c>
      <c r="AC17" s="109">
        <v>0</v>
      </c>
      <c r="AD17" s="109">
        <v>0</v>
      </c>
      <c r="AE17" s="109">
        <v>0</v>
      </c>
      <c r="AF17" s="109">
        <v>0</v>
      </c>
      <c r="AG17" s="109">
        <v>0</v>
      </c>
      <c r="AH17" s="109">
        <v>0</v>
      </c>
      <c r="AI17" s="109">
        <v>0</v>
      </c>
      <c r="AJ17" s="109">
        <v>0</v>
      </c>
      <c r="AK17" s="109">
        <v>0</v>
      </c>
      <c r="AL17" s="109">
        <v>0</v>
      </c>
      <c r="AM17" s="109">
        <v>0</v>
      </c>
      <c r="AN17" s="109">
        <v>0</v>
      </c>
      <c r="AO17" s="109">
        <v>0</v>
      </c>
      <c r="AP17" s="109">
        <v>0</v>
      </c>
    </row>
    <row r="18" spans="1:42" customFormat="1" x14ac:dyDescent="0.15">
      <c r="A18" s="188" t="s">
        <v>208</v>
      </c>
      <c r="B18" s="109">
        <v>0</v>
      </c>
      <c r="C18" s="109">
        <v>0.8</v>
      </c>
      <c r="D18" s="109">
        <v>0.8</v>
      </c>
      <c r="E18" s="109">
        <v>0</v>
      </c>
      <c r="F18" s="109">
        <v>0.8</v>
      </c>
      <c r="G18" s="109">
        <v>0.8</v>
      </c>
      <c r="H18" s="109">
        <v>0.8</v>
      </c>
      <c r="I18" s="109">
        <v>0</v>
      </c>
      <c r="J18" s="109">
        <v>0</v>
      </c>
      <c r="K18" s="109">
        <v>0.8</v>
      </c>
      <c r="L18" s="109">
        <v>0</v>
      </c>
      <c r="M18" s="109">
        <v>0</v>
      </c>
      <c r="N18" s="109">
        <v>0.8</v>
      </c>
      <c r="O18" s="109">
        <v>0</v>
      </c>
      <c r="P18" s="109">
        <v>0</v>
      </c>
      <c r="Q18" s="109">
        <v>0</v>
      </c>
      <c r="R18" s="109">
        <v>0</v>
      </c>
      <c r="S18" s="109">
        <v>0</v>
      </c>
      <c r="T18" s="109">
        <v>0</v>
      </c>
      <c r="U18" s="109">
        <v>0.8</v>
      </c>
      <c r="V18" s="109">
        <v>0</v>
      </c>
      <c r="W18" s="109">
        <v>0</v>
      </c>
      <c r="X18" s="109">
        <v>0</v>
      </c>
      <c r="Y18" s="109">
        <v>0</v>
      </c>
      <c r="Z18" s="109">
        <v>0</v>
      </c>
      <c r="AA18" s="109">
        <v>0</v>
      </c>
      <c r="AB18" s="109">
        <v>0</v>
      </c>
      <c r="AC18" s="109">
        <v>0</v>
      </c>
      <c r="AD18" s="109">
        <v>0</v>
      </c>
      <c r="AE18" s="109">
        <v>0</v>
      </c>
      <c r="AF18" s="109">
        <v>0</v>
      </c>
      <c r="AG18" s="109">
        <v>0</v>
      </c>
      <c r="AH18" s="109">
        <v>0</v>
      </c>
      <c r="AI18" s="109">
        <v>0</v>
      </c>
      <c r="AJ18" s="109">
        <v>0</v>
      </c>
      <c r="AK18" s="109">
        <v>0</v>
      </c>
      <c r="AL18" s="109">
        <v>0</v>
      </c>
      <c r="AM18" s="109">
        <v>0</v>
      </c>
      <c r="AN18" s="109">
        <v>0</v>
      </c>
      <c r="AO18" s="109">
        <v>0</v>
      </c>
      <c r="AP18" s="109">
        <v>0</v>
      </c>
    </row>
    <row r="19" spans="1:42" customFormat="1" x14ac:dyDescent="0.15">
      <c r="A19" s="188" t="s">
        <v>209</v>
      </c>
      <c r="B19" s="109">
        <v>0</v>
      </c>
      <c r="C19" s="109">
        <v>0.8</v>
      </c>
      <c r="D19" s="109">
        <v>0</v>
      </c>
      <c r="E19" s="109">
        <v>0</v>
      </c>
      <c r="F19" s="109">
        <v>0</v>
      </c>
      <c r="G19" s="109">
        <v>0.8</v>
      </c>
      <c r="H19" s="109">
        <v>0.8</v>
      </c>
      <c r="I19" s="109">
        <v>0</v>
      </c>
      <c r="J19" s="109">
        <v>0</v>
      </c>
      <c r="K19" s="109">
        <v>0</v>
      </c>
      <c r="L19" s="109">
        <v>0</v>
      </c>
      <c r="M19" s="109">
        <v>0</v>
      </c>
      <c r="N19" s="109">
        <v>0.8</v>
      </c>
      <c r="O19" s="109">
        <v>0.8</v>
      </c>
      <c r="P19" s="109">
        <v>0.8</v>
      </c>
      <c r="Q19" s="109">
        <v>0.8</v>
      </c>
      <c r="R19" s="109">
        <v>0</v>
      </c>
      <c r="S19" s="109">
        <v>0.8</v>
      </c>
      <c r="T19" s="109">
        <v>0</v>
      </c>
      <c r="U19" s="109">
        <v>0</v>
      </c>
      <c r="V19" s="109">
        <v>0</v>
      </c>
      <c r="W19" s="109">
        <v>0</v>
      </c>
      <c r="X19" s="109">
        <v>0</v>
      </c>
      <c r="Y19" s="109">
        <v>0</v>
      </c>
      <c r="Z19" s="109">
        <v>0</v>
      </c>
      <c r="AA19" s="109">
        <v>0</v>
      </c>
      <c r="AB19" s="109">
        <v>0</v>
      </c>
      <c r="AC19" s="109">
        <v>0</v>
      </c>
      <c r="AD19" s="109">
        <v>0</v>
      </c>
      <c r="AE19" s="109">
        <v>0</v>
      </c>
      <c r="AF19" s="109">
        <v>0</v>
      </c>
      <c r="AG19" s="109">
        <v>0</v>
      </c>
      <c r="AH19" s="109">
        <v>0</v>
      </c>
      <c r="AI19" s="109">
        <v>0</v>
      </c>
      <c r="AJ19" s="109">
        <v>0</v>
      </c>
      <c r="AK19" s="109">
        <v>0</v>
      </c>
      <c r="AL19" s="109">
        <v>0</v>
      </c>
      <c r="AM19" s="109">
        <v>0</v>
      </c>
      <c r="AN19" s="109">
        <v>0</v>
      </c>
      <c r="AO19" s="109">
        <v>0</v>
      </c>
      <c r="AP19" s="109">
        <v>0</v>
      </c>
    </row>
    <row r="20" spans="1:42" customFormat="1" x14ac:dyDescent="0.15">
      <c r="A20" s="188" t="s">
        <v>210</v>
      </c>
      <c r="B20" s="109">
        <v>0.8</v>
      </c>
      <c r="C20" s="109">
        <v>0.8</v>
      </c>
      <c r="D20" s="109">
        <v>0.8</v>
      </c>
      <c r="E20" s="109">
        <v>0</v>
      </c>
      <c r="F20" s="109">
        <v>0.8</v>
      </c>
      <c r="G20" s="109">
        <v>0.8</v>
      </c>
      <c r="H20" s="109">
        <v>0.8</v>
      </c>
      <c r="I20" s="109">
        <v>0.8</v>
      </c>
      <c r="J20" s="109">
        <v>0.8</v>
      </c>
      <c r="K20" s="109">
        <v>0</v>
      </c>
      <c r="L20" s="109">
        <v>0.8</v>
      </c>
      <c r="M20" s="109">
        <v>0</v>
      </c>
      <c r="N20" s="109">
        <v>0.8</v>
      </c>
      <c r="O20" s="109">
        <v>0</v>
      </c>
      <c r="P20" s="109">
        <v>0.8</v>
      </c>
      <c r="Q20" s="109">
        <v>0.8</v>
      </c>
      <c r="R20" s="109">
        <v>0</v>
      </c>
      <c r="S20" s="109">
        <v>0</v>
      </c>
      <c r="T20" s="109">
        <v>0</v>
      </c>
      <c r="U20" s="109">
        <v>0</v>
      </c>
      <c r="V20" s="109">
        <v>0</v>
      </c>
      <c r="W20" s="109">
        <v>0</v>
      </c>
      <c r="X20" s="109">
        <v>0</v>
      </c>
      <c r="Y20" s="109">
        <v>0</v>
      </c>
      <c r="Z20" s="109">
        <v>0</v>
      </c>
      <c r="AA20" s="109">
        <v>0</v>
      </c>
      <c r="AB20" s="109">
        <v>0</v>
      </c>
      <c r="AC20" s="109">
        <v>0</v>
      </c>
      <c r="AD20" s="109">
        <v>0</v>
      </c>
      <c r="AE20" s="109">
        <v>0</v>
      </c>
      <c r="AF20" s="109">
        <v>0</v>
      </c>
      <c r="AG20" s="109">
        <v>0</v>
      </c>
      <c r="AH20" s="109">
        <v>0</v>
      </c>
      <c r="AI20" s="109">
        <v>0</v>
      </c>
      <c r="AJ20" s="109">
        <v>0</v>
      </c>
      <c r="AK20" s="109">
        <v>0</v>
      </c>
      <c r="AL20" s="109">
        <v>0</v>
      </c>
      <c r="AM20" s="109">
        <v>0</v>
      </c>
      <c r="AN20" s="109">
        <v>0</v>
      </c>
      <c r="AO20" s="109">
        <v>0</v>
      </c>
      <c r="AP20" s="109">
        <v>0</v>
      </c>
    </row>
    <row r="21" spans="1:42" customFormat="1" x14ac:dyDescent="0.15">
      <c r="A21" s="188" t="s">
        <v>211</v>
      </c>
      <c r="B21" s="109">
        <v>0.8</v>
      </c>
      <c r="C21" s="109">
        <v>0.8</v>
      </c>
      <c r="D21" s="109">
        <v>0</v>
      </c>
      <c r="E21" s="109">
        <v>0</v>
      </c>
      <c r="F21" s="109">
        <v>0.8</v>
      </c>
      <c r="G21" s="109">
        <v>0.8</v>
      </c>
      <c r="H21" s="109">
        <v>0.8</v>
      </c>
      <c r="I21" s="109">
        <v>0</v>
      </c>
      <c r="J21" s="109">
        <v>0</v>
      </c>
      <c r="K21" s="109">
        <v>0</v>
      </c>
      <c r="L21" s="109">
        <v>0</v>
      </c>
      <c r="M21" s="109">
        <v>0</v>
      </c>
      <c r="N21" s="109">
        <v>0.8</v>
      </c>
      <c r="O21" s="109">
        <v>0</v>
      </c>
      <c r="P21" s="109">
        <v>0</v>
      </c>
      <c r="Q21" s="109">
        <v>0</v>
      </c>
      <c r="R21" s="109">
        <v>0</v>
      </c>
      <c r="S21" s="109">
        <v>0</v>
      </c>
      <c r="T21" s="109">
        <v>0</v>
      </c>
      <c r="U21" s="109">
        <v>0</v>
      </c>
      <c r="V21" s="109">
        <v>0</v>
      </c>
      <c r="W21" s="109">
        <v>0</v>
      </c>
      <c r="X21" s="109">
        <v>0</v>
      </c>
      <c r="Y21" s="109">
        <v>0</v>
      </c>
      <c r="Z21" s="109">
        <v>0</v>
      </c>
      <c r="AA21" s="109">
        <v>0</v>
      </c>
      <c r="AB21" s="109">
        <v>0</v>
      </c>
      <c r="AC21" s="109">
        <v>0</v>
      </c>
      <c r="AD21" s="109">
        <v>0</v>
      </c>
      <c r="AE21" s="109">
        <v>0</v>
      </c>
      <c r="AF21" s="109">
        <v>0</v>
      </c>
      <c r="AG21" s="109">
        <v>0</v>
      </c>
      <c r="AH21" s="109">
        <v>0</v>
      </c>
      <c r="AI21" s="109">
        <v>0</v>
      </c>
      <c r="AJ21" s="109">
        <v>0</v>
      </c>
      <c r="AK21" s="109">
        <v>0</v>
      </c>
      <c r="AL21" s="109">
        <v>0</v>
      </c>
      <c r="AM21" s="109">
        <v>0</v>
      </c>
      <c r="AN21" s="109">
        <v>0</v>
      </c>
      <c r="AO21" s="109">
        <v>0</v>
      </c>
      <c r="AP21" s="109">
        <v>0</v>
      </c>
    </row>
    <row r="22" spans="1:42" customFormat="1" x14ac:dyDescent="0.15">
      <c r="A22" s="188" t="s">
        <v>212</v>
      </c>
      <c r="B22" s="109">
        <v>0</v>
      </c>
      <c r="C22" s="109">
        <v>0.8</v>
      </c>
      <c r="D22" s="109">
        <v>0.8</v>
      </c>
      <c r="E22" s="109">
        <v>0.8</v>
      </c>
      <c r="F22" s="109">
        <v>0</v>
      </c>
      <c r="G22" s="109">
        <v>0.8</v>
      </c>
      <c r="H22" s="109">
        <v>0.8</v>
      </c>
      <c r="I22" s="109">
        <v>0</v>
      </c>
      <c r="J22" s="109">
        <v>0</v>
      </c>
      <c r="K22" s="109">
        <v>0</v>
      </c>
      <c r="L22" s="109">
        <v>0</v>
      </c>
      <c r="M22" s="109">
        <v>0</v>
      </c>
      <c r="N22" s="109">
        <v>0.8</v>
      </c>
      <c r="O22" s="109">
        <v>0.8</v>
      </c>
      <c r="P22" s="109">
        <v>0.8</v>
      </c>
      <c r="Q22" s="109">
        <v>0.8</v>
      </c>
      <c r="R22" s="109">
        <v>0</v>
      </c>
      <c r="S22" s="109">
        <v>0</v>
      </c>
      <c r="T22" s="109">
        <v>0</v>
      </c>
      <c r="U22" s="109">
        <v>0</v>
      </c>
      <c r="V22" s="109">
        <v>0</v>
      </c>
      <c r="W22" s="109">
        <v>0</v>
      </c>
      <c r="X22" s="109">
        <v>0</v>
      </c>
      <c r="Y22" s="109">
        <v>0</v>
      </c>
      <c r="Z22" s="109">
        <v>0</v>
      </c>
      <c r="AA22" s="109">
        <v>0</v>
      </c>
      <c r="AB22" s="109">
        <v>0</v>
      </c>
      <c r="AC22" s="109">
        <v>0</v>
      </c>
      <c r="AD22" s="109">
        <v>0</v>
      </c>
      <c r="AE22" s="109">
        <v>0</v>
      </c>
      <c r="AF22" s="109">
        <v>0</v>
      </c>
      <c r="AG22" s="109">
        <v>0</v>
      </c>
      <c r="AH22" s="109">
        <v>0</v>
      </c>
      <c r="AI22" s="109">
        <v>0</v>
      </c>
      <c r="AJ22" s="109">
        <v>0</v>
      </c>
      <c r="AK22" s="109">
        <v>0</v>
      </c>
      <c r="AL22" s="109">
        <v>0</v>
      </c>
      <c r="AM22" s="109">
        <v>0</v>
      </c>
      <c r="AN22" s="109">
        <v>0</v>
      </c>
      <c r="AO22" s="109">
        <v>0</v>
      </c>
      <c r="AP22" s="109">
        <v>0</v>
      </c>
    </row>
    <row r="23" spans="1:42" customFormat="1" x14ac:dyDescent="0.15">
      <c r="A23" s="188" t="s">
        <v>213</v>
      </c>
      <c r="B23" s="109">
        <v>0</v>
      </c>
      <c r="C23" s="109">
        <v>0.8</v>
      </c>
      <c r="D23" s="109">
        <v>0</v>
      </c>
      <c r="E23" s="109">
        <v>0</v>
      </c>
      <c r="F23" s="109">
        <v>0</v>
      </c>
      <c r="G23" s="109">
        <v>0.8</v>
      </c>
      <c r="H23" s="109">
        <v>0</v>
      </c>
      <c r="I23" s="109">
        <v>0</v>
      </c>
      <c r="J23" s="109">
        <v>0</v>
      </c>
      <c r="K23" s="109">
        <v>0</v>
      </c>
      <c r="L23" s="109">
        <v>0</v>
      </c>
      <c r="M23" s="109">
        <v>0</v>
      </c>
      <c r="N23" s="109">
        <v>0</v>
      </c>
      <c r="O23" s="109">
        <v>0.8</v>
      </c>
      <c r="P23" s="109">
        <v>0</v>
      </c>
      <c r="Q23" s="109">
        <v>0</v>
      </c>
      <c r="R23" s="109">
        <v>0</v>
      </c>
      <c r="S23" s="109">
        <v>0</v>
      </c>
      <c r="T23" s="109">
        <v>0</v>
      </c>
      <c r="U23" s="109">
        <v>0</v>
      </c>
      <c r="V23" s="109">
        <v>0</v>
      </c>
      <c r="W23" s="109">
        <v>0.8</v>
      </c>
      <c r="X23" s="109">
        <v>0</v>
      </c>
      <c r="Y23" s="109">
        <v>0</v>
      </c>
      <c r="Z23" s="109">
        <v>0</v>
      </c>
      <c r="AA23" s="109">
        <v>0</v>
      </c>
      <c r="AB23" s="109">
        <v>0</v>
      </c>
      <c r="AC23" s="109">
        <v>0</v>
      </c>
      <c r="AD23" s="109">
        <v>0</v>
      </c>
      <c r="AE23" s="109">
        <v>0</v>
      </c>
      <c r="AF23" s="109">
        <v>0</v>
      </c>
      <c r="AG23" s="109">
        <v>0</v>
      </c>
      <c r="AH23" s="109">
        <v>0</v>
      </c>
      <c r="AI23" s="109">
        <v>0</v>
      </c>
      <c r="AJ23" s="109">
        <v>0</v>
      </c>
      <c r="AK23" s="109">
        <v>0</v>
      </c>
      <c r="AL23" s="109">
        <v>0</v>
      </c>
      <c r="AM23" s="109">
        <v>0</v>
      </c>
      <c r="AN23" s="109">
        <v>0</v>
      </c>
      <c r="AO23" s="109">
        <v>0</v>
      </c>
      <c r="AP23" s="109">
        <v>0</v>
      </c>
    </row>
    <row r="24" spans="1:42" customFormat="1" x14ac:dyDescent="0.15">
      <c r="A24" s="188" t="s">
        <v>214</v>
      </c>
      <c r="B24" s="109">
        <v>0.8</v>
      </c>
      <c r="C24" s="109">
        <v>0.8</v>
      </c>
      <c r="D24" s="109">
        <v>0</v>
      </c>
      <c r="E24" s="109">
        <v>0.8</v>
      </c>
      <c r="F24" s="109">
        <v>0.8</v>
      </c>
      <c r="G24" s="109">
        <v>0</v>
      </c>
      <c r="H24" s="109">
        <v>0.8</v>
      </c>
      <c r="I24" s="109">
        <v>0.8</v>
      </c>
      <c r="J24" s="109">
        <v>0.8</v>
      </c>
      <c r="K24" s="109">
        <v>0.8</v>
      </c>
      <c r="L24" s="109">
        <v>0.8</v>
      </c>
      <c r="M24" s="109">
        <v>0.8</v>
      </c>
      <c r="N24" s="109">
        <v>0.8</v>
      </c>
      <c r="O24" s="109">
        <v>0</v>
      </c>
      <c r="P24" s="109">
        <v>0</v>
      </c>
      <c r="Q24" s="109">
        <v>0</v>
      </c>
      <c r="R24" s="109">
        <v>0</v>
      </c>
      <c r="S24" s="109">
        <v>0</v>
      </c>
      <c r="T24" s="109">
        <v>0</v>
      </c>
      <c r="U24" s="109">
        <v>0.8</v>
      </c>
      <c r="V24" s="109">
        <v>0</v>
      </c>
      <c r="W24" s="109">
        <v>0</v>
      </c>
      <c r="X24" s="109">
        <v>0</v>
      </c>
      <c r="Y24" s="109">
        <v>0</v>
      </c>
      <c r="Z24" s="109">
        <v>0</v>
      </c>
      <c r="AA24" s="109">
        <v>0</v>
      </c>
      <c r="AB24" s="109">
        <v>0</v>
      </c>
      <c r="AC24" s="109">
        <v>0</v>
      </c>
      <c r="AD24" s="109">
        <v>0</v>
      </c>
      <c r="AE24" s="109">
        <v>0</v>
      </c>
      <c r="AF24" s="109">
        <v>0</v>
      </c>
      <c r="AG24" s="109">
        <v>0</v>
      </c>
      <c r="AH24" s="109">
        <v>0</v>
      </c>
      <c r="AI24" s="109">
        <v>0</v>
      </c>
      <c r="AJ24" s="109">
        <v>0</v>
      </c>
      <c r="AK24" s="109">
        <v>0</v>
      </c>
      <c r="AL24" s="109">
        <v>0</v>
      </c>
      <c r="AM24" s="109">
        <v>0</v>
      </c>
      <c r="AN24" s="109">
        <v>0</v>
      </c>
      <c r="AO24" s="109">
        <v>0</v>
      </c>
      <c r="AP24" s="109">
        <v>0</v>
      </c>
    </row>
    <row r="25" spans="1:42" customFormat="1" x14ac:dyDescent="0.15">
      <c r="A25" s="188" t="s">
        <v>215</v>
      </c>
      <c r="B25" s="109">
        <v>0.8</v>
      </c>
      <c r="C25" s="109">
        <v>0.8</v>
      </c>
      <c r="D25" s="109">
        <v>0.8</v>
      </c>
      <c r="E25" s="109">
        <v>0.8</v>
      </c>
      <c r="F25" s="109">
        <v>0.8</v>
      </c>
      <c r="G25" s="109">
        <v>0</v>
      </c>
      <c r="H25" s="109">
        <v>0.8</v>
      </c>
      <c r="I25" s="109">
        <v>0</v>
      </c>
      <c r="J25" s="109">
        <v>0.8</v>
      </c>
      <c r="K25" s="109">
        <v>0</v>
      </c>
      <c r="L25" s="109">
        <v>0.8</v>
      </c>
      <c r="M25" s="109">
        <v>0</v>
      </c>
      <c r="N25" s="109">
        <v>0</v>
      </c>
      <c r="O25" s="109">
        <v>0</v>
      </c>
      <c r="P25" s="109">
        <v>0</v>
      </c>
      <c r="Q25" s="109">
        <v>0</v>
      </c>
      <c r="R25" s="109">
        <v>0</v>
      </c>
      <c r="S25" s="109">
        <v>0</v>
      </c>
      <c r="T25" s="109">
        <v>0</v>
      </c>
      <c r="U25" s="109">
        <v>0</v>
      </c>
      <c r="V25" s="109">
        <v>0</v>
      </c>
      <c r="W25" s="109">
        <v>0</v>
      </c>
      <c r="X25" s="109">
        <v>0</v>
      </c>
      <c r="Y25" s="109">
        <v>0</v>
      </c>
      <c r="Z25" s="109">
        <v>0</v>
      </c>
      <c r="AA25" s="109">
        <v>0</v>
      </c>
      <c r="AB25" s="109">
        <v>0</v>
      </c>
      <c r="AC25" s="109">
        <v>0</v>
      </c>
      <c r="AD25" s="109">
        <v>0</v>
      </c>
      <c r="AE25" s="109">
        <v>0</v>
      </c>
      <c r="AF25" s="109">
        <v>0</v>
      </c>
      <c r="AG25" s="109">
        <v>0</v>
      </c>
      <c r="AH25" s="109">
        <v>0</v>
      </c>
      <c r="AI25" s="109">
        <v>0</v>
      </c>
      <c r="AJ25" s="109">
        <v>0</v>
      </c>
      <c r="AK25" s="109">
        <v>0</v>
      </c>
      <c r="AL25" s="109">
        <v>0</v>
      </c>
      <c r="AM25" s="109">
        <v>0</v>
      </c>
      <c r="AN25" s="109">
        <v>0</v>
      </c>
      <c r="AO25" s="109">
        <v>0</v>
      </c>
      <c r="AP25" s="109">
        <v>0</v>
      </c>
    </row>
    <row r="26" spans="1:42" customFormat="1" x14ac:dyDescent="0.15">
      <c r="A26" s="188" t="s">
        <v>216</v>
      </c>
      <c r="B26" s="109">
        <v>0.8</v>
      </c>
      <c r="C26" s="109">
        <v>0.8</v>
      </c>
      <c r="D26" s="109">
        <v>0</v>
      </c>
      <c r="E26" s="109">
        <v>0</v>
      </c>
      <c r="F26" s="109">
        <v>0.8</v>
      </c>
      <c r="G26" s="109">
        <v>0</v>
      </c>
      <c r="H26" s="109">
        <v>0.8</v>
      </c>
      <c r="I26" s="109">
        <v>0.8</v>
      </c>
      <c r="J26" s="109">
        <v>0.8</v>
      </c>
      <c r="K26" s="109">
        <v>0.8</v>
      </c>
      <c r="L26" s="109">
        <v>0.8</v>
      </c>
      <c r="M26" s="109">
        <v>0.8</v>
      </c>
      <c r="N26" s="109">
        <v>0.8</v>
      </c>
      <c r="O26" s="109">
        <v>0</v>
      </c>
      <c r="P26" s="109">
        <v>0</v>
      </c>
      <c r="Q26" s="109">
        <v>0</v>
      </c>
      <c r="R26" s="109">
        <v>0</v>
      </c>
      <c r="S26" s="109">
        <v>0.8</v>
      </c>
      <c r="T26" s="109">
        <v>0</v>
      </c>
      <c r="U26" s="109">
        <v>0.8</v>
      </c>
      <c r="V26" s="109">
        <v>0</v>
      </c>
      <c r="W26" s="109">
        <v>0</v>
      </c>
      <c r="X26" s="109">
        <v>0</v>
      </c>
      <c r="Y26" s="109">
        <v>0</v>
      </c>
      <c r="Z26" s="109">
        <v>0</v>
      </c>
      <c r="AA26" s="109">
        <v>0.8</v>
      </c>
      <c r="AB26" s="109">
        <v>0</v>
      </c>
      <c r="AC26" s="109">
        <v>0</v>
      </c>
      <c r="AD26" s="109">
        <v>0</v>
      </c>
      <c r="AE26" s="109">
        <v>0</v>
      </c>
      <c r="AF26" s="109">
        <v>0</v>
      </c>
      <c r="AG26" s="109">
        <v>0</v>
      </c>
      <c r="AH26" s="109">
        <v>0</v>
      </c>
      <c r="AI26" s="109">
        <v>0</v>
      </c>
      <c r="AJ26" s="109">
        <v>0</v>
      </c>
      <c r="AK26" s="109">
        <v>0</v>
      </c>
      <c r="AL26" s="109">
        <v>0</v>
      </c>
      <c r="AM26" s="109">
        <v>0</v>
      </c>
      <c r="AN26" s="109">
        <v>0</v>
      </c>
      <c r="AO26" s="109">
        <v>0</v>
      </c>
      <c r="AP26" s="109">
        <v>0</v>
      </c>
    </row>
    <row r="27" spans="1:42" customFormat="1" x14ac:dyDescent="0.15">
      <c r="A27" s="188" t="s">
        <v>217</v>
      </c>
      <c r="B27" s="109">
        <v>0</v>
      </c>
      <c r="C27" s="109">
        <v>0.8</v>
      </c>
      <c r="D27" s="109">
        <v>0.8</v>
      </c>
      <c r="E27" s="109">
        <v>0.8</v>
      </c>
      <c r="F27" s="109">
        <v>0.8</v>
      </c>
      <c r="G27" s="109">
        <v>0.8</v>
      </c>
      <c r="H27" s="109">
        <v>0.8</v>
      </c>
      <c r="I27" s="109">
        <v>0.8</v>
      </c>
      <c r="J27" s="109">
        <v>0.8</v>
      </c>
      <c r="K27" s="109">
        <v>0.8</v>
      </c>
      <c r="L27" s="109">
        <v>0.8</v>
      </c>
      <c r="M27" s="109">
        <v>0.8</v>
      </c>
      <c r="N27" s="109">
        <v>0.8</v>
      </c>
      <c r="O27" s="109">
        <v>0</v>
      </c>
      <c r="P27" s="109">
        <v>0.8</v>
      </c>
      <c r="Q27" s="109">
        <v>0</v>
      </c>
      <c r="R27" s="109">
        <v>0</v>
      </c>
      <c r="S27" s="109">
        <v>0</v>
      </c>
      <c r="T27" s="109">
        <v>0</v>
      </c>
      <c r="U27" s="109">
        <v>0.8</v>
      </c>
      <c r="V27" s="109">
        <v>0</v>
      </c>
      <c r="W27" s="109">
        <v>0</v>
      </c>
      <c r="X27" s="109">
        <v>0</v>
      </c>
      <c r="Y27" s="109">
        <v>0</v>
      </c>
      <c r="Z27" s="109">
        <v>0</v>
      </c>
      <c r="AA27" s="109">
        <v>0</v>
      </c>
      <c r="AB27" s="109">
        <v>0</v>
      </c>
      <c r="AC27" s="109">
        <v>0</v>
      </c>
      <c r="AD27" s="109">
        <v>0</v>
      </c>
      <c r="AE27" s="109">
        <v>0</v>
      </c>
      <c r="AF27" s="109">
        <v>0</v>
      </c>
      <c r="AG27" s="109">
        <v>0</v>
      </c>
      <c r="AH27" s="109">
        <v>0</v>
      </c>
      <c r="AI27" s="109">
        <v>0</v>
      </c>
      <c r="AJ27" s="109">
        <v>0</v>
      </c>
      <c r="AK27" s="109">
        <v>0</v>
      </c>
      <c r="AL27" s="109">
        <v>0</v>
      </c>
      <c r="AM27" s="109">
        <v>0</v>
      </c>
      <c r="AN27" s="109">
        <v>0</v>
      </c>
      <c r="AO27" s="109">
        <v>0</v>
      </c>
      <c r="AP27" s="109">
        <v>0</v>
      </c>
    </row>
    <row r="28" spans="1:42" customFormat="1" x14ac:dyDescent="0.15">
      <c r="A28" s="188" t="s">
        <v>218</v>
      </c>
      <c r="B28" s="109">
        <v>0</v>
      </c>
      <c r="C28" s="109">
        <v>0.8</v>
      </c>
      <c r="D28" s="109">
        <v>0</v>
      </c>
      <c r="E28" s="109">
        <v>0</v>
      </c>
      <c r="F28" s="109">
        <v>0</v>
      </c>
      <c r="G28" s="109">
        <v>0.8</v>
      </c>
      <c r="H28" s="109">
        <v>0.8</v>
      </c>
      <c r="I28" s="109">
        <v>0</v>
      </c>
      <c r="J28" s="109">
        <v>0</v>
      </c>
      <c r="K28" s="109">
        <v>0</v>
      </c>
      <c r="L28" s="109">
        <v>0</v>
      </c>
      <c r="M28" s="109">
        <v>0</v>
      </c>
      <c r="N28" s="109">
        <v>0</v>
      </c>
      <c r="O28" s="109">
        <v>0.8</v>
      </c>
      <c r="P28" s="109">
        <v>0.8</v>
      </c>
      <c r="Q28" s="109">
        <v>0.8</v>
      </c>
      <c r="R28" s="109">
        <v>0</v>
      </c>
      <c r="S28" s="109">
        <v>0</v>
      </c>
      <c r="T28" s="109">
        <v>0</v>
      </c>
      <c r="U28" s="109">
        <v>0</v>
      </c>
      <c r="V28" s="109">
        <v>0.8</v>
      </c>
      <c r="W28" s="109">
        <v>0.8</v>
      </c>
      <c r="X28" s="109">
        <v>0</v>
      </c>
      <c r="Y28" s="109">
        <v>0</v>
      </c>
      <c r="Z28" s="109">
        <v>0</v>
      </c>
      <c r="AA28" s="109">
        <v>0</v>
      </c>
      <c r="AB28" s="109">
        <v>0.8</v>
      </c>
      <c r="AC28" s="109">
        <v>0</v>
      </c>
      <c r="AD28" s="109">
        <v>0</v>
      </c>
      <c r="AE28" s="109">
        <v>0</v>
      </c>
      <c r="AF28" s="109">
        <v>0.8</v>
      </c>
      <c r="AG28" s="109">
        <v>0</v>
      </c>
      <c r="AH28" s="109">
        <v>0.8</v>
      </c>
      <c r="AI28" s="109">
        <v>0</v>
      </c>
      <c r="AJ28" s="109">
        <v>0</v>
      </c>
      <c r="AK28" s="109">
        <v>0</v>
      </c>
      <c r="AL28" s="109">
        <v>0</v>
      </c>
      <c r="AM28" s="109">
        <v>0</v>
      </c>
      <c r="AN28" s="109">
        <v>0</v>
      </c>
      <c r="AO28" s="109">
        <v>0</v>
      </c>
      <c r="AP28" s="109">
        <v>0</v>
      </c>
    </row>
    <row r="29" spans="1:42" customFormat="1" x14ac:dyDescent="0.15">
      <c r="A29" s="188" t="s">
        <v>219</v>
      </c>
      <c r="B29" s="109">
        <v>0</v>
      </c>
      <c r="C29" s="109">
        <v>0</v>
      </c>
      <c r="D29" s="109">
        <v>0.8</v>
      </c>
      <c r="E29" s="109">
        <v>0</v>
      </c>
      <c r="F29" s="109">
        <v>0.8</v>
      </c>
      <c r="G29" s="109">
        <v>0.8</v>
      </c>
      <c r="H29" s="109">
        <v>0.8</v>
      </c>
      <c r="I29" s="109">
        <v>0.8</v>
      </c>
      <c r="J29" s="109">
        <v>0.8</v>
      </c>
      <c r="K29" s="109">
        <v>0.8</v>
      </c>
      <c r="L29" s="109">
        <v>0.8</v>
      </c>
      <c r="M29" s="109">
        <v>0.8</v>
      </c>
      <c r="N29" s="109">
        <v>0.8</v>
      </c>
      <c r="O29" s="109">
        <v>0.8</v>
      </c>
      <c r="P29" s="109">
        <v>0.8</v>
      </c>
      <c r="Q29" s="109">
        <v>0.8</v>
      </c>
      <c r="R29" s="109">
        <v>0.8</v>
      </c>
      <c r="S29" s="109">
        <v>0.8</v>
      </c>
      <c r="T29" s="109">
        <v>0.8</v>
      </c>
      <c r="U29" s="109">
        <v>0.8</v>
      </c>
      <c r="V29" s="109">
        <v>0</v>
      </c>
      <c r="W29" s="109">
        <v>0</v>
      </c>
      <c r="X29" s="109">
        <v>0.8</v>
      </c>
      <c r="Y29" s="109">
        <v>0.8</v>
      </c>
      <c r="Z29" s="109">
        <v>0.8</v>
      </c>
      <c r="AA29" s="109">
        <v>0.8</v>
      </c>
      <c r="AB29" s="109">
        <v>0</v>
      </c>
      <c r="AC29" s="109">
        <v>0.8</v>
      </c>
      <c r="AD29" s="109">
        <v>0</v>
      </c>
      <c r="AE29" s="109">
        <v>0</v>
      </c>
      <c r="AF29" s="109">
        <v>0.8</v>
      </c>
      <c r="AG29" s="109">
        <v>0</v>
      </c>
      <c r="AH29" s="109">
        <v>0</v>
      </c>
      <c r="AI29" s="109">
        <v>0</v>
      </c>
      <c r="AJ29" s="109">
        <v>0</v>
      </c>
      <c r="AK29" s="109">
        <v>0</v>
      </c>
      <c r="AL29" s="109">
        <v>0</v>
      </c>
      <c r="AM29" s="109">
        <v>0</v>
      </c>
      <c r="AN29" s="109">
        <v>0</v>
      </c>
      <c r="AO29" s="109">
        <v>0</v>
      </c>
      <c r="AP29" s="109">
        <v>0</v>
      </c>
    </row>
    <row r="30" spans="1:42" customFormat="1" x14ac:dyDescent="0.15">
      <c r="A30" s="188" t="s">
        <v>220</v>
      </c>
      <c r="B30" s="109">
        <v>0</v>
      </c>
      <c r="C30" s="109">
        <v>0</v>
      </c>
      <c r="D30" s="109">
        <v>0</v>
      </c>
      <c r="E30" s="109">
        <v>0</v>
      </c>
      <c r="F30" s="109">
        <v>0</v>
      </c>
      <c r="G30" s="109">
        <v>0.8</v>
      </c>
      <c r="H30" s="109">
        <v>0.8</v>
      </c>
      <c r="I30" s="109">
        <v>0</v>
      </c>
      <c r="J30" s="109">
        <v>0</v>
      </c>
      <c r="K30" s="109">
        <v>0</v>
      </c>
      <c r="L30" s="109">
        <v>0</v>
      </c>
      <c r="M30" s="109">
        <v>0</v>
      </c>
      <c r="N30" s="109">
        <v>0.8</v>
      </c>
      <c r="O30" s="109">
        <v>0.8</v>
      </c>
      <c r="P30" s="109">
        <v>0.8</v>
      </c>
      <c r="Q30" s="109">
        <v>0.8</v>
      </c>
      <c r="R30" s="109">
        <v>0</v>
      </c>
      <c r="S30" s="109">
        <v>0</v>
      </c>
      <c r="T30" s="109">
        <v>0</v>
      </c>
      <c r="U30" s="109">
        <v>0</v>
      </c>
      <c r="V30" s="109">
        <v>0.8</v>
      </c>
      <c r="W30" s="109">
        <v>0.8</v>
      </c>
      <c r="X30" s="109">
        <v>0</v>
      </c>
      <c r="Y30" s="109">
        <v>0</v>
      </c>
      <c r="Z30" s="109">
        <v>0</v>
      </c>
      <c r="AA30" s="109">
        <v>0</v>
      </c>
      <c r="AB30" s="109">
        <v>0.8</v>
      </c>
      <c r="AC30" s="109">
        <v>0</v>
      </c>
      <c r="AD30" s="109">
        <v>0</v>
      </c>
      <c r="AE30" s="109">
        <v>0</v>
      </c>
      <c r="AF30" s="109">
        <v>0</v>
      </c>
      <c r="AG30" s="109">
        <v>0</v>
      </c>
      <c r="AH30" s="109">
        <v>0</v>
      </c>
      <c r="AI30" s="109">
        <v>0</v>
      </c>
      <c r="AJ30" s="109">
        <v>0</v>
      </c>
      <c r="AK30" s="109">
        <v>0</v>
      </c>
      <c r="AL30" s="109">
        <v>0</v>
      </c>
      <c r="AM30" s="109">
        <v>0</v>
      </c>
      <c r="AN30" s="109">
        <v>0</v>
      </c>
      <c r="AO30" s="109">
        <v>0</v>
      </c>
      <c r="AP30" s="109">
        <v>0</v>
      </c>
    </row>
    <row r="31" spans="1:42" customFormat="1" x14ac:dyDescent="0.15">
      <c r="A31" s="188" t="s">
        <v>221</v>
      </c>
      <c r="B31" s="109">
        <v>0</v>
      </c>
      <c r="C31" s="109">
        <v>0</v>
      </c>
      <c r="D31" s="109">
        <v>0</v>
      </c>
      <c r="E31" s="109">
        <v>0</v>
      </c>
      <c r="F31" s="109">
        <v>0</v>
      </c>
      <c r="G31" s="109">
        <v>0.8</v>
      </c>
      <c r="H31" s="109">
        <v>0.8</v>
      </c>
      <c r="I31" s="109">
        <v>0</v>
      </c>
      <c r="J31" s="109">
        <v>0</v>
      </c>
      <c r="K31" s="109">
        <v>0</v>
      </c>
      <c r="L31" s="109">
        <v>0</v>
      </c>
      <c r="M31" s="109">
        <v>0</v>
      </c>
      <c r="N31" s="109">
        <v>0.8</v>
      </c>
      <c r="O31" s="109">
        <v>0</v>
      </c>
      <c r="P31" s="109">
        <v>0.8</v>
      </c>
      <c r="Q31" s="109">
        <v>0.8</v>
      </c>
      <c r="R31" s="109">
        <v>0</v>
      </c>
      <c r="S31" s="109">
        <v>0.8</v>
      </c>
      <c r="T31" s="109">
        <v>0</v>
      </c>
      <c r="U31" s="109">
        <v>0</v>
      </c>
      <c r="V31" s="109">
        <v>0</v>
      </c>
      <c r="W31" s="109">
        <v>0.8</v>
      </c>
      <c r="X31" s="109">
        <v>0</v>
      </c>
      <c r="Y31" s="109">
        <v>0</v>
      </c>
      <c r="Z31" s="109">
        <v>0</v>
      </c>
      <c r="AA31" s="109">
        <v>0</v>
      </c>
      <c r="AB31" s="109">
        <v>0</v>
      </c>
      <c r="AC31" s="109">
        <v>0</v>
      </c>
      <c r="AD31" s="109">
        <v>0</v>
      </c>
      <c r="AE31" s="109">
        <v>0.8</v>
      </c>
      <c r="AF31" s="109">
        <v>0</v>
      </c>
      <c r="AG31" s="109">
        <v>0</v>
      </c>
      <c r="AH31" s="109">
        <v>0</v>
      </c>
      <c r="AI31" s="109">
        <v>0</v>
      </c>
      <c r="AJ31" s="109">
        <v>0</v>
      </c>
      <c r="AK31" s="109">
        <v>0</v>
      </c>
      <c r="AL31" s="109">
        <v>0</v>
      </c>
      <c r="AM31" s="109">
        <v>0</v>
      </c>
      <c r="AN31" s="109">
        <v>0</v>
      </c>
      <c r="AO31" s="109">
        <v>0</v>
      </c>
      <c r="AP31" s="109">
        <v>0</v>
      </c>
    </row>
    <row r="32" spans="1:42" customFormat="1" x14ac:dyDescent="0.15">
      <c r="A32" s="188" t="s">
        <v>222</v>
      </c>
      <c r="B32" s="109">
        <v>0</v>
      </c>
      <c r="C32" s="109">
        <v>0</v>
      </c>
      <c r="D32" s="109">
        <v>0</v>
      </c>
      <c r="E32" s="109">
        <v>0</v>
      </c>
      <c r="F32" s="109">
        <v>0.8</v>
      </c>
      <c r="G32" s="109">
        <v>0.8</v>
      </c>
      <c r="H32" s="109">
        <v>0.8</v>
      </c>
      <c r="I32" s="109">
        <v>0</v>
      </c>
      <c r="J32" s="109">
        <v>0</v>
      </c>
      <c r="K32" s="109">
        <v>0.8</v>
      </c>
      <c r="L32" s="109">
        <v>0</v>
      </c>
      <c r="M32" s="109">
        <v>0</v>
      </c>
      <c r="N32" s="109">
        <v>0.8</v>
      </c>
      <c r="O32" s="109">
        <v>0.8</v>
      </c>
      <c r="P32" s="109">
        <v>0.8</v>
      </c>
      <c r="Q32" s="109">
        <v>0.8</v>
      </c>
      <c r="R32" s="109">
        <v>0.8</v>
      </c>
      <c r="S32" s="109">
        <v>0.8</v>
      </c>
      <c r="T32" s="109">
        <v>0</v>
      </c>
      <c r="U32" s="109">
        <v>0</v>
      </c>
      <c r="V32" s="109">
        <v>0</v>
      </c>
      <c r="W32" s="109">
        <v>0</v>
      </c>
      <c r="X32" s="109">
        <v>0</v>
      </c>
      <c r="Y32" s="109">
        <v>0</v>
      </c>
      <c r="Z32" s="109">
        <v>0</v>
      </c>
      <c r="AA32" s="109">
        <v>0</v>
      </c>
      <c r="AB32" s="109">
        <v>0</v>
      </c>
      <c r="AC32" s="109">
        <v>0</v>
      </c>
      <c r="AD32" s="109">
        <v>0</v>
      </c>
      <c r="AE32" s="109">
        <v>0</v>
      </c>
      <c r="AF32" s="109">
        <v>0</v>
      </c>
      <c r="AG32" s="109">
        <v>0</v>
      </c>
      <c r="AH32" s="109">
        <v>0</v>
      </c>
      <c r="AI32" s="109">
        <v>0</v>
      </c>
      <c r="AJ32" s="109">
        <v>0</v>
      </c>
      <c r="AK32" s="109">
        <v>0</v>
      </c>
      <c r="AL32" s="109">
        <v>0</v>
      </c>
      <c r="AM32" s="109">
        <v>0</v>
      </c>
      <c r="AN32" s="109">
        <v>0</v>
      </c>
      <c r="AO32" s="109">
        <v>0</v>
      </c>
      <c r="AP32" s="109">
        <v>0</v>
      </c>
    </row>
    <row r="33" spans="1:42" x14ac:dyDescent="0.15">
      <c r="A33" s="188" t="s">
        <v>223</v>
      </c>
      <c r="B33" s="109">
        <v>0</v>
      </c>
      <c r="C33" s="109">
        <v>0</v>
      </c>
      <c r="D33" s="109">
        <v>0</v>
      </c>
      <c r="E33" s="109">
        <v>0</v>
      </c>
      <c r="F33" s="109">
        <v>0</v>
      </c>
      <c r="G33" s="109">
        <v>0.8</v>
      </c>
      <c r="H33" s="109">
        <v>0.8</v>
      </c>
      <c r="I33" s="109">
        <v>0</v>
      </c>
      <c r="J33" s="109">
        <v>0</v>
      </c>
      <c r="K33" s="109">
        <v>0</v>
      </c>
      <c r="L33" s="109">
        <v>0</v>
      </c>
      <c r="M33" s="109">
        <v>0</v>
      </c>
      <c r="N33" s="109">
        <v>0.8</v>
      </c>
      <c r="O33" s="109">
        <v>0.8</v>
      </c>
      <c r="P33" s="109">
        <v>0.8</v>
      </c>
      <c r="Q33" s="109">
        <v>0.8</v>
      </c>
      <c r="R33" s="109">
        <v>0</v>
      </c>
      <c r="S33" s="109">
        <v>0</v>
      </c>
      <c r="T33" s="109">
        <v>0</v>
      </c>
      <c r="U33" s="109">
        <v>0</v>
      </c>
      <c r="V33" s="109">
        <v>0.8</v>
      </c>
      <c r="W33" s="109">
        <v>0.8</v>
      </c>
      <c r="X33" s="109">
        <v>0</v>
      </c>
      <c r="Y33" s="109">
        <v>0</v>
      </c>
      <c r="Z33" s="109">
        <v>0</v>
      </c>
      <c r="AA33" s="109">
        <v>0</v>
      </c>
      <c r="AB33" s="109">
        <v>0.8</v>
      </c>
      <c r="AC33" s="109">
        <v>0</v>
      </c>
      <c r="AD33" s="109">
        <v>0</v>
      </c>
      <c r="AE33" s="109">
        <v>0.8</v>
      </c>
      <c r="AF33" s="109">
        <v>0.8</v>
      </c>
      <c r="AG33" s="109">
        <v>0</v>
      </c>
      <c r="AH33" s="109">
        <v>0.8</v>
      </c>
      <c r="AI33" s="109">
        <v>0</v>
      </c>
      <c r="AJ33" s="109">
        <v>0</v>
      </c>
      <c r="AK33" s="109">
        <v>0</v>
      </c>
      <c r="AL33" s="109">
        <v>0</v>
      </c>
      <c r="AM33" s="109">
        <v>0</v>
      </c>
      <c r="AN33" s="109">
        <v>0</v>
      </c>
      <c r="AO33" s="109">
        <v>0</v>
      </c>
      <c r="AP33" s="109">
        <v>0</v>
      </c>
    </row>
    <row r="34" spans="1:42" x14ac:dyDescent="0.15">
      <c r="A34" s="188" t="s">
        <v>224</v>
      </c>
      <c r="B34" s="109">
        <v>0</v>
      </c>
      <c r="C34" s="109">
        <v>0</v>
      </c>
      <c r="D34" s="109">
        <v>0</v>
      </c>
      <c r="E34" s="109">
        <v>0</v>
      </c>
      <c r="F34" s="109">
        <v>0</v>
      </c>
      <c r="G34" s="109">
        <v>0</v>
      </c>
      <c r="H34" s="109">
        <v>0</v>
      </c>
      <c r="I34" s="109">
        <v>0</v>
      </c>
      <c r="J34" s="109">
        <v>0</v>
      </c>
      <c r="K34" s="109">
        <v>0</v>
      </c>
      <c r="L34" s="109">
        <v>0</v>
      </c>
      <c r="M34" s="109">
        <v>0</v>
      </c>
      <c r="N34" s="109">
        <v>0</v>
      </c>
      <c r="O34" s="109">
        <v>0</v>
      </c>
      <c r="P34" s="109">
        <v>0</v>
      </c>
      <c r="Q34" s="109">
        <v>0</v>
      </c>
      <c r="R34" s="109">
        <v>0</v>
      </c>
      <c r="S34" s="109">
        <v>0</v>
      </c>
      <c r="T34" s="109">
        <v>0</v>
      </c>
      <c r="U34" s="109">
        <v>0</v>
      </c>
      <c r="V34" s="109">
        <v>0</v>
      </c>
      <c r="W34" s="109">
        <v>0.8</v>
      </c>
      <c r="X34" s="109">
        <v>0</v>
      </c>
      <c r="Y34" s="109">
        <v>0</v>
      </c>
      <c r="Z34" s="109">
        <v>0</v>
      </c>
      <c r="AA34" s="109">
        <v>0</v>
      </c>
      <c r="AB34" s="109">
        <v>0.8</v>
      </c>
      <c r="AC34" s="109">
        <v>0.8</v>
      </c>
      <c r="AD34" s="109">
        <v>0.8</v>
      </c>
      <c r="AE34" s="109">
        <v>0.8</v>
      </c>
      <c r="AF34" s="109">
        <v>0</v>
      </c>
      <c r="AG34" s="109">
        <v>0.8</v>
      </c>
      <c r="AH34" s="109">
        <v>0</v>
      </c>
      <c r="AI34" s="109">
        <v>0</v>
      </c>
      <c r="AJ34" s="109">
        <v>0</v>
      </c>
      <c r="AK34" s="109">
        <v>0</v>
      </c>
      <c r="AL34" s="109">
        <v>0</v>
      </c>
      <c r="AM34" s="109">
        <v>0</v>
      </c>
      <c r="AN34" s="109">
        <v>0</v>
      </c>
      <c r="AO34" s="109">
        <v>0</v>
      </c>
      <c r="AP34" s="109">
        <v>0</v>
      </c>
    </row>
    <row r="35" spans="1:42" x14ac:dyDescent="0.15">
      <c r="A35" s="188" t="s">
        <v>225</v>
      </c>
      <c r="B35" s="109">
        <v>0</v>
      </c>
      <c r="C35" s="109">
        <v>0</v>
      </c>
      <c r="D35" s="109">
        <v>0</v>
      </c>
      <c r="E35" s="109">
        <v>0</v>
      </c>
      <c r="F35" s="109">
        <v>0</v>
      </c>
      <c r="G35" s="109">
        <v>0</v>
      </c>
      <c r="H35" s="109">
        <v>0.8</v>
      </c>
      <c r="I35" s="109">
        <v>0</v>
      </c>
      <c r="J35" s="109">
        <v>0</v>
      </c>
      <c r="K35" s="109">
        <v>0</v>
      </c>
      <c r="L35" s="109">
        <v>0</v>
      </c>
      <c r="M35" s="109">
        <v>0.8</v>
      </c>
      <c r="N35" s="109">
        <v>0.8</v>
      </c>
      <c r="O35" s="109">
        <v>0</v>
      </c>
      <c r="P35" s="109">
        <v>0</v>
      </c>
      <c r="Q35" s="109">
        <v>0</v>
      </c>
      <c r="R35" s="109">
        <v>0.8</v>
      </c>
      <c r="S35" s="109">
        <v>0</v>
      </c>
      <c r="T35" s="109">
        <v>0.8</v>
      </c>
      <c r="U35" s="109">
        <v>0.8</v>
      </c>
      <c r="V35" s="109">
        <v>0</v>
      </c>
      <c r="W35" s="109">
        <v>0</v>
      </c>
      <c r="X35" s="109">
        <v>0.8</v>
      </c>
      <c r="Y35" s="109">
        <v>0.8</v>
      </c>
      <c r="Z35" s="109">
        <v>0.8</v>
      </c>
      <c r="AA35" s="109">
        <v>0.8</v>
      </c>
      <c r="AB35" s="109">
        <v>0</v>
      </c>
      <c r="AC35" s="109">
        <v>0.8</v>
      </c>
      <c r="AD35" s="109">
        <v>0</v>
      </c>
      <c r="AE35" s="109">
        <v>0.8</v>
      </c>
      <c r="AF35" s="109">
        <v>0.8</v>
      </c>
      <c r="AG35" s="109">
        <v>0</v>
      </c>
      <c r="AH35" s="109">
        <v>0</v>
      </c>
      <c r="AI35" s="109">
        <v>0</v>
      </c>
      <c r="AJ35" s="109">
        <v>0</v>
      </c>
      <c r="AK35" s="109">
        <v>0</v>
      </c>
      <c r="AL35" s="109">
        <v>0</v>
      </c>
      <c r="AM35" s="109">
        <v>0</v>
      </c>
      <c r="AN35" s="109">
        <v>0</v>
      </c>
      <c r="AO35" s="109">
        <v>0</v>
      </c>
      <c r="AP35" s="109">
        <v>0</v>
      </c>
    </row>
    <row r="36" spans="1:42" x14ac:dyDescent="0.15">
      <c r="A36" s="188" t="s">
        <v>226</v>
      </c>
      <c r="B36" s="109">
        <v>0</v>
      </c>
      <c r="C36" s="109">
        <v>0</v>
      </c>
      <c r="D36" s="109">
        <v>0</v>
      </c>
      <c r="E36" s="109">
        <v>0</v>
      </c>
      <c r="F36" s="109">
        <v>0</v>
      </c>
      <c r="G36" s="109">
        <v>0</v>
      </c>
      <c r="H36" s="109">
        <v>0</v>
      </c>
      <c r="I36" s="109">
        <v>0</v>
      </c>
      <c r="J36" s="109">
        <v>0</v>
      </c>
      <c r="K36" s="109">
        <v>0</v>
      </c>
      <c r="L36" s="109">
        <v>0</v>
      </c>
      <c r="M36" s="109">
        <v>0</v>
      </c>
      <c r="N36" s="109">
        <v>0</v>
      </c>
      <c r="O36" s="109">
        <v>0</v>
      </c>
      <c r="P36" s="109">
        <v>0</v>
      </c>
      <c r="Q36" s="109">
        <v>0</v>
      </c>
      <c r="R36" s="109">
        <v>0</v>
      </c>
      <c r="S36" s="109">
        <v>0</v>
      </c>
      <c r="T36" s="109">
        <v>0</v>
      </c>
      <c r="U36" s="109">
        <v>0</v>
      </c>
      <c r="V36" s="109">
        <v>0</v>
      </c>
      <c r="W36" s="109">
        <v>0</v>
      </c>
      <c r="X36" s="109">
        <v>0.8</v>
      </c>
      <c r="Y36" s="109">
        <v>0.8</v>
      </c>
      <c r="Z36" s="109">
        <v>0</v>
      </c>
      <c r="AA36" s="109">
        <v>0.8</v>
      </c>
      <c r="AB36" s="109">
        <v>0.8</v>
      </c>
      <c r="AC36" s="109">
        <v>0.8</v>
      </c>
      <c r="AD36" s="109">
        <v>0</v>
      </c>
      <c r="AE36" s="109">
        <v>0.8</v>
      </c>
      <c r="AF36" s="109">
        <v>0</v>
      </c>
      <c r="AG36" s="109">
        <v>0</v>
      </c>
      <c r="AH36" s="109">
        <v>0.8</v>
      </c>
      <c r="AI36" s="109">
        <v>0.8</v>
      </c>
      <c r="AJ36" s="109">
        <v>0.8</v>
      </c>
      <c r="AK36" s="109">
        <v>0</v>
      </c>
      <c r="AL36" s="109">
        <v>0</v>
      </c>
      <c r="AM36" s="109">
        <v>0</v>
      </c>
      <c r="AN36" s="109">
        <v>0</v>
      </c>
      <c r="AO36" s="109">
        <v>0</v>
      </c>
      <c r="AP36" s="109">
        <v>0</v>
      </c>
    </row>
    <row r="37" spans="1:42" x14ac:dyDescent="0.15">
      <c r="A37" s="188" t="s">
        <v>227</v>
      </c>
      <c r="B37" s="109">
        <v>0</v>
      </c>
      <c r="C37" s="109">
        <v>0</v>
      </c>
      <c r="D37" s="109">
        <v>0</v>
      </c>
      <c r="E37" s="109">
        <v>0</v>
      </c>
      <c r="F37" s="109">
        <v>0</v>
      </c>
      <c r="G37" s="109">
        <v>0</v>
      </c>
      <c r="H37" s="109">
        <v>0</v>
      </c>
      <c r="I37" s="109">
        <v>0</v>
      </c>
      <c r="J37" s="109">
        <v>0</v>
      </c>
      <c r="K37" s="109">
        <v>0</v>
      </c>
      <c r="L37" s="109">
        <v>0</v>
      </c>
      <c r="M37" s="109">
        <v>0</v>
      </c>
      <c r="N37" s="109">
        <v>0</v>
      </c>
      <c r="O37" s="109">
        <v>0</v>
      </c>
      <c r="P37" s="109">
        <v>0</v>
      </c>
      <c r="Q37" s="109">
        <v>0</v>
      </c>
      <c r="R37" s="109">
        <v>0</v>
      </c>
      <c r="S37" s="109">
        <v>0</v>
      </c>
      <c r="T37" s="109">
        <v>0</v>
      </c>
      <c r="U37" s="109">
        <v>0</v>
      </c>
      <c r="V37" s="109">
        <v>0</v>
      </c>
      <c r="W37" s="109">
        <v>0.8</v>
      </c>
      <c r="X37" s="109">
        <v>0</v>
      </c>
      <c r="Y37" s="109">
        <v>0</v>
      </c>
      <c r="Z37" s="109">
        <v>0</v>
      </c>
      <c r="AA37" s="109">
        <v>0</v>
      </c>
      <c r="AB37" s="109">
        <v>0.8</v>
      </c>
      <c r="AC37" s="109">
        <v>0</v>
      </c>
      <c r="AD37" s="109">
        <v>0.8</v>
      </c>
      <c r="AE37" s="109">
        <v>0.8</v>
      </c>
      <c r="AF37" s="109">
        <v>0</v>
      </c>
      <c r="AG37" s="109">
        <v>0</v>
      </c>
      <c r="AH37" s="109">
        <v>0.8</v>
      </c>
      <c r="AI37" s="109">
        <v>0</v>
      </c>
      <c r="AJ37" s="109">
        <v>0</v>
      </c>
      <c r="AK37" s="109">
        <v>0</v>
      </c>
      <c r="AL37" s="109">
        <v>0</v>
      </c>
      <c r="AM37" s="109">
        <v>0</v>
      </c>
      <c r="AN37" s="109">
        <v>0</v>
      </c>
      <c r="AO37" s="109">
        <v>0</v>
      </c>
      <c r="AP37" s="109">
        <v>0</v>
      </c>
    </row>
    <row r="38" spans="1:42" x14ac:dyDescent="0.15">
      <c r="A38" s="188" t="s">
        <v>228</v>
      </c>
      <c r="B38" s="109">
        <v>0</v>
      </c>
      <c r="C38" s="109">
        <v>0</v>
      </c>
      <c r="D38" s="109">
        <v>0</v>
      </c>
      <c r="E38" s="109">
        <v>0</v>
      </c>
      <c r="F38" s="109">
        <v>0</v>
      </c>
      <c r="G38" s="109">
        <v>0</v>
      </c>
      <c r="H38" s="109">
        <v>0</v>
      </c>
      <c r="I38" s="109">
        <v>0</v>
      </c>
      <c r="J38" s="109">
        <v>0</v>
      </c>
      <c r="K38" s="109">
        <v>0</v>
      </c>
      <c r="L38" s="109">
        <v>0</v>
      </c>
      <c r="M38" s="109">
        <v>0</v>
      </c>
      <c r="N38" s="109">
        <v>0</v>
      </c>
      <c r="O38" s="109">
        <v>0</v>
      </c>
      <c r="P38" s="109">
        <v>0</v>
      </c>
      <c r="Q38" s="109">
        <v>0</v>
      </c>
      <c r="R38" s="109">
        <v>0</v>
      </c>
      <c r="S38" s="109">
        <v>0</v>
      </c>
      <c r="T38" s="109">
        <v>0</v>
      </c>
      <c r="U38" s="109">
        <v>0</v>
      </c>
      <c r="V38" s="109">
        <v>0</v>
      </c>
      <c r="W38" s="109">
        <v>0</v>
      </c>
      <c r="X38" s="109">
        <v>0.8</v>
      </c>
      <c r="Y38" s="109">
        <v>0.8</v>
      </c>
      <c r="Z38" s="109">
        <v>0</v>
      </c>
      <c r="AA38" s="109">
        <v>0.8</v>
      </c>
      <c r="AB38" s="109">
        <v>0</v>
      </c>
      <c r="AC38" s="109">
        <v>0.8</v>
      </c>
      <c r="AD38" s="109">
        <v>0</v>
      </c>
      <c r="AE38" s="109">
        <v>0.8</v>
      </c>
      <c r="AF38" s="109">
        <v>0.8</v>
      </c>
      <c r="AG38" s="109">
        <v>0</v>
      </c>
      <c r="AH38" s="109">
        <v>0</v>
      </c>
      <c r="AI38" s="109">
        <v>0.8</v>
      </c>
      <c r="AJ38" s="109">
        <v>0.8</v>
      </c>
      <c r="AK38" s="109">
        <v>0</v>
      </c>
      <c r="AL38" s="109">
        <v>0</v>
      </c>
      <c r="AM38" s="109">
        <v>0</v>
      </c>
      <c r="AN38" s="109">
        <v>0</v>
      </c>
      <c r="AO38" s="109">
        <v>0</v>
      </c>
      <c r="AP38" s="109">
        <v>0</v>
      </c>
    </row>
    <row r="39" spans="1:42" x14ac:dyDescent="0.15">
      <c r="A39" s="188" t="s">
        <v>229</v>
      </c>
      <c r="B39" s="109">
        <v>0</v>
      </c>
      <c r="C39" s="109">
        <v>0</v>
      </c>
      <c r="D39" s="109">
        <v>0</v>
      </c>
      <c r="E39" s="109">
        <v>0</v>
      </c>
      <c r="F39" s="109">
        <v>0</v>
      </c>
      <c r="G39" s="109">
        <v>0</v>
      </c>
      <c r="H39" s="109">
        <v>0</v>
      </c>
      <c r="I39" s="109">
        <v>0</v>
      </c>
      <c r="J39" s="109">
        <v>0</v>
      </c>
      <c r="K39" s="109">
        <v>0</v>
      </c>
      <c r="L39" s="109">
        <v>0</v>
      </c>
      <c r="M39" s="109">
        <v>0</v>
      </c>
      <c r="N39" s="109">
        <v>0</v>
      </c>
      <c r="O39" s="109">
        <v>0</v>
      </c>
      <c r="P39" s="109">
        <v>0.8</v>
      </c>
      <c r="Q39" s="109">
        <v>0.8</v>
      </c>
      <c r="R39" s="109">
        <v>0</v>
      </c>
      <c r="S39" s="109">
        <v>0</v>
      </c>
      <c r="T39" s="109">
        <v>0</v>
      </c>
      <c r="U39" s="109">
        <v>0</v>
      </c>
      <c r="V39" s="109">
        <v>0</v>
      </c>
      <c r="W39" s="109">
        <v>0</v>
      </c>
      <c r="X39" s="109">
        <v>0</v>
      </c>
      <c r="Y39" s="109">
        <v>0</v>
      </c>
      <c r="Z39" s="109">
        <v>0</v>
      </c>
      <c r="AA39" s="109">
        <v>0</v>
      </c>
      <c r="AB39" s="109">
        <v>0</v>
      </c>
      <c r="AC39" s="109">
        <v>0</v>
      </c>
      <c r="AD39" s="109">
        <v>0</v>
      </c>
      <c r="AE39" s="109">
        <v>0</v>
      </c>
      <c r="AF39" s="109">
        <v>0</v>
      </c>
      <c r="AG39" s="109">
        <v>0</v>
      </c>
      <c r="AH39" s="109">
        <v>0</v>
      </c>
      <c r="AI39" s="109">
        <v>0</v>
      </c>
      <c r="AJ39" s="109">
        <v>0</v>
      </c>
      <c r="AK39" s="109">
        <v>0</v>
      </c>
      <c r="AL39" s="109">
        <v>0</v>
      </c>
      <c r="AM39" s="109">
        <v>0</v>
      </c>
      <c r="AN39" s="109">
        <v>0</v>
      </c>
      <c r="AO39" s="109">
        <v>0</v>
      </c>
      <c r="AP39" s="109">
        <v>0</v>
      </c>
    </row>
    <row r="40" spans="1:42" x14ac:dyDescent="0.15">
      <c r="A40" s="188" t="s">
        <v>230</v>
      </c>
      <c r="B40" s="109">
        <v>0</v>
      </c>
      <c r="C40" s="109">
        <v>0</v>
      </c>
      <c r="D40" s="109">
        <v>0</v>
      </c>
      <c r="E40" s="109">
        <v>0.8</v>
      </c>
      <c r="F40" s="109">
        <v>0</v>
      </c>
      <c r="G40" s="109">
        <v>0</v>
      </c>
      <c r="H40" s="109">
        <v>0</v>
      </c>
      <c r="I40" s="109">
        <v>0</v>
      </c>
      <c r="J40" s="109">
        <v>0</v>
      </c>
      <c r="K40" s="109">
        <v>0</v>
      </c>
      <c r="L40" s="109">
        <v>0</v>
      </c>
      <c r="M40" s="109">
        <v>0</v>
      </c>
      <c r="N40" s="109">
        <v>0</v>
      </c>
      <c r="O40" s="109">
        <v>0</v>
      </c>
      <c r="P40" s="109">
        <v>0</v>
      </c>
      <c r="Q40" s="109">
        <v>0</v>
      </c>
      <c r="R40" s="109">
        <v>0</v>
      </c>
      <c r="S40" s="109">
        <v>0</v>
      </c>
      <c r="T40" s="109">
        <v>0</v>
      </c>
      <c r="U40" s="109">
        <v>0</v>
      </c>
      <c r="V40" s="109">
        <v>0</v>
      </c>
      <c r="W40" s="109">
        <v>0.8</v>
      </c>
      <c r="X40" s="109">
        <v>0</v>
      </c>
      <c r="Y40" s="109">
        <v>0</v>
      </c>
      <c r="Z40" s="109">
        <v>0</v>
      </c>
      <c r="AA40" s="109">
        <v>0</v>
      </c>
      <c r="AB40" s="109">
        <v>0</v>
      </c>
      <c r="AC40" s="109">
        <v>0</v>
      </c>
      <c r="AD40" s="109">
        <v>0</v>
      </c>
      <c r="AE40" s="109">
        <v>0.8</v>
      </c>
      <c r="AF40" s="109">
        <v>0.8</v>
      </c>
      <c r="AG40" s="109">
        <v>0</v>
      </c>
      <c r="AH40" s="109">
        <v>0.8</v>
      </c>
      <c r="AI40" s="109">
        <v>0</v>
      </c>
      <c r="AJ40" s="109">
        <v>0</v>
      </c>
      <c r="AK40" s="109">
        <v>0.8</v>
      </c>
      <c r="AL40" s="109">
        <v>0</v>
      </c>
      <c r="AM40" s="109">
        <v>0</v>
      </c>
      <c r="AN40" s="109">
        <v>0</v>
      </c>
      <c r="AO40" s="109">
        <v>0</v>
      </c>
      <c r="AP40" s="109">
        <v>0</v>
      </c>
    </row>
    <row r="41" spans="1:42" x14ac:dyDescent="0.15">
      <c r="A41" s="188" t="s">
        <v>231</v>
      </c>
      <c r="B41" s="109">
        <v>0</v>
      </c>
      <c r="C41" s="109">
        <v>0</v>
      </c>
      <c r="D41" s="109">
        <v>0</v>
      </c>
      <c r="E41" s="109">
        <v>0</v>
      </c>
      <c r="F41" s="109">
        <v>0</v>
      </c>
      <c r="G41" s="109">
        <v>0</v>
      </c>
      <c r="H41" s="109">
        <v>0</v>
      </c>
      <c r="I41" s="109">
        <v>0</v>
      </c>
      <c r="J41" s="109">
        <v>0</v>
      </c>
      <c r="K41" s="109">
        <v>0</v>
      </c>
      <c r="L41" s="109">
        <v>0</v>
      </c>
      <c r="M41" s="109">
        <v>0</v>
      </c>
      <c r="N41" s="109">
        <v>0</v>
      </c>
      <c r="O41" s="109">
        <v>0</v>
      </c>
      <c r="P41" s="109">
        <v>0</v>
      </c>
      <c r="Q41" s="109">
        <v>0</v>
      </c>
      <c r="R41" s="109">
        <v>0</v>
      </c>
      <c r="S41" s="109">
        <v>0</v>
      </c>
      <c r="T41" s="109">
        <v>0</v>
      </c>
      <c r="U41" s="109">
        <v>0</v>
      </c>
      <c r="V41" s="109">
        <v>0</v>
      </c>
      <c r="W41" s="109">
        <v>0</v>
      </c>
      <c r="X41" s="109">
        <v>0</v>
      </c>
      <c r="Y41" s="109">
        <v>0</v>
      </c>
      <c r="Z41" s="109">
        <v>0</v>
      </c>
      <c r="AA41" s="109">
        <v>0</v>
      </c>
      <c r="AB41" s="109">
        <v>0</v>
      </c>
      <c r="AC41" s="109">
        <v>0.8</v>
      </c>
      <c r="AD41" s="109">
        <v>0.8</v>
      </c>
      <c r="AE41" s="109">
        <v>0.8</v>
      </c>
      <c r="AF41" s="109">
        <v>0.8</v>
      </c>
      <c r="AG41" s="109">
        <v>0.8</v>
      </c>
      <c r="AH41" s="109">
        <v>0.8</v>
      </c>
      <c r="AI41" s="109">
        <v>0.8</v>
      </c>
      <c r="AJ41" s="109">
        <v>0.8</v>
      </c>
      <c r="AK41" s="109">
        <v>0.8</v>
      </c>
      <c r="AL41" s="109">
        <v>0</v>
      </c>
      <c r="AM41" s="109">
        <v>0</v>
      </c>
      <c r="AN41" s="109">
        <v>0</v>
      </c>
      <c r="AO41" s="109">
        <v>0</v>
      </c>
      <c r="AP41" s="109">
        <v>0</v>
      </c>
    </row>
    <row r="42" spans="1:42" x14ac:dyDescent="0.15">
      <c r="A42" s="188" t="s">
        <v>232</v>
      </c>
      <c r="B42" s="109">
        <v>0</v>
      </c>
      <c r="C42" s="109">
        <v>0</v>
      </c>
      <c r="D42" s="109">
        <v>0</v>
      </c>
      <c r="E42" s="109">
        <v>0</v>
      </c>
      <c r="F42" s="109">
        <v>0</v>
      </c>
      <c r="G42" s="109">
        <v>0</v>
      </c>
      <c r="H42" s="109">
        <v>0</v>
      </c>
      <c r="I42" s="109">
        <v>0</v>
      </c>
      <c r="J42" s="109">
        <v>0</v>
      </c>
      <c r="K42" s="109">
        <v>0</v>
      </c>
      <c r="L42" s="109">
        <v>0</v>
      </c>
      <c r="M42" s="109">
        <v>0</v>
      </c>
      <c r="N42" s="109">
        <v>0</v>
      </c>
      <c r="O42" s="109">
        <v>0</v>
      </c>
      <c r="P42" s="109">
        <v>0</v>
      </c>
      <c r="Q42" s="109">
        <v>0</v>
      </c>
      <c r="R42" s="109">
        <v>0</v>
      </c>
      <c r="S42" s="109">
        <v>0</v>
      </c>
      <c r="T42" s="109">
        <v>0</v>
      </c>
      <c r="U42" s="109">
        <v>0</v>
      </c>
      <c r="V42" s="109">
        <v>0</v>
      </c>
      <c r="W42" s="109">
        <v>0.8</v>
      </c>
      <c r="X42" s="109">
        <v>0</v>
      </c>
      <c r="Y42" s="109">
        <v>0</v>
      </c>
      <c r="Z42" s="109">
        <v>0</v>
      </c>
      <c r="AA42" s="109">
        <v>0</v>
      </c>
      <c r="AB42" s="109">
        <v>0.8</v>
      </c>
      <c r="AC42" s="109">
        <v>0.8</v>
      </c>
      <c r="AD42" s="109">
        <v>0.8</v>
      </c>
      <c r="AE42" s="109">
        <v>0.8</v>
      </c>
      <c r="AF42" s="109">
        <v>0.8</v>
      </c>
      <c r="AG42" s="109">
        <v>0.8</v>
      </c>
      <c r="AH42" s="109">
        <v>0.8</v>
      </c>
      <c r="AI42" s="109">
        <v>0.8</v>
      </c>
      <c r="AJ42" s="109">
        <v>0.8</v>
      </c>
      <c r="AK42" s="109">
        <v>0.8</v>
      </c>
      <c r="AL42" s="109">
        <v>0</v>
      </c>
      <c r="AM42" s="109">
        <v>0</v>
      </c>
      <c r="AN42" s="109">
        <v>0</v>
      </c>
      <c r="AO42" s="109">
        <v>0</v>
      </c>
      <c r="AP42" s="109">
        <v>0</v>
      </c>
    </row>
    <row r="43" spans="1:42" x14ac:dyDescent="0.15">
      <c r="A43" s="188" t="s">
        <v>239</v>
      </c>
      <c r="B43" s="109">
        <v>0</v>
      </c>
      <c r="C43" s="109">
        <v>0</v>
      </c>
      <c r="D43" s="109">
        <v>0</v>
      </c>
      <c r="E43" s="109">
        <v>0</v>
      </c>
      <c r="F43" s="109">
        <v>0</v>
      </c>
      <c r="G43" s="109">
        <v>0</v>
      </c>
      <c r="H43" s="109">
        <v>0</v>
      </c>
      <c r="I43" s="109">
        <v>0</v>
      </c>
      <c r="J43" s="109">
        <v>0</v>
      </c>
      <c r="K43" s="109">
        <v>0</v>
      </c>
      <c r="L43" s="109">
        <v>0</v>
      </c>
      <c r="M43" s="109">
        <v>0</v>
      </c>
      <c r="N43" s="109">
        <v>0</v>
      </c>
      <c r="O43" s="109">
        <v>0</v>
      </c>
      <c r="P43" s="109">
        <v>0</v>
      </c>
      <c r="Q43" s="109">
        <v>0</v>
      </c>
      <c r="R43" s="109">
        <v>0</v>
      </c>
      <c r="S43" s="109">
        <v>0</v>
      </c>
      <c r="T43" s="109">
        <v>0</v>
      </c>
      <c r="U43" s="109">
        <v>0</v>
      </c>
      <c r="V43" s="109">
        <v>0</v>
      </c>
      <c r="W43" s="109">
        <v>0</v>
      </c>
      <c r="X43" s="109">
        <v>0</v>
      </c>
      <c r="Y43" s="109">
        <v>0</v>
      </c>
      <c r="Z43" s="109">
        <v>0</v>
      </c>
      <c r="AA43" s="109">
        <v>0</v>
      </c>
      <c r="AB43" s="109">
        <v>0</v>
      </c>
      <c r="AC43" s="109">
        <v>0</v>
      </c>
      <c r="AD43" s="109">
        <v>0</v>
      </c>
      <c r="AE43" s="109">
        <v>0</v>
      </c>
      <c r="AF43" s="109">
        <v>0</v>
      </c>
      <c r="AG43" s="109">
        <v>0</v>
      </c>
      <c r="AH43" s="109">
        <v>0</v>
      </c>
      <c r="AI43" s="109">
        <v>0</v>
      </c>
      <c r="AJ43" s="109">
        <v>0</v>
      </c>
      <c r="AK43" s="109">
        <v>0</v>
      </c>
      <c r="AL43" s="109">
        <v>0</v>
      </c>
      <c r="AM43" s="109">
        <v>0</v>
      </c>
      <c r="AN43" s="109">
        <v>0</v>
      </c>
      <c r="AO43" s="109">
        <v>0</v>
      </c>
      <c r="AP43" s="109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P43"/>
  <sheetViews>
    <sheetView workbookViewId="0">
      <selection activeCell="A3" sqref="A3"/>
    </sheetView>
  </sheetViews>
  <sheetFormatPr baseColWidth="10" defaultRowHeight="13" x14ac:dyDescent="0.15"/>
  <cols>
    <col min="1" max="1" width="32" style="109" bestFit="1" customWidth="1"/>
    <col min="2" max="42" width="2.33203125" style="109" customWidth="1"/>
    <col min="43" max="16384" width="10.83203125" style="109"/>
  </cols>
  <sheetData>
    <row r="1" spans="1:42" x14ac:dyDescent="0.15">
      <c r="A1" s="63" t="s">
        <v>139</v>
      </c>
      <c r="B1" s="191" t="s">
        <v>192</v>
      </c>
      <c r="C1" s="191" t="s">
        <v>193</v>
      </c>
      <c r="D1" s="191" t="s">
        <v>194</v>
      </c>
      <c r="E1" s="191" t="s">
        <v>195</v>
      </c>
      <c r="F1" s="191" t="s">
        <v>196</v>
      </c>
      <c r="G1" s="191" t="s">
        <v>197</v>
      </c>
      <c r="H1" s="191" t="s">
        <v>198</v>
      </c>
      <c r="I1" s="191" t="s">
        <v>199</v>
      </c>
      <c r="J1" s="191" t="s">
        <v>200</v>
      </c>
      <c r="K1" s="191" t="s">
        <v>201</v>
      </c>
      <c r="L1" s="191" t="s">
        <v>202</v>
      </c>
      <c r="M1" s="191" t="s">
        <v>203</v>
      </c>
      <c r="N1" s="191" t="s">
        <v>204</v>
      </c>
      <c r="O1" s="191" t="s">
        <v>205</v>
      </c>
      <c r="P1" s="191" t="s">
        <v>206</v>
      </c>
      <c r="Q1" s="191" t="s">
        <v>207</v>
      </c>
      <c r="R1" s="191" t="s">
        <v>208</v>
      </c>
      <c r="S1" s="191" t="s">
        <v>209</v>
      </c>
      <c r="T1" s="191" t="s">
        <v>210</v>
      </c>
      <c r="U1" s="191" t="s">
        <v>211</v>
      </c>
      <c r="V1" s="191" t="s">
        <v>212</v>
      </c>
      <c r="W1" s="191" t="s">
        <v>213</v>
      </c>
      <c r="X1" s="191" t="s">
        <v>214</v>
      </c>
      <c r="Y1" s="191" t="s">
        <v>215</v>
      </c>
      <c r="Z1" s="191" t="s">
        <v>216</v>
      </c>
      <c r="AA1" s="191" t="s">
        <v>217</v>
      </c>
      <c r="AB1" s="191" t="s">
        <v>218</v>
      </c>
      <c r="AC1" s="191" t="s">
        <v>219</v>
      </c>
      <c r="AD1" s="191" t="s">
        <v>220</v>
      </c>
      <c r="AE1" s="191" t="s">
        <v>221</v>
      </c>
      <c r="AF1" s="191" t="s">
        <v>222</v>
      </c>
      <c r="AG1" s="191" t="s">
        <v>223</v>
      </c>
      <c r="AH1" s="191" t="s">
        <v>224</v>
      </c>
      <c r="AI1" s="191" t="s">
        <v>225</v>
      </c>
      <c r="AJ1" s="191" t="s">
        <v>226</v>
      </c>
      <c r="AK1" s="191" t="s">
        <v>227</v>
      </c>
      <c r="AL1" s="191" t="s">
        <v>228</v>
      </c>
      <c r="AM1" s="191" t="s">
        <v>229</v>
      </c>
      <c r="AN1" s="191" t="s">
        <v>230</v>
      </c>
      <c r="AO1" s="191" t="s">
        <v>231</v>
      </c>
      <c r="AP1" s="191" t="s">
        <v>232</v>
      </c>
    </row>
    <row r="2" spans="1:42" customFormat="1" x14ac:dyDescent="0.15">
      <c r="A2" s="190" t="s">
        <v>192</v>
      </c>
      <c r="B2" s="109">
        <v>0</v>
      </c>
      <c r="C2" s="109">
        <v>0</v>
      </c>
      <c r="D2" s="109">
        <v>0</v>
      </c>
      <c r="E2" s="109">
        <v>0</v>
      </c>
      <c r="F2" s="109">
        <v>0</v>
      </c>
      <c r="G2" s="109">
        <v>0</v>
      </c>
      <c r="H2" s="109">
        <v>0</v>
      </c>
      <c r="I2" s="109">
        <v>0</v>
      </c>
      <c r="J2" s="109">
        <v>0</v>
      </c>
      <c r="K2" s="109">
        <v>0</v>
      </c>
      <c r="L2" s="109">
        <v>0</v>
      </c>
      <c r="M2" s="109">
        <v>0</v>
      </c>
      <c r="N2" s="109">
        <v>0</v>
      </c>
      <c r="O2" s="109">
        <v>0</v>
      </c>
      <c r="P2" s="109">
        <v>0</v>
      </c>
      <c r="Q2" s="109">
        <v>0</v>
      </c>
      <c r="R2" s="109">
        <v>0</v>
      </c>
      <c r="S2" s="109">
        <v>0</v>
      </c>
      <c r="T2" s="109">
        <v>0</v>
      </c>
      <c r="U2" s="109">
        <v>0</v>
      </c>
      <c r="V2" s="109">
        <v>0</v>
      </c>
      <c r="W2" s="109">
        <v>0</v>
      </c>
      <c r="X2" s="109">
        <v>0</v>
      </c>
      <c r="Y2" s="109">
        <v>0</v>
      </c>
      <c r="Z2" s="109">
        <v>0</v>
      </c>
      <c r="AA2" s="109">
        <v>0</v>
      </c>
      <c r="AB2" s="109">
        <v>0</v>
      </c>
      <c r="AC2" s="109">
        <v>0</v>
      </c>
      <c r="AD2" s="109">
        <v>0</v>
      </c>
      <c r="AE2" s="109">
        <v>0</v>
      </c>
      <c r="AF2" s="109">
        <v>0</v>
      </c>
      <c r="AG2" s="109">
        <v>0</v>
      </c>
      <c r="AH2" s="109">
        <v>0</v>
      </c>
      <c r="AI2" s="109">
        <v>0</v>
      </c>
      <c r="AJ2" s="109">
        <v>0</v>
      </c>
      <c r="AK2" s="109">
        <v>0</v>
      </c>
      <c r="AL2" s="109">
        <v>0</v>
      </c>
      <c r="AM2" s="109">
        <v>0</v>
      </c>
      <c r="AN2" s="109">
        <v>0</v>
      </c>
      <c r="AO2" s="109">
        <v>0</v>
      </c>
      <c r="AP2" s="109">
        <v>0</v>
      </c>
    </row>
    <row r="3" spans="1:42" customFormat="1" x14ac:dyDescent="0.15">
      <c r="A3" s="190" t="s">
        <v>193</v>
      </c>
      <c r="B3" s="109">
        <v>0</v>
      </c>
      <c r="C3" s="109">
        <v>1</v>
      </c>
      <c r="D3" s="109">
        <v>1</v>
      </c>
      <c r="E3" s="109">
        <v>0</v>
      </c>
      <c r="F3" s="109">
        <v>0</v>
      </c>
      <c r="G3" s="109">
        <v>1</v>
      </c>
      <c r="H3" s="109">
        <v>0</v>
      </c>
      <c r="I3" s="109">
        <v>0</v>
      </c>
      <c r="J3" s="109">
        <v>0</v>
      </c>
      <c r="K3" s="109">
        <v>0</v>
      </c>
      <c r="L3" s="109">
        <v>0</v>
      </c>
      <c r="M3" s="109">
        <v>0</v>
      </c>
      <c r="N3" s="109">
        <v>0</v>
      </c>
      <c r="O3" s="109">
        <v>0</v>
      </c>
      <c r="P3" s="109">
        <v>0</v>
      </c>
      <c r="Q3" s="109">
        <v>0</v>
      </c>
      <c r="R3" s="109">
        <v>0</v>
      </c>
      <c r="S3" s="109">
        <v>0</v>
      </c>
      <c r="T3" s="109">
        <v>0</v>
      </c>
      <c r="U3" s="109">
        <v>0</v>
      </c>
      <c r="V3" s="109">
        <v>0</v>
      </c>
      <c r="W3" s="109">
        <v>0</v>
      </c>
      <c r="X3" s="109">
        <v>0</v>
      </c>
      <c r="Y3" s="109">
        <v>0</v>
      </c>
      <c r="Z3" s="109">
        <v>0</v>
      </c>
      <c r="AA3" s="109">
        <v>0</v>
      </c>
      <c r="AB3" s="109">
        <v>0</v>
      </c>
      <c r="AC3" s="109">
        <v>0</v>
      </c>
      <c r="AD3" s="109">
        <v>0</v>
      </c>
      <c r="AE3" s="109">
        <v>0</v>
      </c>
      <c r="AF3" s="109">
        <v>0</v>
      </c>
      <c r="AG3" s="109">
        <v>0</v>
      </c>
      <c r="AH3" s="109">
        <v>0</v>
      </c>
      <c r="AI3" s="109">
        <v>0</v>
      </c>
      <c r="AJ3" s="109">
        <v>0</v>
      </c>
      <c r="AK3" s="109">
        <v>0</v>
      </c>
      <c r="AL3" s="109">
        <v>0</v>
      </c>
      <c r="AM3" s="109">
        <v>0</v>
      </c>
      <c r="AN3" s="109">
        <v>0</v>
      </c>
      <c r="AO3" s="109">
        <v>0</v>
      </c>
      <c r="AP3" s="109">
        <v>0</v>
      </c>
    </row>
    <row r="4" spans="1:42" customFormat="1" x14ac:dyDescent="0.15">
      <c r="A4" s="190" t="s">
        <v>194</v>
      </c>
      <c r="B4" s="109">
        <v>0</v>
      </c>
      <c r="C4" s="109">
        <v>1</v>
      </c>
      <c r="D4" s="109">
        <v>0</v>
      </c>
      <c r="E4" s="109">
        <v>0</v>
      </c>
      <c r="F4" s="109">
        <v>0</v>
      </c>
      <c r="G4" s="109">
        <v>0</v>
      </c>
      <c r="H4" s="109">
        <v>0</v>
      </c>
      <c r="I4" s="109">
        <v>0</v>
      </c>
      <c r="J4" s="109">
        <v>0</v>
      </c>
      <c r="K4" s="109">
        <v>0</v>
      </c>
      <c r="L4" s="109">
        <v>0</v>
      </c>
      <c r="M4" s="109">
        <v>0</v>
      </c>
      <c r="N4" s="109">
        <v>0</v>
      </c>
      <c r="O4" s="109">
        <v>0</v>
      </c>
      <c r="P4" s="109">
        <v>0</v>
      </c>
      <c r="Q4" s="109">
        <v>0</v>
      </c>
      <c r="R4" s="109">
        <v>0</v>
      </c>
      <c r="S4" s="109">
        <v>0</v>
      </c>
      <c r="T4" s="109">
        <v>0</v>
      </c>
      <c r="U4" s="109">
        <v>0</v>
      </c>
      <c r="V4" s="109">
        <v>0</v>
      </c>
      <c r="W4" s="109">
        <v>0</v>
      </c>
      <c r="X4" s="109">
        <v>0</v>
      </c>
      <c r="Y4" s="109">
        <v>0</v>
      </c>
      <c r="Z4" s="109">
        <v>0</v>
      </c>
      <c r="AA4" s="109">
        <v>0</v>
      </c>
      <c r="AB4" s="109">
        <v>0</v>
      </c>
      <c r="AC4" s="109">
        <v>0</v>
      </c>
      <c r="AD4" s="109">
        <v>0</v>
      </c>
      <c r="AE4" s="109">
        <v>0</v>
      </c>
      <c r="AF4" s="109">
        <v>0</v>
      </c>
      <c r="AG4" s="109">
        <v>0</v>
      </c>
      <c r="AH4" s="109">
        <v>0</v>
      </c>
      <c r="AI4" s="109">
        <v>0</v>
      </c>
      <c r="AJ4" s="109">
        <v>0</v>
      </c>
      <c r="AK4" s="109">
        <v>0</v>
      </c>
      <c r="AL4" s="109">
        <v>0</v>
      </c>
      <c r="AM4" s="109">
        <v>0</v>
      </c>
      <c r="AN4" s="109">
        <v>0</v>
      </c>
      <c r="AO4" s="109">
        <v>0</v>
      </c>
      <c r="AP4" s="109">
        <v>0</v>
      </c>
    </row>
    <row r="5" spans="1:42" customFormat="1" x14ac:dyDescent="0.15">
      <c r="A5" s="190" t="s">
        <v>195</v>
      </c>
      <c r="B5" s="109">
        <v>0</v>
      </c>
      <c r="C5" s="109">
        <v>0</v>
      </c>
      <c r="D5" s="109">
        <v>0</v>
      </c>
      <c r="E5" s="109">
        <v>0</v>
      </c>
      <c r="F5" s="109">
        <v>0</v>
      </c>
      <c r="G5" s="109">
        <v>0</v>
      </c>
      <c r="H5" s="109">
        <v>0</v>
      </c>
      <c r="I5" s="109">
        <v>0</v>
      </c>
      <c r="J5" s="109">
        <v>0</v>
      </c>
      <c r="K5" s="109">
        <v>0</v>
      </c>
      <c r="L5" s="109">
        <v>0</v>
      </c>
      <c r="M5" s="109">
        <v>0</v>
      </c>
      <c r="N5" s="109">
        <v>0</v>
      </c>
      <c r="O5" s="109">
        <v>0</v>
      </c>
      <c r="P5" s="109">
        <v>0</v>
      </c>
      <c r="Q5" s="109">
        <v>0</v>
      </c>
      <c r="R5" s="109">
        <v>0</v>
      </c>
      <c r="S5" s="109">
        <v>0</v>
      </c>
      <c r="T5" s="109">
        <v>0</v>
      </c>
      <c r="U5" s="109">
        <v>0</v>
      </c>
      <c r="V5" s="109">
        <v>0</v>
      </c>
      <c r="W5" s="109">
        <v>0</v>
      </c>
      <c r="X5" s="109">
        <v>0</v>
      </c>
      <c r="Y5" s="109">
        <v>0</v>
      </c>
      <c r="Z5" s="109">
        <v>0</v>
      </c>
      <c r="AA5" s="109">
        <v>0</v>
      </c>
      <c r="AB5" s="109">
        <v>0</v>
      </c>
      <c r="AC5" s="109">
        <v>0</v>
      </c>
      <c r="AD5" s="109">
        <v>0</v>
      </c>
      <c r="AE5" s="109">
        <v>0</v>
      </c>
      <c r="AF5" s="109">
        <v>0</v>
      </c>
      <c r="AG5" s="109">
        <v>0</v>
      </c>
      <c r="AH5" s="109">
        <v>0</v>
      </c>
      <c r="AI5" s="109">
        <v>0</v>
      </c>
      <c r="AJ5" s="109">
        <v>0</v>
      </c>
      <c r="AK5" s="109">
        <v>0</v>
      </c>
      <c r="AL5" s="109">
        <v>0</v>
      </c>
      <c r="AM5" s="109">
        <v>0</v>
      </c>
      <c r="AN5" s="109">
        <v>0</v>
      </c>
      <c r="AO5" s="109">
        <v>0</v>
      </c>
      <c r="AP5" s="109">
        <v>0</v>
      </c>
    </row>
    <row r="6" spans="1:42" customFormat="1" x14ac:dyDescent="0.15">
      <c r="A6" s="190" t="s">
        <v>196</v>
      </c>
      <c r="B6" s="109">
        <v>1</v>
      </c>
      <c r="C6" s="109">
        <v>1</v>
      </c>
      <c r="D6" s="109">
        <v>1</v>
      </c>
      <c r="E6" s="109">
        <v>1</v>
      </c>
      <c r="F6" s="109">
        <v>0</v>
      </c>
      <c r="G6" s="109">
        <v>0</v>
      </c>
      <c r="H6" s="109">
        <v>0</v>
      </c>
      <c r="I6" s="109">
        <v>0</v>
      </c>
      <c r="J6" s="109">
        <v>0</v>
      </c>
      <c r="K6" s="109">
        <v>0</v>
      </c>
      <c r="L6" s="109">
        <v>0</v>
      </c>
      <c r="M6" s="109">
        <v>0</v>
      </c>
      <c r="N6" s="109">
        <v>0</v>
      </c>
      <c r="O6" s="109">
        <v>0</v>
      </c>
      <c r="P6" s="109">
        <v>0</v>
      </c>
      <c r="Q6" s="109">
        <v>0</v>
      </c>
      <c r="R6" s="109">
        <v>0</v>
      </c>
      <c r="S6" s="109">
        <v>0</v>
      </c>
      <c r="T6" s="109">
        <v>0</v>
      </c>
      <c r="U6" s="109">
        <v>0</v>
      </c>
      <c r="V6" s="109">
        <v>0</v>
      </c>
      <c r="W6" s="109">
        <v>0</v>
      </c>
      <c r="X6" s="109">
        <v>0</v>
      </c>
      <c r="Y6" s="109">
        <v>0</v>
      </c>
      <c r="Z6" s="109">
        <v>0</v>
      </c>
      <c r="AA6" s="109">
        <v>0</v>
      </c>
      <c r="AB6" s="109">
        <v>0</v>
      </c>
      <c r="AC6" s="109">
        <v>0</v>
      </c>
      <c r="AD6" s="109">
        <v>0</v>
      </c>
      <c r="AE6" s="109">
        <v>0</v>
      </c>
      <c r="AF6" s="109">
        <v>0</v>
      </c>
      <c r="AG6" s="109">
        <v>0</v>
      </c>
      <c r="AH6" s="109">
        <v>0</v>
      </c>
      <c r="AI6" s="109">
        <v>0</v>
      </c>
      <c r="AJ6" s="109">
        <v>0</v>
      </c>
      <c r="AK6" s="109">
        <v>0</v>
      </c>
      <c r="AL6" s="109">
        <v>0</v>
      </c>
      <c r="AM6" s="109">
        <v>0</v>
      </c>
      <c r="AN6" s="109">
        <v>0</v>
      </c>
      <c r="AO6" s="109">
        <v>0</v>
      </c>
      <c r="AP6" s="109">
        <v>0</v>
      </c>
    </row>
    <row r="7" spans="1:42" customFormat="1" x14ac:dyDescent="0.15">
      <c r="A7" s="190" t="s">
        <v>197</v>
      </c>
      <c r="B7" s="109">
        <v>1</v>
      </c>
      <c r="C7" s="109">
        <v>1</v>
      </c>
      <c r="D7" s="109">
        <v>1</v>
      </c>
      <c r="E7" s="109">
        <v>1</v>
      </c>
      <c r="F7" s="109">
        <v>0</v>
      </c>
      <c r="G7" s="109">
        <v>1</v>
      </c>
      <c r="H7" s="109">
        <v>1</v>
      </c>
      <c r="I7" s="109">
        <v>0</v>
      </c>
      <c r="J7" s="109">
        <v>0</v>
      </c>
      <c r="K7" s="109">
        <v>0</v>
      </c>
      <c r="L7" s="109">
        <v>0</v>
      </c>
      <c r="M7" s="109">
        <v>0</v>
      </c>
      <c r="N7" s="109">
        <v>0</v>
      </c>
      <c r="O7" s="109">
        <v>0</v>
      </c>
      <c r="P7" s="109">
        <v>0</v>
      </c>
      <c r="Q7" s="109">
        <v>0</v>
      </c>
      <c r="R7" s="109">
        <v>0</v>
      </c>
      <c r="S7" s="109">
        <v>0</v>
      </c>
      <c r="T7" s="109">
        <v>0</v>
      </c>
      <c r="U7" s="109">
        <v>0</v>
      </c>
      <c r="V7" s="109">
        <v>0</v>
      </c>
      <c r="W7" s="109">
        <v>0</v>
      </c>
      <c r="X7" s="109">
        <v>0</v>
      </c>
      <c r="Y7" s="109">
        <v>0</v>
      </c>
      <c r="Z7" s="109">
        <v>0</v>
      </c>
      <c r="AA7" s="109">
        <v>0</v>
      </c>
      <c r="AB7" s="109">
        <v>0</v>
      </c>
      <c r="AC7" s="109">
        <v>0</v>
      </c>
      <c r="AD7" s="109">
        <v>0</v>
      </c>
      <c r="AE7" s="109">
        <v>0</v>
      </c>
      <c r="AF7" s="109">
        <v>0</v>
      </c>
      <c r="AG7" s="109">
        <v>0</v>
      </c>
      <c r="AH7" s="109">
        <v>0</v>
      </c>
      <c r="AI7" s="109">
        <v>0</v>
      </c>
      <c r="AJ7" s="109">
        <v>0</v>
      </c>
      <c r="AK7" s="109">
        <v>0</v>
      </c>
      <c r="AL7" s="109">
        <v>0</v>
      </c>
      <c r="AM7" s="109">
        <v>0</v>
      </c>
      <c r="AN7" s="109">
        <v>0</v>
      </c>
      <c r="AO7" s="109">
        <v>0</v>
      </c>
      <c r="AP7" s="109">
        <v>0</v>
      </c>
    </row>
    <row r="8" spans="1:42" customFormat="1" x14ac:dyDescent="0.15">
      <c r="A8" s="190" t="s">
        <v>198</v>
      </c>
      <c r="B8" s="109">
        <v>1</v>
      </c>
      <c r="C8" s="109">
        <v>1</v>
      </c>
      <c r="D8" s="109">
        <v>1</v>
      </c>
      <c r="E8" s="109">
        <v>1</v>
      </c>
      <c r="F8" s="109">
        <v>0</v>
      </c>
      <c r="G8" s="109">
        <v>1</v>
      </c>
      <c r="H8" s="109">
        <v>0</v>
      </c>
      <c r="I8" s="109">
        <v>0</v>
      </c>
      <c r="J8" s="109">
        <v>0</v>
      </c>
      <c r="K8" s="109">
        <v>0</v>
      </c>
      <c r="L8" s="109">
        <v>0</v>
      </c>
      <c r="M8" s="109">
        <v>0</v>
      </c>
      <c r="N8" s="109">
        <v>0</v>
      </c>
      <c r="O8" s="109">
        <v>0</v>
      </c>
      <c r="P8" s="109">
        <v>0</v>
      </c>
      <c r="Q8" s="109">
        <v>0</v>
      </c>
      <c r="R8" s="109">
        <v>0</v>
      </c>
      <c r="S8" s="109">
        <v>0</v>
      </c>
      <c r="T8" s="109">
        <v>0</v>
      </c>
      <c r="U8" s="109">
        <v>0</v>
      </c>
      <c r="V8" s="109">
        <v>0</v>
      </c>
      <c r="W8" s="109">
        <v>0</v>
      </c>
      <c r="X8" s="109">
        <v>0</v>
      </c>
      <c r="Y8" s="109">
        <v>0</v>
      </c>
      <c r="Z8" s="109">
        <v>0</v>
      </c>
      <c r="AA8" s="109">
        <v>0</v>
      </c>
      <c r="AB8" s="109">
        <v>0</v>
      </c>
      <c r="AC8" s="109">
        <v>0</v>
      </c>
      <c r="AD8" s="109">
        <v>0</v>
      </c>
      <c r="AE8" s="109">
        <v>0</v>
      </c>
      <c r="AF8" s="109">
        <v>0</v>
      </c>
      <c r="AG8" s="109">
        <v>0</v>
      </c>
      <c r="AH8" s="109">
        <v>0</v>
      </c>
      <c r="AI8" s="109">
        <v>0</v>
      </c>
      <c r="AJ8" s="109">
        <v>0</v>
      </c>
      <c r="AK8" s="109">
        <v>0</v>
      </c>
      <c r="AL8" s="109">
        <v>0</v>
      </c>
      <c r="AM8" s="109">
        <v>0</v>
      </c>
      <c r="AN8" s="109">
        <v>0</v>
      </c>
      <c r="AO8" s="109">
        <v>0</v>
      </c>
      <c r="AP8" s="109">
        <v>0</v>
      </c>
    </row>
    <row r="9" spans="1:42" customFormat="1" x14ac:dyDescent="0.15">
      <c r="A9" s="190" t="s">
        <v>199</v>
      </c>
      <c r="B9" s="109">
        <v>0</v>
      </c>
      <c r="C9" s="109">
        <v>0</v>
      </c>
      <c r="D9" s="109">
        <v>0</v>
      </c>
      <c r="E9" s="109">
        <v>0</v>
      </c>
      <c r="F9" s="109">
        <v>0</v>
      </c>
      <c r="G9" s="109">
        <v>0</v>
      </c>
      <c r="H9" s="109">
        <v>0</v>
      </c>
      <c r="I9" s="109">
        <v>0</v>
      </c>
      <c r="J9" s="109">
        <v>0</v>
      </c>
      <c r="K9" s="109">
        <v>0</v>
      </c>
      <c r="L9" s="109">
        <v>0</v>
      </c>
      <c r="M9" s="109">
        <v>0</v>
      </c>
      <c r="N9" s="109">
        <v>0</v>
      </c>
      <c r="O9" s="109">
        <v>0</v>
      </c>
      <c r="P9" s="109">
        <v>0</v>
      </c>
      <c r="Q9" s="109">
        <v>0</v>
      </c>
      <c r="R9" s="109">
        <v>0</v>
      </c>
      <c r="S9" s="109">
        <v>0</v>
      </c>
      <c r="T9" s="109">
        <v>0</v>
      </c>
      <c r="U9" s="109">
        <v>0</v>
      </c>
      <c r="V9" s="109">
        <v>0</v>
      </c>
      <c r="W9" s="109">
        <v>0</v>
      </c>
      <c r="X9" s="109">
        <v>0</v>
      </c>
      <c r="Y9" s="109">
        <v>0</v>
      </c>
      <c r="Z9" s="109">
        <v>0</v>
      </c>
      <c r="AA9" s="109">
        <v>0</v>
      </c>
      <c r="AB9" s="109">
        <v>0</v>
      </c>
      <c r="AC9" s="109">
        <v>0</v>
      </c>
      <c r="AD9" s="109">
        <v>0</v>
      </c>
      <c r="AE9" s="109">
        <v>0</v>
      </c>
      <c r="AF9" s="109">
        <v>0</v>
      </c>
      <c r="AG9" s="109">
        <v>0</v>
      </c>
      <c r="AH9" s="109">
        <v>0</v>
      </c>
      <c r="AI9" s="109">
        <v>0</v>
      </c>
      <c r="AJ9" s="109">
        <v>0</v>
      </c>
      <c r="AK9" s="109">
        <v>0</v>
      </c>
      <c r="AL9" s="109">
        <v>0</v>
      </c>
      <c r="AM9" s="109">
        <v>0</v>
      </c>
      <c r="AN9" s="109">
        <v>0</v>
      </c>
      <c r="AO9" s="109">
        <v>0</v>
      </c>
      <c r="AP9" s="109">
        <v>0</v>
      </c>
    </row>
    <row r="10" spans="1:42" customFormat="1" x14ac:dyDescent="0.15">
      <c r="A10" s="190" t="s">
        <v>200</v>
      </c>
      <c r="B10" s="109">
        <v>0</v>
      </c>
      <c r="C10" s="109">
        <v>0</v>
      </c>
      <c r="D10" s="109">
        <v>0</v>
      </c>
      <c r="E10" s="109">
        <v>0</v>
      </c>
      <c r="F10" s="109">
        <v>0</v>
      </c>
      <c r="G10" s="109">
        <v>0</v>
      </c>
      <c r="H10" s="109">
        <v>0</v>
      </c>
      <c r="I10" s="109">
        <v>0</v>
      </c>
      <c r="J10" s="109">
        <v>0</v>
      </c>
      <c r="K10" s="109">
        <v>0</v>
      </c>
      <c r="L10" s="109">
        <v>0</v>
      </c>
      <c r="M10" s="109">
        <v>0</v>
      </c>
      <c r="N10" s="109">
        <v>0</v>
      </c>
      <c r="O10" s="109">
        <v>0</v>
      </c>
      <c r="P10" s="109">
        <v>0</v>
      </c>
      <c r="Q10" s="109">
        <v>0</v>
      </c>
      <c r="R10" s="109">
        <v>0</v>
      </c>
      <c r="S10" s="109">
        <v>0</v>
      </c>
      <c r="T10" s="109">
        <v>0</v>
      </c>
      <c r="U10" s="109">
        <v>0</v>
      </c>
      <c r="V10" s="109">
        <v>0</v>
      </c>
      <c r="W10" s="109">
        <v>0</v>
      </c>
      <c r="X10" s="109">
        <v>0</v>
      </c>
      <c r="Y10" s="109">
        <v>0</v>
      </c>
      <c r="Z10" s="109">
        <v>0</v>
      </c>
      <c r="AA10" s="109">
        <v>0</v>
      </c>
      <c r="AB10" s="109">
        <v>0</v>
      </c>
      <c r="AC10" s="109">
        <v>0</v>
      </c>
      <c r="AD10" s="109">
        <v>0</v>
      </c>
      <c r="AE10" s="109">
        <v>0</v>
      </c>
      <c r="AF10" s="109">
        <v>0</v>
      </c>
      <c r="AG10" s="109">
        <v>0</v>
      </c>
      <c r="AH10" s="109">
        <v>0</v>
      </c>
      <c r="AI10" s="109">
        <v>0</v>
      </c>
      <c r="AJ10" s="109">
        <v>0</v>
      </c>
      <c r="AK10" s="109">
        <v>0</v>
      </c>
      <c r="AL10" s="109">
        <v>0</v>
      </c>
      <c r="AM10" s="109">
        <v>0</v>
      </c>
      <c r="AN10" s="109">
        <v>0</v>
      </c>
      <c r="AO10" s="109">
        <v>0</v>
      </c>
      <c r="AP10" s="109">
        <v>0</v>
      </c>
    </row>
    <row r="11" spans="1:42" customFormat="1" x14ac:dyDescent="0.15">
      <c r="A11" s="190" t="s">
        <v>201</v>
      </c>
      <c r="B11" s="109">
        <v>0</v>
      </c>
      <c r="C11" s="109">
        <v>1</v>
      </c>
      <c r="D11" s="109">
        <v>1</v>
      </c>
      <c r="E11" s="109">
        <v>1</v>
      </c>
      <c r="F11" s="109">
        <v>0</v>
      </c>
      <c r="G11" s="109">
        <v>0</v>
      </c>
      <c r="H11" s="109">
        <v>0</v>
      </c>
      <c r="I11" s="109">
        <v>1</v>
      </c>
      <c r="J11" s="109">
        <v>1</v>
      </c>
      <c r="K11" s="109">
        <v>1</v>
      </c>
      <c r="L11" s="109">
        <v>0</v>
      </c>
      <c r="M11" s="109">
        <v>1</v>
      </c>
      <c r="N11" s="109">
        <v>1</v>
      </c>
      <c r="O11" s="109">
        <v>0</v>
      </c>
      <c r="P11" s="109">
        <v>0</v>
      </c>
      <c r="Q11" s="109">
        <v>0</v>
      </c>
      <c r="R11" s="109">
        <v>0</v>
      </c>
      <c r="S11" s="109">
        <v>0</v>
      </c>
      <c r="T11" s="109">
        <v>0</v>
      </c>
      <c r="U11" s="109">
        <v>1</v>
      </c>
      <c r="V11" s="109">
        <v>0</v>
      </c>
      <c r="W11" s="109">
        <v>0</v>
      </c>
      <c r="X11" s="109">
        <v>0</v>
      </c>
      <c r="Y11" s="109">
        <v>0</v>
      </c>
      <c r="Z11" s="109">
        <v>0</v>
      </c>
      <c r="AA11" s="109">
        <v>0</v>
      </c>
      <c r="AB11" s="109">
        <v>0</v>
      </c>
      <c r="AC11" s="109">
        <v>0</v>
      </c>
      <c r="AD11" s="109">
        <v>0</v>
      </c>
      <c r="AE11" s="109">
        <v>0</v>
      </c>
      <c r="AF11" s="109">
        <v>0</v>
      </c>
      <c r="AG11" s="109">
        <v>0</v>
      </c>
      <c r="AH11" s="109">
        <v>0</v>
      </c>
      <c r="AI11" s="109">
        <v>0</v>
      </c>
      <c r="AJ11" s="109">
        <v>0</v>
      </c>
      <c r="AK11" s="109">
        <v>0</v>
      </c>
      <c r="AL11" s="109">
        <v>0</v>
      </c>
      <c r="AM11" s="109">
        <v>0</v>
      </c>
      <c r="AN11" s="109">
        <v>0</v>
      </c>
      <c r="AO11" s="109">
        <v>0</v>
      </c>
      <c r="AP11" s="109">
        <v>0</v>
      </c>
    </row>
    <row r="12" spans="1:42" customFormat="1" x14ac:dyDescent="0.15">
      <c r="A12" s="190" t="s">
        <v>202</v>
      </c>
      <c r="B12" s="109">
        <v>1</v>
      </c>
      <c r="C12" s="109">
        <v>0</v>
      </c>
      <c r="D12" s="109">
        <v>1</v>
      </c>
      <c r="E12" s="109">
        <v>0</v>
      </c>
      <c r="F12" s="109">
        <v>0</v>
      </c>
      <c r="G12" s="109">
        <v>0</v>
      </c>
      <c r="H12" s="109">
        <v>0</v>
      </c>
      <c r="I12" s="109">
        <v>0</v>
      </c>
      <c r="J12" s="109">
        <v>0</v>
      </c>
      <c r="K12" s="109">
        <v>0</v>
      </c>
      <c r="L12" s="109">
        <v>0</v>
      </c>
      <c r="M12" s="109">
        <v>0</v>
      </c>
      <c r="N12" s="109">
        <v>0</v>
      </c>
      <c r="O12" s="109">
        <v>0</v>
      </c>
      <c r="P12" s="109">
        <v>0</v>
      </c>
      <c r="Q12" s="109">
        <v>0</v>
      </c>
      <c r="R12" s="109">
        <v>0</v>
      </c>
      <c r="S12" s="109">
        <v>0</v>
      </c>
      <c r="T12" s="109">
        <v>0</v>
      </c>
      <c r="U12" s="109">
        <v>0</v>
      </c>
      <c r="V12" s="109">
        <v>0</v>
      </c>
      <c r="W12" s="109">
        <v>0</v>
      </c>
      <c r="X12" s="109">
        <v>0</v>
      </c>
      <c r="Y12" s="109">
        <v>0</v>
      </c>
      <c r="Z12" s="109">
        <v>0</v>
      </c>
      <c r="AA12" s="109">
        <v>0</v>
      </c>
      <c r="AB12" s="109">
        <v>0</v>
      </c>
      <c r="AC12" s="109">
        <v>0</v>
      </c>
      <c r="AD12" s="109">
        <v>0</v>
      </c>
      <c r="AE12" s="109">
        <v>0</v>
      </c>
      <c r="AF12" s="109">
        <v>0</v>
      </c>
      <c r="AG12" s="109">
        <v>0</v>
      </c>
      <c r="AH12" s="109">
        <v>0</v>
      </c>
      <c r="AI12" s="109">
        <v>0</v>
      </c>
      <c r="AJ12" s="109">
        <v>0</v>
      </c>
      <c r="AK12" s="109">
        <v>0</v>
      </c>
      <c r="AL12" s="109">
        <v>0</v>
      </c>
      <c r="AM12" s="109">
        <v>0</v>
      </c>
      <c r="AN12" s="109">
        <v>0</v>
      </c>
      <c r="AO12" s="109">
        <v>0</v>
      </c>
      <c r="AP12" s="109">
        <v>0</v>
      </c>
    </row>
    <row r="13" spans="1:42" customFormat="1" x14ac:dyDescent="0.15">
      <c r="A13" s="190" t="s">
        <v>203</v>
      </c>
      <c r="B13" s="109">
        <v>0</v>
      </c>
      <c r="C13" s="109">
        <v>1</v>
      </c>
      <c r="D13" s="109">
        <v>1</v>
      </c>
      <c r="E13" s="109">
        <v>0</v>
      </c>
      <c r="F13" s="109">
        <v>1</v>
      </c>
      <c r="G13" s="109">
        <v>0</v>
      </c>
      <c r="H13" s="109">
        <v>0</v>
      </c>
      <c r="I13" s="109">
        <v>0</v>
      </c>
      <c r="J13" s="109">
        <v>0</v>
      </c>
      <c r="K13" s="109">
        <v>0</v>
      </c>
      <c r="L13" s="109">
        <v>0</v>
      </c>
      <c r="M13" s="109">
        <v>1</v>
      </c>
      <c r="N13" s="109">
        <v>0</v>
      </c>
      <c r="O13" s="109">
        <v>0</v>
      </c>
      <c r="P13" s="109">
        <v>0</v>
      </c>
      <c r="Q13" s="109">
        <v>0</v>
      </c>
      <c r="R13" s="109">
        <v>0</v>
      </c>
      <c r="S13" s="109">
        <v>0</v>
      </c>
      <c r="T13" s="109">
        <v>0</v>
      </c>
      <c r="U13" s="109">
        <v>0</v>
      </c>
      <c r="V13" s="109">
        <v>0</v>
      </c>
      <c r="W13" s="109">
        <v>0</v>
      </c>
      <c r="X13" s="109">
        <v>0</v>
      </c>
      <c r="Y13" s="109">
        <v>0</v>
      </c>
      <c r="Z13" s="109">
        <v>0</v>
      </c>
      <c r="AA13" s="109">
        <v>0</v>
      </c>
      <c r="AB13" s="109">
        <v>0</v>
      </c>
      <c r="AC13" s="109">
        <v>0</v>
      </c>
      <c r="AD13" s="109">
        <v>0</v>
      </c>
      <c r="AE13" s="109">
        <v>0</v>
      </c>
      <c r="AF13" s="109">
        <v>0</v>
      </c>
      <c r="AG13" s="109">
        <v>0</v>
      </c>
      <c r="AH13" s="109">
        <v>0</v>
      </c>
      <c r="AI13" s="109">
        <v>0</v>
      </c>
      <c r="AJ13" s="109">
        <v>0</v>
      </c>
      <c r="AK13" s="109">
        <v>0</v>
      </c>
      <c r="AL13" s="109">
        <v>0</v>
      </c>
      <c r="AM13" s="109">
        <v>0</v>
      </c>
      <c r="AN13" s="109">
        <v>0</v>
      </c>
      <c r="AO13" s="109">
        <v>0</v>
      </c>
      <c r="AP13" s="109">
        <v>0</v>
      </c>
    </row>
    <row r="14" spans="1:42" customFormat="1" x14ac:dyDescent="0.15">
      <c r="A14" s="190" t="s">
        <v>204</v>
      </c>
      <c r="B14" s="109">
        <v>0</v>
      </c>
      <c r="C14" s="109">
        <v>0</v>
      </c>
      <c r="D14" s="109">
        <v>1</v>
      </c>
      <c r="E14" s="109">
        <v>1</v>
      </c>
      <c r="F14" s="109">
        <v>1</v>
      </c>
      <c r="G14" s="109">
        <v>1</v>
      </c>
      <c r="H14" s="109">
        <v>1</v>
      </c>
      <c r="I14" s="109">
        <v>1</v>
      </c>
      <c r="J14" s="109">
        <v>1</v>
      </c>
      <c r="K14" s="109">
        <v>1</v>
      </c>
      <c r="L14" s="109">
        <v>0</v>
      </c>
      <c r="M14" s="109">
        <v>1</v>
      </c>
      <c r="N14" s="109">
        <v>1</v>
      </c>
      <c r="O14" s="109">
        <v>1</v>
      </c>
      <c r="P14" s="109">
        <v>0</v>
      </c>
      <c r="Q14" s="109">
        <v>0</v>
      </c>
      <c r="R14" s="109">
        <v>0</v>
      </c>
      <c r="S14" s="109">
        <v>0</v>
      </c>
      <c r="T14" s="109">
        <v>0</v>
      </c>
      <c r="U14" s="109">
        <v>1</v>
      </c>
      <c r="V14" s="109">
        <v>0</v>
      </c>
      <c r="W14" s="109">
        <v>0</v>
      </c>
      <c r="X14" s="109">
        <v>0</v>
      </c>
      <c r="Y14" s="109">
        <v>0</v>
      </c>
      <c r="Z14" s="109">
        <v>0</v>
      </c>
      <c r="AA14" s="109">
        <v>0</v>
      </c>
      <c r="AB14" s="109">
        <v>0</v>
      </c>
      <c r="AC14" s="109">
        <v>0</v>
      </c>
      <c r="AD14" s="109">
        <v>0</v>
      </c>
      <c r="AE14" s="109">
        <v>0</v>
      </c>
      <c r="AF14" s="109">
        <v>0</v>
      </c>
      <c r="AG14" s="109">
        <v>0</v>
      </c>
      <c r="AH14" s="109">
        <v>0</v>
      </c>
      <c r="AI14" s="109">
        <v>0</v>
      </c>
      <c r="AJ14" s="109">
        <v>0</v>
      </c>
      <c r="AK14" s="109">
        <v>0</v>
      </c>
      <c r="AL14" s="109">
        <v>0</v>
      </c>
      <c r="AM14" s="109">
        <v>0</v>
      </c>
      <c r="AN14" s="109">
        <v>0</v>
      </c>
      <c r="AO14" s="109">
        <v>0</v>
      </c>
      <c r="AP14" s="109">
        <v>0</v>
      </c>
    </row>
    <row r="15" spans="1:42" customFormat="1" x14ac:dyDescent="0.15">
      <c r="A15" s="190" t="s">
        <v>205</v>
      </c>
      <c r="B15" s="109">
        <v>0</v>
      </c>
      <c r="C15" s="109">
        <v>1</v>
      </c>
      <c r="D15" s="109">
        <v>1</v>
      </c>
      <c r="E15" s="109">
        <v>0</v>
      </c>
      <c r="F15" s="109">
        <v>0</v>
      </c>
      <c r="G15" s="109">
        <v>0</v>
      </c>
      <c r="H15" s="109">
        <v>0</v>
      </c>
      <c r="I15" s="109">
        <v>0</v>
      </c>
      <c r="J15" s="109">
        <v>0</v>
      </c>
      <c r="K15" s="109">
        <v>1</v>
      </c>
      <c r="L15" s="109">
        <v>0</v>
      </c>
      <c r="M15" s="109">
        <v>0</v>
      </c>
      <c r="N15" s="109">
        <v>0</v>
      </c>
      <c r="O15" s="109">
        <v>0</v>
      </c>
      <c r="P15" s="109">
        <v>0</v>
      </c>
      <c r="Q15" s="109">
        <v>0</v>
      </c>
      <c r="R15" s="109">
        <v>0</v>
      </c>
      <c r="S15" s="109">
        <v>0</v>
      </c>
      <c r="T15" s="109">
        <v>0</v>
      </c>
      <c r="U15" s="109">
        <v>0</v>
      </c>
      <c r="V15" s="109">
        <v>0</v>
      </c>
      <c r="W15" s="109">
        <v>0</v>
      </c>
      <c r="X15" s="109">
        <v>0</v>
      </c>
      <c r="Y15" s="109">
        <v>0</v>
      </c>
      <c r="Z15" s="109">
        <v>0</v>
      </c>
      <c r="AA15" s="109">
        <v>0</v>
      </c>
      <c r="AB15" s="109">
        <v>0</v>
      </c>
      <c r="AC15" s="109">
        <v>0</v>
      </c>
      <c r="AD15" s="109">
        <v>0</v>
      </c>
      <c r="AE15" s="109">
        <v>0</v>
      </c>
      <c r="AF15" s="109">
        <v>0</v>
      </c>
      <c r="AG15" s="109">
        <v>0</v>
      </c>
      <c r="AH15" s="109">
        <v>0</v>
      </c>
      <c r="AI15" s="109">
        <v>0</v>
      </c>
      <c r="AJ15" s="109">
        <v>0</v>
      </c>
      <c r="AK15" s="109">
        <v>0</v>
      </c>
      <c r="AL15" s="109">
        <v>0</v>
      </c>
      <c r="AM15" s="109">
        <v>0</v>
      </c>
      <c r="AN15" s="109">
        <v>0</v>
      </c>
      <c r="AO15" s="109">
        <v>0</v>
      </c>
      <c r="AP15" s="109">
        <v>0</v>
      </c>
    </row>
    <row r="16" spans="1:42" customFormat="1" x14ac:dyDescent="0.15">
      <c r="A16" s="190" t="s">
        <v>206</v>
      </c>
      <c r="B16" s="109">
        <v>1</v>
      </c>
      <c r="C16" s="109">
        <v>1</v>
      </c>
      <c r="D16" s="109">
        <v>1</v>
      </c>
      <c r="E16" s="109">
        <v>1</v>
      </c>
      <c r="F16" s="109">
        <v>0</v>
      </c>
      <c r="G16" s="109">
        <v>0</v>
      </c>
      <c r="H16" s="109">
        <v>1</v>
      </c>
      <c r="I16" s="109">
        <v>0</v>
      </c>
      <c r="J16" s="109">
        <v>0</v>
      </c>
      <c r="K16" s="109">
        <v>0</v>
      </c>
      <c r="L16" s="109">
        <v>0</v>
      </c>
      <c r="M16" s="109">
        <v>0</v>
      </c>
      <c r="N16" s="109">
        <v>0</v>
      </c>
      <c r="O16" s="109">
        <v>0</v>
      </c>
      <c r="P16" s="109">
        <v>0</v>
      </c>
      <c r="Q16" s="109">
        <v>0</v>
      </c>
      <c r="R16" s="109">
        <v>0</v>
      </c>
      <c r="S16" s="109">
        <v>0</v>
      </c>
      <c r="T16" s="109">
        <v>0</v>
      </c>
      <c r="U16" s="109">
        <v>0</v>
      </c>
      <c r="V16" s="109">
        <v>0</v>
      </c>
      <c r="W16" s="109">
        <v>0</v>
      </c>
      <c r="X16" s="109">
        <v>0</v>
      </c>
      <c r="Y16" s="109">
        <v>0</v>
      </c>
      <c r="Z16" s="109">
        <v>0</v>
      </c>
      <c r="AA16" s="109">
        <v>0</v>
      </c>
      <c r="AB16" s="109">
        <v>0</v>
      </c>
      <c r="AC16" s="109">
        <v>0</v>
      </c>
      <c r="AD16" s="109">
        <v>0</v>
      </c>
      <c r="AE16" s="109">
        <v>0</v>
      </c>
      <c r="AF16" s="109">
        <v>0</v>
      </c>
      <c r="AG16" s="109">
        <v>0</v>
      </c>
      <c r="AH16" s="109">
        <v>0</v>
      </c>
      <c r="AI16" s="109">
        <v>0</v>
      </c>
      <c r="AJ16" s="109">
        <v>0</v>
      </c>
      <c r="AK16" s="109">
        <v>0</v>
      </c>
      <c r="AL16" s="109">
        <v>0</v>
      </c>
      <c r="AM16" s="109">
        <v>0</v>
      </c>
      <c r="AN16" s="109">
        <v>0</v>
      </c>
      <c r="AO16" s="109">
        <v>0</v>
      </c>
      <c r="AP16" s="109">
        <v>0</v>
      </c>
    </row>
    <row r="17" spans="1:42" customFormat="1" x14ac:dyDescent="0.15">
      <c r="A17" s="190" t="s">
        <v>207</v>
      </c>
      <c r="B17" s="109">
        <v>0</v>
      </c>
      <c r="C17" s="109">
        <v>1</v>
      </c>
      <c r="D17" s="109">
        <v>1</v>
      </c>
      <c r="E17" s="109">
        <v>1</v>
      </c>
      <c r="F17" s="109">
        <v>0</v>
      </c>
      <c r="G17" s="109">
        <v>0</v>
      </c>
      <c r="H17" s="109">
        <v>1</v>
      </c>
      <c r="I17" s="109">
        <v>1</v>
      </c>
      <c r="J17" s="109">
        <v>1</v>
      </c>
      <c r="K17" s="109">
        <v>1</v>
      </c>
      <c r="L17" s="109">
        <v>0</v>
      </c>
      <c r="M17" s="109">
        <v>1</v>
      </c>
      <c r="N17" s="109">
        <v>0</v>
      </c>
      <c r="O17" s="109">
        <v>0</v>
      </c>
      <c r="P17" s="109">
        <v>0</v>
      </c>
      <c r="Q17" s="109">
        <v>1</v>
      </c>
      <c r="R17" s="109">
        <v>0</v>
      </c>
      <c r="S17" s="109">
        <v>0</v>
      </c>
      <c r="T17" s="109">
        <v>0</v>
      </c>
      <c r="U17" s="109">
        <v>1</v>
      </c>
      <c r="V17" s="109">
        <v>0</v>
      </c>
      <c r="W17" s="109">
        <v>0</v>
      </c>
      <c r="X17" s="109">
        <v>0</v>
      </c>
      <c r="Y17" s="109">
        <v>0</v>
      </c>
      <c r="Z17" s="109">
        <v>0</v>
      </c>
      <c r="AA17" s="109">
        <v>0</v>
      </c>
      <c r="AB17" s="109">
        <v>0</v>
      </c>
      <c r="AC17" s="109">
        <v>0</v>
      </c>
      <c r="AD17" s="109">
        <v>0</v>
      </c>
      <c r="AE17" s="109">
        <v>0</v>
      </c>
      <c r="AF17" s="109">
        <v>0</v>
      </c>
      <c r="AG17" s="109">
        <v>0</v>
      </c>
      <c r="AH17" s="109">
        <v>0</v>
      </c>
      <c r="AI17" s="109">
        <v>0</v>
      </c>
      <c r="AJ17" s="109">
        <v>0</v>
      </c>
      <c r="AK17" s="109">
        <v>0</v>
      </c>
      <c r="AL17" s="109">
        <v>0</v>
      </c>
      <c r="AM17" s="109">
        <v>0</v>
      </c>
      <c r="AN17" s="109">
        <v>0</v>
      </c>
      <c r="AO17" s="109">
        <v>0</v>
      </c>
      <c r="AP17" s="109">
        <v>0</v>
      </c>
    </row>
    <row r="18" spans="1:42" customFormat="1" x14ac:dyDescent="0.15">
      <c r="A18" s="190" t="s">
        <v>208</v>
      </c>
      <c r="B18" s="109">
        <v>0</v>
      </c>
      <c r="C18" s="109">
        <v>1</v>
      </c>
      <c r="D18" s="109">
        <v>1</v>
      </c>
      <c r="E18" s="109">
        <v>0</v>
      </c>
      <c r="F18" s="109">
        <v>1</v>
      </c>
      <c r="G18" s="109">
        <v>1</v>
      </c>
      <c r="H18" s="109">
        <v>1</v>
      </c>
      <c r="I18" s="109">
        <v>0</v>
      </c>
      <c r="J18" s="109">
        <v>0</v>
      </c>
      <c r="K18" s="109">
        <v>1</v>
      </c>
      <c r="L18" s="109">
        <v>0</v>
      </c>
      <c r="M18" s="109">
        <v>0</v>
      </c>
      <c r="N18" s="109">
        <v>1</v>
      </c>
      <c r="O18" s="109">
        <v>0</v>
      </c>
      <c r="P18" s="109">
        <v>0</v>
      </c>
      <c r="Q18" s="109">
        <v>0</v>
      </c>
      <c r="R18" s="109">
        <v>0</v>
      </c>
      <c r="S18" s="109">
        <v>0</v>
      </c>
      <c r="T18" s="109">
        <v>0</v>
      </c>
      <c r="U18" s="109">
        <v>1</v>
      </c>
      <c r="V18" s="109">
        <v>0</v>
      </c>
      <c r="W18" s="109">
        <v>0</v>
      </c>
      <c r="X18" s="109">
        <v>0</v>
      </c>
      <c r="Y18" s="109">
        <v>0</v>
      </c>
      <c r="Z18" s="109">
        <v>0</v>
      </c>
      <c r="AA18" s="109">
        <v>0</v>
      </c>
      <c r="AB18" s="109">
        <v>0</v>
      </c>
      <c r="AC18" s="109">
        <v>0</v>
      </c>
      <c r="AD18" s="109">
        <v>0</v>
      </c>
      <c r="AE18" s="109">
        <v>0</v>
      </c>
      <c r="AF18" s="109">
        <v>0</v>
      </c>
      <c r="AG18" s="109">
        <v>0</v>
      </c>
      <c r="AH18" s="109">
        <v>0</v>
      </c>
      <c r="AI18" s="109">
        <v>0</v>
      </c>
      <c r="AJ18" s="109">
        <v>0</v>
      </c>
      <c r="AK18" s="109">
        <v>0</v>
      </c>
      <c r="AL18" s="109">
        <v>0</v>
      </c>
      <c r="AM18" s="109">
        <v>0</v>
      </c>
      <c r="AN18" s="109">
        <v>0</v>
      </c>
      <c r="AO18" s="109">
        <v>0</v>
      </c>
      <c r="AP18" s="109">
        <v>0</v>
      </c>
    </row>
    <row r="19" spans="1:42" customFormat="1" x14ac:dyDescent="0.15">
      <c r="A19" s="190" t="s">
        <v>209</v>
      </c>
      <c r="B19" s="109">
        <v>0</v>
      </c>
      <c r="C19" s="109">
        <v>1</v>
      </c>
      <c r="D19" s="109">
        <v>0</v>
      </c>
      <c r="E19" s="109">
        <v>0</v>
      </c>
      <c r="F19" s="109">
        <v>0</v>
      </c>
      <c r="G19" s="109">
        <v>1</v>
      </c>
      <c r="H19" s="109">
        <v>1</v>
      </c>
      <c r="I19" s="109">
        <v>0</v>
      </c>
      <c r="J19" s="109">
        <v>0</v>
      </c>
      <c r="K19" s="109">
        <v>0</v>
      </c>
      <c r="L19" s="109">
        <v>0</v>
      </c>
      <c r="M19" s="109">
        <v>0</v>
      </c>
      <c r="N19" s="109">
        <v>1</v>
      </c>
      <c r="O19" s="109">
        <v>1</v>
      </c>
      <c r="P19" s="109">
        <v>1</v>
      </c>
      <c r="Q19" s="109">
        <v>1</v>
      </c>
      <c r="R19" s="109">
        <v>0</v>
      </c>
      <c r="S19" s="109">
        <v>1</v>
      </c>
      <c r="T19" s="109">
        <v>0</v>
      </c>
      <c r="U19" s="109">
        <v>0</v>
      </c>
      <c r="V19" s="109">
        <v>0</v>
      </c>
      <c r="W19" s="109">
        <v>0</v>
      </c>
      <c r="X19" s="109">
        <v>0</v>
      </c>
      <c r="Y19" s="109">
        <v>0</v>
      </c>
      <c r="Z19" s="109">
        <v>0</v>
      </c>
      <c r="AA19" s="109">
        <v>0</v>
      </c>
      <c r="AB19" s="109">
        <v>0</v>
      </c>
      <c r="AC19" s="109">
        <v>0</v>
      </c>
      <c r="AD19" s="109">
        <v>0</v>
      </c>
      <c r="AE19" s="109">
        <v>0</v>
      </c>
      <c r="AF19" s="109">
        <v>0</v>
      </c>
      <c r="AG19" s="109">
        <v>0</v>
      </c>
      <c r="AH19" s="109">
        <v>0</v>
      </c>
      <c r="AI19" s="109">
        <v>0</v>
      </c>
      <c r="AJ19" s="109">
        <v>0</v>
      </c>
      <c r="AK19" s="109">
        <v>0</v>
      </c>
      <c r="AL19" s="109">
        <v>0</v>
      </c>
      <c r="AM19" s="109">
        <v>0</v>
      </c>
      <c r="AN19" s="109">
        <v>0</v>
      </c>
      <c r="AO19" s="109">
        <v>0</v>
      </c>
      <c r="AP19" s="109">
        <v>0</v>
      </c>
    </row>
    <row r="20" spans="1:42" customFormat="1" x14ac:dyDescent="0.15">
      <c r="A20" s="190" t="s">
        <v>210</v>
      </c>
      <c r="B20" s="109">
        <v>1</v>
      </c>
      <c r="C20" s="109">
        <v>1</v>
      </c>
      <c r="D20" s="109">
        <v>1</v>
      </c>
      <c r="E20" s="109">
        <v>0</v>
      </c>
      <c r="F20" s="109">
        <v>1</v>
      </c>
      <c r="G20" s="109">
        <v>1</v>
      </c>
      <c r="H20" s="109">
        <v>1</v>
      </c>
      <c r="I20" s="109">
        <v>1</v>
      </c>
      <c r="J20" s="109">
        <v>1</v>
      </c>
      <c r="K20" s="109">
        <v>0</v>
      </c>
      <c r="L20" s="109">
        <v>1</v>
      </c>
      <c r="M20" s="109">
        <v>0</v>
      </c>
      <c r="N20" s="109">
        <v>1</v>
      </c>
      <c r="O20" s="109">
        <v>0</v>
      </c>
      <c r="P20" s="109">
        <v>1</v>
      </c>
      <c r="Q20" s="109">
        <v>1</v>
      </c>
      <c r="R20" s="109">
        <v>0</v>
      </c>
      <c r="S20" s="109">
        <v>0</v>
      </c>
      <c r="T20" s="109">
        <v>0</v>
      </c>
      <c r="U20" s="109">
        <v>0</v>
      </c>
      <c r="V20" s="109">
        <v>0</v>
      </c>
      <c r="W20" s="109">
        <v>0</v>
      </c>
      <c r="X20" s="109">
        <v>0</v>
      </c>
      <c r="Y20" s="109">
        <v>0</v>
      </c>
      <c r="Z20" s="109">
        <v>0</v>
      </c>
      <c r="AA20" s="109">
        <v>0</v>
      </c>
      <c r="AB20" s="109">
        <v>0</v>
      </c>
      <c r="AC20" s="109">
        <v>0</v>
      </c>
      <c r="AD20" s="109">
        <v>0</v>
      </c>
      <c r="AE20" s="109">
        <v>0</v>
      </c>
      <c r="AF20" s="109">
        <v>0</v>
      </c>
      <c r="AG20" s="109">
        <v>0</v>
      </c>
      <c r="AH20" s="109">
        <v>0</v>
      </c>
      <c r="AI20" s="109">
        <v>0</v>
      </c>
      <c r="AJ20" s="109">
        <v>0</v>
      </c>
      <c r="AK20" s="109">
        <v>0</v>
      </c>
      <c r="AL20" s="109">
        <v>0</v>
      </c>
      <c r="AM20" s="109">
        <v>0</v>
      </c>
      <c r="AN20" s="109">
        <v>0</v>
      </c>
      <c r="AO20" s="109">
        <v>0</v>
      </c>
      <c r="AP20" s="109">
        <v>0</v>
      </c>
    </row>
    <row r="21" spans="1:42" customFormat="1" x14ac:dyDescent="0.15">
      <c r="A21" s="190" t="s">
        <v>211</v>
      </c>
      <c r="B21" s="109">
        <v>1</v>
      </c>
      <c r="C21" s="109">
        <v>1</v>
      </c>
      <c r="D21" s="109">
        <v>0</v>
      </c>
      <c r="E21" s="109">
        <v>0</v>
      </c>
      <c r="F21" s="109">
        <v>1</v>
      </c>
      <c r="G21" s="109">
        <v>1</v>
      </c>
      <c r="H21" s="109">
        <v>1</v>
      </c>
      <c r="I21" s="109">
        <v>0</v>
      </c>
      <c r="J21" s="109">
        <v>0</v>
      </c>
      <c r="K21" s="109">
        <v>0</v>
      </c>
      <c r="L21" s="109">
        <v>0</v>
      </c>
      <c r="M21" s="109">
        <v>0</v>
      </c>
      <c r="N21" s="109">
        <v>1</v>
      </c>
      <c r="O21" s="109">
        <v>0</v>
      </c>
      <c r="P21" s="109">
        <v>0</v>
      </c>
      <c r="Q21" s="109">
        <v>0</v>
      </c>
      <c r="R21" s="109">
        <v>0</v>
      </c>
      <c r="S21" s="109">
        <v>0</v>
      </c>
      <c r="T21" s="109">
        <v>0</v>
      </c>
      <c r="U21" s="109">
        <v>0</v>
      </c>
      <c r="V21" s="109">
        <v>0</v>
      </c>
      <c r="W21" s="109">
        <v>0</v>
      </c>
      <c r="X21" s="109">
        <v>0</v>
      </c>
      <c r="Y21" s="109">
        <v>0</v>
      </c>
      <c r="Z21" s="109">
        <v>0</v>
      </c>
      <c r="AA21" s="109">
        <v>0</v>
      </c>
      <c r="AB21" s="109">
        <v>0</v>
      </c>
      <c r="AC21" s="109">
        <v>0</v>
      </c>
      <c r="AD21" s="109">
        <v>0</v>
      </c>
      <c r="AE21" s="109">
        <v>0</v>
      </c>
      <c r="AF21" s="109">
        <v>0</v>
      </c>
      <c r="AG21" s="109">
        <v>0</v>
      </c>
      <c r="AH21" s="109">
        <v>0</v>
      </c>
      <c r="AI21" s="109">
        <v>0</v>
      </c>
      <c r="AJ21" s="109">
        <v>0</v>
      </c>
      <c r="AK21" s="109">
        <v>0</v>
      </c>
      <c r="AL21" s="109">
        <v>0</v>
      </c>
      <c r="AM21" s="109">
        <v>0</v>
      </c>
      <c r="AN21" s="109">
        <v>0</v>
      </c>
      <c r="AO21" s="109">
        <v>0</v>
      </c>
      <c r="AP21" s="109">
        <v>0</v>
      </c>
    </row>
    <row r="22" spans="1:42" customFormat="1" x14ac:dyDescent="0.15">
      <c r="A22" s="190" t="s">
        <v>212</v>
      </c>
      <c r="B22" s="109">
        <v>0</v>
      </c>
      <c r="C22" s="109">
        <v>1</v>
      </c>
      <c r="D22" s="109">
        <v>1</v>
      </c>
      <c r="E22" s="109">
        <v>1</v>
      </c>
      <c r="F22" s="109">
        <v>0</v>
      </c>
      <c r="G22" s="109">
        <v>1</v>
      </c>
      <c r="H22" s="109">
        <v>1</v>
      </c>
      <c r="I22" s="109">
        <v>0</v>
      </c>
      <c r="J22" s="109">
        <v>0</v>
      </c>
      <c r="K22" s="109">
        <v>0</v>
      </c>
      <c r="L22" s="109">
        <v>0</v>
      </c>
      <c r="M22" s="109">
        <v>0</v>
      </c>
      <c r="N22" s="109">
        <v>1</v>
      </c>
      <c r="O22" s="109">
        <v>1</v>
      </c>
      <c r="P22" s="109">
        <v>1</v>
      </c>
      <c r="Q22" s="109">
        <v>1</v>
      </c>
      <c r="R22" s="109">
        <v>0</v>
      </c>
      <c r="S22" s="109">
        <v>0</v>
      </c>
      <c r="T22" s="109">
        <v>0</v>
      </c>
      <c r="U22" s="109">
        <v>0</v>
      </c>
      <c r="V22" s="109">
        <v>0</v>
      </c>
      <c r="W22" s="109">
        <v>0</v>
      </c>
      <c r="X22" s="109">
        <v>0</v>
      </c>
      <c r="Y22" s="109">
        <v>0</v>
      </c>
      <c r="Z22" s="109">
        <v>0</v>
      </c>
      <c r="AA22" s="109">
        <v>0</v>
      </c>
      <c r="AB22" s="109">
        <v>0</v>
      </c>
      <c r="AC22" s="109">
        <v>0</v>
      </c>
      <c r="AD22" s="109">
        <v>0</v>
      </c>
      <c r="AE22" s="109">
        <v>0</v>
      </c>
      <c r="AF22" s="109">
        <v>0</v>
      </c>
      <c r="AG22" s="109">
        <v>0</v>
      </c>
      <c r="AH22" s="109">
        <v>0</v>
      </c>
      <c r="AI22" s="109">
        <v>0</v>
      </c>
      <c r="AJ22" s="109">
        <v>0</v>
      </c>
      <c r="AK22" s="109">
        <v>0</v>
      </c>
      <c r="AL22" s="109">
        <v>0</v>
      </c>
      <c r="AM22" s="109">
        <v>0</v>
      </c>
      <c r="AN22" s="109">
        <v>0</v>
      </c>
      <c r="AO22" s="109">
        <v>0</v>
      </c>
      <c r="AP22" s="109">
        <v>0</v>
      </c>
    </row>
    <row r="23" spans="1:42" customFormat="1" x14ac:dyDescent="0.15">
      <c r="A23" s="190" t="s">
        <v>213</v>
      </c>
      <c r="B23" s="109">
        <v>0</v>
      </c>
      <c r="C23" s="109">
        <v>1</v>
      </c>
      <c r="D23" s="109">
        <v>0</v>
      </c>
      <c r="E23" s="109">
        <v>0</v>
      </c>
      <c r="F23" s="109">
        <v>0</v>
      </c>
      <c r="G23" s="109">
        <v>1</v>
      </c>
      <c r="H23" s="109">
        <v>0</v>
      </c>
      <c r="I23" s="109">
        <v>0</v>
      </c>
      <c r="J23" s="109">
        <v>0</v>
      </c>
      <c r="K23" s="109">
        <v>0</v>
      </c>
      <c r="L23" s="109">
        <v>0</v>
      </c>
      <c r="M23" s="109">
        <v>0</v>
      </c>
      <c r="N23" s="109">
        <v>0</v>
      </c>
      <c r="O23" s="109">
        <v>1</v>
      </c>
      <c r="P23" s="109">
        <v>0</v>
      </c>
      <c r="Q23" s="109">
        <v>0</v>
      </c>
      <c r="R23" s="109">
        <v>0</v>
      </c>
      <c r="S23" s="109">
        <v>0</v>
      </c>
      <c r="T23" s="109">
        <v>0</v>
      </c>
      <c r="U23" s="109">
        <v>0</v>
      </c>
      <c r="V23" s="109">
        <v>0</v>
      </c>
      <c r="W23" s="109">
        <v>1</v>
      </c>
      <c r="X23" s="109">
        <v>0</v>
      </c>
      <c r="Y23" s="109">
        <v>0</v>
      </c>
      <c r="Z23" s="109">
        <v>0</v>
      </c>
      <c r="AA23" s="109">
        <v>0</v>
      </c>
      <c r="AB23" s="109">
        <v>0</v>
      </c>
      <c r="AC23" s="109">
        <v>0</v>
      </c>
      <c r="AD23" s="109">
        <v>0</v>
      </c>
      <c r="AE23" s="109">
        <v>0</v>
      </c>
      <c r="AF23" s="109">
        <v>0</v>
      </c>
      <c r="AG23" s="109">
        <v>0</v>
      </c>
      <c r="AH23" s="109">
        <v>0</v>
      </c>
      <c r="AI23" s="109">
        <v>0</v>
      </c>
      <c r="AJ23" s="109">
        <v>0</v>
      </c>
      <c r="AK23" s="109">
        <v>0</v>
      </c>
      <c r="AL23" s="109">
        <v>0</v>
      </c>
      <c r="AM23" s="109">
        <v>0</v>
      </c>
      <c r="AN23" s="109">
        <v>0</v>
      </c>
      <c r="AO23" s="109">
        <v>0</v>
      </c>
      <c r="AP23" s="109">
        <v>0</v>
      </c>
    </row>
    <row r="24" spans="1:42" customFormat="1" x14ac:dyDescent="0.15">
      <c r="A24" s="190" t="s">
        <v>214</v>
      </c>
      <c r="B24" s="109">
        <v>1</v>
      </c>
      <c r="C24" s="109">
        <v>1</v>
      </c>
      <c r="D24" s="109">
        <v>0</v>
      </c>
      <c r="E24" s="109">
        <v>1</v>
      </c>
      <c r="F24" s="109">
        <v>1</v>
      </c>
      <c r="G24" s="109">
        <v>0</v>
      </c>
      <c r="H24" s="109">
        <v>1</v>
      </c>
      <c r="I24" s="109">
        <v>1</v>
      </c>
      <c r="J24" s="109">
        <v>1</v>
      </c>
      <c r="K24" s="109">
        <v>1</v>
      </c>
      <c r="L24" s="109">
        <v>1</v>
      </c>
      <c r="M24" s="109">
        <v>1</v>
      </c>
      <c r="N24" s="109">
        <v>1</v>
      </c>
      <c r="O24" s="109">
        <v>0</v>
      </c>
      <c r="P24" s="109">
        <v>0</v>
      </c>
      <c r="Q24" s="109">
        <v>0</v>
      </c>
      <c r="R24" s="109">
        <v>0</v>
      </c>
      <c r="S24" s="109">
        <v>0</v>
      </c>
      <c r="T24" s="109">
        <v>0</v>
      </c>
      <c r="U24" s="109">
        <v>1</v>
      </c>
      <c r="V24" s="109">
        <v>0</v>
      </c>
      <c r="W24" s="109">
        <v>0</v>
      </c>
      <c r="X24" s="109">
        <v>0</v>
      </c>
      <c r="Y24" s="109">
        <v>0</v>
      </c>
      <c r="Z24" s="109">
        <v>0</v>
      </c>
      <c r="AA24" s="109">
        <v>0</v>
      </c>
      <c r="AB24" s="109">
        <v>0</v>
      </c>
      <c r="AC24" s="109">
        <v>0</v>
      </c>
      <c r="AD24" s="109">
        <v>0</v>
      </c>
      <c r="AE24" s="109">
        <v>0</v>
      </c>
      <c r="AF24" s="109">
        <v>0</v>
      </c>
      <c r="AG24" s="109">
        <v>0</v>
      </c>
      <c r="AH24" s="109">
        <v>0</v>
      </c>
      <c r="AI24" s="109">
        <v>0</v>
      </c>
      <c r="AJ24" s="109">
        <v>0</v>
      </c>
      <c r="AK24" s="109">
        <v>0</v>
      </c>
      <c r="AL24" s="109">
        <v>0</v>
      </c>
      <c r="AM24" s="109">
        <v>0</v>
      </c>
      <c r="AN24" s="109">
        <v>0</v>
      </c>
      <c r="AO24" s="109">
        <v>0</v>
      </c>
      <c r="AP24" s="109">
        <v>0</v>
      </c>
    </row>
    <row r="25" spans="1:42" customFormat="1" x14ac:dyDescent="0.15">
      <c r="A25" s="190" t="s">
        <v>215</v>
      </c>
      <c r="B25" s="109">
        <v>1</v>
      </c>
      <c r="C25" s="109">
        <v>1</v>
      </c>
      <c r="D25" s="109">
        <v>1</v>
      </c>
      <c r="E25" s="109">
        <v>1</v>
      </c>
      <c r="F25" s="109">
        <v>1</v>
      </c>
      <c r="G25" s="109">
        <v>0</v>
      </c>
      <c r="H25" s="109">
        <v>1</v>
      </c>
      <c r="I25" s="109">
        <v>0</v>
      </c>
      <c r="J25" s="109">
        <v>1</v>
      </c>
      <c r="K25" s="109">
        <v>0</v>
      </c>
      <c r="L25" s="109">
        <v>1</v>
      </c>
      <c r="M25" s="109">
        <v>0</v>
      </c>
      <c r="N25" s="109">
        <v>0</v>
      </c>
      <c r="O25" s="109">
        <v>0</v>
      </c>
      <c r="P25" s="109">
        <v>0</v>
      </c>
      <c r="Q25" s="109">
        <v>0</v>
      </c>
      <c r="R25" s="109">
        <v>0</v>
      </c>
      <c r="S25" s="109">
        <v>0</v>
      </c>
      <c r="T25" s="109">
        <v>0</v>
      </c>
      <c r="U25" s="109">
        <v>0</v>
      </c>
      <c r="V25" s="109">
        <v>0</v>
      </c>
      <c r="W25" s="109">
        <v>0</v>
      </c>
      <c r="X25" s="109">
        <v>0</v>
      </c>
      <c r="Y25" s="109">
        <v>0</v>
      </c>
      <c r="Z25" s="109">
        <v>0</v>
      </c>
      <c r="AA25" s="109">
        <v>0</v>
      </c>
      <c r="AB25" s="109">
        <v>0</v>
      </c>
      <c r="AC25" s="109">
        <v>0</v>
      </c>
      <c r="AD25" s="109">
        <v>0</v>
      </c>
      <c r="AE25" s="109">
        <v>0</v>
      </c>
      <c r="AF25" s="109">
        <v>0</v>
      </c>
      <c r="AG25" s="109">
        <v>0</v>
      </c>
      <c r="AH25" s="109">
        <v>0</v>
      </c>
      <c r="AI25" s="109">
        <v>0</v>
      </c>
      <c r="AJ25" s="109">
        <v>0</v>
      </c>
      <c r="AK25" s="109">
        <v>0</v>
      </c>
      <c r="AL25" s="109">
        <v>0</v>
      </c>
      <c r="AM25" s="109">
        <v>0</v>
      </c>
      <c r="AN25" s="109">
        <v>0</v>
      </c>
      <c r="AO25" s="109">
        <v>0</v>
      </c>
      <c r="AP25" s="109">
        <v>0</v>
      </c>
    </row>
    <row r="26" spans="1:42" customFormat="1" x14ac:dyDescent="0.15">
      <c r="A26" s="190" t="s">
        <v>216</v>
      </c>
      <c r="B26" s="109">
        <v>1</v>
      </c>
      <c r="C26" s="109">
        <v>1</v>
      </c>
      <c r="D26" s="109">
        <v>0</v>
      </c>
      <c r="E26" s="109">
        <v>0</v>
      </c>
      <c r="F26" s="109">
        <v>1</v>
      </c>
      <c r="G26" s="109">
        <v>0</v>
      </c>
      <c r="H26" s="109">
        <v>1</v>
      </c>
      <c r="I26" s="109">
        <v>1</v>
      </c>
      <c r="J26" s="109">
        <v>1</v>
      </c>
      <c r="K26" s="109">
        <v>1</v>
      </c>
      <c r="L26" s="109">
        <v>1</v>
      </c>
      <c r="M26" s="109">
        <v>1</v>
      </c>
      <c r="N26" s="109">
        <v>1</v>
      </c>
      <c r="O26" s="109">
        <v>0</v>
      </c>
      <c r="P26" s="109">
        <v>0</v>
      </c>
      <c r="Q26" s="109">
        <v>0</v>
      </c>
      <c r="R26" s="109">
        <v>0</v>
      </c>
      <c r="S26" s="109">
        <v>1</v>
      </c>
      <c r="T26" s="109">
        <v>0</v>
      </c>
      <c r="U26" s="109">
        <v>1</v>
      </c>
      <c r="V26" s="109">
        <v>0</v>
      </c>
      <c r="W26" s="109">
        <v>0</v>
      </c>
      <c r="X26" s="109">
        <v>0</v>
      </c>
      <c r="Y26" s="109">
        <v>0</v>
      </c>
      <c r="Z26" s="109">
        <v>0</v>
      </c>
      <c r="AA26" s="109">
        <v>1</v>
      </c>
      <c r="AB26" s="109">
        <v>0</v>
      </c>
      <c r="AC26" s="109">
        <v>0</v>
      </c>
      <c r="AD26" s="109">
        <v>0</v>
      </c>
      <c r="AE26" s="109">
        <v>0</v>
      </c>
      <c r="AF26" s="109">
        <v>0</v>
      </c>
      <c r="AG26" s="109">
        <v>0</v>
      </c>
      <c r="AH26" s="109">
        <v>0</v>
      </c>
      <c r="AI26" s="109">
        <v>0</v>
      </c>
      <c r="AJ26" s="109">
        <v>0</v>
      </c>
      <c r="AK26" s="109">
        <v>0</v>
      </c>
      <c r="AL26" s="109">
        <v>0</v>
      </c>
      <c r="AM26" s="109">
        <v>0</v>
      </c>
      <c r="AN26" s="109">
        <v>0</v>
      </c>
      <c r="AO26" s="109">
        <v>0</v>
      </c>
      <c r="AP26" s="109">
        <v>0</v>
      </c>
    </row>
    <row r="27" spans="1:42" customFormat="1" x14ac:dyDescent="0.15">
      <c r="A27" s="190" t="s">
        <v>217</v>
      </c>
      <c r="B27" s="109">
        <v>0</v>
      </c>
      <c r="C27" s="109">
        <v>1</v>
      </c>
      <c r="D27" s="109">
        <v>1</v>
      </c>
      <c r="E27" s="109">
        <v>1</v>
      </c>
      <c r="F27" s="109">
        <v>1</v>
      </c>
      <c r="G27" s="109">
        <v>1</v>
      </c>
      <c r="H27" s="109">
        <v>1</v>
      </c>
      <c r="I27" s="109">
        <v>1</v>
      </c>
      <c r="J27" s="109">
        <v>1</v>
      </c>
      <c r="K27" s="109">
        <v>1</v>
      </c>
      <c r="L27" s="109">
        <v>1</v>
      </c>
      <c r="M27" s="109">
        <v>1</v>
      </c>
      <c r="N27" s="109">
        <v>1</v>
      </c>
      <c r="O27" s="109">
        <v>0</v>
      </c>
      <c r="P27" s="109">
        <v>1</v>
      </c>
      <c r="Q27" s="109">
        <v>0</v>
      </c>
      <c r="R27" s="109">
        <v>0</v>
      </c>
      <c r="S27" s="109">
        <v>0</v>
      </c>
      <c r="T27" s="109">
        <v>0</v>
      </c>
      <c r="U27" s="109">
        <v>1</v>
      </c>
      <c r="V27" s="109">
        <v>0</v>
      </c>
      <c r="W27" s="109">
        <v>0</v>
      </c>
      <c r="X27" s="109">
        <v>0</v>
      </c>
      <c r="Y27" s="109">
        <v>0</v>
      </c>
      <c r="Z27" s="109">
        <v>0</v>
      </c>
      <c r="AA27" s="109">
        <v>0</v>
      </c>
      <c r="AB27" s="109">
        <v>0</v>
      </c>
      <c r="AC27" s="109">
        <v>0</v>
      </c>
      <c r="AD27" s="109">
        <v>0</v>
      </c>
      <c r="AE27" s="109">
        <v>0</v>
      </c>
      <c r="AF27" s="109">
        <v>0</v>
      </c>
      <c r="AG27" s="109">
        <v>0</v>
      </c>
      <c r="AH27" s="109">
        <v>0</v>
      </c>
      <c r="AI27" s="109">
        <v>0</v>
      </c>
      <c r="AJ27" s="109">
        <v>0</v>
      </c>
      <c r="AK27" s="109">
        <v>0</v>
      </c>
      <c r="AL27" s="109">
        <v>0</v>
      </c>
      <c r="AM27" s="109">
        <v>0</v>
      </c>
      <c r="AN27" s="109">
        <v>0</v>
      </c>
      <c r="AO27" s="109">
        <v>0</v>
      </c>
      <c r="AP27" s="109">
        <v>0</v>
      </c>
    </row>
    <row r="28" spans="1:42" customFormat="1" x14ac:dyDescent="0.15">
      <c r="A28" s="190" t="s">
        <v>218</v>
      </c>
      <c r="B28" s="109">
        <v>0</v>
      </c>
      <c r="C28" s="109">
        <v>1</v>
      </c>
      <c r="D28" s="109">
        <v>0</v>
      </c>
      <c r="E28" s="109">
        <v>0</v>
      </c>
      <c r="F28" s="109">
        <v>0</v>
      </c>
      <c r="G28" s="109">
        <v>1</v>
      </c>
      <c r="H28" s="109">
        <v>1</v>
      </c>
      <c r="I28" s="109">
        <v>0</v>
      </c>
      <c r="J28" s="109">
        <v>0</v>
      </c>
      <c r="K28" s="109">
        <v>0</v>
      </c>
      <c r="L28" s="109">
        <v>0</v>
      </c>
      <c r="M28" s="109">
        <v>0</v>
      </c>
      <c r="N28" s="109">
        <v>0</v>
      </c>
      <c r="O28" s="109">
        <v>1</v>
      </c>
      <c r="P28" s="109">
        <v>1</v>
      </c>
      <c r="Q28" s="109">
        <v>1</v>
      </c>
      <c r="R28" s="109">
        <v>0</v>
      </c>
      <c r="S28" s="109">
        <v>0</v>
      </c>
      <c r="T28" s="109">
        <v>0</v>
      </c>
      <c r="U28" s="109">
        <v>0</v>
      </c>
      <c r="V28" s="109">
        <v>1</v>
      </c>
      <c r="W28" s="109">
        <v>1</v>
      </c>
      <c r="X28" s="109">
        <v>0</v>
      </c>
      <c r="Y28" s="109">
        <v>0</v>
      </c>
      <c r="Z28" s="109">
        <v>0</v>
      </c>
      <c r="AA28" s="109">
        <v>0</v>
      </c>
      <c r="AB28" s="109">
        <v>1</v>
      </c>
      <c r="AC28" s="109">
        <v>0</v>
      </c>
      <c r="AD28" s="109">
        <v>0</v>
      </c>
      <c r="AE28" s="109">
        <v>0</v>
      </c>
      <c r="AF28" s="109">
        <v>1</v>
      </c>
      <c r="AG28" s="109">
        <v>0</v>
      </c>
      <c r="AH28" s="109">
        <v>1</v>
      </c>
      <c r="AI28" s="109">
        <v>0</v>
      </c>
      <c r="AJ28" s="109">
        <v>0</v>
      </c>
      <c r="AK28" s="109">
        <v>0</v>
      </c>
      <c r="AL28" s="109">
        <v>0</v>
      </c>
      <c r="AM28" s="109">
        <v>0</v>
      </c>
      <c r="AN28" s="109">
        <v>0</v>
      </c>
      <c r="AO28" s="109">
        <v>0</v>
      </c>
      <c r="AP28" s="109">
        <v>0</v>
      </c>
    </row>
    <row r="29" spans="1:42" customFormat="1" x14ac:dyDescent="0.15">
      <c r="A29" s="190" t="s">
        <v>219</v>
      </c>
      <c r="B29" s="109">
        <v>0</v>
      </c>
      <c r="C29" s="109">
        <v>0</v>
      </c>
      <c r="D29" s="109">
        <v>1</v>
      </c>
      <c r="E29" s="109">
        <v>0</v>
      </c>
      <c r="F29" s="109">
        <v>1</v>
      </c>
      <c r="G29" s="109">
        <v>1</v>
      </c>
      <c r="H29" s="109">
        <v>1</v>
      </c>
      <c r="I29" s="109">
        <v>1</v>
      </c>
      <c r="J29" s="109">
        <v>1</v>
      </c>
      <c r="K29" s="109">
        <v>1</v>
      </c>
      <c r="L29" s="109">
        <v>1</v>
      </c>
      <c r="M29" s="109">
        <v>1</v>
      </c>
      <c r="N29" s="109">
        <v>1</v>
      </c>
      <c r="O29" s="109">
        <v>1</v>
      </c>
      <c r="P29" s="109">
        <v>1</v>
      </c>
      <c r="Q29" s="109">
        <v>1</v>
      </c>
      <c r="R29" s="109">
        <v>1</v>
      </c>
      <c r="S29" s="109">
        <v>1</v>
      </c>
      <c r="T29" s="109">
        <v>1</v>
      </c>
      <c r="U29" s="109">
        <v>1</v>
      </c>
      <c r="V29" s="109">
        <v>0</v>
      </c>
      <c r="W29" s="109">
        <v>0</v>
      </c>
      <c r="X29" s="109">
        <v>1</v>
      </c>
      <c r="Y29" s="109">
        <v>1</v>
      </c>
      <c r="Z29" s="109">
        <v>1</v>
      </c>
      <c r="AA29" s="109">
        <v>1</v>
      </c>
      <c r="AB29" s="109">
        <v>0</v>
      </c>
      <c r="AC29" s="109">
        <v>1</v>
      </c>
      <c r="AD29" s="109">
        <v>0</v>
      </c>
      <c r="AE29" s="109">
        <v>0</v>
      </c>
      <c r="AF29" s="109">
        <v>1</v>
      </c>
      <c r="AG29" s="109">
        <v>0</v>
      </c>
      <c r="AH29" s="109">
        <v>0</v>
      </c>
      <c r="AI29" s="109">
        <v>0</v>
      </c>
      <c r="AJ29" s="109">
        <v>0</v>
      </c>
      <c r="AK29" s="109">
        <v>0</v>
      </c>
      <c r="AL29" s="109">
        <v>0</v>
      </c>
      <c r="AM29" s="109">
        <v>0</v>
      </c>
      <c r="AN29" s="109">
        <v>0</v>
      </c>
      <c r="AO29" s="109">
        <v>0</v>
      </c>
      <c r="AP29" s="109">
        <v>0</v>
      </c>
    </row>
    <row r="30" spans="1:42" customFormat="1" x14ac:dyDescent="0.15">
      <c r="A30" s="190" t="s">
        <v>220</v>
      </c>
      <c r="B30" s="109">
        <v>0</v>
      </c>
      <c r="C30" s="109">
        <v>0</v>
      </c>
      <c r="D30" s="109">
        <v>0</v>
      </c>
      <c r="E30" s="109">
        <v>0</v>
      </c>
      <c r="F30" s="109">
        <v>0</v>
      </c>
      <c r="G30" s="109">
        <v>1</v>
      </c>
      <c r="H30" s="109">
        <v>1</v>
      </c>
      <c r="I30" s="109">
        <v>0</v>
      </c>
      <c r="J30" s="109">
        <v>0</v>
      </c>
      <c r="K30" s="109">
        <v>0</v>
      </c>
      <c r="L30" s="109">
        <v>0</v>
      </c>
      <c r="M30" s="109">
        <v>0</v>
      </c>
      <c r="N30" s="109">
        <v>1</v>
      </c>
      <c r="O30" s="109">
        <v>1</v>
      </c>
      <c r="P30" s="109">
        <v>1</v>
      </c>
      <c r="Q30" s="109">
        <v>1</v>
      </c>
      <c r="R30" s="109">
        <v>0</v>
      </c>
      <c r="S30" s="109">
        <v>0</v>
      </c>
      <c r="T30" s="109">
        <v>0</v>
      </c>
      <c r="U30" s="109">
        <v>0</v>
      </c>
      <c r="V30" s="109">
        <v>1</v>
      </c>
      <c r="W30" s="109">
        <v>1</v>
      </c>
      <c r="X30" s="109">
        <v>0</v>
      </c>
      <c r="Y30" s="109">
        <v>0</v>
      </c>
      <c r="Z30" s="109">
        <v>0</v>
      </c>
      <c r="AA30" s="109">
        <v>0</v>
      </c>
      <c r="AB30" s="109">
        <v>1</v>
      </c>
      <c r="AC30" s="109">
        <v>0</v>
      </c>
      <c r="AD30" s="109">
        <v>0</v>
      </c>
      <c r="AE30" s="109">
        <v>0</v>
      </c>
      <c r="AF30" s="109">
        <v>0</v>
      </c>
      <c r="AG30" s="109">
        <v>0</v>
      </c>
      <c r="AH30" s="109">
        <v>0</v>
      </c>
      <c r="AI30" s="109">
        <v>0</v>
      </c>
      <c r="AJ30" s="109">
        <v>0</v>
      </c>
      <c r="AK30" s="109">
        <v>0</v>
      </c>
      <c r="AL30" s="109">
        <v>0</v>
      </c>
      <c r="AM30" s="109">
        <v>0</v>
      </c>
      <c r="AN30" s="109">
        <v>0</v>
      </c>
      <c r="AO30" s="109">
        <v>0</v>
      </c>
      <c r="AP30" s="109">
        <v>0</v>
      </c>
    </row>
    <row r="31" spans="1:42" customFormat="1" x14ac:dyDescent="0.15">
      <c r="A31" s="190" t="s">
        <v>221</v>
      </c>
      <c r="B31" s="109">
        <v>0</v>
      </c>
      <c r="C31" s="109">
        <v>0</v>
      </c>
      <c r="D31" s="109">
        <v>0</v>
      </c>
      <c r="E31" s="109">
        <v>0</v>
      </c>
      <c r="F31" s="109">
        <v>0</v>
      </c>
      <c r="G31" s="109">
        <v>1</v>
      </c>
      <c r="H31" s="109">
        <v>1</v>
      </c>
      <c r="I31" s="109">
        <v>0</v>
      </c>
      <c r="J31" s="109">
        <v>0</v>
      </c>
      <c r="K31" s="109">
        <v>0</v>
      </c>
      <c r="L31" s="109">
        <v>0</v>
      </c>
      <c r="M31" s="109">
        <v>0</v>
      </c>
      <c r="N31" s="109">
        <v>1</v>
      </c>
      <c r="O31" s="109">
        <v>0</v>
      </c>
      <c r="P31" s="109">
        <v>1</v>
      </c>
      <c r="Q31" s="109">
        <v>1</v>
      </c>
      <c r="R31" s="109">
        <v>0</v>
      </c>
      <c r="S31" s="109">
        <v>1</v>
      </c>
      <c r="T31" s="109">
        <v>0</v>
      </c>
      <c r="U31" s="109">
        <v>0</v>
      </c>
      <c r="V31" s="109">
        <v>0</v>
      </c>
      <c r="W31" s="109">
        <v>1</v>
      </c>
      <c r="X31" s="109">
        <v>0</v>
      </c>
      <c r="Y31" s="109">
        <v>0</v>
      </c>
      <c r="Z31" s="109">
        <v>0</v>
      </c>
      <c r="AA31" s="109">
        <v>0</v>
      </c>
      <c r="AB31" s="109">
        <v>0</v>
      </c>
      <c r="AC31" s="109">
        <v>0</v>
      </c>
      <c r="AD31" s="109">
        <v>0</v>
      </c>
      <c r="AE31" s="109">
        <v>1</v>
      </c>
      <c r="AF31" s="109">
        <v>0</v>
      </c>
      <c r="AG31" s="109">
        <v>0</v>
      </c>
      <c r="AH31" s="109">
        <v>0</v>
      </c>
      <c r="AI31" s="109">
        <v>0</v>
      </c>
      <c r="AJ31" s="109">
        <v>0</v>
      </c>
      <c r="AK31" s="109">
        <v>0</v>
      </c>
      <c r="AL31" s="109">
        <v>0</v>
      </c>
      <c r="AM31" s="109">
        <v>0</v>
      </c>
      <c r="AN31" s="109">
        <v>0</v>
      </c>
      <c r="AO31" s="109">
        <v>0</v>
      </c>
      <c r="AP31" s="109">
        <v>0</v>
      </c>
    </row>
    <row r="32" spans="1:42" x14ac:dyDescent="0.15">
      <c r="A32" s="190" t="s">
        <v>222</v>
      </c>
      <c r="B32" s="109">
        <v>0</v>
      </c>
      <c r="C32" s="109">
        <v>0</v>
      </c>
      <c r="D32" s="109">
        <v>0</v>
      </c>
      <c r="E32" s="109">
        <v>0</v>
      </c>
      <c r="F32" s="109">
        <v>1</v>
      </c>
      <c r="G32" s="109">
        <v>1</v>
      </c>
      <c r="H32" s="109">
        <v>1</v>
      </c>
      <c r="I32" s="109">
        <v>0</v>
      </c>
      <c r="J32" s="109">
        <v>0</v>
      </c>
      <c r="K32" s="109">
        <v>1</v>
      </c>
      <c r="L32" s="109">
        <v>0</v>
      </c>
      <c r="M32" s="109">
        <v>0</v>
      </c>
      <c r="N32" s="109">
        <v>1</v>
      </c>
      <c r="O32" s="109">
        <v>1</v>
      </c>
      <c r="P32" s="109">
        <v>1</v>
      </c>
      <c r="Q32" s="109">
        <v>1</v>
      </c>
      <c r="R32" s="109">
        <v>1</v>
      </c>
      <c r="S32" s="109">
        <v>1</v>
      </c>
      <c r="T32" s="109">
        <v>0</v>
      </c>
      <c r="U32" s="109">
        <v>0</v>
      </c>
      <c r="V32" s="109">
        <v>0</v>
      </c>
      <c r="W32" s="109">
        <v>0</v>
      </c>
      <c r="X32" s="109">
        <v>0</v>
      </c>
      <c r="Y32" s="109">
        <v>0</v>
      </c>
      <c r="Z32" s="109">
        <v>0</v>
      </c>
      <c r="AA32" s="109">
        <v>0</v>
      </c>
      <c r="AB32" s="109">
        <v>0</v>
      </c>
      <c r="AC32" s="109">
        <v>0</v>
      </c>
      <c r="AD32" s="109">
        <v>0</v>
      </c>
      <c r="AE32" s="109">
        <v>0</v>
      </c>
      <c r="AF32" s="109">
        <v>0</v>
      </c>
      <c r="AG32" s="109">
        <v>0</v>
      </c>
      <c r="AH32" s="109">
        <v>0</v>
      </c>
      <c r="AI32" s="109">
        <v>0</v>
      </c>
      <c r="AJ32" s="109">
        <v>0</v>
      </c>
      <c r="AK32" s="109">
        <v>0</v>
      </c>
      <c r="AL32" s="109">
        <v>0</v>
      </c>
      <c r="AM32" s="109">
        <v>0</v>
      </c>
      <c r="AN32" s="109">
        <v>0</v>
      </c>
      <c r="AO32" s="109">
        <v>0</v>
      </c>
      <c r="AP32" s="109">
        <v>0</v>
      </c>
    </row>
    <row r="33" spans="1:42" x14ac:dyDescent="0.15">
      <c r="A33" s="190" t="s">
        <v>223</v>
      </c>
      <c r="B33" s="109">
        <v>0</v>
      </c>
      <c r="C33" s="109">
        <v>0</v>
      </c>
      <c r="D33" s="109">
        <v>0</v>
      </c>
      <c r="E33" s="109">
        <v>0</v>
      </c>
      <c r="F33" s="109">
        <v>0</v>
      </c>
      <c r="G33" s="109">
        <v>1</v>
      </c>
      <c r="H33" s="109">
        <v>1</v>
      </c>
      <c r="I33" s="109">
        <v>0</v>
      </c>
      <c r="J33" s="109">
        <v>0</v>
      </c>
      <c r="K33" s="109">
        <v>0</v>
      </c>
      <c r="L33" s="109">
        <v>0</v>
      </c>
      <c r="M33" s="109">
        <v>0</v>
      </c>
      <c r="N33" s="109">
        <v>1</v>
      </c>
      <c r="O33" s="109">
        <v>1</v>
      </c>
      <c r="P33" s="109">
        <v>1</v>
      </c>
      <c r="Q33" s="109">
        <v>1</v>
      </c>
      <c r="R33" s="109">
        <v>0</v>
      </c>
      <c r="S33" s="109">
        <v>0</v>
      </c>
      <c r="T33" s="109">
        <v>0</v>
      </c>
      <c r="U33" s="109">
        <v>0</v>
      </c>
      <c r="V33" s="109">
        <v>1</v>
      </c>
      <c r="W33" s="109">
        <v>1</v>
      </c>
      <c r="X33" s="109">
        <v>0</v>
      </c>
      <c r="Y33" s="109">
        <v>0</v>
      </c>
      <c r="Z33" s="109">
        <v>0</v>
      </c>
      <c r="AA33" s="109">
        <v>0</v>
      </c>
      <c r="AB33" s="109">
        <v>1</v>
      </c>
      <c r="AC33" s="109">
        <v>0</v>
      </c>
      <c r="AD33" s="109">
        <v>0</v>
      </c>
      <c r="AE33" s="109">
        <v>1</v>
      </c>
      <c r="AF33" s="109">
        <v>1</v>
      </c>
      <c r="AG33" s="109">
        <v>0</v>
      </c>
      <c r="AH33" s="109">
        <v>1</v>
      </c>
      <c r="AI33" s="109">
        <v>0</v>
      </c>
      <c r="AJ33" s="109">
        <v>0</v>
      </c>
      <c r="AK33" s="109">
        <v>0</v>
      </c>
      <c r="AL33" s="109">
        <v>0</v>
      </c>
      <c r="AM33" s="109">
        <v>0</v>
      </c>
      <c r="AN33" s="109">
        <v>0</v>
      </c>
      <c r="AO33" s="109">
        <v>0</v>
      </c>
      <c r="AP33" s="109">
        <v>0</v>
      </c>
    </row>
    <row r="34" spans="1:42" x14ac:dyDescent="0.15">
      <c r="A34" s="190" t="s">
        <v>224</v>
      </c>
      <c r="B34" s="109">
        <v>0</v>
      </c>
      <c r="C34" s="109">
        <v>0</v>
      </c>
      <c r="D34" s="109">
        <v>0</v>
      </c>
      <c r="E34" s="109">
        <v>0</v>
      </c>
      <c r="F34" s="109">
        <v>0</v>
      </c>
      <c r="G34" s="109">
        <v>0</v>
      </c>
      <c r="H34" s="109">
        <v>0</v>
      </c>
      <c r="I34" s="109">
        <v>0</v>
      </c>
      <c r="J34" s="109">
        <v>0</v>
      </c>
      <c r="K34" s="109">
        <v>0</v>
      </c>
      <c r="L34" s="109">
        <v>0</v>
      </c>
      <c r="M34" s="109">
        <v>0</v>
      </c>
      <c r="N34" s="109">
        <v>0</v>
      </c>
      <c r="O34" s="109">
        <v>0</v>
      </c>
      <c r="P34" s="109">
        <v>0</v>
      </c>
      <c r="Q34" s="109">
        <v>0</v>
      </c>
      <c r="R34" s="109">
        <v>0</v>
      </c>
      <c r="S34" s="109">
        <v>0</v>
      </c>
      <c r="T34" s="109">
        <v>0</v>
      </c>
      <c r="U34" s="109">
        <v>0</v>
      </c>
      <c r="V34" s="109">
        <v>0</v>
      </c>
      <c r="W34" s="109">
        <v>1</v>
      </c>
      <c r="X34" s="109">
        <v>0</v>
      </c>
      <c r="Y34" s="109">
        <v>0</v>
      </c>
      <c r="Z34" s="109">
        <v>0</v>
      </c>
      <c r="AA34" s="109">
        <v>0</v>
      </c>
      <c r="AB34" s="109">
        <v>1</v>
      </c>
      <c r="AC34" s="109">
        <v>1</v>
      </c>
      <c r="AD34" s="109">
        <v>1</v>
      </c>
      <c r="AE34" s="109">
        <v>1</v>
      </c>
      <c r="AF34" s="109">
        <v>0</v>
      </c>
      <c r="AG34" s="109">
        <v>1</v>
      </c>
      <c r="AH34" s="109">
        <v>0</v>
      </c>
      <c r="AI34" s="109">
        <v>0</v>
      </c>
      <c r="AJ34" s="109">
        <v>0</v>
      </c>
      <c r="AK34" s="109">
        <v>0</v>
      </c>
      <c r="AL34" s="109">
        <v>0</v>
      </c>
      <c r="AM34" s="109">
        <v>0</v>
      </c>
      <c r="AN34" s="109">
        <v>0</v>
      </c>
      <c r="AO34" s="109">
        <v>0</v>
      </c>
      <c r="AP34" s="109">
        <v>0</v>
      </c>
    </row>
    <row r="35" spans="1:42" x14ac:dyDescent="0.15">
      <c r="A35" s="190" t="s">
        <v>225</v>
      </c>
      <c r="B35" s="109">
        <v>0</v>
      </c>
      <c r="C35" s="109">
        <v>0</v>
      </c>
      <c r="D35" s="109">
        <v>0</v>
      </c>
      <c r="E35" s="109">
        <v>0</v>
      </c>
      <c r="F35" s="109">
        <v>0</v>
      </c>
      <c r="G35" s="109">
        <v>0</v>
      </c>
      <c r="H35" s="109">
        <v>1</v>
      </c>
      <c r="I35" s="109">
        <v>0</v>
      </c>
      <c r="J35" s="109">
        <v>0</v>
      </c>
      <c r="K35" s="109">
        <v>0</v>
      </c>
      <c r="L35" s="109">
        <v>0</v>
      </c>
      <c r="M35" s="109">
        <v>1</v>
      </c>
      <c r="N35" s="109">
        <v>1</v>
      </c>
      <c r="O35" s="109">
        <v>0</v>
      </c>
      <c r="P35" s="109">
        <v>0</v>
      </c>
      <c r="Q35" s="109">
        <v>0</v>
      </c>
      <c r="R35" s="109">
        <v>1</v>
      </c>
      <c r="S35" s="109">
        <v>0</v>
      </c>
      <c r="T35" s="109">
        <v>1</v>
      </c>
      <c r="U35" s="109">
        <v>1</v>
      </c>
      <c r="V35" s="109">
        <v>0</v>
      </c>
      <c r="W35" s="109">
        <v>0</v>
      </c>
      <c r="X35" s="109">
        <v>1</v>
      </c>
      <c r="Y35" s="109">
        <v>1</v>
      </c>
      <c r="Z35" s="109">
        <v>1</v>
      </c>
      <c r="AA35" s="109">
        <v>1</v>
      </c>
      <c r="AB35" s="109">
        <v>0</v>
      </c>
      <c r="AC35" s="109">
        <v>1</v>
      </c>
      <c r="AD35" s="109">
        <v>0</v>
      </c>
      <c r="AE35" s="109">
        <v>1</v>
      </c>
      <c r="AF35" s="109">
        <v>1</v>
      </c>
      <c r="AG35" s="109">
        <v>0</v>
      </c>
      <c r="AH35" s="109">
        <v>0</v>
      </c>
      <c r="AI35" s="109">
        <v>0</v>
      </c>
      <c r="AJ35" s="109">
        <v>0</v>
      </c>
      <c r="AK35" s="109">
        <v>0</v>
      </c>
      <c r="AL35" s="109">
        <v>0</v>
      </c>
      <c r="AM35" s="109">
        <v>0</v>
      </c>
      <c r="AN35" s="109">
        <v>0</v>
      </c>
      <c r="AO35" s="109">
        <v>0</v>
      </c>
      <c r="AP35" s="109">
        <v>0</v>
      </c>
    </row>
    <row r="36" spans="1:42" x14ac:dyDescent="0.15">
      <c r="A36" s="190" t="s">
        <v>226</v>
      </c>
      <c r="B36" s="109">
        <v>0</v>
      </c>
      <c r="C36" s="109">
        <v>0</v>
      </c>
      <c r="D36" s="109">
        <v>0</v>
      </c>
      <c r="E36" s="109">
        <v>0</v>
      </c>
      <c r="F36" s="109">
        <v>0</v>
      </c>
      <c r="G36" s="109">
        <v>0</v>
      </c>
      <c r="H36" s="109">
        <v>0</v>
      </c>
      <c r="I36" s="109">
        <v>0</v>
      </c>
      <c r="J36" s="109">
        <v>0</v>
      </c>
      <c r="K36" s="109">
        <v>0</v>
      </c>
      <c r="L36" s="109">
        <v>0</v>
      </c>
      <c r="M36" s="109">
        <v>0</v>
      </c>
      <c r="N36" s="109">
        <v>0</v>
      </c>
      <c r="O36" s="109">
        <v>0</v>
      </c>
      <c r="P36" s="109">
        <v>0</v>
      </c>
      <c r="Q36" s="109">
        <v>0</v>
      </c>
      <c r="R36" s="109">
        <v>0</v>
      </c>
      <c r="S36" s="109">
        <v>0</v>
      </c>
      <c r="T36" s="109">
        <v>0</v>
      </c>
      <c r="U36" s="109">
        <v>0</v>
      </c>
      <c r="V36" s="109">
        <v>0</v>
      </c>
      <c r="W36" s="109">
        <v>0</v>
      </c>
      <c r="X36" s="109">
        <v>1</v>
      </c>
      <c r="Y36" s="109">
        <v>1</v>
      </c>
      <c r="Z36" s="109">
        <v>0</v>
      </c>
      <c r="AA36" s="109">
        <v>1</v>
      </c>
      <c r="AB36" s="109">
        <v>1</v>
      </c>
      <c r="AC36" s="109">
        <v>1</v>
      </c>
      <c r="AD36" s="109">
        <v>0</v>
      </c>
      <c r="AE36" s="109">
        <v>1</v>
      </c>
      <c r="AF36" s="109">
        <v>0</v>
      </c>
      <c r="AG36" s="109">
        <v>0</v>
      </c>
      <c r="AH36" s="109">
        <v>1</v>
      </c>
      <c r="AI36" s="109">
        <v>1</v>
      </c>
      <c r="AJ36" s="109">
        <v>1</v>
      </c>
      <c r="AK36" s="109">
        <v>0</v>
      </c>
      <c r="AL36" s="109">
        <v>0</v>
      </c>
      <c r="AM36" s="109">
        <v>0</v>
      </c>
      <c r="AN36" s="109">
        <v>0</v>
      </c>
      <c r="AO36" s="109">
        <v>0</v>
      </c>
      <c r="AP36" s="109">
        <v>0</v>
      </c>
    </row>
    <row r="37" spans="1:42" x14ac:dyDescent="0.15">
      <c r="A37" s="190" t="s">
        <v>227</v>
      </c>
      <c r="B37" s="109">
        <v>0</v>
      </c>
      <c r="C37" s="109">
        <v>0</v>
      </c>
      <c r="D37" s="109">
        <v>0</v>
      </c>
      <c r="E37" s="109">
        <v>0</v>
      </c>
      <c r="F37" s="109">
        <v>0</v>
      </c>
      <c r="G37" s="109">
        <v>0</v>
      </c>
      <c r="H37" s="109">
        <v>0</v>
      </c>
      <c r="I37" s="109">
        <v>0</v>
      </c>
      <c r="J37" s="109">
        <v>0</v>
      </c>
      <c r="K37" s="109">
        <v>0</v>
      </c>
      <c r="L37" s="109">
        <v>0</v>
      </c>
      <c r="M37" s="109">
        <v>0</v>
      </c>
      <c r="N37" s="109">
        <v>0</v>
      </c>
      <c r="O37" s="109">
        <v>0</v>
      </c>
      <c r="P37" s="109">
        <v>0</v>
      </c>
      <c r="Q37" s="109">
        <v>0</v>
      </c>
      <c r="R37" s="109">
        <v>0</v>
      </c>
      <c r="S37" s="109">
        <v>0</v>
      </c>
      <c r="T37" s="109">
        <v>0</v>
      </c>
      <c r="U37" s="109">
        <v>0</v>
      </c>
      <c r="V37" s="109">
        <v>0</v>
      </c>
      <c r="W37" s="109">
        <v>1</v>
      </c>
      <c r="X37" s="109">
        <v>0</v>
      </c>
      <c r="Y37" s="109">
        <v>0</v>
      </c>
      <c r="Z37" s="109">
        <v>0</v>
      </c>
      <c r="AA37" s="109">
        <v>0</v>
      </c>
      <c r="AB37" s="109">
        <v>1</v>
      </c>
      <c r="AC37" s="109">
        <v>0</v>
      </c>
      <c r="AD37" s="109">
        <v>1</v>
      </c>
      <c r="AE37" s="109">
        <v>1</v>
      </c>
      <c r="AF37" s="109">
        <v>0</v>
      </c>
      <c r="AG37" s="109">
        <v>0</v>
      </c>
      <c r="AH37" s="109">
        <v>1</v>
      </c>
      <c r="AI37" s="109">
        <v>0</v>
      </c>
      <c r="AJ37" s="109">
        <v>0</v>
      </c>
      <c r="AK37" s="109">
        <v>0</v>
      </c>
      <c r="AL37" s="109">
        <v>0</v>
      </c>
      <c r="AM37" s="109">
        <v>0</v>
      </c>
      <c r="AN37" s="109">
        <v>0</v>
      </c>
      <c r="AO37" s="109">
        <v>0</v>
      </c>
      <c r="AP37" s="109">
        <v>0</v>
      </c>
    </row>
    <row r="38" spans="1:42" x14ac:dyDescent="0.15">
      <c r="A38" s="190" t="s">
        <v>228</v>
      </c>
      <c r="B38" s="109">
        <v>0</v>
      </c>
      <c r="C38" s="109">
        <v>0</v>
      </c>
      <c r="D38" s="109">
        <v>0</v>
      </c>
      <c r="E38" s="109">
        <v>0</v>
      </c>
      <c r="F38" s="109">
        <v>0</v>
      </c>
      <c r="G38" s="109">
        <v>0</v>
      </c>
      <c r="H38" s="109">
        <v>0</v>
      </c>
      <c r="I38" s="109">
        <v>0</v>
      </c>
      <c r="J38" s="109">
        <v>0</v>
      </c>
      <c r="K38" s="109">
        <v>0</v>
      </c>
      <c r="L38" s="109">
        <v>0</v>
      </c>
      <c r="M38" s="109">
        <v>0</v>
      </c>
      <c r="N38" s="109">
        <v>0</v>
      </c>
      <c r="O38" s="109">
        <v>0</v>
      </c>
      <c r="P38" s="109">
        <v>0</v>
      </c>
      <c r="Q38" s="109">
        <v>0</v>
      </c>
      <c r="R38" s="109">
        <v>0</v>
      </c>
      <c r="S38" s="109">
        <v>0</v>
      </c>
      <c r="T38" s="109">
        <v>0</v>
      </c>
      <c r="U38" s="109">
        <v>0</v>
      </c>
      <c r="V38" s="109">
        <v>0</v>
      </c>
      <c r="W38" s="109">
        <v>0</v>
      </c>
      <c r="X38" s="109">
        <v>1</v>
      </c>
      <c r="Y38" s="109">
        <v>1</v>
      </c>
      <c r="Z38" s="109">
        <v>0</v>
      </c>
      <c r="AA38" s="109">
        <v>1</v>
      </c>
      <c r="AB38" s="109">
        <v>0</v>
      </c>
      <c r="AC38" s="109">
        <v>1</v>
      </c>
      <c r="AD38" s="109">
        <v>0</v>
      </c>
      <c r="AE38" s="109">
        <v>1</v>
      </c>
      <c r="AF38" s="109">
        <v>1</v>
      </c>
      <c r="AG38" s="109">
        <v>0</v>
      </c>
      <c r="AH38" s="109">
        <v>0</v>
      </c>
      <c r="AI38" s="109">
        <v>1</v>
      </c>
      <c r="AJ38" s="109">
        <v>1</v>
      </c>
      <c r="AK38" s="109">
        <v>0</v>
      </c>
      <c r="AL38" s="109">
        <v>0</v>
      </c>
      <c r="AM38" s="109">
        <v>0</v>
      </c>
      <c r="AN38" s="109">
        <v>0</v>
      </c>
      <c r="AO38" s="109">
        <v>0</v>
      </c>
      <c r="AP38" s="109">
        <v>0</v>
      </c>
    </row>
    <row r="39" spans="1:42" x14ac:dyDescent="0.15">
      <c r="A39" s="190" t="s">
        <v>229</v>
      </c>
      <c r="B39" s="109">
        <v>0</v>
      </c>
      <c r="C39" s="109">
        <v>0</v>
      </c>
      <c r="D39" s="109">
        <v>0</v>
      </c>
      <c r="E39" s="109">
        <v>0</v>
      </c>
      <c r="F39" s="109">
        <v>0</v>
      </c>
      <c r="G39" s="109">
        <v>0</v>
      </c>
      <c r="H39" s="109">
        <v>0</v>
      </c>
      <c r="I39" s="109">
        <v>0</v>
      </c>
      <c r="J39" s="109">
        <v>0</v>
      </c>
      <c r="K39" s="109">
        <v>0</v>
      </c>
      <c r="L39" s="109">
        <v>0</v>
      </c>
      <c r="M39" s="109">
        <v>0</v>
      </c>
      <c r="N39" s="109">
        <v>0</v>
      </c>
      <c r="O39" s="109">
        <v>0</v>
      </c>
      <c r="P39" s="109">
        <v>1</v>
      </c>
      <c r="Q39" s="109">
        <v>1</v>
      </c>
      <c r="R39" s="109">
        <v>0</v>
      </c>
      <c r="S39" s="109">
        <v>0</v>
      </c>
      <c r="T39" s="109">
        <v>0</v>
      </c>
      <c r="U39" s="109">
        <v>0</v>
      </c>
      <c r="V39" s="109">
        <v>0</v>
      </c>
      <c r="W39" s="109">
        <v>0</v>
      </c>
      <c r="X39" s="109">
        <v>0</v>
      </c>
      <c r="Y39" s="109">
        <v>0</v>
      </c>
      <c r="Z39" s="109">
        <v>0</v>
      </c>
      <c r="AA39" s="109">
        <v>0</v>
      </c>
      <c r="AB39" s="109">
        <v>0</v>
      </c>
      <c r="AC39" s="109">
        <v>0</v>
      </c>
      <c r="AD39" s="109">
        <v>0</v>
      </c>
      <c r="AE39" s="109">
        <v>0</v>
      </c>
      <c r="AF39" s="109">
        <v>0</v>
      </c>
      <c r="AG39" s="109">
        <v>0</v>
      </c>
      <c r="AH39" s="109">
        <v>0</v>
      </c>
      <c r="AI39" s="109">
        <v>0</v>
      </c>
      <c r="AJ39" s="109">
        <v>0</v>
      </c>
      <c r="AK39" s="109">
        <v>0</v>
      </c>
      <c r="AL39" s="109">
        <v>0</v>
      </c>
      <c r="AM39" s="109">
        <v>0</v>
      </c>
      <c r="AN39" s="109">
        <v>0</v>
      </c>
      <c r="AO39" s="109">
        <v>0</v>
      </c>
      <c r="AP39" s="109">
        <v>0</v>
      </c>
    </row>
    <row r="40" spans="1:42" x14ac:dyDescent="0.15">
      <c r="A40" s="190" t="s">
        <v>230</v>
      </c>
      <c r="B40" s="109">
        <v>0</v>
      </c>
      <c r="C40" s="109">
        <v>0</v>
      </c>
      <c r="D40" s="109">
        <v>0</v>
      </c>
      <c r="E40" s="109">
        <v>1</v>
      </c>
      <c r="F40" s="109">
        <v>0</v>
      </c>
      <c r="G40" s="109">
        <v>0</v>
      </c>
      <c r="H40" s="109">
        <v>0</v>
      </c>
      <c r="I40" s="109">
        <v>0</v>
      </c>
      <c r="J40" s="109">
        <v>0</v>
      </c>
      <c r="K40" s="109">
        <v>0</v>
      </c>
      <c r="L40" s="109">
        <v>0</v>
      </c>
      <c r="M40" s="109">
        <v>0</v>
      </c>
      <c r="N40" s="109">
        <v>0</v>
      </c>
      <c r="O40" s="109">
        <v>0</v>
      </c>
      <c r="P40" s="109">
        <v>0</v>
      </c>
      <c r="Q40" s="109">
        <v>0</v>
      </c>
      <c r="R40" s="109">
        <v>0</v>
      </c>
      <c r="S40" s="109">
        <v>0</v>
      </c>
      <c r="T40" s="109">
        <v>0</v>
      </c>
      <c r="U40" s="109">
        <v>0</v>
      </c>
      <c r="V40" s="109">
        <v>0</v>
      </c>
      <c r="W40" s="109">
        <v>1</v>
      </c>
      <c r="X40" s="109">
        <v>0</v>
      </c>
      <c r="Y40" s="109">
        <v>0</v>
      </c>
      <c r="Z40" s="109">
        <v>0</v>
      </c>
      <c r="AA40" s="109">
        <v>0</v>
      </c>
      <c r="AB40" s="109">
        <v>0</v>
      </c>
      <c r="AC40" s="109">
        <v>0</v>
      </c>
      <c r="AD40" s="109">
        <v>0</v>
      </c>
      <c r="AE40" s="109">
        <v>1</v>
      </c>
      <c r="AF40" s="109">
        <v>1</v>
      </c>
      <c r="AG40" s="109">
        <v>0</v>
      </c>
      <c r="AH40" s="109">
        <v>1</v>
      </c>
      <c r="AI40" s="109">
        <v>0</v>
      </c>
      <c r="AJ40" s="109">
        <v>0</v>
      </c>
      <c r="AK40" s="109">
        <v>1</v>
      </c>
      <c r="AL40" s="109">
        <v>0</v>
      </c>
      <c r="AM40" s="109">
        <v>0</v>
      </c>
      <c r="AN40" s="109">
        <v>0</v>
      </c>
      <c r="AO40" s="109">
        <v>0</v>
      </c>
      <c r="AP40" s="109">
        <v>0</v>
      </c>
    </row>
    <row r="41" spans="1:42" x14ac:dyDescent="0.15">
      <c r="A41" s="190" t="s">
        <v>231</v>
      </c>
      <c r="B41" s="109">
        <v>0</v>
      </c>
      <c r="C41" s="109">
        <v>0</v>
      </c>
      <c r="D41" s="109">
        <v>0</v>
      </c>
      <c r="E41" s="109">
        <v>0</v>
      </c>
      <c r="F41" s="109">
        <v>0</v>
      </c>
      <c r="G41" s="109">
        <v>0</v>
      </c>
      <c r="H41" s="109">
        <v>0</v>
      </c>
      <c r="I41" s="109">
        <v>0</v>
      </c>
      <c r="J41" s="109">
        <v>0</v>
      </c>
      <c r="K41" s="109">
        <v>0</v>
      </c>
      <c r="L41" s="109">
        <v>0</v>
      </c>
      <c r="M41" s="109">
        <v>0</v>
      </c>
      <c r="N41" s="109">
        <v>0</v>
      </c>
      <c r="O41" s="109">
        <v>0</v>
      </c>
      <c r="P41" s="109">
        <v>0</v>
      </c>
      <c r="Q41" s="109">
        <v>0</v>
      </c>
      <c r="R41" s="109">
        <v>0</v>
      </c>
      <c r="S41" s="109">
        <v>0</v>
      </c>
      <c r="T41" s="109">
        <v>0</v>
      </c>
      <c r="U41" s="109">
        <v>0</v>
      </c>
      <c r="V41" s="109">
        <v>0</v>
      </c>
      <c r="W41" s="109">
        <v>0</v>
      </c>
      <c r="X41" s="109">
        <v>0</v>
      </c>
      <c r="Y41" s="109">
        <v>0</v>
      </c>
      <c r="Z41" s="109">
        <v>0</v>
      </c>
      <c r="AA41" s="109">
        <v>0</v>
      </c>
      <c r="AB41" s="109">
        <v>0</v>
      </c>
      <c r="AC41" s="109">
        <v>1</v>
      </c>
      <c r="AD41" s="109">
        <v>1</v>
      </c>
      <c r="AE41" s="109">
        <v>1</v>
      </c>
      <c r="AF41" s="109">
        <v>1</v>
      </c>
      <c r="AG41" s="109">
        <v>1</v>
      </c>
      <c r="AH41" s="109">
        <v>1</v>
      </c>
      <c r="AI41" s="109">
        <v>1</v>
      </c>
      <c r="AJ41" s="109">
        <v>1</v>
      </c>
      <c r="AK41" s="109">
        <v>1</v>
      </c>
      <c r="AL41" s="109">
        <v>0</v>
      </c>
      <c r="AM41" s="109">
        <v>0</v>
      </c>
      <c r="AN41" s="109">
        <v>0</v>
      </c>
      <c r="AO41" s="109">
        <v>0</v>
      </c>
      <c r="AP41" s="109">
        <v>0</v>
      </c>
    </row>
    <row r="42" spans="1:42" x14ac:dyDescent="0.15">
      <c r="A42" s="190" t="s">
        <v>232</v>
      </c>
      <c r="B42" s="109">
        <v>0</v>
      </c>
      <c r="C42" s="109">
        <v>0</v>
      </c>
      <c r="D42" s="109">
        <v>0</v>
      </c>
      <c r="E42" s="109">
        <v>0</v>
      </c>
      <c r="F42" s="109">
        <v>0</v>
      </c>
      <c r="G42" s="109">
        <v>0</v>
      </c>
      <c r="H42" s="109">
        <v>0</v>
      </c>
      <c r="I42" s="109">
        <v>0</v>
      </c>
      <c r="J42" s="109">
        <v>0</v>
      </c>
      <c r="K42" s="109">
        <v>0</v>
      </c>
      <c r="L42" s="109">
        <v>0</v>
      </c>
      <c r="M42" s="109">
        <v>0</v>
      </c>
      <c r="N42" s="109">
        <v>0</v>
      </c>
      <c r="O42" s="109">
        <v>0</v>
      </c>
      <c r="P42" s="109">
        <v>0</v>
      </c>
      <c r="Q42" s="109">
        <v>0</v>
      </c>
      <c r="R42" s="109">
        <v>0</v>
      </c>
      <c r="S42" s="109">
        <v>0</v>
      </c>
      <c r="T42" s="109">
        <v>0</v>
      </c>
      <c r="U42" s="109">
        <v>0</v>
      </c>
      <c r="V42" s="109">
        <v>0</v>
      </c>
      <c r="W42" s="109">
        <v>1</v>
      </c>
      <c r="X42" s="109">
        <v>0</v>
      </c>
      <c r="Y42" s="109">
        <v>0</v>
      </c>
      <c r="Z42" s="109">
        <v>0</v>
      </c>
      <c r="AA42" s="109">
        <v>0</v>
      </c>
      <c r="AB42" s="109">
        <v>1</v>
      </c>
      <c r="AC42" s="109">
        <v>1</v>
      </c>
      <c r="AD42" s="109">
        <v>1</v>
      </c>
      <c r="AE42" s="109">
        <v>1</v>
      </c>
      <c r="AF42" s="109">
        <v>1</v>
      </c>
      <c r="AG42" s="109">
        <v>1</v>
      </c>
      <c r="AH42" s="109">
        <v>1</v>
      </c>
      <c r="AI42" s="109">
        <v>1</v>
      </c>
      <c r="AJ42" s="109">
        <v>1</v>
      </c>
      <c r="AK42" s="109">
        <v>1</v>
      </c>
      <c r="AL42" s="109">
        <v>0</v>
      </c>
      <c r="AM42" s="109">
        <v>0</v>
      </c>
      <c r="AN42" s="109">
        <v>0</v>
      </c>
      <c r="AO42" s="109">
        <v>0</v>
      </c>
      <c r="AP42" s="109">
        <v>0</v>
      </c>
    </row>
    <row r="43" spans="1:42" x14ac:dyDescent="0.15">
      <c r="A43" s="190" t="s">
        <v>239</v>
      </c>
      <c r="B43" s="109">
        <v>0</v>
      </c>
      <c r="C43" s="109">
        <v>0</v>
      </c>
      <c r="D43" s="109">
        <v>0</v>
      </c>
      <c r="E43" s="109">
        <v>0</v>
      </c>
      <c r="F43" s="109">
        <v>0</v>
      </c>
      <c r="G43" s="109">
        <v>0</v>
      </c>
      <c r="H43" s="109">
        <v>0</v>
      </c>
      <c r="I43" s="109">
        <v>0</v>
      </c>
      <c r="J43" s="109">
        <v>0</v>
      </c>
      <c r="K43" s="109">
        <v>0</v>
      </c>
      <c r="L43" s="109">
        <v>0</v>
      </c>
      <c r="M43" s="109">
        <v>0</v>
      </c>
      <c r="N43" s="109">
        <v>0</v>
      </c>
      <c r="O43" s="109">
        <v>0</v>
      </c>
      <c r="P43" s="109">
        <v>0</v>
      </c>
      <c r="Q43" s="109">
        <v>0</v>
      </c>
      <c r="R43" s="109">
        <v>0</v>
      </c>
      <c r="S43" s="109">
        <v>0</v>
      </c>
      <c r="T43" s="109">
        <v>0</v>
      </c>
      <c r="U43" s="109">
        <v>0</v>
      </c>
      <c r="V43" s="109">
        <v>0</v>
      </c>
      <c r="W43" s="109">
        <v>0</v>
      </c>
      <c r="X43" s="109">
        <v>0</v>
      </c>
      <c r="Y43" s="109">
        <v>0</v>
      </c>
      <c r="Z43" s="109">
        <v>0</v>
      </c>
      <c r="AA43" s="109">
        <v>0</v>
      </c>
      <c r="AB43" s="109">
        <v>0</v>
      </c>
      <c r="AC43" s="109">
        <v>0</v>
      </c>
      <c r="AD43" s="109">
        <v>0</v>
      </c>
      <c r="AE43" s="109">
        <v>0</v>
      </c>
      <c r="AF43" s="109">
        <v>0</v>
      </c>
      <c r="AG43" s="109">
        <v>0</v>
      </c>
      <c r="AH43" s="109">
        <v>0</v>
      </c>
      <c r="AI43" s="109">
        <v>0</v>
      </c>
      <c r="AJ43" s="109">
        <v>0</v>
      </c>
      <c r="AK43" s="109">
        <v>0</v>
      </c>
      <c r="AL43" s="109">
        <v>0</v>
      </c>
      <c r="AM43" s="109">
        <v>0</v>
      </c>
      <c r="AN43" s="109">
        <v>0</v>
      </c>
      <c r="AO43" s="109">
        <v>0</v>
      </c>
      <c r="AP43" s="109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H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32" bestFit="1" customWidth="1"/>
    <col min="3" max="4" width="3.83203125" bestFit="1" customWidth="1"/>
    <col min="5" max="8" width="3.83203125" customWidth="1"/>
  </cols>
  <sheetData>
    <row r="1" spans="1:8" ht="112" x14ac:dyDescent="0.15">
      <c r="A1" s="5" t="s">
        <v>83</v>
      </c>
      <c r="B1" s="3" t="s">
        <v>0</v>
      </c>
      <c r="C1" s="193" t="s">
        <v>233</v>
      </c>
      <c r="D1" s="193" t="s">
        <v>234</v>
      </c>
      <c r="E1" s="193" t="s">
        <v>235</v>
      </c>
      <c r="F1" s="193" t="s">
        <v>236</v>
      </c>
      <c r="G1" s="193" t="s">
        <v>237</v>
      </c>
      <c r="H1" s="193" t="s">
        <v>238</v>
      </c>
    </row>
    <row r="2" spans="1:8" x14ac:dyDescent="0.15">
      <c r="A2">
        <v>1</v>
      </c>
      <c r="B2" s="192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</row>
    <row r="3" spans="1:8" x14ac:dyDescent="0.15">
      <c r="A3">
        <v>2</v>
      </c>
      <c r="B3" s="192" t="s">
        <v>193</v>
      </c>
      <c r="C3">
        <v>0</v>
      </c>
      <c r="D3">
        <v>0</v>
      </c>
      <c r="E3">
        <v>0</v>
      </c>
      <c r="F3">
        <v>0.8</v>
      </c>
      <c r="G3">
        <v>0</v>
      </c>
      <c r="H3">
        <v>0</v>
      </c>
    </row>
    <row r="4" spans="1:8" x14ac:dyDescent="0.15">
      <c r="A4">
        <v>3</v>
      </c>
      <c r="B4" s="192" t="s">
        <v>194</v>
      </c>
      <c r="C4">
        <v>0</v>
      </c>
      <c r="D4">
        <v>0.8</v>
      </c>
      <c r="E4">
        <v>0</v>
      </c>
      <c r="F4">
        <v>0</v>
      </c>
      <c r="G4">
        <v>0</v>
      </c>
      <c r="H4">
        <v>0</v>
      </c>
    </row>
    <row r="5" spans="1:8" x14ac:dyDescent="0.15">
      <c r="A5">
        <v>4</v>
      </c>
      <c r="B5" s="192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</row>
    <row r="6" spans="1:8" x14ac:dyDescent="0.15">
      <c r="A6">
        <v>5</v>
      </c>
      <c r="B6" s="192" t="s">
        <v>196</v>
      </c>
      <c r="C6">
        <v>0</v>
      </c>
      <c r="D6">
        <v>0</v>
      </c>
      <c r="E6">
        <v>0</v>
      </c>
      <c r="F6">
        <v>0.8</v>
      </c>
      <c r="G6">
        <v>0</v>
      </c>
      <c r="H6">
        <v>0</v>
      </c>
    </row>
    <row r="7" spans="1:8" x14ac:dyDescent="0.15">
      <c r="A7">
        <v>6</v>
      </c>
      <c r="B7" s="192" t="s">
        <v>197</v>
      </c>
      <c r="C7">
        <v>0</v>
      </c>
      <c r="D7">
        <v>0</v>
      </c>
      <c r="E7">
        <v>0</v>
      </c>
      <c r="F7">
        <v>0.8</v>
      </c>
      <c r="G7">
        <v>0</v>
      </c>
      <c r="H7">
        <v>0.8</v>
      </c>
    </row>
    <row r="8" spans="1:8" x14ac:dyDescent="0.15">
      <c r="A8">
        <v>7</v>
      </c>
      <c r="B8" s="192" t="s">
        <v>198</v>
      </c>
      <c r="C8">
        <v>0</v>
      </c>
      <c r="D8">
        <v>0</v>
      </c>
      <c r="E8">
        <v>0</v>
      </c>
      <c r="F8">
        <v>0.8</v>
      </c>
      <c r="G8">
        <v>0</v>
      </c>
      <c r="H8">
        <v>0</v>
      </c>
    </row>
    <row r="9" spans="1:8" x14ac:dyDescent="0.15">
      <c r="A9">
        <v>8</v>
      </c>
      <c r="B9" s="192" t="s">
        <v>199</v>
      </c>
      <c r="C9">
        <v>0.8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x14ac:dyDescent="0.15">
      <c r="A10">
        <v>9</v>
      </c>
      <c r="B10" s="192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 x14ac:dyDescent="0.15">
      <c r="A11">
        <v>10</v>
      </c>
      <c r="B11" s="192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 x14ac:dyDescent="0.15">
      <c r="A12">
        <v>11</v>
      </c>
      <c r="B12" s="192" t="s">
        <v>202</v>
      </c>
      <c r="C12">
        <v>0</v>
      </c>
      <c r="D12">
        <v>0</v>
      </c>
      <c r="E12">
        <v>0</v>
      </c>
      <c r="F12">
        <v>0.8</v>
      </c>
      <c r="G12">
        <v>0</v>
      </c>
      <c r="H12">
        <v>0</v>
      </c>
    </row>
    <row r="13" spans="1:8" x14ac:dyDescent="0.15">
      <c r="A13">
        <v>12</v>
      </c>
      <c r="B13" s="192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15">
      <c r="A14">
        <v>13</v>
      </c>
      <c r="B14" s="192" t="s">
        <v>204</v>
      </c>
      <c r="C14">
        <v>0</v>
      </c>
      <c r="D14">
        <v>0</v>
      </c>
      <c r="E14">
        <v>0</v>
      </c>
      <c r="F14">
        <v>0.8</v>
      </c>
      <c r="G14">
        <v>0</v>
      </c>
      <c r="H14">
        <v>0</v>
      </c>
    </row>
    <row r="15" spans="1:8" x14ac:dyDescent="0.15">
      <c r="A15">
        <v>14</v>
      </c>
      <c r="B15" s="192" t="s">
        <v>205</v>
      </c>
      <c r="C15">
        <v>0</v>
      </c>
      <c r="D15">
        <v>0</v>
      </c>
      <c r="E15">
        <v>0</v>
      </c>
      <c r="F15">
        <v>0.8</v>
      </c>
      <c r="G15">
        <v>0</v>
      </c>
      <c r="H15">
        <v>0</v>
      </c>
    </row>
    <row r="16" spans="1:8" x14ac:dyDescent="0.15">
      <c r="A16">
        <v>15</v>
      </c>
      <c r="B16" s="192" t="s">
        <v>206</v>
      </c>
      <c r="C16">
        <v>0</v>
      </c>
      <c r="D16">
        <v>0</v>
      </c>
      <c r="E16">
        <v>0</v>
      </c>
      <c r="F16">
        <v>0.8</v>
      </c>
      <c r="G16">
        <v>0</v>
      </c>
      <c r="H16">
        <v>0</v>
      </c>
    </row>
    <row r="17" spans="1:8" x14ac:dyDescent="0.15">
      <c r="A17">
        <v>16</v>
      </c>
      <c r="B17" s="192" t="s">
        <v>207</v>
      </c>
      <c r="C17">
        <v>0</v>
      </c>
      <c r="D17">
        <v>0</v>
      </c>
      <c r="E17">
        <v>0</v>
      </c>
      <c r="F17">
        <v>0.8</v>
      </c>
      <c r="G17">
        <v>0</v>
      </c>
      <c r="H17">
        <v>0</v>
      </c>
    </row>
    <row r="18" spans="1:8" x14ac:dyDescent="0.15">
      <c r="A18">
        <v>17</v>
      </c>
      <c r="B18" s="192" t="s">
        <v>208</v>
      </c>
      <c r="C18">
        <v>0</v>
      </c>
      <c r="D18">
        <v>0</v>
      </c>
      <c r="E18">
        <v>0</v>
      </c>
      <c r="F18">
        <v>0.8</v>
      </c>
      <c r="G18">
        <v>0</v>
      </c>
      <c r="H18">
        <v>0.8</v>
      </c>
    </row>
    <row r="19" spans="1:8" x14ac:dyDescent="0.15">
      <c r="A19">
        <v>18</v>
      </c>
      <c r="B19" s="192" t="s">
        <v>209</v>
      </c>
      <c r="C19">
        <v>0</v>
      </c>
      <c r="D19">
        <v>0</v>
      </c>
      <c r="E19">
        <v>0</v>
      </c>
      <c r="F19">
        <v>0.8</v>
      </c>
      <c r="G19">
        <v>0</v>
      </c>
      <c r="H19">
        <v>0.8</v>
      </c>
    </row>
    <row r="20" spans="1:8" x14ac:dyDescent="0.15">
      <c r="A20">
        <v>19</v>
      </c>
      <c r="B20" s="192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0.8</v>
      </c>
    </row>
    <row r="21" spans="1:8" x14ac:dyDescent="0.15">
      <c r="A21">
        <v>20</v>
      </c>
      <c r="B21" s="192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</row>
    <row r="22" spans="1:8" x14ac:dyDescent="0.15">
      <c r="A22">
        <v>21</v>
      </c>
      <c r="B22" s="192" t="s">
        <v>212</v>
      </c>
      <c r="C22">
        <v>0</v>
      </c>
      <c r="D22">
        <v>0</v>
      </c>
      <c r="E22">
        <v>0</v>
      </c>
      <c r="F22">
        <v>0.8</v>
      </c>
      <c r="G22">
        <v>0</v>
      </c>
      <c r="H22">
        <v>0</v>
      </c>
    </row>
    <row r="23" spans="1:8" x14ac:dyDescent="0.15">
      <c r="A23">
        <v>22</v>
      </c>
      <c r="B23" s="192" t="s">
        <v>213</v>
      </c>
      <c r="C23">
        <v>0</v>
      </c>
      <c r="D23">
        <v>0</v>
      </c>
      <c r="E23">
        <v>0</v>
      </c>
      <c r="F23">
        <v>0</v>
      </c>
      <c r="G23">
        <v>0.8</v>
      </c>
      <c r="H23">
        <v>0</v>
      </c>
    </row>
    <row r="24" spans="1:8" x14ac:dyDescent="0.15">
      <c r="A24">
        <v>23</v>
      </c>
      <c r="B24" s="192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</row>
    <row r="25" spans="1:8" x14ac:dyDescent="0.15">
      <c r="A25">
        <v>24</v>
      </c>
      <c r="B25" s="192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</row>
    <row r="26" spans="1:8" x14ac:dyDescent="0.15">
      <c r="A26">
        <v>25</v>
      </c>
      <c r="B26" s="192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</row>
    <row r="27" spans="1:8" x14ac:dyDescent="0.15">
      <c r="A27">
        <v>26</v>
      </c>
      <c r="B27" s="192" t="s">
        <v>217</v>
      </c>
      <c r="C27">
        <v>0</v>
      </c>
      <c r="D27">
        <v>0</v>
      </c>
      <c r="E27">
        <v>0.8</v>
      </c>
      <c r="F27">
        <v>0</v>
      </c>
      <c r="G27">
        <v>0</v>
      </c>
      <c r="H27">
        <v>0</v>
      </c>
    </row>
    <row r="28" spans="1:8" x14ac:dyDescent="0.15">
      <c r="A28">
        <v>27</v>
      </c>
      <c r="B28" s="192" t="s">
        <v>218</v>
      </c>
      <c r="C28">
        <v>0</v>
      </c>
      <c r="D28">
        <v>0</v>
      </c>
      <c r="E28">
        <v>0</v>
      </c>
      <c r="F28">
        <v>0.8</v>
      </c>
      <c r="G28">
        <v>0</v>
      </c>
      <c r="H28">
        <v>0</v>
      </c>
    </row>
    <row r="29" spans="1:8" x14ac:dyDescent="0.15">
      <c r="A29">
        <v>28</v>
      </c>
      <c r="B29" s="192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</row>
    <row r="30" spans="1:8" x14ac:dyDescent="0.15">
      <c r="A30">
        <v>29</v>
      </c>
      <c r="B30" s="192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</row>
    <row r="31" spans="1:8" x14ac:dyDescent="0.15">
      <c r="A31">
        <v>30</v>
      </c>
      <c r="B31" s="192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</row>
    <row r="32" spans="1:8" x14ac:dyDescent="0.15">
      <c r="A32">
        <v>31</v>
      </c>
      <c r="B32" s="192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0.8</v>
      </c>
    </row>
    <row r="33" spans="1:8" x14ac:dyDescent="0.15">
      <c r="A33">
        <v>32</v>
      </c>
      <c r="B33" s="192" t="s">
        <v>223</v>
      </c>
      <c r="C33">
        <v>0</v>
      </c>
      <c r="D33">
        <v>0</v>
      </c>
      <c r="E33">
        <v>0</v>
      </c>
      <c r="F33">
        <v>0</v>
      </c>
      <c r="G33">
        <v>0.8</v>
      </c>
      <c r="H33">
        <v>0</v>
      </c>
    </row>
    <row r="34" spans="1:8" x14ac:dyDescent="0.15">
      <c r="A34">
        <v>33</v>
      </c>
      <c r="B34" s="192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</row>
    <row r="35" spans="1:8" x14ac:dyDescent="0.15">
      <c r="A35">
        <v>34</v>
      </c>
      <c r="B35" s="192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</row>
    <row r="36" spans="1:8" x14ac:dyDescent="0.15">
      <c r="A36">
        <v>35</v>
      </c>
      <c r="B36" s="192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</row>
    <row r="37" spans="1:8" x14ac:dyDescent="0.15">
      <c r="A37">
        <v>36</v>
      </c>
      <c r="B37" s="192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</row>
    <row r="38" spans="1:8" x14ac:dyDescent="0.15">
      <c r="A38">
        <v>37</v>
      </c>
      <c r="B38" s="192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</row>
    <row r="39" spans="1:8" x14ac:dyDescent="0.15">
      <c r="A39">
        <v>38</v>
      </c>
      <c r="B39" s="192" t="s">
        <v>229</v>
      </c>
      <c r="C39">
        <v>0</v>
      </c>
      <c r="D39">
        <v>0</v>
      </c>
      <c r="E39">
        <v>0</v>
      </c>
      <c r="F39">
        <v>0</v>
      </c>
      <c r="G39">
        <v>0.8</v>
      </c>
      <c r="H39">
        <v>0</v>
      </c>
    </row>
    <row r="40" spans="1:8" x14ac:dyDescent="0.15">
      <c r="A40">
        <v>39</v>
      </c>
      <c r="B40" s="192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</row>
    <row r="41" spans="1:8" x14ac:dyDescent="0.15">
      <c r="A41">
        <v>40</v>
      </c>
      <c r="B41" s="192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</row>
    <row r="42" spans="1:8" x14ac:dyDescent="0.15">
      <c r="A42">
        <v>41</v>
      </c>
      <c r="B42" s="192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H42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32" bestFit="1" customWidth="1"/>
    <col min="3" max="4" width="3.83203125" bestFit="1" customWidth="1"/>
    <col min="5" max="8" width="3.83203125" customWidth="1"/>
  </cols>
  <sheetData>
    <row r="1" spans="1:8" ht="112" x14ac:dyDescent="0.15">
      <c r="A1" s="5" t="s">
        <v>82</v>
      </c>
      <c r="B1" s="3" t="s">
        <v>0</v>
      </c>
      <c r="C1" s="195" t="s">
        <v>233</v>
      </c>
      <c r="D1" s="195" t="s">
        <v>234</v>
      </c>
      <c r="E1" s="195" t="s">
        <v>235</v>
      </c>
      <c r="F1" s="195" t="s">
        <v>236</v>
      </c>
      <c r="G1" s="195" t="s">
        <v>237</v>
      </c>
      <c r="H1" s="195" t="s">
        <v>238</v>
      </c>
    </row>
    <row r="2" spans="1:8" x14ac:dyDescent="0.15">
      <c r="A2">
        <v>1</v>
      </c>
      <c r="B2" s="194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</row>
    <row r="3" spans="1:8" x14ac:dyDescent="0.15">
      <c r="A3">
        <v>2</v>
      </c>
      <c r="B3" s="194" t="s">
        <v>193</v>
      </c>
      <c r="C3">
        <v>0</v>
      </c>
      <c r="D3">
        <v>0</v>
      </c>
      <c r="E3">
        <v>0</v>
      </c>
      <c r="F3">
        <v>0.8</v>
      </c>
      <c r="G3">
        <v>0</v>
      </c>
      <c r="H3">
        <v>0</v>
      </c>
    </row>
    <row r="4" spans="1:8" x14ac:dyDescent="0.15">
      <c r="A4">
        <v>3</v>
      </c>
      <c r="B4" s="194" t="s">
        <v>194</v>
      </c>
      <c r="C4">
        <v>0</v>
      </c>
      <c r="D4">
        <v>0.8</v>
      </c>
      <c r="E4">
        <v>0</v>
      </c>
      <c r="F4">
        <v>0</v>
      </c>
      <c r="G4">
        <v>0</v>
      </c>
      <c r="H4">
        <v>0</v>
      </c>
    </row>
    <row r="5" spans="1:8" x14ac:dyDescent="0.15">
      <c r="A5">
        <v>4</v>
      </c>
      <c r="B5" s="194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</row>
    <row r="6" spans="1:8" x14ac:dyDescent="0.15">
      <c r="A6">
        <v>5</v>
      </c>
      <c r="B6" s="194" t="s">
        <v>196</v>
      </c>
      <c r="C6">
        <v>0</v>
      </c>
      <c r="D6">
        <v>0</v>
      </c>
      <c r="E6">
        <v>0</v>
      </c>
      <c r="F6">
        <v>0.8</v>
      </c>
      <c r="G6">
        <v>0</v>
      </c>
      <c r="H6">
        <v>0</v>
      </c>
    </row>
    <row r="7" spans="1:8" x14ac:dyDescent="0.15">
      <c r="A7">
        <v>6</v>
      </c>
      <c r="B7" s="194" t="s">
        <v>197</v>
      </c>
      <c r="C7">
        <v>0</v>
      </c>
      <c r="D7">
        <v>0</v>
      </c>
      <c r="E7">
        <v>0</v>
      </c>
      <c r="F7">
        <v>0.8</v>
      </c>
      <c r="G7">
        <v>0</v>
      </c>
      <c r="H7">
        <v>0.8</v>
      </c>
    </row>
    <row r="8" spans="1:8" x14ac:dyDescent="0.15">
      <c r="A8">
        <v>7</v>
      </c>
      <c r="B8" s="194" t="s">
        <v>198</v>
      </c>
      <c r="C8">
        <v>0</v>
      </c>
      <c r="D8">
        <v>0</v>
      </c>
      <c r="E8">
        <v>0</v>
      </c>
      <c r="F8">
        <v>0.8</v>
      </c>
      <c r="G8">
        <v>0</v>
      </c>
      <c r="H8">
        <v>0</v>
      </c>
    </row>
    <row r="9" spans="1:8" x14ac:dyDescent="0.15">
      <c r="A9">
        <v>8</v>
      </c>
      <c r="B9" s="194" t="s">
        <v>199</v>
      </c>
      <c r="C9">
        <v>0.8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x14ac:dyDescent="0.15">
      <c r="A10">
        <v>9</v>
      </c>
      <c r="B10" s="194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 x14ac:dyDescent="0.15">
      <c r="A11">
        <v>10</v>
      </c>
      <c r="B11" s="194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 x14ac:dyDescent="0.15">
      <c r="A12">
        <v>11</v>
      </c>
      <c r="B12" s="194" t="s">
        <v>202</v>
      </c>
      <c r="C12">
        <v>0</v>
      </c>
      <c r="D12">
        <v>0</v>
      </c>
      <c r="E12">
        <v>0</v>
      </c>
      <c r="F12">
        <v>0.8</v>
      </c>
      <c r="G12">
        <v>0</v>
      </c>
      <c r="H12">
        <v>0</v>
      </c>
    </row>
    <row r="13" spans="1:8" x14ac:dyDescent="0.15">
      <c r="A13">
        <v>12</v>
      </c>
      <c r="B13" s="194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15">
      <c r="A14">
        <v>13</v>
      </c>
      <c r="B14" s="194" t="s">
        <v>204</v>
      </c>
      <c r="C14">
        <v>0</v>
      </c>
      <c r="D14">
        <v>0</v>
      </c>
      <c r="E14">
        <v>0</v>
      </c>
      <c r="F14">
        <v>0.8</v>
      </c>
      <c r="G14">
        <v>0</v>
      </c>
      <c r="H14">
        <v>0</v>
      </c>
    </row>
    <row r="15" spans="1:8" x14ac:dyDescent="0.15">
      <c r="A15">
        <v>14</v>
      </c>
      <c r="B15" s="194" t="s">
        <v>205</v>
      </c>
      <c r="C15">
        <v>0</v>
      </c>
      <c r="D15">
        <v>0</v>
      </c>
      <c r="E15">
        <v>0</v>
      </c>
      <c r="F15">
        <v>0.8</v>
      </c>
      <c r="G15">
        <v>0</v>
      </c>
      <c r="H15">
        <v>0</v>
      </c>
    </row>
    <row r="16" spans="1:8" x14ac:dyDescent="0.15">
      <c r="A16">
        <v>15</v>
      </c>
      <c r="B16" s="194" t="s">
        <v>206</v>
      </c>
      <c r="C16">
        <v>0</v>
      </c>
      <c r="D16">
        <v>0</v>
      </c>
      <c r="E16">
        <v>0</v>
      </c>
      <c r="F16">
        <v>0.8</v>
      </c>
      <c r="G16">
        <v>0</v>
      </c>
      <c r="H16">
        <v>0</v>
      </c>
    </row>
    <row r="17" spans="1:8" x14ac:dyDescent="0.15">
      <c r="A17">
        <v>16</v>
      </c>
      <c r="B17" s="194" t="s">
        <v>207</v>
      </c>
      <c r="C17">
        <v>0</v>
      </c>
      <c r="D17">
        <v>0</v>
      </c>
      <c r="E17">
        <v>0</v>
      </c>
      <c r="F17">
        <v>0.8</v>
      </c>
      <c r="G17">
        <v>0</v>
      </c>
      <c r="H17">
        <v>0</v>
      </c>
    </row>
    <row r="18" spans="1:8" x14ac:dyDescent="0.15">
      <c r="A18">
        <v>17</v>
      </c>
      <c r="B18" s="194" t="s">
        <v>208</v>
      </c>
      <c r="C18">
        <v>0</v>
      </c>
      <c r="D18">
        <v>0</v>
      </c>
      <c r="E18">
        <v>0</v>
      </c>
      <c r="F18">
        <v>0.8</v>
      </c>
      <c r="G18">
        <v>0</v>
      </c>
      <c r="H18">
        <v>0.8</v>
      </c>
    </row>
    <row r="19" spans="1:8" x14ac:dyDescent="0.15">
      <c r="A19">
        <v>18</v>
      </c>
      <c r="B19" s="194" t="s">
        <v>209</v>
      </c>
      <c r="C19">
        <v>0</v>
      </c>
      <c r="D19">
        <v>0</v>
      </c>
      <c r="E19">
        <v>0</v>
      </c>
      <c r="F19">
        <v>0.8</v>
      </c>
      <c r="G19">
        <v>0</v>
      </c>
      <c r="H19">
        <v>0.8</v>
      </c>
    </row>
    <row r="20" spans="1:8" x14ac:dyDescent="0.15">
      <c r="A20">
        <v>19</v>
      </c>
      <c r="B20" s="194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0.8</v>
      </c>
    </row>
    <row r="21" spans="1:8" x14ac:dyDescent="0.15">
      <c r="A21">
        <v>20</v>
      </c>
      <c r="B21" s="194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</row>
    <row r="22" spans="1:8" x14ac:dyDescent="0.15">
      <c r="A22">
        <v>21</v>
      </c>
      <c r="B22" s="194" t="s">
        <v>212</v>
      </c>
      <c r="C22">
        <v>0</v>
      </c>
      <c r="D22">
        <v>0</v>
      </c>
      <c r="E22">
        <v>0</v>
      </c>
      <c r="F22">
        <v>0.8</v>
      </c>
      <c r="G22">
        <v>0</v>
      </c>
      <c r="H22">
        <v>0</v>
      </c>
    </row>
    <row r="23" spans="1:8" x14ac:dyDescent="0.15">
      <c r="A23">
        <v>22</v>
      </c>
      <c r="B23" s="194" t="s">
        <v>213</v>
      </c>
      <c r="C23">
        <v>0</v>
      </c>
      <c r="D23">
        <v>0</v>
      </c>
      <c r="E23">
        <v>0</v>
      </c>
      <c r="F23">
        <v>0</v>
      </c>
      <c r="G23">
        <v>0.8</v>
      </c>
      <c r="H23">
        <v>0</v>
      </c>
    </row>
    <row r="24" spans="1:8" x14ac:dyDescent="0.15">
      <c r="A24">
        <v>23</v>
      </c>
      <c r="B24" s="194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</row>
    <row r="25" spans="1:8" x14ac:dyDescent="0.15">
      <c r="A25">
        <v>24</v>
      </c>
      <c r="B25" s="194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</row>
    <row r="26" spans="1:8" x14ac:dyDescent="0.15">
      <c r="A26">
        <v>25</v>
      </c>
      <c r="B26" s="194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</row>
    <row r="27" spans="1:8" x14ac:dyDescent="0.15">
      <c r="A27">
        <v>26</v>
      </c>
      <c r="B27" s="194" t="s">
        <v>217</v>
      </c>
      <c r="C27">
        <v>0</v>
      </c>
      <c r="D27">
        <v>0</v>
      </c>
      <c r="E27">
        <v>0.8</v>
      </c>
      <c r="F27">
        <v>0</v>
      </c>
      <c r="G27">
        <v>0</v>
      </c>
      <c r="H27">
        <v>0</v>
      </c>
    </row>
    <row r="28" spans="1:8" x14ac:dyDescent="0.15">
      <c r="A28">
        <v>27</v>
      </c>
      <c r="B28" s="194" t="s">
        <v>218</v>
      </c>
      <c r="C28">
        <v>0</v>
      </c>
      <c r="D28">
        <v>0</v>
      </c>
      <c r="E28">
        <v>0</v>
      </c>
      <c r="F28">
        <v>0.8</v>
      </c>
      <c r="G28">
        <v>0</v>
      </c>
      <c r="H28">
        <v>0</v>
      </c>
    </row>
    <row r="29" spans="1:8" x14ac:dyDescent="0.15">
      <c r="A29">
        <v>28</v>
      </c>
      <c r="B29" s="194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</row>
    <row r="30" spans="1:8" x14ac:dyDescent="0.15">
      <c r="A30">
        <v>29</v>
      </c>
      <c r="B30" s="194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</row>
    <row r="31" spans="1:8" x14ac:dyDescent="0.15">
      <c r="A31">
        <v>30</v>
      </c>
      <c r="B31" s="194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</row>
    <row r="32" spans="1:8" x14ac:dyDescent="0.15">
      <c r="A32">
        <v>31</v>
      </c>
      <c r="B32" s="194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0.8</v>
      </c>
    </row>
    <row r="33" spans="1:8" x14ac:dyDescent="0.15">
      <c r="A33">
        <v>32</v>
      </c>
      <c r="B33" s="194" t="s">
        <v>223</v>
      </c>
      <c r="C33">
        <v>0</v>
      </c>
      <c r="D33">
        <v>0</v>
      </c>
      <c r="E33">
        <v>0</v>
      </c>
      <c r="F33">
        <v>0</v>
      </c>
      <c r="G33">
        <v>0.8</v>
      </c>
      <c r="H33">
        <v>0</v>
      </c>
    </row>
    <row r="34" spans="1:8" x14ac:dyDescent="0.15">
      <c r="A34">
        <v>33</v>
      </c>
      <c r="B34" s="194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</row>
    <row r="35" spans="1:8" x14ac:dyDescent="0.15">
      <c r="A35">
        <v>34</v>
      </c>
      <c r="B35" s="194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</row>
    <row r="36" spans="1:8" x14ac:dyDescent="0.15">
      <c r="A36">
        <v>35</v>
      </c>
      <c r="B36" s="194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</row>
    <row r="37" spans="1:8" x14ac:dyDescent="0.15">
      <c r="A37">
        <v>36</v>
      </c>
      <c r="B37" s="194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</row>
    <row r="38" spans="1:8" x14ac:dyDescent="0.15">
      <c r="A38">
        <v>37</v>
      </c>
      <c r="B38" s="194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</row>
    <row r="39" spans="1:8" x14ac:dyDescent="0.15">
      <c r="A39">
        <v>38</v>
      </c>
      <c r="B39" s="194" t="s">
        <v>229</v>
      </c>
      <c r="C39">
        <v>0</v>
      </c>
      <c r="D39">
        <v>0</v>
      </c>
      <c r="E39">
        <v>0</v>
      </c>
      <c r="F39">
        <v>0</v>
      </c>
      <c r="G39">
        <v>0.8</v>
      </c>
      <c r="H39">
        <v>0</v>
      </c>
    </row>
    <row r="40" spans="1:8" x14ac:dyDescent="0.15">
      <c r="A40">
        <v>39</v>
      </c>
      <c r="B40" s="194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</row>
    <row r="41" spans="1:8" x14ac:dyDescent="0.15">
      <c r="A41">
        <v>40</v>
      </c>
      <c r="B41" s="194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</row>
    <row r="42" spans="1:8" x14ac:dyDescent="0.15">
      <c r="A42">
        <v>41</v>
      </c>
      <c r="B42" s="194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L5" sqref="L5"/>
    </sheetView>
  </sheetViews>
  <sheetFormatPr baseColWidth="10" defaultColWidth="8.83203125" defaultRowHeight="15" customHeight="1" x14ac:dyDescent="0.15"/>
  <cols>
    <col min="1" max="1" width="8.83203125" style="82"/>
    <col min="2" max="2" width="41.83203125" style="82" bestFit="1" customWidth="1"/>
    <col min="3" max="3" width="9.33203125" style="82" bestFit="1" customWidth="1"/>
    <col min="4" max="4" width="13" style="82" bestFit="1" customWidth="1"/>
    <col min="5" max="6" width="9.33203125" style="82" bestFit="1" customWidth="1"/>
    <col min="7" max="7" width="9.33203125" style="98" bestFit="1" customWidth="1"/>
    <col min="8" max="8" width="9.33203125" style="82" bestFit="1" customWidth="1"/>
    <col min="9" max="9" width="11" style="82" customWidth="1"/>
    <col min="10" max="10" width="8.83203125" style="82"/>
    <col min="15" max="16384" width="8.83203125" style="82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47">
        <v>1</v>
      </c>
      <c r="B2" s="147" t="s">
        <v>192</v>
      </c>
      <c r="C2" s="8">
        <v>4.8500056266784668</v>
      </c>
      <c r="D2" s="9">
        <v>1.7790000885725021E-2</v>
      </c>
      <c r="E2" s="9">
        <v>1.9999999552965164E-2</v>
      </c>
      <c r="F2" s="9">
        <v>12.748000144958496</v>
      </c>
      <c r="G2" s="7">
        <v>0</v>
      </c>
      <c r="H2" s="9">
        <v>1.5688735293224454E-3</v>
      </c>
      <c r="I2">
        <v>0</v>
      </c>
      <c r="J2"/>
    </row>
    <row r="3" spans="1:10" ht="15" customHeight="1" x14ac:dyDescent="0.15">
      <c r="A3" s="148">
        <v>2</v>
      </c>
      <c r="B3" s="148" t="s">
        <v>193</v>
      </c>
      <c r="C3" s="8">
        <v>4.6849985122680664</v>
      </c>
      <c r="D3" s="9">
        <v>1.9659973680973053E-2</v>
      </c>
      <c r="E3" s="9">
        <v>0.15000000596046448</v>
      </c>
      <c r="F3" s="9">
        <v>4.7699999809265137</v>
      </c>
      <c r="G3" s="9">
        <v>0.75002408027648926</v>
      </c>
      <c r="H3" s="9">
        <v>3.1446542590856552E-2</v>
      </c>
      <c r="I3">
        <v>2.1400001060101204E-6</v>
      </c>
      <c r="J3"/>
    </row>
    <row r="4" spans="1:10" ht="15" customHeight="1" x14ac:dyDescent="0.15">
      <c r="A4" s="149">
        <v>3</v>
      </c>
      <c r="B4" s="149" t="s">
        <v>194</v>
      </c>
      <c r="C4" s="8">
        <v>4.6839609146118164</v>
      </c>
      <c r="D4" s="9">
        <v>0.11100000143051147</v>
      </c>
      <c r="E4" s="9">
        <v>5.6000001728534698E-2</v>
      </c>
      <c r="F4" s="9">
        <v>13</v>
      </c>
      <c r="G4" s="9">
        <v>0.15725322067737579</v>
      </c>
      <c r="H4" s="9">
        <v>4.3076924048364162E-3</v>
      </c>
      <c r="I4">
        <v>3.9999998989515007E-5</v>
      </c>
      <c r="J4"/>
    </row>
    <row r="5" spans="1:10" ht="15" customHeight="1" x14ac:dyDescent="0.15">
      <c r="A5" s="150">
        <v>4</v>
      </c>
      <c r="B5" s="150" t="s">
        <v>195</v>
      </c>
      <c r="C5" s="8">
        <v>4.6741271018981934</v>
      </c>
      <c r="D5" s="9">
        <v>7.6600001193583012E-3</v>
      </c>
      <c r="E5" s="9">
        <v>1</v>
      </c>
      <c r="F5" s="9">
        <v>80</v>
      </c>
      <c r="G5" s="7">
        <v>0</v>
      </c>
      <c r="H5" s="9">
        <v>1.2500000186264515E-2</v>
      </c>
      <c r="I5">
        <v>0</v>
      </c>
      <c r="J5"/>
    </row>
    <row r="6" spans="1:10" ht="15" customHeight="1" x14ac:dyDescent="0.15">
      <c r="A6" s="151">
        <v>5</v>
      </c>
      <c r="B6" s="151" t="s">
        <v>196</v>
      </c>
      <c r="C6" s="8">
        <v>4.4683866500854492</v>
      </c>
      <c r="D6" s="9">
        <v>0.30000001192092896</v>
      </c>
      <c r="E6" s="9">
        <v>0.69999998807907104</v>
      </c>
      <c r="F6" s="9">
        <v>2</v>
      </c>
      <c r="G6" s="9">
        <v>0.99597883224487305</v>
      </c>
      <c r="H6" s="9">
        <v>0.34999999403953552</v>
      </c>
      <c r="I6">
        <v>1.2535000219941139E-2</v>
      </c>
      <c r="J6"/>
    </row>
    <row r="7" spans="1:10" ht="15" customHeight="1" x14ac:dyDescent="0.15">
      <c r="A7" s="152">
        <v>6</v>
      </c>
      <c r="B7" s="152" t="s">
        <v>197</v>
      </c>
      <c r="C7" s="8">
        <v>4.3103747367858887</v>
      </c>
      <c r="D7" s="9">
        <v>0.54602146148681641</v>
      </c>
      <c r="E7" s="9">
        <v>0.54100000858306885</v>
      </c>
      <c r="F7" s="9">
        <v>2.6540000438690186</v>
      </c>
      <c r="G7" s="9">
        <v>0.99002885818481445</v>
      </c>
      <c r="H7" s="9">
        <v>0.20384325087070465</v>
      </c>
      <c r="I7">
        <v>3.7089001853018999E-3</v>
      </c>
      <c r="J7"/>
    </row>
    <row r="8" spans="1:10" ht="15" customHeight="1" x14ac:dyDescent="0.15">
      <c r="A8" s="153">
        <v>7</v>
      </c>
      <c r="B8" s="153" t="s">
        <v>198</v>
      </c>
      <c r="C8" s="8">
        <v>4.3013238906860352</v>
      </c>
      <c r="D8" s="9">
        <v>1</v>
      </c>
      <c r="E8" s="9">
        <v>0.60000002384185791</v>
      </c>
      <c r="F8" s="9">
        <v>2</v>
      </c>
      <c r="G8" s="9">
        <v>0.87384724617004395</v>
      </c>
      <c r="H8" s="9">
        <v>0.30000001192092896</v>
      </c>
      <c r="I8">
        <v>0.17513099312782288</v>
      </c>
      <c r="J8"/>
    </row>
    <row r="9" spans="1:10" ht="15" customHeight="1" x14ac:dyDescent="0.15">
      <c r="A9" s="154">
        <v>8</v>
      </c>
      <c r="B9" s="154" t="s">
        <v>199</v>
      </c>
      <c r="C9" s="8">
        <v>4.2629642486572266</v>
      </c>
      <c r="D9" s="9">
        <v>0.15940999984741211</v>
      </c>
      <c r="E9" s="9">
        <v>3.5000000149011612E-2</v>
      </c>
      <c r="F9" s="9">
        <v>8.1400003433227539</v>
      </c>
      <c r="G9" s="9">
        <v>5.8429747819900513E-2</v>
      </c>
      <c r="H9" s="9">
        <v>4.2997542768716812E-3</v>
      </c>
      <c r="I9">
        <v>3.2600000849924982E-4</v>
      </c>
      <c r="J9"/>
    </row>
    <row r="10" spans="1:10" ht="15" customHeight="1" x14ac:dyDescent="0.15">
      <c r="A10" s="155">
        <v>9</v>
      </c>
      <c r="B10" s="155" t="s">
        <v>200</v>
      </c>
      <c r="C10" s="8">
        <v>4.2537117004394531</v>
      </c>
      <c r="D10" s="9">
        <v>0.1117200031876564</v>
      </c>
      <c r="E10" s="9">
        <v>1.9999999552965164E-2</v>
      </c>
      <c r="F10" s="9">
        <v>12.890000343322754</v>
      </c>
      <c r="G10" s="7">
        <v>0</v>
      </c>
      <c r="H10" s="9">
        <v>1.551590277813375E-3</v>
      </c>
      <c r="I10">
        <v>0</v>
      </c>
      <c r="J10"/>
    </row>
    <row r="11" spans="1:10" ht="15" customHeight="1" x14ac:dyDescent="0.15">
      <c r="A11" s="156">
        <v>10</v>
      </c>
      <c r="B11" s="156" t="s">
        <v>201</v>
      </c>
      <c r="C11" s="8">
        <v>4.2157406806945801</v>
      </c>
      <c r="D11" s="9">
        <v>0.17399999499320984</v>
      </c>
      <c r="E11" s="9">
        <v>1.3062756061553955</v>
      </c>
      <c r="F11" s="9">
        <v>2.937999963760376</v>
      </c>
      <c r="G11" s="9">
        <v>0.99001830816268921</v>
      </c>
      <c r="H11" s="9">
        <v>0.44461390376091003</v>
      </c>
      <c r="I11">
        <v>0</v>
      </c>
      <c r="J11"/>
    </row>
    <row r="12" spans="1:10" ht="15" customHeight="1" x14ac:dyDescent="0.15">
      <c r="A12" s="157">
        <v>11</v>
      </c>
      <c r="B12" s="157" t="s">
        <v>202</v>
      </c>
      <c r="C12" s="8">
        <v>4.1458663940429688</v>
      </c>
      <c r="D12" s="9">
        <v>8.3835430443286896E-2</v>
      </c>
      <c r="E12" s="9">
        <v>0.60000002384185791</v>
      </c>
      <c r="F12" s="9">
        <v>4</v>
      </c>
      <c r="G12" s="9">
        <v>0.99017691612243652</v>
      </c>
      <c r="H12" s="9">
        <v>0.15000000596046448</v>
      </c>
      <c r="I12">
        <v>8.8599997980054468E-5</v>
      </c>
      <c r="J12"/>
    </row>
    <row r="13" spans="1:10" ht="15" customHeight="1" x14ac:dyDescent="0.15">
      <c r="A13" s="158">
        <v>12</v>
      </c>
      <c r="B13" s="158" t="s">
        <v>203</v>
      </c>
      <c r="C13" s="8">
        <v>4.1323089599609375</v>
      </c>
      <c r="D13" s="9">
        <v>0.18000000715255737</v>
      </c>
      <c r="E13" s="9">
        <v>0.62400001287460327</v>
      </c>
      <c r="F13" s="9">
        <v>2.2699999809265137</v>
      </c>
      <c r="G13" s="9">
        <v>0.92581635713577271</v>
      </c>
      <c r="H13" s="9">
        <v>0.27488988637924194</v>
      </c>
      <c r="I13">
        <v>0</v>
      </c>
      <c r="J13"/>
    </row>
    <row r="14" spans="1:10" ht="15" customHeight="1" x14ac:dyDescent="0.15">
      <c r="A14" s="159">
        <v>13</v>
      </c>
      <c r="B14" s="159" t="s">
        <v>204</v>
      </c>
      <c r="C14" s="8">
        <v>4.046842098236084</v>
      </c>
      <c r="D14" s="9">
        <v>0.310201495885849</v>
      </c>
      <c r="E14" s="9">
        <v>1.5</v>
      </c>
      <c r="F14" s="9">
        <v>3.5</v>
      </c>
      <c r="G14" s="9">
        <v>0.99002969264984131</v>
      </c>
      <c r="H14" s="9">
        <v>0.4285714328289032</v>
      </c>
      <c r="I14">
        <v>1.0212000459432602E-2</v>
      </c>
      <c r="J14"/>
    </row>
    <row r="15" spans="1:10" ht="15" customHeight="1" x14ac:dyDescent="0.15">
      <c r="A15" s="160">
        <v>14</v>
      </c>
      <c r="B15" s="160" t="s">
        <v>205</v>
      </c>
      <c r="C15" s="8">
        <v>3.9946918487548828</v>
      </c>
      <c r="D15" s="9">
        <v>3.560170903801918E-2</v>
      </c>
      <c r="E15" s="9">
        <v>0.44999998807907104</v>
      </c>
      <c r="F15" s="9">
        <v>1.7699999809265137</v>
      </c>
      <c r="G15" s="9">
        <v>0.95002216100692749</v>
      </c>
      <c r="H15" s="9">
        <v>0.25423729419708252</v>
      </c>
      <c r="I15">
        <v>3.9530000649392605E-3</v>
      </c>
      <c r="J15"/>
    </row>
    <row r="16" spans="1:10" ht="15" customHeight="1" x14ac:dyDescent="0.15">
      <c r="A16" s="161">
        <v>15</v>
      </c>
      <c r="B16" s="161" t="s">
        <v>206</v>
      </c>
      <c r="C16" s="8">
        <v>3.9368026256561279</v>
      </c>
      <c r="D16" s="9">
        <v>0.36716899275779724</v>
      </c>
      <c r="E16" s="9">
        <v>0.60000002384185791</v>
      </c>
      <c r="F16" s="9">
        <v>2.315000057220459</v>
      </c>
      <c r="G16" s="9">
        <v>0.90517264604568481</v>
      </c>
      <c r="H16" s="9">
        <v>0.25917926430702209</v>
      </c>
      <c r="I16">
        <v>5.1422998309135437E-2</v>
      </c>
      <c r="J16"/>
    </row>
    <row r="17" spans="1:10" ht="15" customHeight="1" x14ac:dyDescent="0.15">
      <c r="A17" s="162">
        <v>16</v>
      </c>
      <c r="B17" s="162" t="s">
        <v>207</v>
      </c>
      <c r="C17" s="8">
        <v>3.9175455570220947</v>
      </c>
      <c r="D17" s="9">
        <v>0.17707192897796631</v>
      </c>
      <c r="E17" s="9">
        <v>1.5</v>
      </c>
      <c r="F17" s="9">
        <v>3.5</v>
      </c>
      <c r="G17" s="9">
        <v>0.99001616239547729</v>
      </c>
      <c r="H17" s="9">
        <v>0.4285714328289032</v>
      </c>
      <c r="I17">
        <v>9.3999998643994331E-3</v>
      </c>
      <c r="J17"/>
    </row>
    <row r="18" spans="1:10" ht="15" customHeight="1" x14ac:dyDescent="0.15">
      <c r="A18" s="163">
        <v>17</v>
      </c>
      <c r="B18" s="163" t="s">
        <v>208</v>
      </c>
      <c r="C18" s="8">
        <v>3.8499677181243896</v>
      </c>
      <c r="D18" s="9">
        <v>0.5968518853187561</v>
      </c>
      <c r="E18" s="9">
        <v>0.69999998807907104</v>
      </c>
      <c r="F18" s="9">
        <v>2.6329998970031738</v>
      </c>
      <c r="G18" s="9">
        <v>0.99006396532058716</v>
      </c>
      <c r="H18" s="9">
        <v>0.26585644483566284</v>
      </c>
      <c r="I18">
        <v>1.7164696007966995E-2</v>
      </c>
      <c r="J18"/>
    </row>
    <row r="19" spans="1:10" ht="15" customHeight="1" x14ac:dyDescent="0.15">
      <c r="A19" s="164">
        <v>18</v>
      </c>
      <c r="B19" s="164" t="s">
        <v>209</v>
      </c>
      <c r="C19" s="8">
        <v>3.8471605777740479</v>
      </c>
      <c r="D19" s="9">
        <v>0.43497154116630554</v>
      </c>
      <c r="E19" s="9">
        <v>0.5</v>
      </c>
      <c r="F19" s="9">
        <v>2</v>
      </c>
      <c r="G19" s="9">
        <v>0.99000000953674316</v>
      </c>
      <c r="H19" s="9">
        <v>0.25</v>
      </c>
      <c r="I19">
        <v>1.6969629796221852E-3</v>
      </c>
      <c r="J19"/>
    </row>
    <row r="20" spans="1:10" ht="15" customHeight="1" x14ac:dyDescent="0.15">
      <c r="A20" s="165">
        <v>19</v>
      </c>
      <c r="B20" s="165" t="s">
        <v>210</v>
      </c>
      <c r="C20" s="8">
        <v>3.7465054988861084</v>
      </c>
      <c r="D20" s="9">
        <v>0.57427167892456055</v>
      </c>
      <c r="E20" s="9">
        <v>1</v>
      </c>
      <c r="F20" s="9">
        <v>4.6999998092651367</v>
      </c>
      <c r="G20" s="9">
        <v>0.99000632762908936</v>
      </c>
      <c r="H20" s="9">
        <v>0.21276596188545227</v>
      </c>
      <c r="I20">
        <v>3.6300000783029418E-9</v>
      </c>
      <c r="J20"/>
    </row>
    <row r="21" spans="1:10" ht="15" customHeight="1" x14ac:dyDescent="0.15">
      <c r="A21" s="166">
        <v>20</v>
      </c>
      <c r="B21" s="166" t="s">
        <v>211</v>
      </c>
      <c r="C21" s="8">
        <v>3.690624475479126</v>
      </c>
      <c r="D21" s="9">
        <v>0.28412491083145142</v>
      </c>
      <c r="E21" s="9">
        <v>1.3999999761581421</v>
      </c>
      <c r="F21" s="9">
        <v>10</v>
      </c>
      <c r="G21" s="9">
        <v>0.98999994993209839</v>
      </c>
      <c r="H21" s="9">
        <v>0.14000000059604645</v>
      </c>
      <c r="I21">
        <v>0</v>
      </c>
      <c r="J21"/>
    </row>
    <row r="22" spans="1:10" ht="15" customHeight="1" x14ac:dyDescent="0.15">
      <c r="A22" s="167">
        <v>21</v>
      </c>
      <c r="B22" s="167" t="s">
        <v>212</v>
      </c>
      <c r="C22" s="8">
        <v>3.6803290843963623</v>
      </c>
      <c r="D22" s="9">
        <v>0.96842712163925171</v>
      </c>
      <c r="E22" s="9">
        <v>0.30970001220703125</v>
      </c>
      <c r="F22" s="9">
        <v>3.2139999866485596</v>
      </c>
      <c r="G22" s="9">
        <v>0.95005947351455688</v>
      </c>
      <c r="H22" s="9">
        <v>9.6359677612781525E-2</v>
      </c>
      <c r="I22">
        <v>3.8809999823570251E-3</v>
      </c>
      <c r="J22"/>
    </row>
    <row r="23" spans="1:10" ht="15" customHeight="1" x14ac:dyDescent="0.15">
      <c r="A23" s="168">
        <v>22</v>
      </c>
      <c r="B23" s="168" t="s">
        <v>213</v>
      </c>
      <c r="C23" s="8">
        <v>3.42010498046875</v>
      </c>
      <c r="D23" s="9">
        <v>9.9582359194755554E-2</v>
      </c>
      <c r="E23" s="9">
        <v>2</v>
      </c>
      <c r="F23" s="9">
        <v>6</v>
      </c>
      <c r="G23" s="9">
        <v>0.95000004768371582</v>
      </c>
      <c r="H23" s="9">
        <v>0.3333333432674408</v>
      </c>
      <c r="I23">
        <v>2.2899999748915434E-5</v>
      </c>
      <c r="J23"/>
    </row>
    <row r="24" spans="1:10" ht="15" customHeight="1" x14ac:dyDescent="0.15">
      <c r="A24" s="169">
        <v>23</v>
      </c>
      <c r="B24" s="169" t="s">
        <v>214</v>
      </c>
      <c r="C24" s="8">
        <v>3.413149356842041</v>
      </c>
      <c r="D24" s="9">
        <v>1.2047450542449951</v>
      </c>
      <c r="E24" s="9">
        <v>0.65700000524520874</v>
      </c>
      <c r="F24" s="9">
        <v>5.4650001525878906</v>
      </c>
      <c r="G24" s="9">
        <v>0.98999989032745361</v>
      </c>
      <c r="H24" s="9">
        <v>0.12021957337856293</v>
      </c>
      <c r="I24">
        <v>0</v>
      </c>
      <c r="J24"/>
    </row>
    <row r="25" spans="1:10" ht="15" customHeight="1" x14ac:dyDescent="0.15">
      <c r="A25" s="170">
        <v>24</v>
      </c>
      <c r="B25" s="170" t="s">
        <v>215</v>
      </c>
      <c r="C25" s="8">
        <v>3.3854680061340332</v>
      </c>
      <c r="D25" s="9">
        <v>1</v>
      </c>
      <c r="E25" s="9">
        <v>0.69999998807907104</v>
      </c>
      <c r="F25" s="9">
        <v>4.8400001525878906</v>
      </c>
      <c r="G25" s="9">
        <v>0.93277651071548462</v>
      </c>
      <c r="H25" s="9">
        <v>0.14462809264659882</v>
      </c>
      <c r="I25">
        <v>0</v>
      </c>
      <c r="J25"/>
    </row>
    <row r="26" spans="1:10" ht="15" customHeight="1" x14ac:dyDescent="0.15">
      <c r="A26" s="171">
        <v>25</v>
      </c>
      <c r="B26" s="171" t="s">
        <v>216</v>
      </c>
      <c r="C26" s="8">
        <v>3.2441480159759521</v>
      </c>
      <c r="D26" s="9">
        <v>0.49618574976921082</v>
      </c>
      <c r="E26" s="9">
        <v>2</v>
      </c>
      <c r="F26" s="9">
        <v>9.3999996185302734</v>
      </c>
      <c r="G26" s="9">
        <v>0.99000000953674316</v>
      </c>
      <c r="H26" s="9">
        <v>0.21276596188545227</v>
      </c>
      <c r="I26">
        <v>0</v>
      </c>
      <c r="J26"/>
    </row>
    <row r="27" spans="1:10" ht="15" customHeight="1" x14ac:dyDescent="0.15">
      <c r="A27" s="172">
        <v>26</v>
      </c>
      <c r="B27" s="172" t="s">
        <v>217</v>
      </c>
      <c r="C27" s="8">
        <v>3.1714127063751221</v>
      </c>
      <c r="D27" s="9">
        <v>1.9169000387191772</v>
      </c>
      <c r="E27" s="9">
        <v>1.5</v>
      </c>
      <c r="F27" s="9">
        <v>9.6840000152587891</v>
      </c>
      <c r="G27" s="9">
        <v>0.40192162990570068</v>
      </c>
      <c r="H27" s="9">
        <v>0.15489466488361359</v>
      </c>
      <c r="I27">
        <v>1.8599999602884054E-3</v>
      </c>
      <c r="J27"/>
    </row>
    <row r="28" spans="1:10" ht="15" customHeight="1" x14ac:dyDescent="0.15">
      <c r="A28" s="173">
        <v>27</v>
      </c>
      <c r="B28" s="173" t="s">
        <v>218</v>
      </c>
      <c r="C28" s="8">
        <v>3.0006563663482666</v>
      </c>
      <c r="D28" s="9">
        <v>13.235294342041016</v>
      </c>
      <c r="E28" s="9">
        <v>2.5</v>
      </c>
      <c r="F28" s="9">
        <v>12.5</v>
      </c>
      <c r="G28" s="9">
        <v>0.55984944105148315</v>
      </c>
      <c r="H28" s="9">
        <v>0.20000000298023224</v>
      </c>
      <c r="I28">
        <v>5.9799998998641968E-3</v>
      </c>
      <c r="J28"/>
    </row>
    <row r="29" spans="1:10" ht="15" customHeight="1" x14ac:dyDescent="0.15">
      <c r="A29" s="174">
        <v>28</v>
      </c>
      <c r="B29" s="174" t="s">
        <v>219</v>
      </c>
      <c r="C29" s="8">
        <v>2.9276118278503418</v>
      </c>
      <c r="D29" s="9">
        <v>6</v>
      </c>
      <c r="E29" s="9">
        <v>8</v>
      </c>
      <c r="F29" s="9">
        <v>20</v>
      </c>
      <c r="G29" s="9">
        <v>0.45315811038017273</v>
      </c>
      <c r="H29" s="9">
        <v>0.40000000596046448</v>
      </c>
      <c r="I29">
        <v>0</v>
      </c>
      <c r="J29"/>
    </row>
    <row r="30" spans="1:10" ht="15" customHeight="1" x14ac:dyDescent="0.15">
      <c r="A30" s="175">
        <v>29</v>
      </c>
      <c r="B30" s="175" t="s">
        <v>220</v>
      </c>
      <c r="C30" s="8">
        <v>2.8614039421081543</v>
      </c>
      <c r="D30" s="9">
        <v>20</v>
      </c>
      <c r="E30" s="9">
        <v>1.5800000429153442</v>
      </c>
      <c r="F30" s="9">
        <v>5.7699999809265137</v>
      </c>
      <c r="G30" s="9">
        <v>0.30922278761863708</v>
      </c>
      <c r="H30" s="9">
        <v>0.27383017539978027</v>
      </c>
      <c r="I30">
        <v>0</v>
      </c>
      <c r="J30"/>
    </row>
    <row r="31" spans="1:10" ht="15" customHeight="1" x14ac:dyDescent="0.15">
      <c r="A31" s="176">
        <v>30</v>
      </c>
      <c r="B31" s="176" t="s">
        <v>221</v>
      </c>
      <c r="C31" s="8">
        <v>2.6691460609436035</v>
      </c>
      <c r="D31" s="9">
        <v>1.1426759958267212</v>
      </c>
      <c r="E31" s="9">
        <v>1.4800000190734863</v>
      </c>
      <c r="F31" s="9">
        <v>7.690000057220459</v>
      </c>
      <c r="G31" s="9">
        <v>0.94999998807907104</v>
      </c>
      <c r="H31" s="9">
        <v>0.19245773553848267</v>
      </c>
      <c r="I31">
        <v>0</v>
      </c>
      <c r="J31"/>
    </row>
    <row r="32" spans="1:10" ht="15" customHeight="1" x14ac:dyDescent="0.15">
      <c r="A32" s="204">
        <v>31</v>
      </c>
      <c r="B32" s="204" t="s">
        <v>222</v>
      </c>
      <c r="C32" s="8">
        <v>2.5726990699768066</v>
      </c>
      <c r="D32" s="9">
        <v>0.30744475126266479</v>
      </c>
      <c r="E32" s="9">
        <v>1.7000000476837158</v>
      </c>
      <c r="F32" s="9">
        <v>9.6700000762939453</v>
      </c>
      <c r="G32" s="9">
        <v>0.99000000953674316</v>
      </c>
      <c r="H32" s="9">
        <v>0.17580145597457886</v>
      </c>
      <c r="I32">
        <v>6.9160000421106815E-3</v>
      </c>
      <c r="J32"/>
    </row>
    <row r="33" spans="1:10" ht="15" customHeight="1" x14ac:dyDescent="0.15">
      <c r="A33" s="205">
        <v>32</v>
      </c>
      <c r="B33" s="205" t="s">
        <v>223</v>
      </c>
      <c r="C33" s="8">
        <v>2.5614039897918701</v>
      </c>
      <c r="D33" s="9">
        <v>20</v>
      </c>
      <c r="E33" s="9">
        <v>1.3700000047683716</v>
      </c>
      <c r="F33" s="9">
        <v>11</v>
      </c>
      <c r="G33" s="9">
        <v>0.71704798936843872</v>
      </c>
      <c r="H33" s="9">
        <v>0.12454545497894287</v>
      </c>
      <c r="I33">
        <v>3.9300000935327262E-5</v>
      </c>
      <c r="J33"/>
    </row>
    <row r="34" spans="1:10" ht="15" customHeight="1" x14ac:dyDescent="0.15">
      <c r="A34" s="206">
        <v>33</v>
      </c>
      <c r="B34" s="206" t="s">
        <v>224</v>
      </c>
      <c r="C34" s="8">
        <v>2.4035103321075439</v>
      </c>
      <c r="D34" s="9">
        <v>9.7452220916748047</v>
      </c>
      <c r="E34" s="9">
        <v>19</v>
      </c>
      <c r="F34" s="9">
        <v>47.5</v>
      </c>
      <c r="G34" s="9">
        <v>0.98999994993209839</v>
      </c>
      <c r="H34" s="9">
        <v>0.40000000596046448</v>
      </c>
      <c r="I34">
        <v>0</v>
      </c>
      <c r="J34"/>
    </row>
    <row r="35" spans="1:10" ht="15" customHeight="1" x14ac:dyDescent="0.15">
      <c r="A35" s="207">
        <v>34</v>
      </c>
      <c r="B35" s="207" t="s">
        <v>225</v>
      </c>
      <c r="C35" s="8">
        <v>2.2010049819946289</v>
      </c>
      <c r="D35" s="9">
        <v>15</v>
      </c>
      <c r="E35" s="9">
        <v>9</v>
      </c>
      <c r="F35" s="9">
        <v>25</v>
      </c>
      <c r="G35" s="9">
        <v>0.67979204654693604</v>
      </c>
      <c r="H35" s="9">
        <v>0.36000001430511475</v>
      </c>
      <c r="I35">
        <v>0</v>
      </c>
      <c r="J35"/>
    </row>
    <row r="36" spans="1:10" ht="15" customHeight="1" x14ac:dyDescent="0.15">
      <c r="A36" s="208">
        <v>35</v>
      </c>
      <c r="B36" s="208" t="s">
        <v>226</v>
      </c>
      <c r="C36" s="8">
        <v>2.0050251483917236</v>
      </c>
      <c r="D36" s="9">
        <v>1.1983460187911987</v>
      </c>
      <c r="E36" s="9">
        <v>150</v>
      </c>
      <c r="F36" s="9">
        <v>375</v>
      </c>
      <c r="G36" s="9">
        <v>0.99000006914138794</v>
      </c>
      <c r="H36" s="9">
        <v>0.40000000596046448</v>
      </c>
      <c r="I36">
        <v>0</v>
      </c>
      <c r="J36"/>
    </row>
    <row r="37" spans="1:10" ht="15" customHeight="1" x14ac:dyDescent="0.15">
      <c r="A37" s="209">
        <v>36</v>
      </c>
      <c r="B37" s="209" t="s">
        <v>227</v>
      </c>
      <c r="C37" s="8">
        <v>2</v>
      </c>
      <c r="D37" s="9">
        <v>1.1272115707397461</v>
      </c>
      <c r="E37" s="9">
        <v>150</v>
      </c>
      <c r="F37" s="9">
        <v>375</v>
      </c>
      <c r="G37" s="9">
        <v>0.99000000953674316</v>
      </c>
      <c r="H37" s="9">
        <v>0.40000000596046448</v>
      </c>
      <c r="I37">
        <v>0</v>
      </c>
      <c r="J37"/>
    </row>
    <row r="38" spans="1:10" ht="15" customHeight="1" x14ac:dyDescent="0.15">
      <c r="A38" s="210">
        <v>37</v>
      </c>
      <c r="B38" s="210" t="s">
        <v>228</v>
      </c>
      <c r="C38" s="8">
        <v>1</v>
      </c>
      <c r="D38" s="9">
        <v>20</v>
      </c>
      <c r="E38" s="9">
        <v>55</v>
      </c>
      <c r="F38" s="10"/>
      <c r="G38" s="9">
        <v>0.28985324501991272</v>
      </c>
      <c r="H38" s="10"/>
      <c r="I38">
        <v>0</v>
      </c>
      <c r="J38"/>
    </row>
    <row r="39" spans="1:10" ht="15" customHeight="1" x14ac:dyDescent="0.15">
      <c r="A39" s="211">
        <v>38</v>
      </c>
      <c r="B39" s="211" t="s">
        <v>229</v>
      </c>
      <c r="C39" s="8">
        <v>1</v>
      </c>
      <c r="D39" s="9">
        <v>1.8571428954601288E-2</v>
      </c>
      <c r="E39" s="9">
        <v>2</v>
      </c>
      <c r="F39" s="10"/>
      <c r="G39" s="9">
        <v>0.23318472504615784</v>
      </c>
      <c r="H39" s="10"/>
      <c r="I39">
        <v>2.5099999038502574E-4</v>
      </c>
      <c r="J39"/>
    </row>
    <row r="40" spans="1:10" ht="15" customHeight="1" x14ac:dyDescent="0.15">
      <c r="A40" s="212">
        <v>39</v>
      </c>
      <c r="B40" s="212" t="s">
        <v>230</v>
      </c>
      <c r="C40" s="8">
        <v>1</v>
      </c>
      <c r="D40" s="10"/>
      <c r="E40" s="10"/>
      <c r="F40" s="10"/>
      <c r="G40" s="9">
        <v>0.98022854328155518</v>
      </c>
      <c r="H40" s="10"/>
      <c r="I40">
        <v>0</v>
      </c>
      <c r="J40"/>
    </row>
    <row r="41" spans="1:10" ht="15" customHeight="1" x14ac:dyDescent="0.15">
      <c r="A41" s="213">
        <v>40</v>
      </c>
      <c r="B41" s="213" t="s">
        <v>231</v>
      </c>
      <c r="C41" s="8">
        <v>1</v>
      </c>
      <c r="D41" s="9">
        <v>50</v>
      </c>
      <c r="E41" s="10"/>
      <c r="F41" s="10"/>
      <c r="G41" s="9">
        <v>0.66990900039672852</v>
      </c>
      <c r="H41" s="10"/>
      <c r="I41">
        <v>0</v>
      </c>
      <c r="J41"/>
    </row>
    <row r="42" spans="1:10" ht="15" customHeight="1" x14ac:dyDescent="0.15">
      <c r="A42" s="214">
        <v>41</v>
      </c>
      <c r="B42" s="214" t="s">
        <v>232</v>
      </c>
      <c r="C42" s="8">
        <v>1</v>
      </c>
      <c r="D42" s="9">
        <v>50</v>
      </c>
      <c r="E42" s="10"/>
      <c r="F42" s="10"/>
      <c r="G42" s="9">
        <v>0.95685321092605591</v>
      </c>
      <c r="H42" s="10"/>
      <c r="I42">
        <v>0</v>
      </c>
      <c r="J42"/>
    </row>
    <row r="43" spans="1:10" ht="15" customHeight="1" x14ac:dyDescent="0.15">
      <c r="A43" s="215">
        <v>42</v>
      </c>
      <c r="B43" s="215" t="s">
        <v>233</v>
      </c>
      <c r="C43" s="8">
        <v>5.2629632949829102</v>
      </c>
      <c r="D43" s="10"/>
      <c r="E43" s="10"/>
      <c r="F43" s="10"/>
      <c r="G43" s="10"/>
      <c r="H43" s="10"/>
      <c r="I43">
        <v>3.2600000849924982E-4</v>
      </c>
      <c r="J43"/>
    </row>
    <row r="44" spans="1:10" ht="15" customHeight="1" x14ac:dyDescent="0.15">
      <c r="A44" s="216">
        <v>43</v>
      </c>
      <c r="B44" s="216" t="s">
        <v>234</v>
      </c>
      <c r="C44" s="8">
        <v>5.6839609146118164</v>
      </c>
      <c r="D44" s="10"/>
      <c r="E44" s="10"/>
      <c r="F44" s="10"/>
      <c r="G44" s="10"/>
      <c r="H44" s="10"/>
      <c r="I44">
        <v>3.9999998989515007E-5</v>
      </c>
      <c r="J44"/>
    </row>
    <row r="45" spans="1:10" ht="15" customHeight="1" x14ac:dyDescent="0.15">
      <c r="A45" s="217">
        <v>44</v>
      </c>
      <c r="B45" s="217" t="s">
        <v>235</v>
      </c>
      <c r="C45" s="8">
        <v>4.171412467956543</v>
      </c>
      <c r="D45" s="10"/>
      <c r="E45" s="10"/>
      <c r="F45" s="10"/>
      <c r="G45" s="10"/>
      <c r="H45" s="10"/>
      <c r="I45">
        <v>1.8599999602884054E-3</v>
      </c>
      <c r="J45"/>
    </row>
    <row r="46" spans="1:10" ht="15" customHeight="1" x14ac:dyDescent="0.15">
      <c r="A46" s="218">
        <v>45</v>
      </c>
      <c r="B46" s="218" t="s">
        <v>236</v>
      </c>
      <c r="C46" s="8">
        <v>5.1564021110534668</v>
      </c>
      <c r="D46" s="10"/>
      <c r="E46" s="10"/>
      <c r="F46" s="10"/>
      <c r="G46" s="10"/>
      <c r="H46" s="10"/>
      <c r="I46">
        <v>0.29502260684967041</v>
      </c>
      <c r="J46"/>
    </row>
    <row r="47" spans="1:10" ht="15" customHeight="1" x14ac:dyDescent="0.15">
      <c r="A47" s="219">
        <v>46</v>
      </c>
      <c r="B47" s="219" t="s">
        <v>237</v>
      </c>
      <c r="C47" s="8">
        <v>2.3728723526000977</v>
      </c>
      <c r="D47" s="10"/>
      <c r="E47" s="10"/>
      <c r="F47" s="10"/>
      <c r="G47" s="10"/>
      <c r="H47" s="10"/>
      <c r="I47">
        <v>3.1319999834522605E-4</v>
      </c>
      <c r="J47"/>
    </row>
    <row r="48" spans="1:10" ht="15" customHeight="1" x14ac:dyDescent="0.15">
      <c r="A48" s="220">
        <v>47</v>
      </c>
      <c r="B48" s="220" t="s">
        <v>238</v>
      </c>
      <c r="C48" s="8">
        <v>3.6103596687316895</v>
      </c>
      <c r="D48" s="10"/>
      <c r="E48" s="10"/>
      <c r="F48" s="10"/>
      <c r="G48" s="10"/>
      <c r="H48" s="10"/>
      <c r="I48">
        <v>7.0696636103093624E-3</v>
      </c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2" bestFit="1" customWidth="1"/>
    <col min="2" max="4" width="9.5" style="82" bestFit="1" customWidth="1"/>
    <col min="5" max="7" width="9" style="82" bestFit="1" customWidth="1"/>
    <col min="8" max="16" width="12.6640625" style="82" bestFit="1" customWidth="1"/>
    <col min="17" max="17" width="12.33203125" style="82" bestFit="1" customWidth="1"/>
    <col min="18" max="18" width="8.83203125" style="82"/>
    <col min="19" max="21" width="9.33203125" style="82" bestFit="1" customWidth="1"/>
    <col min="22" max="23" width="8.83203125" style="82"/>
    <col min="24" max="24" width="9.33203125" style="82" bestFit="1" customWidth="1"/>
    <col min="25" max="27" width="8.83203125" style="82"/>
    <col min="28" max="58" width="9" style="82" bestFit="1" customWidth="1"/>
    <col min="59" max="59" width="12.33203125" style="82" bestFit="1" customWidth="1"/>
    <col min="60" max="60" width="9" style="82" bestFit="1" customWidth="1"/>
    <col min="61" max="61" width="11.33203125" style="82" bestFit="1" customWidth="1"/>
    <col min="62" max="77" width="9" style="82" bestFit="1" customWidth="1"/>
    <col min="78" max="78" width="12.33203125" style="82" bestFit="1" customWidth="1"/>
    <col min="79" max="79" width="9" style="82" bestFit="1" customWidth="1"/>
    <col min="80" max="80" width="12.33203125" style="82" bestFit="1" customWidth="1"/>
    <col min="81" max="107" width="9" style="82" bestFit="1" customWidth="1"/>
    <col min="108" max="108" width="11.33203125" style="82" bestFit="1" customWidth="1"/>
    <col min="109" max="124" width="9" style="82" bestFit="1" customWidth="1"/>
    <col min="125" max="125" width="10.33203125" style="82" bestFit="1" customWidth="1"/>
    <col min="126" max="129" width="9.33203125" style="82" bestFit="1" customWidth="1"/>
    <col min="130" max="130" width="9" style="82" bestFit="1" customWidth="1"/>
    <col min="131" max="134" width="9.33203125" style="82" bestFit="1" customWidth="1"/>
    <col min="135" max="165" width="9" style="82" bestFit="1" customWidth="1"/>
    <col min="166" max="166" width="12.33203125" style="82" bestFit="1" customWidth="1"/>
    <col min="167" max="170" width="9" style="82" bestFit="1" customWidth="1"/>
    <col min="171" max="176" width="8.83203125" style="82"/>
    <col min="177" max="177" width="13.83203125" style="82" bestFit="1" customWidth="1"/>
    <col min="178" max="16384" width="8.83203125" style="82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243</v>
      </c>
      <c r="E1" t="s">
        <v>244</v>
      </c>
      <c r="F1" t="s">
        <v>245</v>
      </c>
      <c r="G1" t="s">
        <v>246</v>
      </c>
      <c r="H1" t="s">
        <v>247</v>
      </c>
      <c r="I1" t="s">
        <v>248</v>
      </c>
      <c r="J1" t="s">
        <v>192</v>
      </c>
      <c r="K1" t="s">
        <v>193</v>
      </c>
      <c r="L1" t="s">
        <v>194</v>
      </c>
      <c r="M1" t="s">
        <v>195</v>
      </c>
      <c r="N1" t="s">
        <v>196</v>
      </c>
      <c r="O1" t="s">
        <v>197</v>
      </c>
      <c r="P1" t="s">
        <v>198</v>
      </c>
      <c r="Q1" t="s">
        <v>199</v>
      </c>
      <c r="R1" t="s">
        <v>200</v>
      </c>
      <c r="S1" t="s">
        <v>201</v>
      </c>
      <c r="T1" t="s">
        <v>202</v>
      </c>
      <c r="U1" t="s">
        <v>203</v>
      </c>
      <c r="V1" t="s">
        <v>204</v>
      </c>
      <c r="W1" t="s">
        <v>205</v>
      </c>
      <c r="X1" t="s">
        <v>206</v>
      </c>
      <c r="Y1" t="s">
        <v>207</v>
      </c>
      <c r="Z1" t="s">
        <v>208</v>
      </c>
      <c r="AA1" t="s">
        <v>209</v>
      </c>
      <c r="AB1" t="s">
        <v>210</v>
      </c>
      <c r="AC1" t="s">
        <v>211</v>
      </c>
      <c r="AD1" t="s">
        <v>212</v>
      </c>
      <c r="AE1" t="s">
        <v>213</v>
      </c>
      <c r="AF1" t="s">
        <v>214</v>
      </c>
      <c r="AG1" t="s">
        <v>215</v>
      </c>
      <c r="AH1" t="s">
        <v>216</v>
      </c>
      <c r="AI1" t="s">
        <v>217</v>
      </c>
      <c r="AJ1" t="s">
        <v>218</v>
      </c>
      <c r="AK1" t="s">
        <v>219</v>
      </c>
      <c r="AL1" t="s">
        <v>220</v>
      </c>
      <c r="AM1" t="s">
        <v>221</v>
      </c>
      <c r="AN1" t="s">
        <v>222</v>
      </c>
      <c r="AO1" t="s">
        <v>223</v>
      </c>
      <c r="AP1" t="s">
        <v>224</v>
      </c>
      <c r="AQ1" t="s">
        <v>225</v>
      </c>
      <c r="AR1" t="s">
        <v>226</v>
      </c>
      <c r="AS1" t="s">
        <v>227</v>
      </c>
      <c r="AT1" t="s">
        <v>228</v>
      </c>
      <c r="AU1" t="s">
        <v>229</v>
      </c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1.9999999552965164E-2</v>
      </c>
      <c r="C2">
        <v>1.9999999552965164E-2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0.15000000596046448</v>
      </c>
      <c r="C3">
        <v>3.7496387958526611E-2</v>
      </c>
      <c r="D3"/>
      <c r="E3"/>
      <c r="F3"/>
      <c r="G3" s="11">
        <v>1.0885061055887491E-4</v>
      </c>
      <c r="H3"/>
      <c r="I3"/>
      <c r="J3"/>
      <c r="K3" s="225">
        <v>2.3842506110668182E-2</v>
      </c>
      <c r="L3" s="224">
        <v>1.4688135124742985E-2</v>
      </c>
      <c r="M3"/>
      <c r="N3"/>
      <c r="O3" s="228">
        <v>7.3864124715328217E-2</v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5.6000001728534698E-2</v>
      </c>
      <c r="C4">
        <v>4.7193821519613266E-2</v>
      </c>
      <c r="D4"/>
      <c r="E4" s="23">
        <v>3.6036033998243511E-4</v>
      </c>
      <c r="F4"/>
      <c r="G4"/>
      <c r="H4"/>
      <c r="I4"/>
      <c r="J4"/>
      <c r="K4" s="226">
        <v>8.4458207711577415E-3</v>
      </c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1</v>
      </c>
      <c r="C5">
        <v>1</v>
      </c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0.69999998807907104</v>
      </c>
      <c r="C6">
        <v>2.8148174751549959E-3</v>
      </c>
      <c r="D6"/>
      <c r="E6"/>
      <c r="F6"/>
      <c r="G6" s="67">
        <v>4.1783332824707031E-2</v>
      </c>
      <c r="H6"/>
      <c r="I6"/>
      <c r="J6" s="76">
        <v>4.5366276055574417E-2</v>
      </c>
      <c r="K6" s="12">
        <v>3.1259914394468069E-3</v>
      </c>
      <c r="L6" s="280">
        <v>0.57820111513137817</v>
      </c>
      <c r="M6" s="66">
        <v>2.8708407655358315E-2</v>
      </c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0.54100000858306885</v>
      </c>
      <c r="C7">
        <v>5.3943879902362823E-3</v>
      </c>
      <c r="D7"/>
      <c r="E7"/>
      <c r="F7"/>
      <c r="G7" s="18">
        <v>6.5142130479216576E-3</v>
      </c>
      <c r="H7"/>
      <c r="I7" s="11">
        <v>2.7837732341140509E-4</v>
      </c>
      <c r="J7" s="257">
        <v>0.10663981735706329</v>
      </c>
      <c r="K7" s="19">
        <v>9.8372455686330795E-3</v>
      </c>
      <c r="L7" s="230">
        <v>6.3444033265113831E-2</v>
      </c>
      <c r="M7" s="258">
        <v>0.10815928876399994</v>
      </c>
      <c r="N7"/>
      <c r="O7" s="264">
        <v>0.14529731869697571</v>
      </c>
      <c r="P7" s="253">
        <v>9.5435343682765961E-2</v>
      </c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0.60000002384185791</v>
      </c>
      <c r="C8">
        <v>7.5691655278205872E-2</v>
      </c>
      <c r="D8"/>
      <c r="E8"/>
      <c r="F8"/>
      <c r="G8" s="221">
        <v>0.17513099312782288</v>
      </c>
      <c r="H8"/>
      <c r="I8"/>
      <c r="J8" s="239">
        <v>2.0573610439896584E-2</v>
      </c>
      <c r="K8" s="22">
        <v>4.7941198572516441E-3</v>
      </c>
      <c r="L8" s="279">
        <v>0.15898032486438751</v>
      </c>
      <c r="M8" s="239">
        <v>1.9685765728354454E-2</v>
      </c>
      <c r="N8"/>
      <c r="O8" s="262">
        <v>0.14514352381229401</v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3.5000000149011612E-2</v>
      </c>
      <c r="C9">
        <v>3.2954957336187363E-2</v>
      </c>
      <c r="D9" s="67">
        <v>2.0450411830097437E-3</v>
      </c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1.9999999552965164E-2</v>
      </c>
      <c r="C10">
        <v>1.9999999552965164E-2</v>
      </c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1.3062756061553955</v>
      </c>
      <c r="C11">
        <v>1.3038840144872665E-2</v>
      </c>
      <c r="D11"/>
      <c r="E11"/>
      <c r="F11"/>
      <c r="G11"/>
      <c r="H11"/>
      <c r="I11"/>
      <c r="J11"/>
      <c r="K11" s="22">
        <v>1.0775702074170113E-2</v>
      </c>
      <c r="L11" s="238">
        <v>9.7197622060775757E-2</v>
      </c>
      <c r="M11" s="244">
        <v>0.18031144142150879</v>
      </c>
      <c r="N11"/>
      <c r="O11"/>
      <c r="P11"/>
      <c r="Q11" s="240">
        <v>0.14915157854557037</v>
      </c>
      <c r="R11" s="250">
        <v>0.24001182615756989</v>
      </c>
      <c r="S11" s="234">
        <v>5.8758266270160675E-2</v>
      </c>
      <c r="T11"/>
      <c r="U11" s="237">
        <v>9.3931049108505249E-2</v>
      </c>
      <c r="V11" s="254">
        <v>0.29980912804603577</v>
      </c>
      <c r="W11"/>
      <c r="X11"/>
      <c r="Y11"/>
      <c r="Z11"/>
      <c r="AA11"/>
      <c r="AB11"/>
      <c r="AC11" s="241">
        <v>0.16329018771648407</v>
      </c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0.60000002384185791</v>
      </c>
      <c r="C12">
        <v>5.8938506990671158E-3</v>
      </c>
      <c r="D12"/>
      <c r="E12"/>
      <c r="F12"/>
      <c r="G12" s="14">
        <v>1.0568323777988553E-3</v>
      </c>
      <c r="H12"/>
      <c r="I12"/>
      <c r="J12" s="236">
        <v>0.16234047710895538</v>
      </c>
      <c r="K12"/>
      <c r="L12" s="249">
        <v>0.43070888519287109</v>
      </c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0.62400001287460327</v>
      </c>
      <c r="C13">
        <v>4.6290595084428787E-2</v>
      </c>
      <c r="D13"/>
      <c r="E13"/>
      <c r="F13"/>
      <c r="G13"/>
      <c r="H13"/>
      <c r="I13"/>
      <c r="J13"/>
      <c r="K13" s="28">
        <v>2.1464450284838676E-2</v>
      </c>
      <c r="L13" s="248">
        <v>0.20058764517307281</v>
      </c>
      <c r="M13"/>
      <c r="N13" s="260">
        <v>0.33295732736587524</v>
      </c>
      <c r="O13"/>
      <c r="P13"/>
      <c r="Q13"/>
      <c r="R13"/>
      <c r="S13"/>
      <c r="T13"/>
      <c r="U13" s="13">
        <v>2.2700000554323196E-2</v>
      </c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1.5</v>
      </c>
      <c r="C14">
        <v>1.4955461025238037E-2</v>
      </c>
      <c r="D14"/>
      <c r="E14"/>
      <c r="F14"/>
      <c r="G14" s="65">
        <v>3.2920539379119873E-2</v>
      </c>
      <c r="H14"/>
      <c r="I14"/>
      <c r="J14"/>
      <c r="K14"/>
      <c r="L14" s="255">
        <v>0.18170690536499023</v>
      </c>
      <c r="M14" s="107">
        <v>0.10114132612943649</v>
      </c>
      <c r="N14" s="18">
        <v>1.6975201666355133E-2</v>
      </c>
      <c r="O14" s="106">
        <v>0.23390756547451019</v>
      </c>
      <c r="P14" s="20">
        <v>6.4597971737384796E-2</v>
      </c>
      <c r="Q14" s="275">
        <v>0.41827034950256348</v>
      </c>
      <c r="R14" s="247">
        <v>0.23211865127086639</v>
      </c>
      <c r="S14" s="15">
        <v>1.4471683651208878E-2</v>
      </c>
      <c r="T14"/>
      <c r="U14" s="20">
        <v>6.5860413014888763E-2</v>
      </c>
      <c r="V14" s="21">
        <v>3.0464174225926399E-2</v>
      </c>
      <c r="W14" s="11">
        <v>1.0162690887227654E-3</v>
      </c>
      <c r="X14"/>
      <c r="Y14"/>
      <c r="Z14"/>
      <c r="AA14"/>
      <c r="AB14"/>
      <c r="AC14" s="145">
        <v>9.1593660414218903E-2</v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0.44999998807907104</v>
      </c>
      <c r="C15">
        <v>2.249002642929554E-2</v>
      </c>
      <c r="D15"/>
      <c r="E15"/>
      <c r="F15"/>
      <c r="G15" s="222">
        <v>0.11103399842977524</v>
      </c>
      <c r="H15"/>
      <c r="I15"/>
      <c r="J15"/>
      <c r="K15" s="231">
        <v>0.13234497606754303</v>
      </c>
      <c r="L15" s="227">
        <v>4.0543235838413239E-2</v>
      </c>
      <c r="M15"/>
      <c r="N15"/>
      <c r="O15"/>
      <c r="P15"/>
      <c r="Q15"/>
      <c r="R15"/>
      <c r="S15" s="233">
        <v>0.14358773827552795</v>
      </c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0.60000002384185791</v>
      </c>
      <c r="C16">
        <v>5.689641460776329E-2</v>
      </c>
      <c r="D16"/>
      <c r="E16"/>
      <c r="F16"/>
      <c r="G16" s="223">
        <v>0.1400526762008667</v>
      </c>
      <c r="H16"/>
      <c r="I16"/>
      <c r="J16" s="144">
        <v>1.7917551100254059E-2</v>
      </c>
      <c r="K16" s="26">
        <v>1.5399034135043621E-2</v>
      </c>
      <c r="L16" s="228">
        <v>0.29494699835777283</v>
      </c>
      <c r="M16" s="23">
        <v>3.3509375061839819E-3</v>
      </c>
      <c r="N16"/>
      <c r="O16"/>
      <c r="P16" s="139">
        <v>7.1436412632465363E-2</v>
      </c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1.5</v>
      </c>
      <c r="C17">
        <v>1.4975756406784058E-2</v>
      </c>
      <c r="D17"/>
      <c r="E17"/>
      <c r="F17"/>
      <c r="G17" s="28">
        <v>5.3085770457983017E-2</v>
      </c>
      <c r="H17"/>
      <c r="I17"/>
      <c r="J17"/>
      <c r="K17" s="14">
        <v>2.6609001215547323E-3</v>
      </c>
      <c r="L17" s="76">
        <v>9.7854383289813995E-2</v>
      </c>
      <c r="M17" s="230">
        <v>0.17718330025672913</v>
      </c>
      <c r="N17"/>
      <c r="O17"/>
      <c r="P17" s="224">
        <v>0.14812757074832916</v>
      </c>
      <c r="Q17" s="261">
        <v>0.36631765961647034</v>
      </c>
      <c r="R17" s="256">
        <v>0.32530754804611206</v>
      </c>
      <c r="S17" s="21">
        <v>2.8855361044406891E-2</v>
      </c>
      <c r="T17"/>
      <c r="U17" s="27">
        <v>0.11537683755159378</v>
      </c>
      <c r="V17"/>
      <c r="W17"/>
      <c r="X17"/>
      <c r="Y17" s="23">
        <v>9.7975451499223709E-3</v>
      </c>
      <c r="Z17"/>
      <c r="AA17"/>
      <c r="AB17"/>
      <c r="AC17" s="243">
        <v>0.16045734286308289</v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0.69999998807907104</v>
      </c>
      <c r="C18">
        <v>6.9552240893244743E-3</v>
      </c>
      <c r="D18"/>
      <c r="E18"/>
      <c r="F18"/>
      <c r="G18" s="66">
        <v>2.8757551684975624E-2</v>
      </c>
      <c r="H18"/>
      <c r="I18" s="11">
        <v>1.1677939255605452E-6</v>
      </c>
      <c r="J18"/>
      <c r="K18" s="15">
        <v>6.3154119998216629E-3</v>
      </c>
      <c r="L18" s="272">
        <v>0.18149563670158386</v>
      </c>
      <c r="M18"/>
      <c r="N18" s="72">
        <v>4.9955420196056366E-2</v>
      </c>
      <c r="O18" s="27">
        <v>5.3256835788488388E-2</v>
      </c>
      <c r="P18" s="274">
        <v>0.19182498753070831</v>
      </c>
      <c r="Q18"/>
      <c r="R18"/>
      <c r="S18" s="145">
        <v>4.2793355882167816E-2</v>
      </c>
      <c r="T18"/>
      <c r="U18"/>
      <c r="V18" s="138">
        <v>9.1040492057800293E-2</v>
      </c>
      <c r="W18"/>
      <c r="X18"/>
      <c r="Y18"/>
      <c r="Z18"/>
      <c r="AA18"/>
      <c r="AB18"/>
      <c r="AC18" s="242">
        <v>4.7603923827409744E-2</v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0.5</v>
      </c>
      <c r="C19">
        <v>4.999995231628418E-3</v>
      </c>
      <c r="D19"/>
      <c r="E19"/>
      <c r="F19"/>
      <c r="G19" s="22">
        <v>3.899105591699481E-3</v>
      </c>
      <c r="H19"/>
      <c r="I19" s="11">
        <v>2.2139381599117769E-6</v>
      </c>
      <c r="J19"/>
      <c r="K19" s="65">
        <v>1.0832220315933228E-2</v>
      </c>
      <c r="L19"/>
      <c r="M19"/>
      <c r="N19"/>
      <c r="O19" s="108">
        <v>9.1196142137050629E-2</v>
      </c>
      <c r="P19" s="265">
        <v>0.20100200176239014</v>
      </c>
      <c r="Q19"/>
      <c r="R19"/>
      <c r="S19"/>
      <c r="T19"/>
      <c r="U19"/>
      <c r="V19" s="235">
        <v>2.496369369328022E-2</v>
      </c>
      <c r="W19" s="17">
        <v>7.1026068180799484E-3</v>
      </c>
      <c r="X19" s="247">
        <v>7.7446170151233673E-2</v>
      </c>
      <c r="Y19" s="245">
        <v>7.4356429278850555E-2</v>
      </c>
      <c r="Z19"/>
      <c r="AA19" s="22">
        <v>4.1994438506662846E-3</v>
      </c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1</v>
      </c>
      <c r="C20">
        <v>9.9936723709106445E-3</v>
      </c>
      <c r="D20"/>
      <c r="E20"/>
      <c r="F20"/>
      <c r="G20"/>
      <c r="H20"/>
      <c r="I20" s="11">
        <v>6.3210503498112303E-9</v>
      </c>
      <c r="J20" s="21">
        <v>1.9078001379966736E-2</v>
      </c>
      <c r="K20" s="14">
        <v>1.6409329837188125E-3</v>
      </c>
      <c r="L20" s="26">
        <v>2.5171063840389252E-2</v>
      </c>
      <c r="M20"/>
      <c r="N20" s="253">
        <v>0.17741593718528748</v>
      </c>
      <c r="O20" s="27">
        <v>7.5861282646656036E-2</v>
      </c>
      <c r="P20" s="276">
        <v>0.24975302815437317</v>
      </c>
      <c r="Q20" s="246">
        <v>5.6494742631912231E-2</v>
      </c>
      <c r="R20" s="68">
        <v>6.2691189348697662E-2</v>
      </c>
      <c r="S20"/>
      <c r="T20" s="67">
        <v>5.8394264429807663E-2</v>
      </c>
      <c r="U20"/>
      <c r="V20" s="245">
        <v>0.1488577127456665</v>
      </c>
      <c r="W20"/>
      <c r="X20" s="252">
        <v>8.4222413599491119E-2</v>
      </c>
      <c r="Y20" s="25">
        <v>3.0425699427723885E-2</v>
      </c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1.3999999761581421</v>
      </c>
      <c r="C21">
        <v>1.4000070281326771E-2</v>
      </c>
      <c r="D21"/>
      <c r="E21"/>
      <c r="F21"/>
      <c r="G21"/>
      <c r="H21"/>
      <c r="I21"/>
      <c r="J21" s="14">
        <v>1.5967023791745305E-3</v>
      </c>
      <c r="K21" s="144">
        <v>4.1452664881944656E-2</v>
      </c>
      <c r="L21"/>
      <c r="M21"/>
      <c r="N21" s="226">
        <v>0.2109365314245224</v>
      </c>
      <c r="O21" s="267">
        <v>0.31675213575363159</v>
      </c>
      <c r="P21" s="281">
        <v>0.81105655431747437</v>
      </c>
      <c r="Q21"/>
      <c r="R21"/>
      <c r="S21"/>
      <c r="T21"/>
      <c r="U21"/>
      <c r="V21" s="12">
        <v>4.2053032666444778E-3</v>
      </c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0.30970001220703125</v>
      </c>
      <c r="C22">
        <v>1.5466582030057907E-2</v>
      </c>
      <c r="D22"/>
      <c r="E22"/>
      <c r="F22"/>
      <c r="G22" s="17">
        <v>4.0075290016829967E-3</v>
      </c>
      <c r="H22"/>
      <c r="I22"/>
      <c r="J22"/>
      <c r="K22" s="16">
        <v>4.8653199337422848E-3</v>
      </c>
      <c r="L22" s="262">
        <v>7.4631474912166595E-2</v>
      </c>
      <c r="M22" s="270">
        <v>0.104178786277771</v>
      </c>
      <c r="N22"/>
      <c r="O22" s="251">
        <v>4.4945079833269119E-2</v>
      </c>
      <c r="P22" s="244">
        <v>4.2690955102443695E-2</v>
      </c>
      <c r="Q22"/>
      <c r="R22"/>
      <c r="S22"/>
      <c r="T22"/>
      <c r="U22"/>
      <c r="V22" s="25">
        <v>9.4216372817754745E-3</v>
      </c>
      <c r="W22" s="11">
        <v>2.6042078388854861E-4</v>
      </c>
      <c r="X22" s="232">
        <v>7.1848412044346333E-3</v>
      </c>
      <c r="Y22" s="23">
        <v>2.0473487675189972E-3</v>
      </c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2</v>
      </c>
      <c r="C23">
        <v>9.9999904632568359E-2</v>
      </c>
      <c r="D23"/>
      <c r="E23"/>
      <c r="F23"/>
      <c r="G23"/>
      <c r="H23" s="11">
        <v>2.2996040934231132E-4</v>
      </c>
      <c r="I23"/>
      <c r="J23"/>
      <c r="K23" s="29">
        <v>9.4629362225532532E-2</v>
      </c>
      <c r="L23"/>
      <c r="M23"/>
      <c r="N23"/>
      <c r="O23" s="278">
        <v>1.4576551914215088</v>
      </c>
      <c r="P23"/>
      <c r="Q23"/>
      <c r="R23"/>
      <c r="S23"/>
      <c r="T23"/>
      <c r="U23"/>
      <c r="V23"/>
      <c r="W23" s="232">
        <v>4.7485549002885818E-2</v>
      </c>
      <c r="X23"/>
      <c r="Y23"/>
      <c r="Z23"/>
      <c r="AA23"/>
      <c r="AB23"/>
      <c r="AC23"/>
      <c r="AD23"/>
      <c r="AE23" s="226">
        <v>0.30000001192092896</v>
      </c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0.65700000524520874</v>
      </c>
      <c r="C24">
        <v>6.5700719133019447E-3</v>
      </c>
      <c r="D24"/>
      <c r="E24"/>
      <c r="F24"/>
      <c r="G24"/>
      <c r="H24"/>
      <c r="I24"/>
      <c r="J24" s="22">
        <v>4.9706357531249523E-3</v>
      </c>
      <c r="K24" s="18">
        <v>8.2130115479230881E-3</v>
      </c>
      <c r="L24"/>
      <c r="M24" s="284">
        <v>0.23649364709854126</v>
      </c>
      <c r="N24" s="27">
        <v>4.9746889621019363E-2</v>
      </c>
      <c r="O24"/>
      <c r="P24" s="271">
        <v>8.6618945002555847E-2</v>
      </c>
      <c r="Q24" s="230">
        <v>7.7561356127262115E-2</v>
      </c>
      <c r="R24" s="271">
        <v>8.6063943803310394E-2</v>
      </c>
      <c r="S24" s="21">
        <v>1.2729587033390999E-2</v>
      </c>
      <c r="T24" s="20">
        <v>2.7835078537464142E-2</v>
      </c>
      <c r="U24" s="26">
        <v>1.6957944259047508E-2</v>
      </c>
      <c r="V24" s="144">
        <v>1.9655104726552963E-2</v>
      </c>
      <c r="W24"/>
      <c r="X24"/>
      <c r="Y24"/>
      <c r="Z24"/>
      <c r="AA24"/>
      <c r="AB24"/>
      <c r="AC24" s="28">
        <v>2.3583820089697838E-2</v>
      </c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0.69999998807907104</v>
      </c>
      <c r="C25">
        <v>4.7056440263986588E-2</v>
      </c>
      <c r="D25"/>
      <c r="E25"/>
      <c r="F25"/>
      <c r="G25"/>
      <c r="H25"/>
      <c r="I25"/>
      <c r="J25" s="268">
        <v>9.4520643353462219E-2</v>
      </c>
      <c r="K25" s="23">
        <v>4.7117075882852077E-3</v>
      </c>
      <c r="L25" s="277">
        <v>0.14454638957977295</v>
      </c>
      <c r="M25" s="28">
        <v>2.4508781731128693E-2</v>
      </c>
      <c r="N25" s="259">
        <v>5.9919591993093491E-2</v>
      </c>
      <c r="O25"/>
      <c r="P25" s="13">
        <v>2.6229234412312508E-2</v>
      </c>
      <c r="Q25"/>
      <c r="R25" s="140">
        <v>0.26497307419776917</v>
      </c>
      <c r="S25"/>
      <c r="T25" s="29">
        <v>3.3534172922372818E-2</v>
      </c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2</v>
      </c>
      <c r="C26">
        <v>1.9999980926513672E-2</v>
      </c>
      <c r="D26"/>
      <c r="E26"/>
      <c r="F26"/>
      <c r="G26"/>
      <c r="H26"/>
      <c r="I26"/>
      <c r="J26" s="14">
        <v>4.571959376335144E-3</v>
      </c>
      <c r="K26" s="11">
        <v>1.8991704564541578E-3</v>
      </c>
      <c r="L26"/>
      <c r="M26"/>
      <c r="N26" s="252">
        <v>0.16910047829151154</v>
      </c>
      <c r="O26"/>
      <c r="P26" s="251">
        <v>0.28905725479125977</v>
      </c>
      <c r="Q26" s="21">
        <v>3.9231274276971817E-2</v>
      </c>
      <c r="R26" s="65">
        <v>4.3534230440855026E-2</v>
      </c>
      <c r="S26" s="77">
        <v>0.44279265403747559</v>
      </c>
      <c r="T26" s="26">
        <v>5.0687935203313828E-2</v>
      </c>
      <c r="U26" s="145">
        <v>0.1235223114490509</v>
      </c>
      <c r="V26" s="64">
        <v>0.10951077938079834</v>
      </c>
      <c r="W26"/>
      <c r="X26"/>
      <c r="Y26"/>
      <c r="Z26"/>
      <c r="AA26" s="20">
        <v>8.7651446461677551E-2</v>
      </c>
      <c r="AB26"/>
      <c r="AC26" s="144">
        <v>5.726180225610733E-2</v>
      </c>
      <c r="AD26"/>
      <c r="AE26"/>
      <c r="AF26"/>
      <c r="AG26"/>
      <c r="AH26"/>
      <c r="AI26" s="283">
        <v>0.56117868423461914</v>
      </c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1.5</v>
      </c>
      <c r="C27">
        <v>0.89711755514144897</v>
      </c>
      <c r="D27"/>
      <c r="E27"/>
      <c r="F27" s="11">
        <v>9.7031664336100221E-4</v>
      </c>
      <c r="G27"/>
      <c r="H27"/>
      <c r="I27"/>
      <c r="J27"/>
      <c r="K27" s="14">
        <v>2.4579828605055809E-3</v>
      </c>
      <c r="L27" s="28">
        <v>5.2785858511924744E-2</v>
      </c>
      <c r="M27" s="23">
        <v>9.6787232905626297E-3</v>
      </c>
      <c r="N27" s="15">
        <v>1.5004120767116547E-2</v>
      </c>
      <c r="O27" s="14">
        <v>2.3313520941883326E-3</v>
      </c>
      <c r="P27" s="15">
        <v>1.3683151453733444E-2</v>
      </c>
      <c r="Q27" s="285">
        <v>0.24434797465801239</v>
      </c>
      <c r="R27" s="141">
        <v>0.15024998784065247</v>
      </c>
      <c r="S27" s="26">
        <v>3.937322273850441E-2</v>
      </c>
      <c r="T27" s="22">
        <v>1.3120470568537712E-2</v>
      </c>
      <c r="U27" s="65">
        <v>3.1973503530025482E-2</v>
      </c>
      <c r="V27" s="22">
        <v>1.0313022881746292E-2</v>
      </c>
      <c r="W27"/>
      <c r="X27" s="14">
        <v>1.7706420039758086E-3</v>
      </c>
      <c r="Y27"/>
      <c r="Z27"/>
      <c r="AA27"/>
      <c r="AB27"/>
      <c r="AC27" s="15">
        <v>1.4822104014456272E-2</v>
      </c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2.5</v>
      </c>
      <c r="C28">
        <v>1.1003763675689697</v>
      </c>
      <c r="D28"/>
      <c r="E28"/>
      <c r="F28"/>
      <c r="G28" s="11">
        <v>4.5182221219874918E-4</v>
      </c>
      <c r="H28"/>
      <c r="I28"/>
      <c r="J28"/>
      <c r="K28" s="11">
        <v>6.8728922633454204E-4</v>
      </c>
      <c r="L28"/>
      <c r="M28"/>
      <c r="N28"/>
      <c r="O28" s="14">
        <v>5.4821958765387535E-3</v>
      </c>
      <c r="P28" s="65">
        <v>5.1624640822410583E-2</v>
      </c>
      <c r="Q28"/>
      <c r="R28"/>
      <c r="S28"/>
      <c r="T28"/>
      <c r="U28"/>
      <c r="V28"/>
      <c r="W28" s="11">
        <v>1.3005037326365709E-3</v>
      </c>
      <c r="X28" s="23">
        <v>1.7114786431193352E-2</v>
      </c>
      <c r="Y28" s="11">
        <v>2.1440791897475719E-3</v>
      </c>
      <c r="Z28"/>
      <c r="AA28"/>
      <c r="AB28"/>
      <c r="AC28"/>
      <c r="AD28" s="15">
        <v>2.3516852408647537E-2</v>
      </c>
      <c r="AE28" s="12">
        <v>9.0288007631897926E-3</v>
      </c>
      <c r="AF28"/>
      <c r="AG28"/>
      <c r="AH28"/>
      <c r="AI28"/>
      <c r="AJ28" s="288">
        <v>1.2500001192092896</v>
      </c>
      <c r="AK28"/>
      <c r="AL28"/>
      <c r="AM28"/>
      <c r="AN28" s="14">
        <v>3.3677055034786463E-3</v>
      </c>
      <c r="AO28"/>
      <c r="AP28" s="17">
        <v>3.4904837608337402E-2</v>
      </c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8</v>
      </c>
      <c r="C29">
        <v>4.3747348785400391</v>
      </c>
      <c r="D29"/>
      <c r="E29"/>
      <c r="F29"/>
      <c r="G29"/>
      <c r="H29"/>
      <c r="I29"/>
      <c r="J29"/>
      <c r="K29"/>
      <c r="L29" s="22">
        <v>6.0380388051271439E-2</v>
      </c>
      <c r="M29"/>
      <c r="N29" s="14">
        <v>1.8255190923810005E-2</v>
      </c>
      <c r="O29" s="23">
        <v>4.5345250517129898E-2</v>
      </c>
      <c r="P29" s="14">
        <v>1.0127677582204342E-2</v>
      </c>
      <c r="Q29" s="15">
        <v>7.7215127646923065E-2</v>
      </c>
      <c r="R29" s="18">
        <v>9.2404551804065704E-2</v>
      </c>
      <c r="S29" s="12">
        <v>2.4866111576557159E-2</v>
      </c>
      <c r="T29" s="12">
        <v>3.0739657580852509E-2</v>
      </c>
      <c r="U29" s="12">
        <v>2.7239998802542686E-2</v>
      </c>
      <c r="V29" s="22">
        <v>5.9252787381410599E-2</v>
      </c>
      <c r="W29" s="11">
        <v>2.6270680245943367E-4</v>
      </c>
      <c r="X29" s="11">
        <v>5.6665223091840744E-3</v>
      </c>
      <c r="Y29" s="23">
        <v>4.5450698584318161E-2</v>
      </c>
      <c r="Z29" s="144">
        <v>0.23287172615528107</v>
      </c>
      <c r="AA29" s="18">
        <v>9.0462110936641693E-2</v>
      </c>
      <c r="AB29" s="20">
        <v>0.3377223014831543</v>
      </c>
      <c r="AC29" s="25">
        <v>0.25097700953483582</v>
      </c>
      <c r="AD29"/>
      <c r="AE29"/>
      <c r="AF29" s="266">
        <v>0.42590144276618958</v>
      </c>
      <c r="AG29" s="28">
        <v>0.28233334422111511</v>
      </c>
      <c r="AH29" s="23">
        <v>4.6156581491231918E-2</v>
      </c>
      <c r="AI29" s="70">
        <v>0.40220394730567932</v>
      </c>
      <c r="AJ29"/>
      <c r="AK29" s="241">
        <v>0.9999997615814209</v>
      </c>
      <c r="AL29"/>
      <c r="AM29"/>
      <c r="AN29" s="22">
        <v>5.9430096298456192E-2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1.5800000429153442</v>
      </c>
      <c r="C30">
        <v>1.0914280414581299</v>
      </c>
      <c r="D30"/>
      <c r="E30"/>
      <c r="F30"/>
      <c r="G30"/>
      <c r="H30"/>
      <c r="I30"/>
      <c r="J30"/>
      <c r="K30"/>
      <c r="L30"/>
      <c r="M30"/>
      <c r="N30"/>
      <c r="O30" s="14">
        <v>3.6279237829148769E-3</v>
      </c>
      <c r="P30" s="11">
        <v>7.5719458982348442E-4</v>
      </c>
      <c r="Q30"/>
      <c r="R30"/>
      <c r="S30"/>
      <c r="T30"/>
      <c r="U30"/>
      <c r="V30" s="11">
        <v>4.3447403004392982E-4</v>
      </c>
      <c r="W30" s="14">
        <v>1.7289819661527872E-3</v>
      </c>
      <c r="X30" s="15">
        <v>1.6249461099505424E-2</v>
      </c>
      <c r="Y30" s="12">
        <v>7.2895511984825134E-3</v>
      </c>
      <c r="Z30"/>
      <c r="AA30"/>
      <c r="AB30"/>
      <c r="AC30"/>
      <c r="AD30" s="26">
        <v>3.8906559348106384E-2</v>
      </c>
      <c r="AE30" s="12">
        <v>5.9749418869614601E-3</v>
      </c>
      <c r="AF30"/>
      <c r="AG30"/>
      <c r="AH30"/>
      <c r="AI30"/>
      <c r="AJ30" s="287">
        <v>0.41360297799110413</v>
      </c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1.4800000190734863</v>
      </c>
      <c r="C31">
        <v>7.400001585483551E-2</v>
      </c>
      <c r="D31"/>
      <c r="E31"/>
      <c r="F31"/>
      <c r="G31"/>
      <c r="H31"/>
      <c r="I31"/>
      <c r="J31"/>
      <c r="K31"/>
      <c r="L31"/>
      <c r="M31"/>
      <c r="N31"/>
      <c r="O31" s="20">
        <v>6.3516139984130859E-2</v>
      </c>
      <c r="P31" s="239">
        <v>4.9919769167900085E-2</v>
      </c>
      <c r="Q31"/>
      <c r="R31"/>
      <c r="S31"/>
      <c r="T31"/>
      <c r="U31"/>
      <c r="V31" s="282">
        <v>0.23850290477275848</v>
      </c>
      <c r="W31"/>
      <c r="X31" s="24">
        <v>4.0099676698446274E-2</v>
      </c>
      <c r="Y31" s="232">
        <v>3.4062445163726807E-2</v>
      </c>
      <c r="Z31"/>
      <c r="AA31" s="227">
        <v>0.13246552646160126</v>
      </c>
      <c r="AB31"/>
      <c r="AC31"/>
      <c r="AD31"/>
      <c r="AE31" s="266">
        <v>7.8433550894260406E-2</v>
      </c>
      <c r="AF31"/>
      <c r="AG31"/>
      <c r="AH31"/>
      <c r="AI31"/>
      <c r="AJ31"/>
      <c r="AK31"/>
      <c r="AL31"/>
      <c r="AM31" s="286">
        <v>0.76899999380111694</v>
      </c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1.7000000476837158</v>
      </c>
      <c r="C32">
        <v>1.6999984160065651E-2</v>
      </c>
      <c r="D32"/>
      <c r="E32"/>
      <c r="F32"/>
      <c r="G32"/>
      <c r="H32"/>
      <c r="I32" s="17">
        <v>2.2495098412036896E-2</v>
      </c>
      <c r="J32"/>
      <c r="K32"/>
      <c r="L32"/>
      <c r="M32"/>
      <c r="N32" s="14">
        <v>3.6396726500242949E-3</v>
      </c>
      <c r="O32" s="263">
        <v>0.23606963455677032</v>
      </c>
      <c r="P32" s="269">
        <v>0.32604360580444336</v>
      </c>
      <c r="Q32"/>
      <c r="R32"/>
      <c r="S32" s="14">
        <v>3.3230425324290991E-3</v>
      </c>
      <c r="T32"/>
      <c r="U32"/>
      <c r="V32" s="273">
        <v>0.35316365957260132</v>
      </c>
      <c r="W32" s="14">
        <v>2.460915595293045E-3</v>
      </c>
      <c r="X32" s="224">
        <v>0.16559772193431854</v>
      </c>
      <c r="Y32" s="68">
        <v>0.1054006889462471</v>
      </c>
      <c r="Z32" s="232">
        <v>4.038102924823761E-2</v>
      </c>
      <c r="AA32" s="276">
        <v>0.42442503571510315</v>
      </c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1.3700000047683716</v>
      </c>
      <c r="C33">
        <v>0.38764426112174988</v>
      </c>
      <c r="D33"/>
      <c r="E33"/>
      <c r="F33"/>
      <c r="G33"/>
      <c r="H33" s="11">
        <v>1.9650001377158333E-6</v>
      </c>
      <c r="I33"/>
      <c r="J33"/>
      <c r="K33"/>
      <c r="L33"/>
      <c r="M33"/>
      <c r="N33"/>
      <c r="O33" s="22">
        <v>9.5069035887718201E-3</v>
      </c>
      <c r="P33" s="11">
        <v>1.0059186024591327E-3</v>
      </c>
      <c r="Q33"/>
      <c r="R33"/>
      <c r="S33"/>
      <c r="T33"/>
      <c r="U33"/>
      <c r="V33" s="11">
        <v>6.0284684877842665E-4</v>
      </c>
      <c r="W33" s="11">
        <v>2.5219855160685256E-5</v>
      </c>
      <c r="X33" s="14">
        <v>3.5638506524264812E-3</v>
      </c>
      <c r="Y33" s="14">
        <v>2.1840780973434448E-3</v>
      </c>
      <c r="Z33"/>
      <c r="AA33"/>
      <c r="AB33"/>
      <c r="AC33"/>
      <c r="AD33" s="238">
        <v>0.101157046854496</v>
      </c>
      <c r="AE33" s="14">
        <v>2.9874709434807301E-3</v>
      </c>
      <c r="AF33"/>
      <c r="AG33"/>
      <c r="AH33"/>
      <c r="AI33"/>
      <c r="AJ33" s="289">
        <v>0.82720595598220825</v>
      </c>
      <c r="AK33"/>
      <c r="AL33"/>
      <c r="AM33" s="23">
        <v>8.7871784344315529E-3</v>
      </c>
      <c r="AN33" s="14">
        <v>2.2286286111921072E-3</v>
      </c>
      <c r="AO33"/>
      <c r="AP33" s="19">
        <v>2.3098791018128395E-2</v>
      </c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19</v>
      </c>
      <c r="C34">
        <v>0.19000095129013062</v>
      </c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 s="11">
        <v>3.0655749142169952E-3</v>
      </c>
      <c r="AF34"/>
      <c r="AG34"/>
      <c r="AH34"/>
      <c r="AI34"/>
      <c r="AJ34" s="291">
        <v>4.2441611289978027</v>
      </c>
      <c r="AK34" s="239">
        <v>0.61568617820739746</v>
      </c>
      <c r="AL34" s="276">
        <v>4.7366800308227539</v>
      </c>
      <c r="AM34" s="15">
        <v>0.18033818900585175</v>
      </c>
      <c r="AN34"/>
      <c r="AO34" s="295">
        <v>9.0300664901733398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>
        <v>9</v>
      </c>
      <c r="C35">
        <v>2.8818717002868652</v>
      </c>
      <c r="D35"/>
      <c r="E35"/>
      <c r="F35"/>
      <c r="G35"/>
      <c r="H35"/>
      <c r="I35"/>
      <c r="J35"/>
      <c r="K35"/>
      <c r="L35"/>
      <c r="M35"/>
      <c r="N35"/>
      <c r="O35"/>
      <c r="P35" s="11">
        <v>1.429678057320416E-3</v>
      </c>
      <c r="Q35"/>
      <c r="R35"/>
      <c r="S35"/>
      <c r="T35"/>
      <c r="U35" s="11">
        <v>2.7239997871220112E-3</v>
      </c>
      <c r="V35" s="11">
        <v>5.2862241864204407E-4</v>
      </c>
      <c r="W35"/>
      <c r="X35"/>
      <c r="Y35"/>
      <c r="Z35" s="14">
        <v>1.0791041888296604E-2</v>
      </c>
      <c r="AA35"/>
      <c r="AB35" s="23">
        <v>4.4849526137113571E-2</v>
      </c>
      <c r="AC35" s="22">
        <v>7.576664537191391E-2</v>
      </c>
      <c r="AD35"/>
      <c r="AE35"/>
      <c r="AF35" s="26">
        <v>0.22466084361076355</v>
      </c>
      <c r="AG35" s="21">
        <v>0.17746667563915253</v>
      </c>
      <c r="AH35" s="239">
        <v>0.29248043894767761</v>
      </c>
      <c r="AI35" s="227">
        <v>0.81059563159942627</v>
      </c>
      <c r="AJ35"/>
      <c r="AK35" s="292">
        <v>4.4000005722045898</v>
      </c>
      <c r="AL35"/>
      <c r="AM35" s="12">
        <v>2.9290594160556793E-2</v>
      </c>
      <c r="AN35" s="23">
        <v>4.7544077038764954E-2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>
        <v>150</v>
      </c>
      <c r="C36">
        <v>1.4999896287918091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 s="14">
        <v>0.27479982376098633</v>
      </c>
      <c r="AG36" s="14">
        <v>0.20194502174854279</v>
      </c>
      <c r="AH36"/>
      <c r="AI36" s="15">
        <v>1.5490734577178955</v>
      </c>
      <c r="AJ36" s="69">
        <v>13.805794715881348</v>
      </c>
      <c r="AK36" s="107">
        <v>10.013799667358398</v>
      </c>
      <c r="AL36"/>
      <c r="AM36" s="14">
        <v>0.36663776636123657</v>
      </c>
      <c r="AN36"/>
      <c r="AO36"/>
      <c r="AP36" s="293">
        <v>57.826686859130859</v>
      </c>
      <c r="AQ36" s="294">
        <v>62.586265563964844</v>
      </c>
      <c r="AR36" s="18">
        <v>1.8749998807907104</v>
      </c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227</v>
      </c>
      <c r="B37">
        <v>150</v>
      </c>
      <c r="C37">
        <v>1.4999985694885254</v>
      </c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 s="11">
        <v>2.6503195986151695E-2</v>
      </c>
      <c r="AF37"/>
      <c r="AG37"/>
      <c r="AH37"/>
      <c r="AI37"/>
      <c r="AJ37" s="224">
        <v>14.677030563354492</v>
      </c>
      <c r="AK37"/>
      <c r="AL37" s="290">
        <v>30.712959289550781</v>
      </c>
      <c r="AM37" s="12">
        <v>0.62364006042480469</v>
      </c>
      <c r="AN37"/>
      <c r="AO37"/>
      <c r="AP37" s="296">
        <v>102.45986938476562</v>
      </c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228</v>
      </c>
      <c r="B38">
        <v>55</v>
      </c>
      <c r="C38">
        <v>39.058071136474609</v>
      </c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 s="11">
        <v>1.6465263441205025E-2</v>
      </c>
      <c r="AG38" s="11">
        <v>1.2100000865757465E-2</v>
      </c>
      <c r="AH38"/>
      <c r="AI38" s="14">
        <v>9.2816300690174103E-2</v>
      </c>
      <c r="AJ38"/>
      <c r="AK38" s="18">
        <v>0.59999984502792358</v>
      </c>
      <c r="AL38"/>
      <c r="AM38" s="11">
        <v>2.1967945620417595E-2</v>
      </c>
      <c r="AN38" s="11">
        <v>1.2628896161913872E-2</v>
      </c>
      <c r="AO38"/>
      <c r="AP38"/>
      <c r="AQ38" s="146">
        <v>14.0625</v>
      </c>
      <c r="AR38" s="21">
        <v>1.123449444770813</v>
      </c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229</v>
      </c>
      <c r="B39">
        <v>2</v>
      </c>
      <c r="C39">
        <v>1.5336306095123291</v>
      </c>
      <c r="D39"/>
      <c r="E39"/>
      <c r="F39"/>
      <c r="G39"/>
      <c r="H39" s="23">
        <v>1.3515383936464787E-2</v>
      </c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 s="229">
        <v>0.21931390464305878</v>
      </c>
      <c r="Y39" s="230">
        <v>0.23354014754295349</v>
      </c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230</v>
      </c>
      <c r="B40"/>
      <c r="C40">
        <v>0.98022854328155518</v>
      </c>
      <c r="D40"/>
      <c r="E40"/>
      <c r="F40"/>
      <c r="G40"/>
      <c r="H40"/>
      <c r="I40"/>
      <c r="J40"/>
      <c r="K40"/>
      <c r="L40"/>
      <c r="M40" s="9">
        <v>1.2254390167072415E-3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 s="9">
        <v>5.9749417006969452E-2</v>
      </c>
      <c r="AF40"/>
      <c r="AG40"/>
      <c r="AH40"/>
      <c r="AI40"/>
      <c r="AJ40"/>
      <c r="AK40"/>
      <c r="AL40"/>
      <c r="AM40" s="9">
        <v>0.4393589198589325</v>
      </c>
      <c r="AN40" s="9">
        <v>0.14857524633407593</v>
      </c>
      <c r="AO40"/>
      <c r="AP40" s="9">
        <v>6.9434723854064941</v>
      </c>
      <c r="AQ40"/>
      <c r="AR40"/>
      <c r="AS40" s="9">
        <v>6.3405647277832031</v>
      </c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231</v>
      </c>
      <c r="B41"/>
      <c r="C41">
        <v>0.66990900039672852</v>
      </c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 s="9">
        <v>5.9999985694885254</v>
      </c>
      <c r="AL41" s="9">
        <v>17.310001373291016</v>
      </c>
      <c r="AM41" s="9">
        <v>0.4393589198589325</v>
      </c>
      <c r="AN41" s="9">
        <v>0.63293051719665527</v>
      </c>
      <c r="AO41" s="9">
        <v>88</v>
      </c>
      <c r="AP41" s="9">
        <v>46.197578430175781</v>
      </c>
      <c r="AQ41" s="9">
        <v>3.75</v>
      </c>
      <c r="AR41" s="9">
        <v>381.97280883789062</v>
      </c>
      <c r="AS41" s="9">
        <v>23.248739242553711</v>
      </c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 t="s">
        <v>232</v>
      </c>
      <c r="B42"/>
      <c r="C42">
        <v>0.95685321092605591</v>
      </c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 s="9">
        <v>5.9749417006969452E-2</v>
      </c>
      <c r="AF42"/>
      <c r="AG42"/>
      <c r="AH42"/>
      <c r="AI42"/>
      <c r="AJ42" s="9">
        <v>49.632354736328125</v>
      </c>
      <c r="AK42" s="9">
        <v>11.999997138977051</v>
      </c>
      <c r="AL42" s="9">
        <v>17.310001373291016</v>
      </c>
      <c r="AM42" s="9">
        <v>3.0755124092102051</v>
      </c>
      <c r="AN42" s="9">
        <v>0.78002011775970459</v>
      </c>
      <c r="AO42" s="9">
        <v>44</v>
      </c>
      <c r="AP42" s="9">
        <v>224.04270935058594</v>
      </c>
      <c r="AQ42" s="9">
        <v>15</v>
      </c>
      <c r="AR42" s="9">
        <v>42.691078186035156</v>
      </c>
      <c r="AS42" s="9">
        <v>393.11505126953125</v>
      </c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31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32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32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196" t="s">
        <v>192</v>
      </c>
      <c r="E5">
        <v>4</v>
      </c>
      <c r="F5">
        <v>3.13</v>
      </c>
      <c r="G5">
        <v>4</v>
      </c>
      <c r="H5" s="197" t="s">
        <v>192</v>
      </c>
      <c r="J5" s="57"/>
      <c r="K5" s="58"/>
    </row>
    <row r="6" spans="1:12" ht="14" thickBot="1" x14ac:dyDescent="0.2">
      <c r="A6" s="41" t="s">
        <v>121</v>
      </c>
      <c r="D6" s="196" t="s">
        <v>193</v>
      </c>
      <c r="E6">
        <v>5</v>
      </c>
      <c r="F6">
        <v>3.12</v>
      </c>
      <c r="G6">
        <v>5</v>
      </c>
      <c r="H6" s="197" t="s">
        <v>193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196" t="s">
        <v>194</v>
      </c>
      <c r="E7">
        <v>6</v>
      </c>
      <c r="F7">
        <v>3.13</v>
      </c>
      <c r="G7">
        <v>6</v>
      </c>
      <c r="H7" s="197" t="s">
        <v>194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196" t="s">
        <v>195</v>
      </c>
      <c r="E8">
        <v>7</v>
      </c>
      <c r="F8">
        <v>3.13</v>
      </c>
      <c r="G8">
        <v>7</v>
      </c>
      <c r="H8" s="197" t="s">
        <v>195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196" t="s">
        <v>196</v>
      </c>
      <c r="E9">
        <v>8</v>
      </c>
      <c r="F9">
        <v>3.22</v>
      </c>
      <c r="G9">
        <v>8</v>
      </c>
      <c r="H9" s="197" t="s">
        <v>196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196" t="s">
        <v>197</v>
      </c>
      <c r="E10">
        <v>9</v>
      </c>
      <c r="F10">
        <v>3.2</v>
      </c>
      <c r="G10">
        <v>9</v>
      </c>
      <c r="H10" s="197" t="s">
        <v>197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196" t="s">
        <v>198</v>
      </c>
      <c r="E11">
        <v>10</v>
      </c>
      <c r="F11">
        <v>3.22</v>
      </c>
      <c r="G11">
        <v>10</v>
      </c>
      <c r="H11" s="197" t="s">
        <v>198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196" t="s">
        <v>199</v>
      </c>
      <c r="E12">
        <v>11</v>
      </c>
      <c r="F12">
        <v>3.13</v>
      </c>
      <c r="G12">
        <v>11</v>
      </c>
      <c r="H12" s="197" t="s">
        <v>199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196" t="s">
        <v>200</v>
      </c>
      <c r="E13">
        <v>12</v>
      </c>
      <c r="F13">
        <v>3.13</v>
      </c>
      <c r="G13">
        <v>12</v>
      </c>
      <c r="H13" s="197" t="s">
        <v>200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196" t="s">
        <v>201</v>
      </c>
      <c r="E14">
        <v>13</v>
      </c>
      <c r="F14">
        <v>3.22</v>
      </c>
      <c r="G14">
        <v>13</v>
      </c>
      <c r="H14" s="197" t="s">
        <v>201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196" t="s">
        <v>202</v>
      </c>
      <c r="E15">
        <v>14</v>
      </c>
      <c r="F15">
        <v>3.12</v>
      </c>
      <c r="G15">
        <v>14</v>
      </c>
      <c r="H15" s="197" t="s">
        <v>202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196" t="s">
        <v>203</v>
      </c>
      <c r="E16">
        <v>15</v>
      </c>
      <c r="F16">
        <v>3.12</v>
      </c>
      <c r="G16">
        <v>15</v>
      </c>
      <c r="H16" s="197" t="s">
        <v>203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196" t="s">
        <v>204</v>
      </c>
      <c r="E17">
        <v>16</v>
      </c>
      <c r="F17">
        <v>3.22</v>
      </c>
      <c r="G17">
        <v>16</v>
      </c>
      <c r="H17" s="197" t="s">
        <v>204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196" t="s">
        <v>205</v>
      </c>
      <c r="E18">
        <v>17</v>
      </c>
      <c r="F18">
        <v>3.22</v>
      </c>
      <c r="G18">
        <v>17</v>
      </c>
      <c r="H18" s="197" t="s">
        <v>205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196" t="s">
        <v>206</v>
      </c>
      <c r="E19">
        <v>18</v>
      </c>
      <c r="F19">
        <v>3.22</v>
      </c>
      <c r="G19">
        <v>18</v>
      </c>
      <c r="H19" s="197" t="s">
        <v>206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196" t="s">
        <v>207</v>
      </c>
      <c r="E20">
        <v>19</v>
      </c>
      <c r="F20">
        <v>3.22</v>
      </c>
      <c r="G20">
        <v>19</v>
      </c>
      <c r="H20" s="197" t="s">
        <v>207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196" t="s">
        <v>208</v>
      </c>
      <c r="E21">
        <v>20</v>
      </c>
      <c r="F21">
        <v>3.22</v>
      </c>
      <c r="G21">
        <v>20</v>
      </c>
      <c r="H21" s="197" t="s">
        <v>208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196" t="s">
        <v>209</v>
      </c>
      <c r="E22">
        <v>21</v>
      </c>
      <c r="F22">
        <v>3</v>
      </c>
      <c r="G22">
        <v>21</v>
      </c>
      <c r="H22" s="197" t="s">
        <v>209</v>
      </c>
    </row>
    <row r="23" spans="1:12" x14ac:dyDescent="0.15">
      <c r="A23" s="36" t="s">
        <v>129</v>
      </c>
      <c r="B23" s="44">
        <v>4</v>
      </c>
      <c r="C23" s="38"/>
      <c r="D23" s="196" t="s">
        <v>210</v>
      </c>
      <c r="E23">
        <v>22</v>
      </c>
      <c r="F23">
        <v>3.12</v>
      </c>
      <c r="G23">
        <v>22</v>
      </c>
      <c r="H23" s="197" t="s">
        <v>210</v>
      </c>
    </row>
    <row r="24" spans="1:12" x14ac:dyDescent="0.15">
      <c r="A24" s="36" t="s">
        <v>122</v>
      </c>
      <c r="B24" s="44">
        <v>4.0999999999999996</v>
      </c>
      <c r="C24" s="38"/>
      <c r="D24" s="196" t="s">
        <v>211</v>
      </c>
      <c r="E24">
        <v>23</v>
      </c>
      <c r="F24">
        <v>3.12</v>
      </c>
      <c r="G24">
        <v>23</v>
      </c>
      <c r="H24" s="197" t="s">
        <v>211</v>
      </c>
    </row>
    <row r="25" spans="1:12" x14ac:dyDescent="0.15">
      <c r="A25" s="36" t="s">
        <v>70</v>
      </c>
      <c r="B25" s="44">
        <v>4.2</v>
      </c>
      <c r="C25" s="38"/>
      <c r="D25" s="196" t="s">
        <v>212</v>
      </c>
      <c r="E25">
        <v>24</v>
      </c>
      <c r="F25">
        <v>3.2</v>
      </c>
      <c r="G25">
        <v>24</v>
      </c>
      <c r="H25" s="197" t="s">
        <v>212</v>
      </c>
    </row>
    <row r="26" spans="1:12" x14ac:dyDescent="0.15">
      <c r="A26" s="36" t="s">
        <v>123</v>
      </c>
      <c r="B26" s="44">
        <v>4.3</v>
      </c>
      <c r="C26" s="38"/>
      <c r="D26" s="196" t="s">
        <v>213</v>
      </c>
      <c r="E26">
        <v>25</v>
      </c>
      <c r="F26">
        <v>3.21</v>
      </c>
      <c r="G26">
        <v>25</v>
      </c>
      <c r="H26" s="197" t="s">
        <v>213</v>
      </c>
    </row>
    <row r="27" spans="1:12" x14ac:dyDescent="0.15">
      <c r="A27" s="36" t="s">
        <v>125</v>
      </c>
      <c r="B27" s="44">
        <v>6.1</v>
      </c>
      <c r="D27" s="196" t="s">
        <v>214</v>
      </c>
      <c r="E27">
        <v>26</v>
      </c>
      <c r="F27">
        <v>3.12</v>
      </c>
      <c r="G27">
        <v>26</v>
      </c>
      <c r="H27" s="197" t="s">
        <v>214</v>
      </c>
    </row>
    <row r="28" spans="1:12" x14ac:dyDescent="0.15">
      <c r="A28" s="36" t="s">
        <v>124</v>
      </c>
      <c r="B28" s="44">
        <v>6.2</v>
      </c>
      <c r="D28" s="196" t="s">
        <v>215</v>
      </c>
      <c r="E28">
        <v>27</v>
      </c>
      <c r="F28">
        <v>3.12</v>
      </c>
      <c r="G28">
        <v>27</v>
      </c>
      <c r="H28" s="197" t="s">
        <v>215</v>
      </c>
    </row>
    <row r="29" spans="1:12" x14ac:dyDescent="0.15">
      <c r="A29" s="36" t="s">
        <v>44</v>
      </c>
      <c r="B29" s="44">
        <v>5</v>
      </c>
      <c r="D29" s="196" t="s">
        <v>216</v>
      </c>
      <c r="E29">
        <v>28</v>
      </c>
      <c r="F29">
        <v>3.12</v>
      </c>
      <c r="G29">
        <v>28</v>
      </c>
      <c r="H29" s="197" t="s">
        <v>216</v>
      </c>
    </row>
    <row r="30" spans="1:12" x14ac:dyDescent="0.15">
      <c r="A30" s="36" t="s">
        <v>73</v>
      </c>
      <c r="B30" s="44">
        <v>7</v>
      </c>
      <c r="D30" s="196" t="s">
        <v>217</v>
      </c>
      <c r="E30">
        <v>29</v>
      </c>
      <c r="F30">
        <v>3.12</v>
      </c>
      <c r="G30">
        <v>29</v>
      </c>
      <c r="H30" s="197" t="s">
        <v>217</v>
      </c>
    </row>
    <row r="31" spans="1:12" x14ac:dyDescent="0.15">
      <c r="A31" s="36" t="s">
        <v>169</v>
      </c>
      <c r="B31" s="44">
        <v>3.14</v>
      </c>
      <c r="D31" s="196" t="s">
        <v>218</v>
      </c>
      <c r="E31">
        <v>30</v>
      </c>
      <c r="F31">
        <v>3.21</v>
      </c>
      <c r="G31">
        <v>30</v>
      </c>
      <c r="H31" s="197" t="s">
        <v>218</v>
      </c>
    </row>
    <row r="32" spans="1:12" ht="12" customHeight="1" thickBot="1" x14ac:dyDescent="0.2">
      <c r="A32" s="42" t="s">
        <v>170</v>
      </c>
      <c r="B32" s="45">
        <v>9</v>
      </c>
      <c r="D32" s="196" t="s">
        <v>219</v>
      </c>
      <c r="E32">
        <v>31</v>
      </c>
      <c r="F32">
        <v>3.11</v>
      </c>
      <c r="G32">
        <v>31</v>
      </c>
      <c r="H32" s="197" t="s">
        <v>219</v>
      </c>
    </row>
    <row r="33" spans="4:8" customFormat="1" ht="12" customHeight="1" x14ac:dyDescent="0.15">
      <c r="D33" s="196" t="s">
        <v>220</v>
      </c>
      <c r="E33">
        <v>32</v>
      </c>
      <c r="F33">
        <v>3.21</v>
      </c>
      <c r="G33">
        <v>32</v>
      </c>
      <c r="H33" s="197" t="s">
        <v>220</v>
      </c>
    </row>
    <row r="34" spans="4:8" customFormat="1" ht="12" customHeight="1" x14ac:dyDescent="0.15">
      <c r="D34" s="196" t="s">
        <v>221</v>
      </c>
      <c r="E34">
        <v>33</v>
      </c>
      <c r="F34">
        <v>3.21</v>
      </c>
      <c r="G34">
        <v>33</v>
      </c>
      <c r="H34" s="197" t="s">
        <v>221</v>
      </c>
    </row>
    <row r="35" spans="4:8" customFormat="1" x14ac:dyDescent="0.15">
      <c r="D35" s="196" t="s">
        <v>222</v>
      </c>
      <c r="E35">
        <v>34</v>
      </c>
      <c r="F35">
        <v>3</v>
      </c>
      <c r="G35">
        <v>34</v>
      </c>
      <c r="H35" s="197" t="s">
        <v>222</v>
      </c>
    </row>
    <row r="36" spans="4:8" customFormat="1" x14ac:dyDescent="0.15">
      <c r="D36" s="196" t="s">
        <v>223</v>
      </c>
      <c r="E36">
        <v>35</v>
      </c>
      <c r="F36">
        <v>3.21</v>
      </c>
      <c r="G36">
        <v>35</v>
      </c>
      <c r="H36" s="197" t="s">
        <v>223</v>
      </c>
    </row>
    <row r="37" spans="4:8" customFormat="1" ht="12" customHeight="1" x14ac:dyDescent="0.15">
      <c r="D37" s="196" t="s">
        <v>224</v>
      </c>
      <c r="E37">
        <v>36</v>
      </c>
      <c r="F37">
        <v>3.21</v>
      </c>
      <c r="G37">
        <v>36</v>
      </c>
      <c r="H37" s="197" t="s">
        <v>224</v>
      </c>
    </row>
    <row r="38" spans="4:8" customFormat="1" x14ac:dyDescent="0.15">
      <c r="D38" s="196" t="s">
        <v>225</v>
      </c>
      <c r="E38">
        <v>37</v>
      </c>
      <c r="F38">
        <v>3.11</v>
      </c>
      <c r="G38">
        <v>37</v>
      </c>
      <c r="H38" s="197" t="s">
        <v>225</v>
      </c>
    </row>
    <row r="39" spans="4:8" customFormat="1" x14ac:dyDescent="0.15">
      <c r="D39" s="196" t="s">
        <v>226</v>
      </c>
      <c r="E39">
        <v>38</v>
      </c>
      <c r="F39">
        <v>3.14</v>
      </c>
      <c r="G39">
        <v>38</v>
      </c>
      <c r="H39" s="197" t="s">
        <v>226</v>
      </c>
    </row>
    <row r="40" spans="4:8" customFormat="1" x14ac:dyDescent="0.15">
      <c r="D40" s="196" t="s">
        <v>227</v>
      </c>
      <c r="E40">
        <v>39</v>
      </c>
      <c r="F40">
        <v>9</v>
      </c>
      <c r="G40">
        <v>39</v>
      </c>
      <c r="H40" s="197" t="s">
        <v>227</v>
      </c>
    </row>
    <row r="41" spans="4:8" customFormat="1" x14ac:dyDescent="0.15">
      <c r="D41" s="196" t="s">
        <v>228</v>
      </c>
      <c r="E41">
        <v>40</v>
      </c>
      <c r="F41">
        <v>2</v>
      </c>
      <c r="G41">
        <v>40</v>
      </c>
      <c r="H41" s="197" t="s">
        <v>228</v>
      </c>
    </row>
    <row r="42" spans="4:8" customFormat="1" x14ac:dyDescent="0.15">
      <c r="D42" s="196" t="s">
        <v>229</v>
      </c>
      <c r="E42">
        <v>41</v>
      </c>
      <c r="F42">
        <v>2.2999999999999998</v>
      </c>
      <c r="G42">
        <v>41</v>
      </c>
      <c r="H42" s="197" t="s">
        <v>229</v>
      </c>
    </row>
    <row r="43" spans="4:8" customFormat="1" x14ac:dyDescent="0.15">
      <c r="D43" s="196" t="s">
        <v>230</v>
      </c>
      <c r="E43">
        <v>42</v>
      </c>
      <c r="F43">
        <v>4.2</v>
      </c>
      <c r="G43">
        <v>42</v>
      </c>
      <c r="H43" s="197" t="s">
        <v>230</v>
      </c>
    </row>
    <row r="44" spans="4:8" customFormat="1" x14ac:dyDescent="0.15">
      <c r="D44" s="196" t="s">
        <v>231</v>
      </c>
      <c r="E44">
        <v>43</v>
      </c>
      <c r="F44">
        <v>4.0999999999999996</v>
      </c>
      <c r="G44">
        <v>43</v>
      </c>
      <c r="H44" s="197" t="s">
        <v>231</v>
      </c>
    </row>
    <row r="45" spans="4:8" customFormat="1" x14ac:dyDescent="0.15">
      <c r="D45" s="196" t="s">
        <v>232</v>
      </c>
      <c r="E45">
        <v>44</v>
      </c>
      <c r="F45">
        <v>4.3</v>
      </c>
      <c r="G45">
        <v>44</v>
      </c>
      <c r="H45" s="197" t="s">
        <v>232</v>
      </c>
    </row>
    <row r="46" spans="4:8" customFormat="1" x14ac:dyDescent="0.15">
      <c r="D46" s="196" t="s">
        <v>233</v>
      </c>
      <c r="E46">
        <v>45</v>
      </c>
      <c r="F46">
        <v>5</v>
      </c>
      <c r="G46">
        <v>45</v>
      </c>
      <c r="H46" s="197" t="s">
        <v>233</v>
      </c>
    </row>
    <row r="47" spans="4:8" customFormat="1" x14ac:dyDescent="0.15">
      <c r="D47" s="196" t="s">
        <v>234</v>
      </c>
      <c r="E47">
        <v>46</v>
      </c>
      <c r="F47">
        <v>5</v>
      </c>
      <c r="G47">
        <v>46</v>
      </c>
      <c r="H47" s="197" t="s">
        <v>234</v>
      </c>
    </row>
    <row r="48" spans="4:8" customFormat="1" x14ac:dyDescent="0.15">
      <c r="D48" s="196" t="s">
        <v>235</v>
      </c>
      <c r="E48">
        <v>47</v>
      </c>
      <c r="F48">
        <v>5</v>
      </c>
      <c r="G48">
        <v>47</v>
      </c>
      <c r="H48" s="197" t="s">
        <v>235</v>
      </c>
    </row>
    <row r="49" spans="4:8" customFormat="1" x14ac:dyDescent="0.15">
      <c r="D49" s="196" t="s">
        <v>236</v>
      </c>
      <c r="E49">
        <v>48</v>
      </c>
      <c r="F49">
        <v>5</v>
      </c>
      <c r="G49">
        <v>48</v>
      </c>
      <c r="H49" s="197" t="s">
        <v>236</v>
      </c>
    </row>
    <row r="50" spans="4:8" customFormat="1" ht="12" customHeight="1" x14ac:dyDescent="0.15">
      <c r="D50" s="196" t="s">
        <v>237</v>
      </c>
      <c r="E50">
        <v>49</v>
      </c>
      <c r="F50">
        <v>5</v>
      </c>
      <c r="G50">
        <v>49</v>
      </c>
      <c r="H50" s="197" t="s">
        <v>237</v>
      </c>
    </row>
    <row r="51" spans="4:8" customFormat="1" x14ac:dyDescent="0.15">
      <c r="D51" s="196" t="s">
        <v>238</v>
      </c>
      <c r="E51">
        <v>50</v>
      </c>
      <c r="F51">
        <v>5</v>
      </c>
      <c r="G51">
        <v>50</v>
      </c>
      <c r="H51" s="197" t="s">
        <v>238</v>
      </c>
    </row>
    <row r="52" spans="4:8" customFormat="1" ht="12" customHeight="1" x14ac:dyDescent="0.15">
      <c r="D52" s="196" t="s">
        <v>138</v>
      </c>
      <c r="E52">
        <v>51</v>
      </c>
      <c r="F52">
        <v>6.1</v>
      </c>
      <c r="G52">
        <v>51</v>
      </c>
      <c r="H52" s="197" t="s">
        <v>138</v>
      </c>
    </row>
    <row r="53" spans="4:8" customFormat="1" x14ac:dyDescent="0.15">
      <c r="D53" s="196" t="s">
        <v>45</v>
      </c>
      <c r="E53">
        <v>52</v>
      </c>
      <c r="F53">
        <v>6.2</v>
      </c>
      <c r="G53">
        <v>52</v>
      </c>
      <c r="H53" s="197" t="s">
        <v>45</v>
      </c>
    </row>
    <row r="54" spans="4:8" customFormat="1" ht="12" customHeight="1" x14ac:dyDescent="0.15"/>
    <row r="55" spans="4:8" customFormat="1" ht="12" customHeight="1" x14ac:dyDescent="0.15"/>
    <row r="56" spans="4:8" customFormat="1" x14ac:dyDescent="0.15"/>
    <row r="57" spans="4:8" customFormat="1" x14ac:dyDescent="0.15"/>
    <row r="58" spans="4:8" customFormat="1" x14ac:dyDescent="0.15"/>
    <row r="59" spans="4:8" customFormat="1" x14ac:dyDescent="0.15"/>
    <row r="60" spans="4:8" customFormat="1" x14ac:dyDescent="0.15"/>
    <row r="61" spans="4:8" customFormat="1" x14ac:dyDescent="0.15"/>
    <row r="62" spans="4:8" customFormat="1" x14ac:dyDescent="0.15"/>
    <row r="63" spans="4:8" customFormat="1" x14ac:dyDescent="0.15"/>
    <row r="64" spans="4:8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3.1640625" style="83" bestFit="1" customWidth="1"/>
    <col min="2" max="2" width="12.83203125" style="82" customWidth="1"/>
    <col min="3" max="3" width="13.1640625" style="82" customWidth="1"/>
    <col min="4" max="4" width="5.33203125" style="82" customWidth="1"/>
    <col min="5" max="5" width="12.83203125" style="82" customWidth="1"/>
    <col min="6" max="6" width="32" style="82" bestFit="1" customWidth="1"/>
    <col min="7" max="9" width="2.33203125" style="82" customWidth="1"/>
    <col min="10" max="10" width="2.33203125" style="82" bestFit="1" customWidth="1"/>
    <col min="11" max="15" width="4.83203125" style="82" customWidth="1"/>
    <col min="16" max="16" width="4.83203125" style="73" customWidth="1"/>
    <col min="17" max="17" width="2.33203125" style="82" customWidth="1"/>
    <col min="18" max="18" width="2.33203125" style="74" customWidth="1"/>
    <col min="19" max="16384" width="11.5" style="82"/>
  </cols>
  <sheetData>
    <row r="1" spans="1:23" ht="15" customHeight="1" thickBot="1" x14ac:dyDescent="0.2">
      <c r="F1" s="1"/>
      <c r="G1" s="71" t="s">
        <v>46</v>
      </c>
      <c r="H1" s="71" t="s">
        <v>47</v>
      </c>
      <c r="I1" s="71" t="s">
        <v>120</v>
      </c>
      <c r="J1" s="71" t="s">
        <v>132</v>
      </c>
      <c r="K1" s="84" t="s">
        <v>48</v>
      </c>
      <c r="L1" s="74"/>
      <c r="M1" s="84" t="s">
        <v>119</v>
      </c>
      <c r="N1" s="74"/>
      <c r="O1" s="84" t="s">
        <v>49</v>
      </c>
      <c r="P1" s="75"/>
      <c r="Q1" s="84" t="s">
        <v>50</v>
      </c>
      <c r="R1" s="71" t="s">
        <v>154</v>
      </c>
    </row>
    <row r="2" spans="1:23" ht="15" customHeight="1" x14ac:dyDescent="0.15">
      <c r="A2" s="84" t="s">
        <v>51</v>
      </c>
      <c r="B2" s="85">
        <v>0.5</v>
      </c>
      <c r="C2" s="83" t="s">
        <v>52</v>
      </c>
      <c r="D2" s="86"/>
      <c r="F2" s="1"/>
      <c r="G2" s="87"/>
      <c r="H2" s="87"/>
      <c r="I2" s="87" t="s">
        <v>133</v>
      </c>
      <c r="J2" s="87" t="s">
        <v>133</v>
      </c>
      <c r="K2" s="87" t="s">
        <v>52</v>
      </c>
      <c r="L2" s="87" t="s">
        <v>53</v>
      </c>
      <c r="M2" s="87" t="s">
        <v>52</v>
      </c>
      <c r="N2" s="87" t="s">
        <v>53</v>
      </c>
      <c r="O2" s="87" t="s">
        <v>52</v>
      </c>
      <c r="P2" s="88" t="s">
        <v>53</v>
      </c>
      <c r="Q2" s="87"/>
      <c r="R2" s="89" t="s">
        <v>155</v>
      </c>
    </row>
    <row r="3" spans="1:23" ht="15" customHeight="1" thickBot="1" x14ac:dyDescent="0.2">
      <c r="A3" s="84" t="s">
        <v>54</v>
      </c>
      <c r="B3" s="90">
        <v>0.5</v>
      </c>
      <c r="C3" s="83" t="s">
        <v>53</v>
      </c>
      <c r="D3" s="86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7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7">
        <v>0</v>
      </c>
      <c r="R4" s="110">
        <v>0</v>
      </c>
    </row>
    <row r="5" spans="1:23" ht="15" customHeight="1" x14ac:dyDescent="0.15">
      <c r="A5" s="84" t="s">
        <v>55</v>
      </c>
      <c r="B5" s="91">
        <v>0.5</v>
      </c>
      <c r="C5" s="83" t="s">
        <v>52</v>
      </c>
      <c r="D5" s="86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7">
        <v>0</v>
      </c>
      <c r="R5" s="110">
        <v>0</v>
      </c>
    </row>
    <row r="6" spans="1:23" ht="15" customHeight="1" thickBot="1" x14ac:dyDescent="0.2">
      <c r="A6" s="84"/>
      <c r="B6" s="92">
        <v>0.5</v>
      </c>
      <c r="C6" s="83" t="s">
        <v>53</v>
      </c>
      <c r="D6" s="86"/>
      <c r="F6" s="198" t="s">
        <v>192</v>
      </c>
      <c r="G6" s="82">
        <v>0</v>
      </c>
      <c r="H6" s="82">
        <v>0</v>
      </c>
      <c r="I6" s="82">
        <v>0</v>
      </c>
      <c r="J6" s="82">
        <v>0</v>
      </c>
      <c r="K6" s="82">
        <v>0.7</v>
      </c>
      <c r="L6" s="82">
        <v>0.30000000000000004</v>
      </c>
      <c r="M6" s="82">
        <v>0.7</v>
      </c>
      <c r="N6" s="82">
        <v>0.30000000000000004</v>
      </c>
      <c r="O6" s="82">
        <v>0.7</v>
      </c>
      <c r="P6" s="73">
        <v>0.30000000000000004</v>
      </c>
      <c r="Q6" s="82">
        <v>0</v>
      </c>
      <c r="R6" s="74">
        <v>1</v>
      </c>
      <c r="S6"/>
      <c r="T6"/>
    </row>
    <row r="7" spans="1:23" ht="15" customHeight="1" thickBot="1" x14ac:dyDescent="0.2">
      <c r="F7" s="198" t="s">
        <v>193</v>
      </c>
      <c r="G7" s="82">
        <v>0</v>
      </c>
      <c r="H7" s="82">
        <v>0</v>
      </c>
      <c r="I7" s="82">
        <v>0</v>
      </c>
      <c r="J7" s="82">
        <v>0</v>
      </c>
      <c r="K7" s="82">
        <v>0.7</v>
      </c>
      <c r="L7" s="82">
        <v>0.30000000000000004</v>
      </c>
      <c r="M7" s="82">
        <v>0.7</v>
      </c>
      <c r="N7" s="82">
        <v>0.30000000000000004</v>
      </c>
      <c r="O7" s="82">
        <v>0.7</v>
      </c>
      <c r="P7" s="73">
        <v>0.30000000000000004</v>
      </c>
      <c r="Q7" s="82">
        <v>0</v>
      </c>
      <c r="R7" s="74">
        <v>1</v>
      </c>
      <c r="S7"/>
      <c r="T7"/>
    </row>
    <row r="8" spans="1:23" ht="15" customHeight="1" x14ac:dyDescent="0.15">
      <c r="A8" s="84" t="s">
        <v>56</v>
      </c>
      <c r="B8" s="91">
        <v>0.99996623490557468</v>
      </c>
      <c r="C8" s="199" t="s">
        <v>228</v>
      </c>
      <c r="D8" s="86" t="s">
        <v>160</v>
      </c>
      <c r="F8" s="198" t="s">
        <v>194</v>
      </c>
      <c r="G8" s="82">
        <v>0</v>
      </c>
      <c r="H8" s="82">
        <v>0</v>
      </c>
      <c r="I8" s="82">
        <v>0</v>
      </c>
      <c r="J8" s="82">
        <v>0</v>
      </c>
      <c r="K8" s="82">
        <v>0.7</v>
      </c>
      <c r="L8" s="82">
        <v>0.30000000000000004</v>
      </c>
      <c r="M8" s="82">
        <v>0.7</v>
      </c>
      <c r="N8" s="82">
        <v>0.30000000000000004</v>
      </c>
      <c r="O8" s="82">
        <v>0.7</v>
      </c>
      <c r="P8" s="73">
        <v>0.30000000000000004</v>
      </c>
      <c r="Q8" s="82">
        <v>0</v>
      </c>
      <c r="R8" s="74">
        <v>1</v>
      </c>
      <c r="S8"/>
      <c r="T8"/>
      <c r="W8"/>
    </row>
    <row r="9" spans="1:23" ht="15" customHeight="1" x14ac:dyDescent="0.15">
      <c r="A9" s="124" t="s">
        <v>168</v>
      </c>
      <c r="B9" s="93">
        <v>3.3765094425356734E-5</v>
      </c>
      <c r="C9" s="199" t="s">
        <v>229</v>
      </c>
      <c r="D9" s="86" t="s">
        <v>160</v>
      </c>
      <c r="F9" s="198" t="s">
        <v>195</v>
      </c>
      <c r="G9" s="82">
        <v>0</v>
      </c>
      <c r="H9" s="82">
        <v>0</v>
      </c>
      <c r="I9" s="82">
        <v>0</v>
      </c>
      <c r="J9" s="82">
        <v>0</v>
      </c>
      <c r="K9" s="82">
        <v>0.5</v>
      </c>
      <c r="L9" s="82">
        <v>0.5</v>
      </c>
      <c r="M9" s="82">
        <v>0.5</v>
      </c>
      <c r="N9" s="82">
        <v>0.5</v>
      </c>
      <c r="O9" s="82">
        <v>0.5</v>
      </c>
      <c r="P9" s="73">
        <v>0.5</v>
      </c>
      <c r="Q9" s="82">
        <v>0</v>
      </c>
      <c r="R9" s="74">
        <v>1</v>
      </c>
      <c r="S9"/>
      <c r="T9"/>
      <c r="W9"/>
    </row>
    <row r="10" spans="1:23" ht="15" customHeight="1" x14ac:dyDescent="0.15">
      <c r="B10" s="93"/>
      <c r="C10" s="81"/>
      <c r="D10" s="86" t="s">
        <v>160</v>
      </c>
      <c r="F10" s="198" t="s">
        <v>196</v>
      </c>
      <c r="G10" s="82">
        <v>0</v>
      </c>
      <c r="H10" s="82">
        <v>0</v>
      </c>
      <c r="I10" s="82">
        <v>0</v>
      </c>
      <c r="J10" s="82">
        <v>0</v>
      </c>
      <c r="K10" s="82">
        <v>0.7</v>
      </c>
      <c r="L10" s="82">
        <v>0.30000000000000004</v>
      </c>
      <c r="M10" s="82">
        <v>0.7</v>
      </c>
      <c r="N10" s="82">
        <v>0.30000000000000004</v>
      </c>
      <c r="O10" s="82">
        <v>0.7</v>
      </c>
      <c r="P10" s="73">
        <v>0.30000000000000004</v>
      </c>
      <c r="Q10" s="82">
        <v>0</v>
      </c>
      <c r="R10" s="74">
        <v>1</v>
      </c>
      <c r="S10"/>
      <c r="T10"/>
      <c r="W10"/>
    </row>
    <row r="11" spans="1:23" ht="15" customHeight="1" x14ac:dyDescent="0.15">
      <c r="A11" s="84"/>
      <c r="B11" s="93"/>
      <c r="C11" s="96"/>
      <c r="D11" s="86" t="s">
        <v>160</v>
      </c>
      <c r="F11" s="198" t="s">
        <v>197</v>
      </c>
      <c r="G11" s="82">
        <v>0</v>
      </c>
      <c r="H11" s="82">
        <v>0</v>
      </c>
      <c r="I11" s="82">
        <v>0</v>
      </c>
      <c r="J11" s="82">
        <v>0</v>
      </c>
      <c r="K11" s="82">
        <v>0.19</v>
      </c>
      <c r="L11" s="82">
        <v>0.81</v>
      </c>
      <c r="M11" s="82">
        <v>0.19</v>
      </c>
      <c r="N11" s="82">
        <v>0.81</v>
      </c>
      <c r="O11" s="82">
        <v>0.19</v>
      </c>
      <c r="P11" s="73">
        <v>0.81</v>
      </c>
      <c r="Q11" s="82">
        <v>0</v>
      </c>
      <c r="R11" s="74">
        <v>1</v>
      </c>
      <c r="S11"/>
      <c r="T11"/>
      <c r="W11"/>
    </row>
    <row r="12" spans="1:23" ht="15" customHeight="1" x14ac:dyDescent="0.15">
      <c r="B12" s="93"/>
      <c r="C12" s="97"/>
      <c r="D12" s="86" t="s">
        <v>160</v>
      </c>
      <c r="F12" s="198" t="s">
        <v>198</v>
      </c>
      <c r="G12" s="82">
        <v>0</v>
      </c>
      <c r="H12" s="82">
        <v>0</v>
      </c>
      <c r="I12" s="82">
        <v>0</v>
      </c>
      <c r="J12" s="82">
        <v>0</v>
      </c>
      <c r="K12" s="82">
        <v>0.19</v>
      </c>
      <c r="L12" s="82">
        <v>0.81</v>
      </c>
      <c r="M12" s="82">
        <v>0.19</v>
      </c>
      <c r="N12" s="82">
        <v>0.81</v>
      </c>
      <c r="O12" s="82">
        <v>0.19</v>
      </c>
      <c r="P12" s="73">
        <v>0.81</v>
      </c>
      <c r="Q12" s="82">
        <v>0</v>
      </c>
      <c r="R12" s="74">
        <v>1</v>
      </c>
      <c r="S12"/>
      <c r="T12"/>
      <c r="W12"/>
    </row>
    <row r="13" spans="1:23" ht="15" customHeight="1" x14ac:dyDescent="0.15">
      <c r="B13" s="93"/>
      <c r="C13" s="97"/>
      <c r="D13" s="86" t="s">
        <v>160</v>
      </c>
      <c r="F13" s="198" t="s">
        <v>199</v>
      </c>
      <c r="G13" s="82">
        <v>0</v>
      </c>
      <c r="H13" s="82">
        <v>0</v>
      </c>
      <c r="I13" s="82">
        <v>0</v>
      </c>
      <c r="J13" s="82">
        <v>0</v>
      </c>
      <c r="K13" s="82">
        <v>0.7</v>
      </c>
      <c r="L13" s="82">
        <v>0.30000000000000004</v>
      </c>
      <c r="M13" s="82">
        <v>0.7</v>
      </c>
      <c r="N13" s="82">
        <v>0.30000000000000004</v>
      </c>
      <c r="O13" s="82">
        <v>0.7</v>
      </c>
      <c r="P13" s="73">
        <v>0.30000000000000004</v>
      </c>
      <c r="Q13" s="82">
        <v>0</v>
      </c>
      <c r="R13" s="74">
        <v>1</v>
      </c>
      <c r="S13"/>
      <c r="T13"/>
      <c r="W13"/>
    </row>
    <row r="14" spans="1:23" ht="15" customHeight="1" x14ac:dyDescent="0.15">
      <c r="B14" s="93"/>
      <c r="C14" s="81"/>
      <c r="D14" s="86" t="s">
        <v>160</v>
      </c>
      <c r="F14" s="198" t="s">
        <v>200</v>
      </c>
      <c r="G14" s="82">
        <v>0</v>
      </c>
      <c r="H14" s="82">
        <v>0</v>
      </c>
      <c r="I14" s="82">
        <v>0</v>
      </c>
      <c r="J14" s="82">
        <v>0</v>
      </c>
      <c r="K14" s="82">
        <v>0.7</v>
      </c>
      <c r="L14" s="82">
        <v>0.30000000000000004</v>
      </c>
      <c r="M14" s="82">
        <v>0.7</v>
      </c>
      <c r="N14" s="82">
        <v>0.30000000000000004</v>
      </c>
      <c r="O14" s="82">
        <v>0.7</v>
      </c>
      <c r="P14" s="73">
        <v>0.30000000000000004</v>
      </c>
      <c r="Q14" s="82">
        <v>0</v>
      </c>
      <c r="R14" s="74">
        <v>1</v>
      </c>
      <c r="S14"/>
      <c r="T14"/>
      <c r="W14"/>
    </row>
    <row r="15" spans="1:23" ht="15" customHeight="1" x14ac:dyDescent="0.15">
      <c r="B15" s="93"/>
      <c r="C15" s="81"/>
      <c r="D15" s="86" t="s">
        <v>160</v>
      </c>
      <c r="F15" s="198" t="s">
        <v>201</v>
      </c>
      <c r="G15" s="82">
        <v>0</v>
      </c>
      <c r="H15" s="82">
        <v>0</v>
      </c>
      <c r="I15" s="82">
        <v>0</v>
      </c>
      <c r="J15" s="82">
        <v>0</v>
      </c>
      <c r="K15" s="82">
        <v>0.7</v>
      </c>
      <c r="L15" s="82">
        <v>0.30000000000000004</v>
      </c>
      <c r="M15" s="82">
        <v>0.7</v>
      </c>
      <c r="N15" s="82">
        <v>0.30000000000000004</v>
      </c>
      <c r="O15" s="82">
        <v>0.7</v>
      </c>
      <c r="P15" s="73">
        <v>0.30000000000000004</v>
      </c>
      <c r="Q15" s="82">
        <v>0</v>
      </c>
      <c r="R15" s="74">
        <v>1</v>
      </c>
      <c r="S15"/>
      <c r="T15"/>
      <c r="W15"/>
    </row>
    <row r="16" spans="1:23" ht="15" customHeight="1" x14ac:dyDescent="0.15">
      <c r="B16" s="93"/>
      <c r="C16" s="81"/>
      <c r="D16" s="86" t="s">
        <v>160</v>
      </c>
      <c r="F16" s="198" t="s">
        <v>202</v>
      </c>
      <c r="G16" s="82">
        <v>0</v>
      </c>
      <c r="H16" s="82">
        <v>0</v>
      </c>
      <c r="I16" s="82">
        <v>0</v>
      </c>
      <c r="J16" s="82">
        <v>0</v>
      </c>
      <c r="K16" s="82">
        <v>0.19</v>
      </c>
      <c r="L16" s="82">
        <v>0.81</v>
      </c>
      <c r="M16" s="82">
        <v>0.19</v>
      </c>
      <c r="N16" s="82">
        <v>0.81</v>
      </c>
      <c r="O16" s="82">
        <v>0.19</v>
      </c>
      <c r="P16" s="73">
        <v>0.81</v>
      </c>
      <c r="Q16" s="82">
        <v>0</v>
      </c>
      <c r="R16" s="74">
        <v>1</v>
      </c>
      <c r="S16"/>
      <c r="T16"/>
    </row>
    <row r="17" spans="1:20" ht="15" customHeight="1" thickBot="1" x14ac:dyDescent="0.2">
      <c r="B17" s="92"/>
      <c r="C17" s="81"/>
      <c r="D17" s="86" t="s">
        <v>160</v>
      </c>
      <c r="F17" s="198" t="s">
        <v>203</v>
      </c>
      <c r="G17" s="82">
        <v>0</v>
      </c>
      <c r="H17" s="82">
        <v>0</v>
      </c>
      <c r="I17" s="82">
        <v>0</v>
      </c>
      <c r="J17" s="82">
        <v>0</v>
      </c>
      <c r="K17" s="82">
        <v>0.7</v>
      </c>
      <c r="L17" s="82">
        <v>0.30000000000000004</v>
      </c>
      <c r="M17" s="82">
        <v>0.7</v>
      </c>
      <c r="N17" s="82">
        <v>0.30000000000000004</v>
      </c>
      <c r="O17" s="82">
        <v>0.7</v>
      </c>
      <c r="P17" s="73">
        <v>0.30000000000000004</v>
      </c>
      <c r="Q17" s="82">
        <v>0</v>
      </c>
      <c r="R17" s="74">
        <v>1</v>
      </c>
      <c r="S17"/>
      <c r="T17"/>
    </row>
    <row r="18" spans="1:20" ht="15" customHeight="1" thickBot="1" x14ac:dyDescent="0.2">
      <c r="B18" s="94"/>
      <c r="F18" s="198" t="s">
        <v>204</v>
      </c>
      <c r="G18" s="82">
        <v>0</v>
      </c>
      <c r="H18" s="82">
        <v>0</v>
      </c>
      <c r="I18" s="82">
        <v>0</v>
      </c>
      <c r="J18" s="82">
        <v>0</v>
      </c>
      <c r="K18" s="82">
        <v>0.19</v>
      </c>
      <c r="L18" s="82">
        <v>0.81</v>
      </c>
      <c r="M18" s="82">
        <v>0.19</v>
      </c>
      <c r="N18" s="82">
        <v>0.81</v>
      </c>
      <c r="O18" s="82">
        <v>0.19</v>
      </c>
      <c r="P18" s="73">
        <v>0.81</v>
      </c>
      <c r="Q18" s="82">
        <v>0</v>
      </c>
      <c r="R18" s="74">
        <v>1</v>
      </c>
      <c r="S18"/>
      <c r="T18"/>
    </row>
    <row r="19" spans="1:20" ht="15" customHeight="1" x14ac:dyDescent="0.15">
      <c r="A19" s="84" t="s">
        <v>57</v>
      </c>
      <c r="B19" s="91">
        <v>0.99996623490557468</v>
      </c>
      <c r="C19" s="200" t="s">
        <v>228</v>
      </c>
      <c r="D19" s="86" t="s">
        <v>160</v>
      </c>
      <c r="F19" s="198" t="s">
        <v>205</v>
      </c>
      <c r="G19" s="82">
        <v>0</v>
      </c>
      <c r="H19" s="82">
        <v>0</v>
      </c>
      <c r="I19" s="82">
        <v>0</v>
      </c>
      <c r="J19" s="82">
        <v>0</v>
      </c>
      <c r="K19" s="82">
        <v>0.19</v>
      </c>
      <c r="L19" s="82">
        <v>0.81</v>
      </c>
      <c r="M19" s="82">
        <v>0.19</v>
      </c>
      <c r="N19" s="82">
        <v>0.81</v>
      </c>
      <c r="O19" s="82">
        <v>0.19</v>
      </c>
      <c r="P19" s="73">
        <v>0.81</v>
      </c>
      <c r="Q19" s="82">
        <v>0</v>
      </c>
      <c r="R19" s="74">
        <v>1</v>
      </c>
      <c r="S19"/>
      <c r="T19"/>
    </row>
    <row r="20" spans="1:20" ht="15" customHeight="1" x14ac:dyDescent="0.15">
      <c r="A20" s="124" t="s">
        <v>168</v>
      </c>
      <c r="B20" s="93">
        <v>3.3765094425356734E-5</v>
      </c>
      <c r="C20" s="200" t="s">
        <v>229</v>
      </c>
      <c r="D20" s="86" t="s">
        <v>160</v>
      </c>
      <c r="F20" s="198" t="s">
        <v>206</v>
      </c>
      <c r="G20" s="82">
        <v>0</v>
      </c>
      <c r="H20" s="82">
        <v>0</v>
      </c>
      <c r="I20" s="82">
        <v>0</v>
      </c>
      <c r="J20" s="82">
        <v>0</v>
      </c>
      <c r="K20" s="82">
        <v>0.19</v>
      </c>
      <c r="L20" s="82">
        <v>0.81</v>
      </c>
      <c r="M20" s="82">
        <v>0.19</v>
      </c>
      <c r="N20" s="82">
        <v>0.81</v>
      </c>
      <c r="O20" s="82">
        <v>0.19</v>
      </c>
      <c r="P20" s="73">
        <v>0.81</v>
      </c>
      <c r="Q20" s="82">
        <v>0</v>
      </c>
      <c r="R20" s="74">
        <v>1</v>
      </c>
      <c r="S20"/>
      <c r="T20"/>
    </row>
    <row r="21" spans="1:20" ht="15" customHeight="1" x14ac:dyDescent="0.15">
      <c r="B21" s="93"/>
      <c r="C21" s="81"/>
      <c r="D21" s="86" t="s">
        <v>160</v>
      </c>
      <c r="F21" s="198" t="s">
        <v>207</v>
      </c>
      <c r="G21" s="82">
        <v>0</v>
      </c>
      <c r="H21" s="82">
        <v>0</v>
      </c>
      <c r="I21" s="82">
        <v>0</v>
      </c>
      <c r="J21" s="82">
        <v>0</v>
      </c>
      <c r="K21" s="82">
        <v>0.19</v>
      </c>
      <c r="L21" s="82">
        <v>0.81</v>
      </c>
      <c r="M21" s="82">
        <v>0.19</v>
      </c>
      <c r="N21" s="82">
        <v>0.81</v>
      </c>
      <c r="O21" s="82">
        <v>0.19</v>
      </c>
      <c r="P21" s="73">
        <v>0.81</v>
      </c>
      <c r="Q21" s="82">
        <v>0</v>
      </c>
      <c r="R21" s="74">
        <v>1</v>
      </c>
      <c r="S21"/>
      <c r="T21"/>
    </row>
    <row r="22" spans="1:20" ht="15" customHeight="1" x14ac:dyDescent="0.15">
      <c r="A22" s="82"/>
      <c r="B22" s="93"/>
      <c r="C22" s="96"/>
      <c r="D22" s="86" t="s">
        <v>160</v>
      </c>
      <c r="F22" s="198" t="s">
        <v>208</v>
      </c>
      <c r="G22" s="82">
        <v>0</v>
      </c>
      <c r="H22" s="82">
        <v>0</v>
      </c>
      <c r="I22" s="82">
        <v>0</v>
      </c>
      <c r="J22" s="82">
        <v>0</v>
      </c>
      <c r="K22" s="82">
        <v>0.19</v>
      </c>
      <c r="L22" s="82">
        <v>0.81</v>
      </c>
      <c r="M22" s="82">
        <v>0.19</v>
      </c>
      <c r="N22" s="82">
        <v>0.81</v>
      </c>
      <c r="O22" s="82">
        <v>0.19</v>
      </c>
      <c r="P22" s="73">
        <v>0.81</v>
      </c>
      <c r="Q22" s="82">
        <v>0</v>
      </c>
      <c r="R22" s="74">
        <v>1</v>
      </c>
      <c r="S22"/>
      <c r="T22"/>
    </row>
    <row r="23" spans="1:20" ht="15" customHeight="1" x14ac:dyDescent="0.15">
      <c r="A23" s="82"/>
      <c r="B23" s="93"/>
      <c r="C23" s="97"/>
      <c r="D23" s="86" t="s">
        <v>160</v>
      </c>
      <c r="F23" s="198" t="s">
        <v>209</v>
      </c>
      <c r="G23" s="82">
        <v>0</v>
      </c>
      <c r="H23" s="82">
        <v>0</v>
      </c>
      <c r="I23" s="82">
        <v>0</v>
      </c>
      <c r="J23" s="82">
        <v>0</v>
      </c>
      <c r="K23" s="82">
        <v>0.19</v>
      </c>
      <c r="L23" s="82">
        <v>0.81</v>
      </c>
      <c r="M23" s="82">
        <v>0.19</v>
      </c>
      <c r="N23" s="82">
        <v>0.81</v>
      </c>
      <c r="O23" s="82">
        <v>0.19</v>
      </c>
      <c r="P23" s="73">
        <v>0.81</v>
      </c>
      <c r="Q23" s="82">
        <v>0</v>
      </c>
      <c r="R23" s="74">
        <v>1</v>
      </c>
      <c r="S23"/>
      <c r="T23"/>
    </row>
    <row r="24" spans="1:20" ht="15" customHeight="1" x14ac:dyDescent="0.15">
      <c r="A24" s="82"/>
      <c r="B24" s="93"/>
      <c r="C24" s="97"/>
      <c r="D24" s="86" t="s">
        <v>160</v>
      </c>
      <c r="F24" s="198" t="s">
        <v>210</v>
      </c>
      <c r="G24" s="82">
        <v>0</v>
      </c>
      <c r="H24" s="82">
        <v>0</v>
      </c>
      <c r="I24" s="82">
        <v>0</v>
      </c>
      <c r="J24" s="82">
        <v>0</v>
      </c>
      <c r="K24" s="82">
        <v>0.7</v>
      </c>
      <c r="L24" s="82">
        <v>0.30000000000000004</v>
      </c>
      <c r="M24" s="82">
        <v>0.7</v>
      </c>
      <c r="N24" s="82">
        <v>0.30000000000000004</v>
      </c>
      <c r="O24" s="82">
        <v>0.7</v>
      </c>
      <c r="P24" s="73">
        <v>0.30000000000000004</v>
      </c>
      <c r="Q24" s="82">
        <v>0</v>
      </c>
      <c r="R24" s="74">
        <v>1</v>
      </c>
      <c r="S24"/>
      <c r="T24"/>
    </row>
    <row r="25" spans="1:20" ht="15" customHeight="1" x14ac:dyDescent="0.15">
      <c r="A25" s="82"/>
      <c r="B25" s="93"/>
      <c r="C25" s="81"/>
      <c r="D25" s="86" t="s">
        <v>160</v>
      </c>
      <c r="F25" s="198" t="s">
        <v>211</v>
      </c>
      <c r="G25" s="82">
        <v>0</v>
      </c>
      <c r="H25" s="82">
        <v>0</v>
      </c>
      <c r="I25" s="82">
        <v>0</v>
      </c>
      <c r="J25" s="82">
        <v>0</v>
      </c>
      <c r="K25" s="82">
        <v>0.8</v>
      </c>
      <c r="L25" s="82">
        <v>0.19999999999999996</v>
      </c>
      <c r="M25" s="82">
        <v>0.8</v>
      </c>
      <c r="N25" s="82">
        <v>0.19999999999999996</v>
      </c>
      <c r="O25" s="82">
        <v>0.8</v>
      </c>
      <c r="P25" s="73">
        <v>0.19999999999999996</v>
      </c>
      <c r="Q25" s="82">
        <v>0</v>
      </c>
      <c r="R25" s="74">
        <v>1</v>
      </c>
      <c r="S25"/>
      <c r="T25"/>
    </row>
    <row r="26" spans="1:20" ht="15" customHeight="1" x14ac:dyDescent="0.15">
      <c r="B26" s="93"/>
      <c r="C26" s="81"/>
      <c r="D26" s="86" t="s">
        <v>160</v>
      </c>
      <c r="F26" s="198" t="s">
        <v>212</v>
      </c>
      <c r="G26" s="82">
        <v>0</v>
      </c>
      <c r="H26" s="82">
        <v>0</v>
      </c>
      <c r="I26" s="82">
        <v>0</v>
      </c>
      <c r="J26" s="82">
        <v>0</v>
      </c>
      <c r="K26" s="82">
        <v>0.19</v>
      </c>
      <c r="L26" s="82">
        <v>0.81</v>
      </c>
      <c r="M26" s="82">
        <v>0.19</v>
      </c>
      <c r="N26" s="82">
        <v>0.81</v>
      </c>
      <c r="O26" s="82">
        <v>0.19</v>
      </c>
      <c r="P26" s="73">
        <v>0.81</v>
      </c>
      <c r="Q26" s="82">
        <v>0</v>
      </c>
      <c r="R26" s="74">
        <v>1</v>
      </c>
      <c r="S26"/>
      <c r="T26"/>
    </row>
    <row r="27" spans="1:20" ht="15" customHeight="1" x14ac:dyDescent="0.15">
      <c r="B27" s="93"/>
      <c r="C27" s="81"/>
      <c r="D27" s="86" t="s">
        <v>160</v>
      </c>
      <c r="F27" s="198" t="s">
        <v>213</v>
      </c>
      <c r="G27" s="82">
        <v>0</v>
      </c>
      <c r="H27" s="82">
        <v>0</v>
      </c>
      <c r="I27" s="82">
        <v>0</v>
      </c>
      <c r="J27" s="82">
        <v>0</v>
      </c>
      <c r="K27" s="82">
        <v>0.09</v>
      </c>
      <c r="L27" s="82">
        <v>0.91</v>
      </c>
      <c r="M27" s="82">
        <v>0.09</v>
      </c>
      <c r="N27" s="82">
        <v>0.91</v>
      </c>
      <c r="O27" s="82">
        <v>0.09</v>
      </c>
      <c r="P27" s="73">
        <v>0.91</v>
      </c>
      <c r="Q27" s="82">
        <v>0</v>
      </c>
      <c r="R27" s="74">
        <v>1</v>
      </c>
      <c r="S27"/>
      <c r="T27"/>
    </row>
    <row r="28" spans="1:20" ht="15" customHeight="1" thickBot="1" x14ac:dyDescent="0.2">
      <c r="B28" s="92"/>
      <c r="C28" s="81"/>
      <c r="D28" s="86" t="s">
        <v>160</v>
      </c>
      <c r="F28" s="198" t="s">
        <v>214</v>
      </c>
      <c r="G28" s="82">
        <v>0</v>
      </c>
      <c r="H28" s="82">
        <v>0</v>
      </c>
      <c r="I28" s="82">
        <v>0</v>
      </c>
      <c r="J28" s="82">
        <v>0</v>
      </c>
      <c r="K28" s="82">
        <v>0.7</v>
      </c>
      <c r="L28" s="82">
        <v>0.30000000000000004</v>
      </c>
      <c r="M28" s="82">
        <v>0.7</v>
      </c>
      <c r="N28" s="82">
        <v>0.30000000000000004</v>
      </c>
      <c r="O28" s="82">
        <v>0.7</v>
      </c>
      <c r="P28" s="73">
        <v>0.30000000000000004</v>
      </c>
      <c r="Q28" s="82">
        <v>0</v>
      </c>
      <c r="R28" s="74">
        <v>1</v>
      </c>
      <c r="S28"/>
      <c r="T28"/>
    </row>
    <row r="29" spans="1:20" ht="15" customHeight="1" x14ac:dyDescent="0.15">
      <c r="F29" s="198" t="s">
        <v>215</v>
      </c>
      <c r="G29" s="82">
        <v>0</v>
      </c>
      <c r="H29" s="82">
        <v>0</v>
      </c>
      <c r="I29" s="82">
        <v>0</v>
      </c>
      <c r="J29" s="82">
        <v>0</v>
      </c>
      <c r="K29" s="82">
        <v>0.7</v>
      </c>
      <c r="L29" s="82">
        <v>0.30000000000000004</v>
      </c>
      <c r="M29" s="82">
        <v>0.7</v>
      </c>
      <c r="N29" s="82">
        <v>0.30000000000000004</v>
      </c>
      <c r="O29" s="82">
        <v>0.7</v>
      </c>
      <c r="P29" s="73">
        <v>0.30000000000000004</v>
      </c>
      <c r="Q29" s="82">
        <v>0</v>
      </c>
      <c r="R29" s="74">
        <v>1</v>
      </c>
      <c r="S29"/>
      <c r="T29"/>
    </row>
    <row r="30" spans="1:20" ht="15" customHeight="1" x14ac:dyDescent="0.15">
      <c r="F30" s="198" t="s">
        <v>216</v>
      </c>
      <c r="G30" s="82">
        <v>0</v>
      </c>
      <c r="H30" s="82">
        <v>0</v>
      </c>
      <c r="I30" s="82">
        <v>0</v>
      </c>
      <c r="J30" s="82">
        <v>0</v>
      </c>
      <c r="K30" s="82">
        <v>0.7</v>
      </c>
      <c r="L30" s="82">
        <v>0.30000000000000004</v>
      </c>
      <c r="M30" s="82">
        <v>0.7</v>
      </c>
      <c r="N30" s="82">
        <v>0.30000000000000004</v>
      </c>
      <c r="O30" s="82">
        <v>0.7</v>
      </c>
      <c r="P30" s="73">
        <v>0.30000000000000004</v>
      </c>
      <c r="Q30" s="82">
        <v>0</v>
      </c>
      <c r="R30" s="74">
        <v>1</v>
      </c>
      <c r="S30"/>
      <c r="T30"/>
    </row>
    <row r="31" spans="1:20" ht="15" customHeight="1" x14ac:dyDescent="0.15">
      <c r="A31" s="125"/>
      <c r="B31" s="135" t="s">
        <v>17</v>
      </c>
      <c r="C31" s="135" t="s">
        <v>1</v>
      </c>
      <c r="D31" s="135" t="s">
        <v>161</v>
      </c>
      <c r="E31" s="136" t="s">
        <v>163</v>
      </c>
      <c r="F31" s="198" t="s">
        <v>217</v>
      </c>
      <c r="G31" s="82">
        <v>0</v>
      </c>
      <c r="H31" s="82">
        <v>0</v>
      </c>
      <c r="I31" s="82">
        <v>0</v>
      </c>
      <c r="J31" s="82">
        <v>0</v>
      </c>
      <c r="K31" s="82">
        <v>0.7</v>
      </c>
      <c r="L31" s="82">
        <v>0.30000000000000004</v>
      </c>
      <c r="M31" s="82">
        <v>0.7</v>
      </c>
      <c r="N31" s="82">
        <v>0.30000000000000004</v>
      </c>
      <c r="O31" s="82">
        <v>0.7</v>
      </c>
      <c r="P31" s="73">
        <v>0.30000000000000004</v>
      </c>
      <c r="Q31" s="82">
        <v>0</v>
      </c>
      <c r="R31" s="74">
        <v>1</v>
      </c>
      <c r="S31"/>
      <c r="T31"/>
    </row>
    <row r="32" spans="1:20" ht="15" customHeight="1" x14ac:dyDescent="0.15">
      <c r="A32" s="201" t="s">
        <v>228</v>
      </c>
      <c r="B32" s="94">
        <v>20</v>
      </c>
      <c r="C32" s="94">
        <v>55</v>
      </c>
      <c r="D32" s="94">
        <v>1100</v>
      </c>
      <c r="E32" s="126">
        <v>0.99996623490557468</v>
      </c>
      <c r="F32" s="198" t="s">
        <v>218</v>
      </c>
      <c r="G32" s="82">
        <v>0</v>
      </c>
      <c r="H32" s="82">
        <v>0</v>
      </c>
      <c r="I32" s="82">
        <v>0</v>
      </c>
      <c r="J32" s="82">
        <v>0</v>
      </c>
      <c r="K32" s="82">
        <v>0.09</v>
      </c>
      <c r="L32" s="82">
        <v>0.91</v>
      </c>
      <c r="M32" s="82">
        <v>0.09</v>
      </c>
      <c r="N32" s="82">
        <v>0.91</v>
      </c>
      <c r="O32" s="82">
        <v>0.09</v>
      </c>
      <c r="P32" s="73">
        <v>0.91</v>
      </c>
      <c r="Q32" s="82">
        <v>0</v>
      </c>
      <c r="R32" s="74">
        <v>1</v>
      </c>
      <c r="S32"/>
      <c r="T32"/>
    </row>
    <row r="33" spans="1:20" ht="15" customHeight="1" x14ac:dyDescent="0.15">
      <c r="A33" s="201" t="s">
        <v>229</v>
      </c>
      <c r="B33" s="94">
        <v>1.8571429E-2</v>
      </c>
      <c r="C33" s="94">
        <v>2</v>
      </c>
      <c r="D33" s="94">
        <v>3.7142858000000001E-2</v>
      </c>
      <c r="E33" s="126">
        <v>3.3765094425356734E-5</v>
      </c>
      <c r="F33" s="198" t="s">
        <v>219</v>
      </c>
      <c r="G33" s="82">
        <v>0</v>
      </c>
      <c r="H33" s="82">
        <v>0</v>
      </c>
      <c r="I33" s="82">
        <v>0</v>
      </c>
      <c r="J33" s="82">
        <v>0</v>
      </c>
      <c r="K33" s="82">
        <v>0.8</v>
      </c>
      <c r="L33" s="82">
        <v>0.19999999999999996</v>
      </c>
      <c r="M33" s="82">
        <v>0.8</v>
      </c>
      <c r="N33" s="82">
        <v>0.19999999999999996</v>
      </c>
      <c r="O33" s="82">
        <v>0.8</v>
      </c>
      <c r="P33" s="73">
        <v>0.19999999999999996</v>
      </c>
      <c r="Q33" s="82">
        <v>0</v>
      </c>
      <c r="R33" s="74">
        <v>1</v>
      </c>
      <c r="S33"/>
      <c r="T33"/>
    </row>
    <row r="34" spans="1:20" ht="15" customHeight="1" x14ac:dyDescent="0.15">
      <c r="A34" s="127"/>
      <c r="B34" s="94"/>
      <c r="C34" s="94"/>
      <c r="D34" s="94"/>
      <c r="E34" s="126"/>
      <c r="F34" s="198" t="s">
        <v>220</v>
      </c>
      <c r="G34" s="82">
        <v>0</v>
      </c>
      <c r="H34" s="82">
        <v>0</v>
      </c>
      <c r="I34" s="82">
        <v>0</v>
      </c>
      <c r="J34" s="82">
        <v>0</v>
      </c>
      <c r="K34" s="82">
        <v>0.09</v>
      </c>
      <c r="L34" s="82">
        <v>0.91</v>
      </c>
      <c r="M34" s="82">
        <v>0.09</v>
      </c>
      <c r="N34" s="82">
        <v>0.91</v>
      </c>
      <c r="O34" s="82">
        <v>0.09</v>
      </c>
      <c r="P34" s="73">
        <v>0.91</v>
      </c>
      <c r="Q34" s="82">
        <v>0</v>
      </c>
      <c r="R34" s="74">
        <v>1</v>
      </c>
      <c r="S34"/>
      <c r="T34"/>
    </row>
    <row r="35" spans="1:20" ht="15" customHeight="1" x14ac:dyDescent="0.15">
      <c r="A35" s="128"/>
      <c r="B35" s="94"/>
      <c r="C35" s="94"/>
      <c r="D35" s="94"/>
      <c r="E35" s="126"/>
      <c r="F35" s="198" t="s">
        <v>221</v>
      </c>
      <c r="G35" s="82">
        <v>0</v>
      </c>
      <c r="H35" s="82">
        <v>0</v>
      </c>
      <c r="I35" s="82">
        <v>0</v>
      </c>
      <c r="J35" s="82">
        <v>0</v>
      </c>
      <c r="K35" s="82">
        <v>0.09</v>
      </c>
      <c r="L35" s="82">
        <v>0.91</v>
      </c>
      <c r="M35" s="82">
        <v>0.09</v>
      </c>
      <c r="N35" s="82">
        <v>0.91</v>
      </c>
      <c r="O35" s="82">
        <v>0.09</v>
      </c>
      <c r="P35" s="73">
        <v>0.91</v>
      </c>
      <c r="Q35" s="82">
        <v>0</v>
      </c>
      <c r="R35" s="74">
        <v>1</v>
      </c>
      <c r="S35"/>
      <c r="T35"/>
    </row>
    <row r="36" spans="1:20" ht="15" customHeight="1" x14ac:dyDescent="0.15">
      <c r="A36" s="129"/>
      <c r="B36" s="94"/>
      <c r="C36" s="94"/>
      <c r="D36" s="94"/>
      <c r="E36" s="126"/>
      <c r="F36" s="198" t="s">
        <v>222</v>
      </c>
      <c r="G36" s="82">
        <v>0</v>
      </c>
      <c r="H36" s="82">
        <v>0</v>
      </c>
      <c r="I36" s="82">
        <v>0</v>
      </c>
      <c r="J36" s="82">
        <v>0</v>
      </c>
      <c r="K36" s="82">
        <v>0.09</v>
      </c>
      <c r="L36" s="82">
        <v>0.91</v>
      </c>
      <c r="M36" s="82">
        <v>0.09</v>
      </c>
      <c r="N36" s="82">
        <v>0.91</v>
      </c>
      <c r="O36" s="82">
        <v>0.09</v>
      </c>
      <c r="P36" s="73">
        <v>0.91</v>
      </c>
      <c r="Q36" s="82">
        <v>0</v>
      </c>
      <c r="R36" s="74">
        <v>1</v>
      </c>
      <c r="S36"/>
      <c r="T36"/>
    </row>
    <row r="37" spans="1:20" ht="15" customHeight="1" x14ac:dyDescent="0.15">
      <c r="A37" s="129"/>
      <c r="B37" s="94"/>
      <c r="C37" s="94"/>
      <c r="D37" s="94"/>
      <c r="E37" s="126"/>
      <c r="F37" s="198" t="s">
        <v>223</v>
      </c>
      <c r="G37" s="82">
        <v>0</v>
      </c>
      <c r="H37" s="82">
        <v>0</v>
      </c>
      <c r="I37" s="82">
        <v>0</v>
      </c>
      <c r="J37" s="82">
        <v>0</v>
      </c>
      <c r="K37" s="82">
        <v>0.09</v>
      </c>
      <c r="L37" s="82">
        <v>0.91</v>
      </c>
      <c r="M37" s="82">
        <v>0.09</v>
      </c>
      <c r="N37" s="82">
        <v>0.91</v>
      </c>
      <c r="O37" s="82">
        <v>0.09</v>
      </c>
      <c r="P37" s="73">
        <v>0.91</v>
      </c>
      <c r="Q37" s="82">
        <v>0</v>
      </c>
      <c r="R37" s="74">
        <v>1</v>
      </c>
      <c r="S37"/>
      <c r="T37"/>
    </row>
    <row r="38" spans="1:20" ht="15" customHeight="1" x14ac:dyDescent="0.15">
      <c r="A38" s="130"/>
      <c r="B38" s="94"/>
      <c r="C38" s="94"/>
      <c r="D38" s="94"/>
      <c r="E38" s="126"/>
      <c r="F38" s="198" t="s">
        <v>224</v>
      </c>
      <c r="G38" s="82">
        <v>0</v>
      </c>
      <c r="H38" s="82">
        <v>0</v>
      </c>
      <c r="I38" s="82">
        <v>0</v>
      </c>
      <c r="J38" s="82">
        <v>0</v>
      </c>
      <c r="K38" s="82">
        <v>0.01</v>
      </c>
      <c r="L38" s="82">
        <v>0.99</v>
      </c>
      <c r="M38" s="82">
        <v>0.01</v>
      </c>
      <c r="N38" s="82">
        <v>0.99</v>
      </c>
      <c r="O38" s="82">
        <v>0.01</v>
      </c>
      <c r="P38" s="73">
        <v>0.99</v>
      </c>
      <c r="Q38" s="82">
        <v>0</v>
      </c>
      <c r="R38" s="74">
        <v>1</v>
      </c>
      <c r="S38"/>
      <c r="T38"/>
    </row>
    <row r="39" spans="1:20" ht="15" customHeight="1" x14ac:dyDescent="0.15">
      <c r="A39" s="130"/>
      <c r="B39" s="94"/>
      <c r="C39" s="94"/>
      <c r="D39" s="94"/>
      <c r="E39" s="126"/>
      <c r="F39" s="198" t="s">
        <v>225</v>
      </c>
      <c r="G39" s="82">
        <v>0</v>
      </c>
      <c r="H39" s="82">
        <v>0</v>
      </c>
      <c r="I39" s="82">
        <v>0</v>
      </c>
      <c r="J39" s="82">
        <v>0</v>
      </c>
      <c r="K39" s="82">
        <v>0.8</v>
      </c>
      <c r="L39" s="82">
        <v>0.19999999999999996</v>
      </c>
      <c r="M39" s="82">
        <v>0.8</v>
      </c>
      <c r="N39" s="82">
        <v>0.19999999999999996</v>
      </c>
      <c r="O39" s="82">
        <v>0.8</v>
      </c>
      <c r="P39" s="73">
        <v>0.19999999999999996</v>
      </c>
      <c r="Q39" s="82">
        <v>0</v>
      </c>
      <c r="R39" s="74">
        <v>1</v>
      </c>
      <c r="S39"/>
      <c r="T39"/>
    </row>
    <row r="40" spans="1:20" ht="15" customHeight="1" x14ac:dyDescent="0.15">
      <c r="A40" s="130"/>
      <c r="B40" s="94"/>
      <c r="C40" s="94"/>
      <c r="D40" s="94"/>
      <c r="E40" s="126"/>
      <c r="F40" s="198" t="s">
        <v>226</v>
      </c>
      <c r="G40" s="82">
        <v>0</v>
      </c>
      <c r="H40" s="82">
        <v>0</v>
      </c>
      <c r="I40" s="82">
        <v>0</v>
      </c>
      <c r="J40" s="82">
        <v>0</v>
      </c>
      <c r="K40" s="82">
        <v>0.8</v>
      </c>
      <c r="L40" s="82">
        <v>0.19999999999999996</v>
      </c>
      <c r="M40" s="82">
        <v>0.8</v>
      </c>
      <c r="N40" s="82">
        <v>0.19999999999999996</v>
      </c>
      <c r="O40" s="82">
        <v>0.8</v>
      </c>
      <c r="P40" s="73">
        <v>0.19999999999999996</v>
      </c>
      <c r="Q40" s="82">
        <v>0</v>
      </c>
      <c r="R40" s="74">
        <v>1</v>
      </c>
      <c r="S40"/>
      <c r="T40"/>
    </row>
    <row r="41" spans="1:20" ht="15" customHeight="1" thickBot="1" x14ac:dyDescent="0.2">
      <c r="A41" s="130"/>
      <c r="B41" s="94"/>
      <c r="C41" s="94"/>
      <c r="D41" s="95"/>
      <c r="E41" s="131"/>
      <c r="F41" s="198" t="s">
        <v>227</v>
      </c>
      <c r="G41" s="82">
        <v>0</v>
      </c>
      <c r="H41" s="82">
        <v>0</v>
      </c>
      <c r="I41" s="82">
        <v>0</v>
      </c>
      <c r="J41" s="82">
        <v>0</v>
      </c>
      <c r="K41" s="82">
        <v>0.01</v>
      </c>
      <c r="L41" s="82">
        <v>0.99</v>
      </c>
      <c r="M41" s="82">
        <v>0.01</v>
      </c>
      <c r="N41" s="82">
        <v>0.99</v>
      </c>
      <c r="O41" s="82">
        <v>0.01</v>
      </c>
      <c r="P41" s="73">
        <v>0.99</v>
      </c>
      <c r="Q41" s="82">
        <v>0</v>
      </c>
      <c r="R41" s="74">
        <v>1</v>
      </c>
      <c r="S41"/>
      <c r="T41"/>
    </row>
    <row r="42" spans="1:20" ht="15" customHeight="1" x14ac:dyDescent="0.15">
      <c r="A42" s="132"/>
      <c r="B42" s="133"/>
      <c r="C42" s="133" t="s">
        <v>162</v>
      </c>
      <c r="D42" s="133">
        <f>SUM(D32:D41)</f>
        <v>1100.0371428579999</v>
      </c>
      <c r="E42" s="134">
        <f>SUM(E32:E41)</f>
        <v>1</v>
      </c>
      <c r="F42" s="198" t="s">
        <v>228</v>
      </c>
      <c r="G42" s="82">
        <v>0</v>
      </c>
      <c r="H42" s="82">
        <v>0</v>
      </c>
      <c r="I42" s="82">
        <v>0</v>
      </c>
      <c r="J42" s="82">
        <v>0</v>
      </c>
      <c r="K42" s="82">
        <v>0</v>
      </c>
      <c r="L42" s="82">
        <v>0</v>
      </c>
      <c r="M42" s="82">
        <v>0.8</v>
      </c>
      <c r="N42" s="82">
        <v>0.19999999999999996</v>
      </c>
      <c r="O42" s="82">
        <v>0</v>
      </c>
      <c r="P42" s="73">
        <v>0</v>
      </c>
      <c r="Q42" s="82">
        <v>0</v>
      </c>
      <c r="R42" s="74">
        <v>1</v>
      </c>
      <c r="S42"/>
      <c r="T42"/>
    </row>
    <row r="43" spans="1:20" ht="15" customHeight="1" x14ac:dyDescent="0.15">
      <c r="A43" s="82"/>
      <c r="F43" s="198" t="s">
        <v>229</v>
      </c>
      <c r="G43" s="82">
        <v>0</v>
      </c>
      <c r="H43" s="82">
        <v>0</v>
      </c>
      <c r="I43" s="82">
        <v>0</v>
      </c>
      <c r="J43" s="82">
        <v>0</v>
      </c>
      <c r="K43" s="82">
        <v>0</v>
      </c>
      <c r="L43" s="82">
        <v>0</v>
      </c>
      <c r="M43" s="82">
        <v>0.09</v>
      </c>
      <c r="N43" s="82">
        <v>0.91</v>
      </c>
      <c r="O43" s="82">
        <v>0</v>
      </c>
      <c r="P43" s="73">
        <v>0</v>
      </c>
      <c r="Q43" s="82">
        <v>0</v>
      </c>
      <c r="R43" s="74">
        <v>1</v>
      </c>
      <c r="S43"/>
      <c r="T43"/>
    </row>
    <row r="44" spans="1:20" ht="15" customHeight="1" x14ac:dyDescent="0.15">
      <c r="A44" s="82"/>
      <c r="F44" s="198" t="s">
        <v>230</v>
      </c>
      <c r="G44" s="82">
        <v>0</v>
      </c>
      <c r="H44" s="82">
        <v>0</v>
      </c>
      <c r="I44" s="82">
        <v>0</v>
      </c>
      <c r="J44" s="82">
        <v>0</v>
      </c>
      <c r="K44" s="82">
        <v>0.2</v>
      </c>
      <c r="L44" s="82">
        <v>0.8</v>
      </c>
      <c r="M44" s="82">
        <v>0.2</v>
      </c>
      <c r="N44" s="82">
        <v>0.8</v>
      </c>
      <c r="O44" s="82">
        <v>0.2</v>
      </c>
      <c r="P44" s="73">
        <v>0.8</v>
      </c>
      <c r="Q44" s="82">
        <v>0</v>
      </c>
      <c r="R44" s="74">
        <v>1</v>
      </c>
    </row>
    <row r="45" spans="1:20" ht="15" customHeight="1" x14ac:dyDescent="0.15">
      <c r="A45" s="82"/>
      <c r="F45" s="198" t="s">
        <v>231</v>
      </c>
      <c r="G45" s="82">
        <v>0</v>
      </c>
      <c r="H45" s="82">
        <v>0</v>
      </c>
      <c r="I45" s="82">
        <v>0</v>
      </c>
      <c r="J45" s="82">
        <v>0</v>
      </c>
      <c r="K45" s="82">
        <v>0</v>
      </c>
      <c r="L45" s="82">
        <v>1</v>
      </c>
      <c r="M45" s="82">
        <v>0</v>
      </c>
      <c r="N45" s="82">
        <v>1</v>
      </c>
      <c r="O45" s="82">
        <v>0</v>
      </c>
      <c r="P45" s="73">
        <v>1</v>
      </c>
      <c r="Q45" s="82">
        <v>0</v>
      </c>
      <c r="R45" s="74">
        <v>1</v>
      </c>
    </row>
    <row r="46" spans="1:20" ht="15" customHeight="1" x14ac:dyDescent="0.15">
      <c r="A46" s="82"/>
      <c r="F46" s="198" t="s">
        <v>232</v>
      </c>
      <c r="G46" s="82">
        <v>0</v>
      </c>
      <c r="H46" s="82">
        <v>0</v>
      </c>
      <c r="I46" s="82">
        <v>0</v>
      </c>
      <c r="J46" s="82">
        <v>0</v>
      </c>
      <c r="K46" s="82">
        <v>0</v>
      </c>
      <c r="L46" s="82">
        <v>1</v>
      </c>
      <c r="M46" s="82">
        <v>0</v>
      </c>
      <c r="N46" s="82">
        <v>1</v>
      </c>
      <c r="O46" s="82">
        <v>0</v>
      </c>
      <c r="P46" s="73">
        <v>1</v>
      </c>
      <c r="Q46" s="82">
        <v>0</v>
      </c>
      <c r="R46" s="74">
        <v>1</v>
      </c>
    </row>
    <row r="47" spans="1:20" ht="15" customHeight="1" x14ac:dyDescent="0.15">
      <c r="A47" s="82"/>
      <c r="F47" s="198" t="s">
        <v>233</v>
      </c>
      <c r="G47" s="82">
        <v>0</v>
      </c>
      <c r="H47" s="82">
        <v>0</v>
      </c>
      <c r="I47" s="82">
        <v>0</v>
      </c>
      <c r="J47" s="82">
        <v>0</v>
      </c>
      <c r="K47" s="82">
        <v>0</v>
      </c>
      <c r="L47" s="82">
        <v>1</v>
      </c>
      <c r="M47" s="82">
        <v>0</v>
      </c>
      <c r="N47" s="82">
        <v>0</v>
      </c>
      <c r="O47" s="82">
        <v>0</v>
      </c>
      <c r="P47" s="73">
        <v>0</v>
      </c>
      <c r="Q47" s="82">
        <v>0</v>
      </c>
      <c r="R47" s="74">
        <v>1</v>
      </c>
    </row>
    <row r="48" spans="1:20" ht="15" customHeight="1" x14ac:dyDescent="0.15">
      <c r="A48" s="82"/>
      <c r="F48" s="198" t="s">
        <v>234</v>
      </c>
      <c r="G48" s="82">
        <v>0</v>
      </c>
      <c r="H48" s="82">
        <v>0</v>
      </c>
      <c r="I48" s="82">
        <v>0</v>
      </c>
      <c r="J48" s="82">
        <v>0</v>
      </c>
      <c r="K48" s="82">
        <v>0</v>
      </c>
      <c r="L48" s="82">
        <v>1</v>
      </c>
      <c r="M48" s="82">
        <v>0</v>
      </c>
      <c r="N48" s="82">
        <v>0</v>
      </c>
      <c r="O48" s="82">
        <v>0</v>
      </c>
      <c r="P48" s="73">
        <v>0</v>
      </c>
      <c r="Q48" s="82">
        <v>0</v>
      </c>
      <c r="R48" s="74">
        <v>1</v>
      </c>
    </row>
    <row r="49" spans="6:18" s="82" customFormat="1" ht="15" customHeight="1" x14ac:dyDescent="0.15">
      <c r="F49" s="198" t="s">
        <v>235</v>
      </c>
      <c r="G49" s="82">
        <v>0</v>
      </c>
      <c r="H49" s="82">
        <v>0</v>
      </c>
      <c r="I49" s="82">
        <v>0</v>
      </c>
      <c r="J49" s="82">
        <v>0</v>
      </c>
      <c r="K49" s="82">
        <v>0</v>
      </c>
      <c r="L49" s="82">
        <v>1</v>
      </c>
      <c r="M49" s="82">
        <v>0</v>
      </c>
      <c r="N49" s="82">
        <v>0</v>
      </c>
      <c r="O49" s="82">
        <v>0</v>
      </c>
      <c r="P49" s="73">
        <v>0</v>
      </c>
      <c r="Q49" s="82">
        <v>0</v>
      </c>
      <c r="R49" s="74">
        <v>1</v>
      </c>
    </row>
    <row r="50" spans="6:18" s="82" customFormat="1" ht="15" customHeight="1" x14ac:dyDescent="0.15">
      <c r="F50" s="198" t="s">
        <v>236</v>
      </c>
      <c r="G50" s="82">
        <v>0</v>
      </c>
      <c r="H50" s="82">
        <v>0</v>
      </c>
      <c r="I50" s="82">
        <v>0</v>
      </c>
      <c r="J50" s="82">
        <v>0</v>
      </c>
      <c r="K50" s="82">
        <v>0</v>
      </c>
      <c r="L50" s="82">
        <v>1</v>
      </c>
      <c r="M50" s="82">
        <v>0</v>
      </c>
      <c r="N50" s="82">
        <v>0</v>
      </c>
      <c r="O50" s="82">
        <v>0</v>
      </c>
      <c r="P50" s="73">
        <v>0</v>
      </c>
      <c r="Q50" s="82">
        <v>0</v>
      </c>
      <c r="R50" s="74">
        <v>1</v>
      </c>
    </row>
    <row r="51" spans="6:18" s="82" customFormat="1" ht="15" customHeight="1" x14ac:dyDescent="0.15">
      <c r="F51" s="198" t="s">
        <v>237</v>
      </c>
      <c r="G51" s="82">
        <v>0</v>
      </c>
      <c r="H51" s="82">
        <v>0</v>
      </c>
      <c r="I51" s="82">
        <v>0</v>
      </c>
      <c r="J51" s="82">
        <v>0</v>
      </c>
      <c r="K51" s="82">
        <v>0</v>
      </c>
      <c r="L51" s="82">
        <v>1</v>
      </c>
      <c r="M51" s="82">
        <v>0</v>
      </c>
      <c r="N51" s="82">
        <v>0</v>
      </c>
      <c r="O51" s="82">
        <v>0</v>
      </c>
      <c r="P51" s="73">
        <v>0</v>
      </c>
      <c r="Q51" s="82">
        <v>0</v>
      </c>
      <c r="R51" s="74">
        <v>1</v>
      </c>
    </row>
    <row r="52" spans="6:18" s="82" customFormat="1" ht="15" customHeight="1" x14ac:dyDescent="0.15">
      <c r="F52" s="198" t="s">
        <v>238</v>
      </c>
      <c r="G52" s="82">
        <v>0</v>
      </c>
      <c r="H52" s="82">
        <v>0</v>
      </c>
      <c r="I52" s="82">
        <v>0</v>
      </c>
      <c r="J52" s="82">
        <v>0</v>
      </c>
      <c r="K52" s="82">
        <v>0</v>
      </c>
      <c r="L52" s="82">
        <v>1</v>
      </c>
      <c r="M52" s="82">
        <v>0</v>
      </c>
      <c r="N52" s="82">
        <v>0</v>
      </c>
      <c r="O52" s="82">
        <v>0</v>
      </c>
      <c r="P52" s="73">
        <v>0</v>
      </c>
      <c r="Q52" s="82">
        <v>0</v>
      </c>
      <c r="R52" s="74">
        <v>1</v>
      </c>
    </row>
    <row r="53" spans="6:18" s="82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2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2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2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2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2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2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2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2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2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2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2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2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2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2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2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2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2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2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2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2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2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2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2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2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2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2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2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2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2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2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2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2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2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2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2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2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2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2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2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2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2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2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2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2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2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2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2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2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2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2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2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2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2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2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2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2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2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2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2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2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2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2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2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2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2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2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2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2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2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2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2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2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2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2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2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2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2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2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2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2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2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2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2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2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2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2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2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2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2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2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2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2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2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2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2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2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2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2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2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2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2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2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2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2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2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2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2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2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2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2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2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2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2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2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2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2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2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BC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32" bestFit="1" customWidth="1"/>
    <col min="2" max="2" width="2.33203125" style="110" customWidth="1"/>
    <col min="3" max="5" width="7.83203125" style="110" customWidth="1"/>
    <col min="6" max="8" width="8.83203125" style="6"/>
    <col min="9" max="9" width="14.1640625" style="6" customWidth="1"/>
    <col min="10" max="10" width="7.1640625" style="6" customWidth="1"/>
    <col min="11" max="11" width="6" style="6" customWidth="1"/>
    <col min="12" max="12" width="5.5" style="6" customWidth="1"/>
    <col min="13" max="13" width="11.1640625" style="6" customWidth="1"/>
    <col min="14" max="14" width="16.33203125" style="6" customWidth="1"/>
    <col min="15" max="15" width="13" style="6" customWidth="1"/>
    <col min="16" max="16" width="6.33203125" style="6" customWidth="1"/>
    <col min="17" max="17" width="18.1640625" style="6" customWidth="1"/>
    <col min="18" max="18" width="13.33203125" style="6" customWidth="1"/>
    <col min="19" max="19" width="18.6640625" style="6" customWidth="1"/>
    <col min="20" max="20" width="22.5" style="6" customWidth="1"/>
    <col min="21" max="21" width="15.5" style="6" customWidth="1"/>
    <col min="22" max="22" width="9.5" style="6" customWidth="1"/>
    <col min="23" max="23" width="17" style="6" customWidth="1"/>
    <col min="24" max="24" width="19.5" style="6" customWidth="1"/>
    <col min="25" max="25" width="13" style="6" customWidth="1"/>
    <col min="26" max="26" width="9.5" style="6" customWidth="1"/>
    <col min="27" max="27" width="15.83203125" style="6" customWidth="1"/>
    <col min="28" max="28" width="6" style="6" customWidth="1"/>
    <col min="29" max="29" width="32" style="6" customWidth="1"/>
    <col min="30" max="30" width="14.1640625" style="6" customWidth="1"/>
    <col min="31" max="31" width="22.1640625" style="6" customWidth="1"/>
    <col min="32" max="32" width="15.5" style="6" customWidth="1"/>
    <col min="33" max="33" width="16.83203125" style="6" customWidth="1"/>
    <col min="34" max="35" width="18.1640625" style="6" customWidth="1"/>
    <col min="36" max="36" width="21.5" style="6" customWidth="1"/>
    <col min="37" max="37" width="19.5" style="6" customWidth="1"/>
    <col min="38" max="38" width="16.5" style="6" customWidth="1"/>
    <col min="39" max="39" width="20.5" customWidth="1"/>
    <col min="40" max="40" width="18.1640625" customWidth="1"/>
    <col min="41" max="41" width="9.6640625" customWidth="1"/>
    <col min="42" max="42" width="21.5" customWidth="1"/>
    <col min="43" max="43" width="24.33203125" customWidth="1"/>
    <col min="44" max="44" width="21.83203125" customWidth="1"/>
    <col min="45" max="45" width="13.1640625" customWidth="1"/>
    <col min="46" max="46" width="18.5" customWidth="1"/>
    <col min="47" max="47" width="14.6640625" customWidth="1"/>
    <col min="48" max="48" width="19.5" customWidth="1"/>
    <col min="49" max="49" width="14.33203125" customWidth="1"/>
    <col min="50" max="50" width="8.1640625" customWidth="1"/>
    <col min="51" max="51" width="12.1640625" customWidth="1"/>
    <col min="52" max="52" width="11.5" customWidth="1"/>
    <col min="53" max="53" width="16.1640625" customWidth="1"/>
    <col min="54" max="54" width="18.1640625" customWidth="1"/>
    <col min="55" max="55" width="14.1640625" customWidth="1"/>
    <col min="81" max="81" width="22.1640625" bestFit="1" customWidth="1"/>
  </cols>
  <sheetData>
    <row r="1" spans="1:55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203" t="s">
        <v>192</v>
      </c>
      <c r="J1" s="203" t="s">
        <v>193</v>
      </c>
      <c r="K1" s="203" t="s">
        <v>194</v>
      </c>
      <c r="L1" s="203" t="s">
        <v>195</v>
      </c>
      <c r="M1" s="203" t="s">
        <v>196</v>
      </c>
      <c r="N1" s="203" t="s">
        <v>197</v>
      </c>
      <c r="O1" s="203" t="s">
        <v>198</v>
      </c>
      <c r="P1" s="203" t="s">
        <v>199</v>
      </c>
      <c r="Q1" s="203" t="s">
        <v>200</v>
      </c>
      <c r="R1" s="203" t="s">
        <v>201</v>
      </c>
      <c r="S1" s="203" t="s">
        <v>202</v>
      </c>
      <c r="T1" s="203" t="s">
        <v>203</v>
      </c>
      <c r="U1" s="203" t="s">
        <v>204</v>
      </c>
      <c r="V1" s="203" t="s">
        <v>205</v>
      </c>
      <c r="W1" s="203" t="s">
        <v>206</v>
      </c>
      <c r="X1" s="203" t="s">
        <v>207</v>
      </c>
      <c r="Y1" s="203" t="s">
        <v>208</v>
      </c>
      <c r="Z1" s="203" t="s">
        <v>209</v>
      </c>
      <c r="AA1" s="203" t="s">
        <v>210</v>
      </c>
      <c r="AB1" s="203" t="s">
        <v>211</v>
      </c>
      <c r="AC1" s="203" t="s">
        <v>212</v>
      </c>
      <c r="AD1" s="203" t="s">
        <v>213</v>
      </c>
      <c r="AE1" s="203" t="s">
        <v>214</v>
      </c>
      <c r="AF1" s="203" t="s">
        <v>215</v>
      </c>
      <c r="AG1" s="203" t="s">
        <v>216</v>
      </c>
      <c r="AH1" s="203" t="s">
        <v>217</v>
      </c>
      <c r="AI1" s="203" t="s">
        <v>218</v>
      </c>
      <c r="AJ1" s="203" t="s">
        <v>219</v>
      </c>
      <c r="AK1" s="203" t="s">
        <v>220</v>
      </c>
      <c r="AL1" s="203" t="s">
        <v>221</v>
      </c>
      <c r="AM1" s="203" t="s">
        <v>222</v>
      </c>
      <c r="AN1" s="203" t="s">
        <v>223</v>
      </c>
      <c r="AO1" s="203" t="s">
        <v>224</v>
      </c>
      <c r="AP1" s="203" t="s">
        <v>225</v>
      </c>
      <c r="AQ1" s="203" t="s">
        <v>226</v>
      </c>
      <c r="AR1" s="203" t="s">
        <v>227</v>
      </c>
      <c r="AS1" s="203" t="s">
        <v>228</v>
      </c>
      <c r="AT1" s="203" t="s">
        <v>229</v>
      </c>
      <c r="AU1" s="203" t="s">
        <v>230</v>
      </c>
      <c r="AV1" s="203" t="s">
        <v>231</v>
      </c>
      <c r="AW1" s="203" t="s">
        <v>232</v>
      </c>
      <c r="AX1" s="203" t="s">
        <v>233</v>
      </c>
      <c r="AY1" s="203" t="s">
        <v>234</v>
      </c>
      <c r="AZ1" s="203" t="s">
        <v>235</v>
      </c>
      <c r="BA1" s="203" t="s">
        <v>236</v>
      </c>
      <c r="BB1" s="203" t="s">
        <v>237</v>
      </c>
      <c r="BC1" s="203" t="s">
        <v>238</v>
      </c>
    </row>
    <row r="2" spans="1:55" x14ac:dyDescent="0.15">
      <c r="A2" t="s">
        <v>38</v>
      </c>
      <c r="B2" s="110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55" x14ac:dyDescent="0.15">
      <c r="A3" t="s">
        <v>40</v>
      </c>
      <c r="B3" s="110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55" x14ac:dyDescent="0.15">
      <c r="A4" t="s">
        <v>41</v>
      </c>
      <c r="B4" s="110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55" x14ac:dyDescent="0.15">
      <c r="A5" s="202" t="s">
        <v>192</v>
      </c>
      <c r="B5" s="110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55" x14ac:dyDescent="0.15">
      <c r="A6" s="202" t="s">
        <v>193</v>
      </c>
      <c r="B6" s="110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55" x14ac:dyDescent="0.15">
      <c r="A7" s="202" t="s">
        <v>194</v>
      </c>
      <c r="B7" s="110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55" x14ac:dyDescent="0.15">
      <c r="A8" s="202" t="s">
        <v>195</v>
      </c>
      <c r="B8" s="110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55" x14ac:dyDescent="0.15">
      <c r="A9" s="202" t="s">
        <v>196</v>
      </c>
      <c r="B9" s="110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55" x14ac:dyDescent="0.15">
      <c r="A10" s="202" t="s">
        <v>197</v>
      </c>
      <c r="B10" s="110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55" x14ac:dyDescent="0.15">
      <c r="A11" s="202" t="s">
        <v>198</v>
      </c>
      <c r="B11" s="110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55" x14ac:dyDescent="0.15">
      <c r="A12" s="202" t="s">
        <v>199</v>
      </c>
      <c r="B12" s="110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55" x14ac:dyDescent="0.15">
      <c r="A13" s="202" t="s">
        <v>200</v>
      </c>
      <c r="B13" s="110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55" x14ac:dyDescent="0.15">
      <c r="A14" s="202" t="s">
        <v>201</v>
      </c>
      <c r="B14" s="110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55" x14ac:dyDescent="0.15">
      <c r="A15" s="202" t="s">
        <v>202</v>
      </c>
      <c r="B15" s="110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55" x14ac:dyDescent="0.15">
      <c r="A16" s="202" t="s">
        <v>203</v>
      </c>
      <c r="B16" s="110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2" t="s">
        <v>204</v>
      </c>
      <c r="B17" s="110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2" t="s">
        <v>205</v>
      </c>
      <c r="B18" s="110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2" t="s">
        <v>206</v>
      </c>
      <c r="B19" s="110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2" t="s">
        <v>207</v>
      </c>
      <c r="B20" s="110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2" t="s">
        <v>208</v>
      </c>
      <c r="B21" s="110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2" t="s">
        <v>209</v>
      </c>
      <c r="B22" s="110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2" t="s">
        <v>210</v>
      </c>
      <c r="B23" s="110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2" t="s">
        <v>211</v>
      </c>
      <c r="B24" s="110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2" t="s">
        <v>212</v>
      </c>
      <c r="B25" s="110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2" t="s">
        <v>213</v>
      </c>
      <c r="B26" s="110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2" t="s">
        <v>214</v>
      </c>
      <c r="B27" s="110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2" t="s">
        <v>215</v>
      </c>
      <c r="B28" s="110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2" t="s">
        <v>216</v>
      </c>
      <c r="B29" s="110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2" t="s">
        <v>217</v>
      </c>
      <c r="B30" s="110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2" t="s">
        <v>218</v>
      </c>
      <c r="B31" s="110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2" t="s">
        <v>219</v>
      </c>
      <c r="B32" s="110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2" t="s">
        <v>220</v>
      </c>
      <c r="B33" s="110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2" t="s">
        <v>221</v>
      </c>
      <c r="B34" s="110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2" t="s">
        <v>222</v>
      </c>
      <c r="B35" s="110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2" t="s">
        <v>223</v>
      </c>
      <c r="B36" s="110">
        <v>0</v>
      </c>
      <c r="C36"/>
      <c r="D36"/>
    </row>
    <row r="37" spans="1:38" ht="15" customHeight="1" x14ac:dyDescent="0.15">
      <c r="A37" s="202" t="s">
        <v>224</v>
      </c>
      <c r="B37" s="110">
        <v>0</v>
      </c>
      <c r="C37"/>
      <c r="D37"/>
    </row>
    <row r="38" spans="1:38" ht="15" customHeight="1" x14ac:dyDescent="0.15">
      <c r="A38" s="202" t="s">
        <v>225</v>
      </c>
      <c r="B38" s="110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02" t="s">
        <v>226</v>
      </c>
      <c r="B39" s="110">
        <v>0</v>
      </c>
      <c r="C39"/>
      <c r="D39"/>
    </row>
    <row r="40" spans="1:38" ht="15" customHeight="1" x14ac:dyDescent="0.15">
      <c r="A40" s="202" t="s">
        <v>227</v>
      </c>
      <c r="B40" s="110">
        <v>0</v>
      </c>
      <c r="C40"/>
      <c r="D40"/>
    </row>
    <row r="41" spans="1:38" ht="15" customHeight="1" x14ac:dyDescent="0.15">
      <c r="A41" s="202" t="s">
        <v>228</v>
      </c>
      <c r="B41" s="110">
        <v>0</v>
      </c>
      <c r="C41"/>
      <c r="D41"/>
    </row>
    <row r="42" spans="1:38" ht="15" customHeight="1" x14ac:dyDescent="0.15">
      <c r="A42" s="202" t="s">
        <v>229</v>
      </c>
      <c r="B42" s="110">
        <v>0</v>
      </c>
    </row>
    <row r="43" spans="1:38" ht="15" customHeight="1" x14ac:dyDescent="0.15">
      <c r="A43" s="202" t="s">
        <v>230</v>
      </c>
      <c r="B43" s="110">
        <v>0</v>
      </c>
    </row>
    <row r="44" spans="1:38" ht="15" customHeight="1" x14ac:dyDescent="0.15">
      <c r="A44" s="202" t="s">
        <v>231</v>
      </c>
      <c r="B44" s="110">
        <v>0</v>
      </c>
    </row>
    <row r="45" spans="1:38" ht="15" customHeight="1" x14ac:dyDescent="0.15">
      <c r="A45" s="202" t="s">
        <v>232</v>
      </c>
      <c r="B45" s="110">
        <v>0</v>
      </c>
    </row>
    <row r="46" spans="1:38" ht="15" customHeight="1" x14ac:dyDescent="0.15">
      <c r="A46" s="202" t="s">
        <v>233</v>
      </c>
      <c r="B46" s="110">
        <v>0</v>
      </c>
    </row>
    <row r="47" spans="1:38" ht="15" customHeight="1" x14ac:dyDescent="0.15">
      <c r="A47" s="202" t="s">
        <v>234</v>
      </c>
      <c r="B47" s="110">
        <v>0</v>
      </c>
    </row>
    <row r="48" spans="1:38" ht="15" customHeight="1" x14ac:dyDescent="0.15">
      <c r="A48" s="202" t="s">
        <v>235</v>
      </c>
      <c r="B48" s="110">
        <v>0</v>
      </c>
    </row>
    <row r="49" spans="1:38" ht="15" customHeight="1" x14ac:dyDescent="0.15">
      <c r="A49" s="202" t="s">
        <v>236</v>
      </c>
      <c r="B49" s="110">
        <v>0</v>
      </c>
    </row>
    <row r="50" spans="1:38" ht="15" customHeight="1" x14ac:dyDescent="0.15">
      <c r="A50" s="202" t="s">
        <v>237</v>
      </c>
      <c r="B50" s="110">
        <v>0</v>
      </c>
    </row>
    <row r="51" spans="1:38" ht="15" customHeight="1" x14ac:dyDescent="0.15">
      <c r="A51" s="202" t="s">
        <v>238</v>
      </c>
      <c r="B51" s="110">
        <v>0</v>
      </c>
    </row>
    <row r="52" spans="1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2022-10-24T04:11:43Z</dcterms:modified>
</cp:coreProperties>
</file>