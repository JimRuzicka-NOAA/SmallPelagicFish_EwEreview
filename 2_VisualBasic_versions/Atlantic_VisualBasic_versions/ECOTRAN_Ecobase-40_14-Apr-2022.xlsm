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Atlantic/Atlantic_ECOTRAN_K-path_versions/"/>
    </mc:Choice>
  </mc:AlternateContent>
  <xr:revisionPtr revIDLastSave="0" documentId="13_ncr:1_{91F49691-B73A-C048-B73E-36E0EF477A6A}" xr6:coauthVersionLast="45" xr6:coauthVersionMax="45" xr10:uidLastSave="{00000000-0000-0000-0000-000000000000}"/>
  <bookViews>
    <workbookView xWindow="0" yWindow="460" windowWidth="25600" windowHeight="14240" tabRatio="728" activeTab="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Main!$C$2:$N$53</definedName>
    <definedName name="matDetritus">Detritus!$C$2:$E$53</definedName>
    <definedName name="matDiet">Diets!$B$2:$AM$42</definedName>
    <definedName name="matDiscards">Discards!$C$2:$N$41</definedName>
    <definedName name="matFishery">Fishing!$C$2:$N$41</definedName>
    <definedName name="matFishing">Fishing!#REF!</definedName>
    <definedName name="matMort">Mortalities!$A$1:$BC$41</definedName>
    <definedName name="matOut">MainOutputs!$A$2:$I$53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<sst xmlns="http://schemas.openxmlformats.org/spreadsheetml/2006/main" count="1286" uniqueCount="261">
  <si>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</si>
  <si>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</si>
  <si>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</si>
  <si>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</si>
  <si>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</si>
  <si>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</si>
  <si>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</si>
  <si>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</si>
  <si>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</si>
  <si>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</si>
  <si>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</si>
  <si>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</si>
  <si>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</si>
  <si>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</si>
  <si>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</si>
  <si>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</si>
  <si>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</si>
  <si>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</si>
  <si>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</si>
  <si>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</si>
  <si>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</si>
  <si>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</si>
  <si>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</si>
  <si>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</si>
  <si>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</si>
  <si>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</si>
  <si>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</si>
  <si>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</si>
  <si>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</si>
  <si>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</si>
  <si>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</si>
  <si>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</si>
  <si>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</si>
  <si>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</si>
  <si>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</si>
  <si>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</si>
  <si>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</si>
  <si>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</si>
  <si>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</si>
  <si>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</si>
  <si>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</si>
  <si>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</si>
  <si>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</si>
  <si>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</si>
  <si>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</si>
  <si>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</si>
  <si>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</si>
  <si>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</si>
  <si>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</si>
  <si>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</si>
  <si>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</si>
  <si>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</si>
  <si>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</si>
  <si>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</si>
  <si>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</si>
  <si>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</si>
  <si>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</si>
  <si>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</si>
  <si>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</si>
  <si>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</si>
  <si>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</si>
  <si>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</si>
  <si>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</si>
  <si>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</si>
  <si>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</si>
  <si>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</si>
  <si>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</si>
  <si>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</si>
  <si>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</si>
  <si>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</si>
  <si>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</si>
  <si>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</si>
  <si>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</si>
  <si>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</si>
  <si>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</si>
  <si>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</si>
  <si>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</si>
  <si>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</si>
  <si>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</si>
  <si>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</si>
  <si>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</si>
  <si>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</si>
  <si>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</si>
  <si>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</si>
  <si>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</si>
  <si>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</si>
  <si>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</si>
  <si>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</si>
  <si>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</si>
  <si>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</si>
  <si>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</si>
  <si>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</si>
  <si>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</si>
  <si>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</si>
  <si>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</si>
  <si>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</si>
  <si>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</si>
  <si>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</si>
  <si>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</si>
  <si>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</si>
  <si>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</si>
  <si>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</si>
  <si>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</si>
  <si>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</si>
  <si>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</si>
  <si>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</si>
  <si>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</si>
  <si>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</si>
  <si>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</si>
  <si>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</si>
  <si>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</si>
  <si>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</si>
  <si>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</si>
  <si>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</si>
  <si>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</si>
  <si>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</si>
  <si>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</si>
  <si>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</si>
  <si>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</si>
  <si>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</si>
  <si>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</si>
  <si>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</si>
  <si>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</si>
  <si>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</si>
  <si>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</si>
  <si>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</si>
  <si>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</si>
  <si>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</si>
  <si>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</si>
  <si>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</si>
  <si>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</si>
  <si>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</si>
  <si>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</si>
  <si>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</si>
  <si>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</si>
  <si>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</si>
  <si>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</si>
  <si>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</si>
  <si>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</si>
  <si>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</si>
  <si>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</si>
  <si>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</si>
  <si>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</si>
  <si>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</si>
  <si>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</si>
  <si>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</si>
  <si>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</si>
  <si>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</si>
  <si>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</si>
  <si>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</si>
  <si>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</si>
  <si>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</si>
  <si>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</si>
  <si>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</si>
  <si>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</si>
  <si>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</si>
  <si>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</si>
  <si>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</si>
  <si>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</si>
  <si>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</si>
  <si>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</si>
  <si>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</si>
  <si>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</si>
  <si>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</si>
  <si>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</si>
  <si>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</si>
  <si>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</si>
  <si>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</si>
  <si>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</si>
  <si>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</si>
  <si>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</si>
  <si>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</si>
  <si>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</si>
  <si>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</si>
  <si>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</si>
  <si>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</si>
  <si>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</si>
  <si>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</si>
  <si>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</si>
  <si>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</si>
  <si>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</si>
  <si>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</si>
  <si>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</si>
  <si>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</si>
  <si>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</si>
  <si>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Eastern Scotian Shelf</t>
  </si>
  <si>
    <t>Canada</t>
  </si>
  <si>
    <t>BOX(-63.5003249393449 42.3831207760406,-56.534812630828 45.7940675250566)</t>
  </si>
  <si>
    <t>continental shelf</t>
  </si>
  <si>
    <t>WetWeight</t>
  </si>
  <si>
    <t>; 7/3/03 10:29:07 AM; 7/3/03 11:53:12 AM; 7/3/03 2:35:47 PM; 7/3/03 3:21:53 PM; 7/3/03 3:27:14 PM</t>
  </si>
  <si>
    <t>Bundy A.(2004). Mass balance models of the eastern Scotian Shelf before and after the cod collapse and other ecosystem changes Canadian Technical Report of Fisheries and Aquatic Sciences</t>
  </si>
  <si>
    <t>Ceteaceans</t>
  </si>
  <si>
    <t>Grey Seals</t>
  </si>
  <si>
    <t>Seabirds</t>
  </si>
  <si>
    <t>Cod &amp;gt; 40 cm</t>
  </si>
  <si>
    <t>Juv Cod</t>
  </si>
  <si>
    <t>Silver hake</t>
  </si>
  <si>
    <t>Juv Silver Hake</t>
  </si>
  <si>
    <t>Haddock</t>
  </si>
  <si>
    <t>American plaice</t>
  </si>
  <si>
    <t>Halibut &amp;gt; 65 cm</t>
  </si>
  <si>
    <t>Juv Halibut</t>
  </si>
  <si>
    <t>Flounders</t>
  </si>
  <si>
    <t>Skates</t>
  </si>
  <si>
    <t>Dogfish</t>
  </si>
  <si>
    <t>Redfish</t>
  </si>
  <si>
    <t>Pollock</t>
  </si>
  <si>
    <t>Trans. Mackerel</t>
  </si>
  <si>
    <t>Dem. Piscivores</t>
  </si>
  <si>
    <t>Juv. Dem.Pisc.</t>
  </si>
  <si>
    <t>Large Demersals</t>
  </si>
  <si>
    <t>Juv LDFs</t>
  </si>
  <si>
    <t>Small Demersals</t>
  </si>
  <si>
    <t>Capelin</t>
  </si>
  <si>
    <t>Sandlance</t>
  </si>
  <si>
    <t>Trans. Pels</t>
  </si>
  <si>
    <t>Small Pelagics</t>
  </si>
  <si>
    <t>Small mesopels</t>
  </si>
  <si>
    <t>Squid</t>
  </si>
  <si>
    <t>Large Crabs</t>
  </si>
  <si>
    <t>Small Crabs</t>
  </si>
  <si>
    <t>Shrimp</t>
  </si>
  <si>
    <t>Echinoderms</t>
  </si>
  <si>
    <t>Polychaetes</t>
  </si>
  <si>
    <t>Bivalve Mollusc</t>
  </si>
  <si>
    <t>OBI</t>
  </si>
  <si>
    <t>LZP</t>
  </si>
  <si>
    <t>SZP</t>
  </si>
  <si>
    <t>Phytoplankton</t>
  </si>
  <si>
    <t>Detritus</t>
  </si>
  <si>
    <t>detritus_TerminalBenthic</t>
  </si>
  <si>
    <t>Large mobile</t>
  </si>
  <si>
    <t>Small mobile</t>
  </si>
  <si>
    <t>Silver hake fishery</t>
  </si>
  <si>
    <t>Redfish fishery</t>
  </si>
  <si>
    <t>Small  Longline</t>
  </si>
  <si>
    <t>Large Longline</t>
  </si>
  <si>
    <t>Nets</t>
  </si>
  <si>
    <t>Shrimp fishery</t>
  </si>
  <si>
    <t>Crab Fishery</t>
  </si>
  <si>
    <t>Bivalve fishery</t>
  </si>
  <si>
    <t>Squid fishery</t>
  </si>
  <si>
    <t>Seal fishery</t>
  </si>
  <si>
    <t>Import</t>
  </si>
  <si>
    <t>export</t>
  </si>
  <si>
    <t>sum</t>
  </si>
  <si>
    <t>TOTAL</t>
  </si>
  <si>
    <t>F Large mobile</t>
  </si>
  <si>
    <t>F Small mobile</t>
  </si>
  <si>
    <t>F Silver hake fishery</t>
  </si>
  <si>
    <t>F Redfish fishery</t>
  </si>
  <si>
    <t>F Small  Longline</t>
  </si>
  <si>
    <t>F Large Longline</t>
  </si>
  <si>
    <t>F Nets</t>
  </si>
  <si>
    <t>F Shrimp fishery</t>
  </si>
  <si>
    <t>F Crab Fishery</t>
  </si>
  <si>
    <t>F Bivalve fishery</t>
  </si>
  <si>
    <t>F Squid fishery</t>
  </si>
  <si>
    <t>F Seal fishery</t>
  </si>
  <si>
    <t>&lt;&lt;--ba was 0.08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</si>
</sst>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69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63FF00"/>
        <bgColor indexed="64"/>
      </patternFill>
    </fill>
    <fill>
      <patternFill patternType="solid">
        <fgColor rgb="FFE9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210089"/>
        <bgColor indexed="64"/>
      </patternFill>
    </fill>
    <fill>
      <patternFill patternType="solid">
        <fgColor rgb="FFA88BD3"/>
        <bgColor indexed="64"/>
      </patternFill>
    </fill>
    <fill>
      <patternFill patternType="solid">
        <fgColor rgb="FF1531AD"/>
        <bgColor indexed="64"/>
      </patternFill>
    </fill>
    <fill>
      <patternFill patternType="solid">
        <fgColor rgb="FF745B26"/>
        <bgColor indexed="64"/>
      </patternFill>
    </fill>
    <fill>
      <patternFill patternType="solid">
        <fgColor rgb="FFB4ED87"/>
        <bgColor indexed="64"/>
      </patternFill>
    </fill>
    <fill>
      <patternFill patternType="solid">
        <fgColor rgb="FF17C166"/>
        <bgColor indexed="64"/>
      </patternFill>
    </fill>
    <fill>
      <patternFill patternType="solid">
        <fgColor rgb="FF767E35"/>
        <bgColor indexed="64"/>
      </patternFill>
    </fill>
    <fill>
      <patternFill patternType="solid">
        <fgColor rgb="FF541896"/>
        <bgColor indexed="64"/>
      </patternFill>
    </fill>
    <fill>
      <patternFill patternType="solid">
        <fgColor rgb="FF2BED19"/>
        <bgColor indexed="64"/>
      </patternFill>
    </fill>
    <fill>
      <patternFill patternType="solid">
        <fgColor rgb="FF7146DE"/>
        <bgColor indexed="64"/>
      </patternFill>
    </fill>
    <fill>
      <patternFill patternType="solid">
        <fgColor rgb="FFBF46AC"/>
        <bgColor indexed="64"/>
      </patternFill>
    </fill>
    <fill>
      <patternFill patternType="solid">
        <fgColor rgb="FFD9FF00"/>
        <bgColor indexed="64"/>
      </patternFill>
    </fill>
    <fill>
      <patternFill patternType="solid">
        <fgColor rgb="FFA3FF00"/>
        <bgColor indexed="64"/>
      </patternFill>
    </fill>
    <fill>
      <patternFill patternType="solid">
        <fgColor rgb="FF7A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93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E3FF00"/>
        <bgColor indexed="64"/>
      </patternFill>
    </fill>
    <fill>
      <patternFill patternType="solid">
        <fgColor rgb="FFD5FF00"/>
        <bgColor indexed="64"/>
      </patternFill>
    </fill>
    <fill>
      <patternFill patternType="solid">
        <fgColor rgb="FFF4FF00"/>
        <bgColor indexed="64"/>
      </patternFill>
    </fill>
    <fill>
      <patternFill patternType="solid">
        <fgColor rgb="FF5AFF00"/>
        <bgColor indexed="64"/>
      </patternFill>
    </fill>
    <fill>
      <patternFill patternType="solid">
        <fgColor rgb="FF5B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6C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FA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64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5EFF00"/>
        <bgColor indexed="64"/>
      </patternFill>
    </fill>
    <fill>
      <patternFill patternType="solid">
        <fgColor rgb="FF6AFF00"/>
        <bgColor indexed="64"/>
      </patternFill>
    </fill>
    <fill>
      <patternFill patternType="solid">
        <fgColor rgb="FFB0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75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BC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62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6D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FFF0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59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90FF00"/>
        <bgColor indexed="64"/>
      </patternFill>
    </fill>
    <fill>
      <patternFill patternType="solid">
        <fgColor rgb="FF6F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C9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CEFF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8BFF00"/>
        <bgColor indexed="64"/>
      </patternFill>
    </fill>
    <fill>
      <patternFill patternType="solid">
        <fgColor rgb="FFF2FF00"/>
        <bgColor indexed="64"/>
      </patternFill>
    </fill>
    <fill>
      <patternFill patternType="solid">
        <fgColor rgb="FFAFFF00"/>
        <bgColor indexed="64"/>
      </patternFill>
    </fill>
    <fill>
      <patternFill patternType="solid">
        <fgColor rgb="FFFF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92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5" borderId="2" xfId="0" applyFont="1" applyFill="1" applyBorder="1" applyAlignment="1">
      <alignment horizontal="center"/>
    </xf>
    <xf numFmtId="0" fontId="1" fillId="25" borderId="4" xfId="0" applyFont="1" applyFill="1" applyBorder="1" applyAlignment="1">
      <alignment horizontal="center"/>
    </xf>
    <xf numFmtId="0" fontId="1" fillId="25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5" borderId="5" xfId="0" applyFill="1" applyBorder="1"/>
    <xf numFmtId="0" fontId="0" fillId="25" borderId="6" xfId="0" applyFill="1" applyBorder="1"/>
    <xf numFmtId="0" fontId="0" fillId="25" borderId="7" xfId="0" applyFill="1" applyBorder="1"/>
    <xf numFmtId="0" fontId="0" fillId="25" borderId="8" xfId="0" applyFill="1" applyBorder="1"/>
    <xf numFmtId="0" fontId="0" fillId="25" borderId="9" xfId="0" applyFill="1" applyBorder="1"/>
    <xf numFmtId="0" fontId="0" fillId="25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1" fillId="0" borderId="0" xfId="0" applyFont="1" applyAlignment="1">
      <alignment horizontal="center"/>
    </xf>
    <xf numFmtId="0" fontId="0" fillId="38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40" borderId="0" xfId="0" applyFill="1"/>
    <xf numFmtId="0" fontId="0" fillId="41" borderId="0" xfId="0" applyFill="1"/>
    <xf numFmtId="0" fontId="0" fillId="0" borderId="0" xfId="0" applyFont="1" applyFill="1" applyAlignment="1">
      <alignment horizontal="center"/>
    </xf>
    <xf numFmtId="0" fontId="0" fillId="42" borderId="0" xfId="0" applyFill="1"/>
    <xf numFmtId="0" fontId="0" fillId="43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9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9" borderId="3" xfId="0" applyNumberFormat="1" applyFont="1" applyFill="1" applyBorder="1"/>
    <xf numFmtId="0" fontId="0" fillId="39" borderId="2" xfId="0" applyFont="1" applyFill="1" applyBorder="1"/>
    <xf numFmtId="0" fontId="0" fillId="39" borderId="3" xfId="0" applyFont="1" applyFill="1" applyBorder="1"/>
    <xf numFmtId="0" fontId="0" fillId="39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3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5" borderId="2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5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8" borderId="0" xfId="0" applyFill="1"/>
    <xf numFmtId="0" fontId="0" fillId="49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8" fillId="168" borderId="0" xfId="0" applyFont="1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61.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2" t="s">
        <v>164</v>
      </c>
    </row>
    <row r="6" spans="2:4" ht="14" thickBot="1" x14ac:dyDescent="0.2">
      <c r="B6" s="46" t="s">
        <v>141</v>
      </c>
    </row>
    <row r="7" spans="2:4" x14ac:dyDescent="0.15">
      <c r="B7" s="62" t="s">
        <v>143</v>
      </c>
    </row>
    <row r="8" spans="2:4" x14ac:dyDescent="0.15">
      <c r="B8" s="62" t="s">
        <v>142</v>
      </c>
    </row>
    <row r="9" spans="2:4" x14ac:dyDescent="0.15">
      <c r="B9" s="62" t="s">
        <v>144</v>
      </c>
    </row>
    <row r="10" spans="2:4" x14ac:dyDescent="0.15">
      <c r="B10" s="62" t="s">
        <v>147</v>
      </c>
    </row>
    <row r="11" spans="2:4" x14ac:dyDescent="0.15">
      <c r="B11" s="62" t="s">
        <v>151</v>
      </c>
    </row>
    <row r="12" spans="2:4" x14ac:dyDescent="0.15">
      <c r="B12" s="62" t="s">
        <v>153</v>
      </c>
    </row>
    <row r="13" spans="2:4" x14ac:dyDescent="0.15">
      <c r="B13" s="62" t="s">
        <v>165</v>
      </c>
    </row>
    <row r="15" spans="2:4" ht="14" thickBot="1" x14ac:dyDescent="0.2"/>
    <row r="16" spans="2:4" ht="14" thickBot="1" x14ac:dyDescent="0.2">
      <c r="B16" s="47" t="s">
        <v>137</v>
      </c>
      <c r="C16" s="48"/>
      <c r="D16" s="30">
        <v>41373</v>
      </c>
    </row>
    <row r="17" spans="2:4" x14ac:dyDescent="0.15">
      <c r="B17" s="49" t="s">
        <v>58</v>
      </c>
      <c r="C17" s="33">
        <v>0</v>
      </c>
    </row>
    <row r="18" spans="2:4" x14ac:dyDescent="0.15">
      <c r="B18" s="49" t="s">
        <v>59</v>
      </c>
      <c r="C18" s="33">
        <v>1</v>
      </c>
    </row>
    <row r="19" spans="2:4" x14ac:dyDescent="0.15">
      <c r="B19" s="49" t="s">
        <v>60</v>
      </c>
      <c r="C19" s="33">
        <v>2</v>
      </c>
    </row>
    <row r="20" spans="2:4" ht="14" thickBot="1" x14ac:dyDescent="0.2">
      <c r="B20" s="50" t="s">
        <v>44</v>
      </c>
      <c r="C20" s="34">
        <v>3</v>
      </c>
    </row>
    <row r="21" spans="2:4" x14ac:dyDescent="0.15">
      <c r="B21" s="51" t="s">
        <v>140</v>
      </c>
    </row>
    <row r="22" spans="2:4" ht="14" thickBot="1" x14ac:dyDescent="0.2"/>
    <row r="23" spans="2:4" ht="14" thickBot="1" x14ac:dyDescent="0.2">
      <c r="B23" s="47" t="s">
        <v>65</v>
      </c>
      <c r="C23" s="48"/>
      <c r="D23" s="30" t="s">
        <v>148</v>
      </c>
    </row>
    <row r="24" spans="2:4" x14ac:dyDescent="0.15">
      <c r="B24" s="53" t="s">
        <v>38</v>
      </c>
      <c r="C24" s="31">
        <v>1</v>
      </c>
    </row>
    <row r="25" spans="2:4" x14ac:dyDescent="0.15">
      <c r="B25" s="49" t="s">
        <v>40</v>
      </c>
      <c r="C25" s="33">
        <v>1.1000000000000001</v>
      </c>
    </row>
    <row r="26" spans="2:4" x14ac:dyDescent="0.15">
      <c r="B26" s="49" t="s">
        <v>41</v>
      </c>
      <c r="C26" s="33">
        <v>1.2</v>
      </c>
    </row>
    <row r="27" spans="2:4" x14ac:dyDescent="0.15">
      <c r="B27" s="49"/>
      <c r="C27" s="33"/>
    </row>
    <row r="28" spans="2:4" x14ac:dyDescent="0.15">
      <c r="B28" s="49" t="s">
        <v>42</v>
      </c>
      <c r="C28" s="33">
        <v>2.1</v>
      </c>
    </row>
    <row r="29" spans="2:4" x14ac:dyDescent="0.15">
      <c r="B29" s="49" t="s">
        <v>43</v>
      </c>
      <c r="C29" s="33">
        <v>2.2000000000000002</v>
      </c>
    </row>
    <row r="30" spans="2:4" x14ac:dyDescent="0.15">
      <c r="B30" s="49" t="s">
        <v>67</v>
      </c>
      <c r="C30" s="33">
        <v>2.2999999999999998</v>
      </c>
    </row>
    <row r="31" spans="2:4" x14ac:dyDescent="0.15">
      <c r="B31" s="49"/>
      <c r="C31" s="33"/>
    </row>
    <row r="32" spans="2:4" x14ac:dyDescent="0.15">
      <c r="B32" s="49" t="s">
        <v>62</v>
      </c>
      <c r="C32" s="33">
        <v>3.11</v>
      </c>
    </row>
    <row r="33" spans="2:3" x14ac:dyDescent="0.15">
      <c r="B33" s="49" t="s">
        <v>61</v>
      </c>
      <c r="C33" s="33">
        <v>3.12</v>
      </c>
    </row>
    <row r="34" spans="2:3" x14ac:dyDescent="0.15">
      <c r="B34" s="49" t="s">
        <v>68</v>
      </c>
      <c r="C34" s="33">
        <v>3.13</v>
      </c>
    </row>
    <row r="35" spans="2:3" x14ac:dyDescent="0.15">
      <c r="B35" s="49"/>
      <c r="C35" s="33"/>
    </row>
    <row r="36" spans="2:3" x14ac:dyDescent="0.15">
      <c r="B36" s="49" t="s">
        <v>66</v>
      </c>
      <c r="C36" s="33">
        <v>3.21</v>
      </c>
    </row>
    <row r="37" spans="2:3" x14ac:dyDescent="0.15">
      <c r="B37" s="49" t="s">
        <v>63</v>
      </c>
      <c r="C37" s="33">
        <v>3.22</v>
      </c>
    </row>
    <row r="38" spans="2:3" x14ac:dyDescent="0.15">
      <c r="B38" s="49" t="s">
        <v>69</v>
      </c>
      <c r="C38" s="33">
        <v>3.23</v>
      </c>
    </row>
    <row r="39" spans="2:3" x14ac:dyDescent="0.15">
      <c r="B39" s="49"/>
      <c r="C39" s="33"/>
    </row>
    <row r="40" spans="2:3" x14ac:dyDescent="0.15">
      <c r="B40" s="49" t="s">
        <v>64</v>
      </c>
      <c r="C40" s="33">
        <v>8</v>
      </c>
    </row>
    <row r="41" spans="2:3" x14ac:dyDescent="0.15">
      <c r="B41" s="49"/>
      <c r="C41" s="33"/>
    </row>
    <row r="42" spans="2:3" x14ac:dyDescent="0.15">
      <c r="B42" s="49" t="s">
        <v>71</v>
      </c>
      <c r="C42" s="33">
        <v>4.0999999999999996</v>
      </c>
    </row>
    <row r="43" spans="2:3" x14ac:dyDescent="0.15">
      <c r="B43" s="49" t="s">
        <v>70</v>
      </c>
      <c r="C43" s="33">
        <v>4.2</v>
      </c>
    </row>
    <row r="44" spans="2:3" x14ac:dyDescent="0.15">
      <c r="B44" s="49" t="s">
        <v>72</v>
      </c>
      <c r="C44" s="33">
        <v>4.3</v>
      </c>
    </row>
    <row r="45" spans="2:3" x14ac:dyDescent="0.15">
      <c r="B45" s="32"/>
      <c r="C45" s="33"/>
    </row>
    <row r="46" spans="2:3" x14ac:dyDescent="0.15">
      <c r="B46" s="49" t="s">
        <v>138</v>
      </c>
      <c r="C46" s="33">
        <v>6.1</v>
      </c>
    </row>
    <row r="47" spans="2:3" x14ac:dyDescent="0.15">
      <c r="B47" s="49" t="s">
        <v>45</v>
      </c>
      <c r="C47" s="33">
        <v>6.2</v>
      </c>
    </row>
    <row r="48" spans="2:3" x14ac:dyDescent="0.15">
      <c r="B48" s="49"/>
      <c r="C48" s="33"/>
    </row>
    <row r="49" spans="2:4" x14ac:dyDescent="0.15">
      <c r="B49" s="49" t="s">
        <v>44</v>
      </c>
      <c r="C49" s="33">
        <v>5</v>
      </c>
    </row>
    <row r="50" spans="2:4" x14ac:dyDescent="0.15">
      <c r="B50" s="49"/>
      <c r="C50" s="33"/>
    </row>
    <row r="51" spans="2:4" ht="14" thickBot="1" x14ac:dyDescent="0.2">
      <c r="B51" s="50" t="s">
        <v>73</v>
      </c>
      <c r="C51" s="34">
        <v>7</v>
      </c>
    </row>
    <row r="53" spans="2:4" x14ac:dyDescent="0.15">
      <c r="B53" s="178" t="s">
        <v>171</v>
      </c>
      <c r="C53" s="112">
        <v>40</v>
      </c>
      <c r="D53" s="112"/>
    </row>
    <row r="54" spans="2:4" x14ac:dyDescent="0.15">
      <c r="B54" s="178" t="s">
        <v>172</v>
      </c>
      <c r="C54" s="178" t="s">
        <v>185</v>
      </c>
      <c r="D54" s="112"/>
    </row>
    <row r="55" spans="2:4" x14ac:dyDescent="0.15">
      <c r="B55" s="178" t="s">
        <v>173</v>
      </c>
      <c r="C55" s="178" t="s">
        <v>186</v>
      </c>
      <c r="D55" s="112"/>
    </row>
    <row r="56" spans="2:4" x14ac:dyDescent="0.15">
      <c r="B56" s="178" t="s">
        <v>174</v>
      </c>
      <c r="C56" s="112">
        <v>100000</v>
      </c>
      <c r="D56" s="112"/>
    </row>
    <row r="57" spans="2:4" x14ac:dyDescent="0.15">
      <c r="B57" s="178" t="s">
        <v>175</v>
      </c>
      <c r="C57" s="178" t="s">
        <v>187</v>
      </c>
      <c r="D57" s="112"/>
    </row>
    <row r="58" spans="2:4" x14ac:dyDescent="0.15">
      <c r="B58" s="178" t="s">
        <v>176</v>
      </c>
      <c r="C58" s="178" t="s">
        <v>188</v>
      </c>
      <c r="D58" s="112"/>
    </row>
    <row r="59" spans="2:4" x14ac:dyDescent="0.15">
      <c r="B59" s="178" t="s">
        <v>177</v>
      </c>
      <c r="C59" s="178" t="s">
        <v>189</v>
      </c>
      <c r="D59" s="112"/>
    </row>
    <row r="60" spans="2:4" x14ac:dyDescent="0.15">
      <c r="B60" s="178" t="s">
        <v>178</v>
      </c>
      <c r="C60" s="178" t="s">
        <v>190</v>
      </c>
      <c r="D60" s="112"/>
    </row>
    <row r="61" spans="2:4" x14ac:dyDescent="0.15">
      <c r="B61" s="178" t="s">
        <v>179</v>
      </c>
      <c r="C61" s="112">
        <v>39</v>
      </c>
      <c r="D61" s="112"/>
    </row>
    <row r="62" spans="2:4" x14ac:dyDescent="0.15">
      <c r="B62" s="178" t="s">
        <v>180</v>
      </c>
      <c r="C62" s="112">
        <v>12</v>
      </c>
      <c r="D62" s="112"/>
    </row>
    <row r="63" spans="2:4" x14ac:dyDescent="0.15">
      <c r="B63" s="178" t="s">
        <v>181</v>
      </c>
      <c r="C63" s="112">
        <v>1980</v>
      </c>
      <c r="D63" s="112"/>
    </row>
    <row r="64" spans="2:4" x14ac:dyDescent="0.15">
      <c r="B64" s="178" t="s">
        <v>182</v>
      </c>
      <c r="C64" s="112">
        <v>6</v>
      </c>
      <c r="D64" s="112"/>
    </row>
    <row r="65" spans="2:4" x14ac:dyDescent="0.15">
      <c r="B65" s="178" t="s">
        <v>183</v>
      </c>
      <c r="C65" s="178" t="s">
        <v>191</v>
      </c>
      <c r="D65" s="112"/>
    </row>
    <row r="66" spans="2:4" x14ac:dyDescent="0.15">
      <c r="B66" s="178" t="s">
        <v>184</v>
      </c>
      <c r="D66" s="112"/>
    </row>
    <row r="67" spans="2:4" x14ac:dyDescent="0.15">
      <c r="B67" s="112"/>
      <c r="C67" s="112"/>
      <c r="D67" s="112"/>
    </row>
    <row r="68" spans="2:4" x14ac:dyDescent="0.15">
      <c r="B68" s="112"/>
      <c r="C68" s="112"/>
      <c r="D68" s="112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P7" sqref="P7"/>
    </sheetView>
  </sheetViews>
  <sheetFormatPr baseColWidth="10" defaultColWidth="8.83203125" defaultRowHeight="15" customHeight="1" x14ac:dyDescent="0.15"/>
  <cols>
    <col min="1" max="1" width="22.5" style="84" customWidth="1"/>
    <col min="2" max="3" width="3.33203125" style="84" customWidth="1"/>
    <col min="4" max="4" width="14.33203125" style="84" customWidth="1"/>
    <col min="5" max="5" width="21.6640625" style="84" bestFit="1" customWidth="1"/>
    <col min="6" max="6" width="2.33203125" style="84" bestFit="1" customWidth="1"/>
    <col min="7" max="7" width="11.83203125" style="84" bestFit="1" customWidth="1"/>
    <col min="8" max="8" width="11.83203125" style="84" customWidth="1"/>
    <col min="9" max="9" width="10.83203125" style="84" customWidth="1"/>
    <col min="10" max="10" width="12.83203125" style="84" customWidth="1"/>
    <col min="11" max="11" width="13.83203125" style="84" customWidth="1"/>
    <col min="12" max="12" width="13.5" style="84" customWidth="1"/>
    <col min="13" max="14" width="3.83203125" style="84" customWidth="1"/>
    <col min="16" max="25" width="8.83203125" style="84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4"/>
  </cols>
  <sheetData>
    <row r="1" spans="1:46" s="101" customFormat="1" ht="15" customHeight="1" x14ac:dyDescent="0.15">
      <c r="A1" s="80" t="s">
        <v>18</v>
      </c>
      <c r="C1" s="81" t="s">
        <v>8</v>
      </c>
      <c r="D1" s="80" t="s">
        <v>23</v>
      </c>
      <c r="E1" s="80" t="s">
        <v>0</v>
      </c>
      <c r="F1" s="80" t="s">
        <v>7</v>
      </c>
      <c r="G1" s="82" t="s">
        <v>13</v>
      </c>
      <c r="H1" s="80" t="s">
        <v>1</v>
      </c>
      <c r="I1" s="80" t="s">
        <v>2</v>
      </c>
      <c r="J1" s="80" t="s">
        <v>14</v>
      </c>
      <c r="K1" s="80" t="s">
        <v>3</v>
      </c>
      <c r="L1" s="80" t="s">
        <v>4</v>
      </c>
      <c r="M1" s="80" t="s">
        <v>5</v>
      </c>
      <c r="N1" s="80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101">
        <v>1</v>
      </c>
      <c r="D2"/>
      <c r="E2" s="179" t="s">
        <v>192</v>
      </c>
      <c r="F2" s="84">
        <v>0</v>
      </c>
      <c r="G2" s="84">
        <v>0.22950000000000001</v>
      </c>
      <c r="H2" s="84">
        <v>0.04</v>
      </c>
      <c r="I2" s="6">
        <v>10.17</v>
      </c>
      <c r="J2" s="6">
        <v>0</v>
      </c>
      <c r="K2" s="6">
        <v>3.9331363499999997E-3</v>
      </c>
      <c r="L2" s="6">
        <v>0</v>
      </c>
      <c r="M2" s="84">
        <v>0.2</v>
      </c>
      <c r="N2" s="84">
        <v>-99</v>
      </c>
    </row>
    <row r="3" spans="1:46" ht="15" customHeight="1" x14ac:dyDescent="0.15">
      <c r="A3" s="1" t="s">
        <v>9</v>
      </c>
      <c r="B3" s="4">
        <v>38</v>
      </c>
      <c r="C3" s="84">
        <v>2</v>
      </c>
      <c r="D3"/>
      <c r="E3" s="179" t="s">
        <v>193</v>
      </c>
      <c r="F3" s="84">
        <v>0</v>
      </c>
      <c r="G3" s="84">
        <v>2.5000000000000001E-2</v>
      </c>
      <c r="H3" s="84">
        <v>0.124</v>
      </c>
      <c r="I3" s="84">
        <v>11.8</v>
      </c>
      <c r="J3" s="84">
        <v>0.70967745800000004</v>
      </c>
      <c r="K3" s="84">
        <v>1.0508474E-2</v>
      </c>
      <c r="L3" s="291">
        <v>0</v>
      </c>
      <c r="M3" s="84">
        <v>0.2</v>
      </c>
      <c r="N3" s="84">
        <v>-99</v>
      </c>
      <c r="P3" s="61" t="s">
        <v>260</v>
      </c>
    </row>
    <row r="4" spans="1:46" ht="15" customHeight="1" x14ac:dyDescent="0.15">
      <c r="A4" s="1" t="s">
        <v>10</v>
      </c>
      <c r="B4" s="4">
        <v>2</v>
      </c>
      <c r="C4" s="84">
        <v>3</v>
      </c>
      <c r="D4"/>
      <c r="E4" s="179" t="s">
        <v>194</v>
      </c>
      <c r="F4" s="84">
        <v>0</v>
      </c>
      <c r="G4" s="84">
        <v>1.2E-2</v>
      </c>
      <c r="H4" s="84">
        <v>0.25</v>
      </c>
      <c r="I4" s="84">
        <v>55</v>
      </c>
      <c r="J4" s="84">
        <v>0.24436132599999999</v>
      </c>
      <c r="K4" s="84">
        <v>4.5454544000000001E-3</v>
      </c>
      <c r="L4" s="84">
        <v>0</v>
      </c>
      <c r="M4" s="84">
        <v>0.2</v>
      </c>
      <c r="N4" s="84">
        <v>-99</v>
      </c>
      <c r="V4" s="1" t="s">
        <v>29</v>
      </c>
    </row>
    <row r="5" spans="1:46" ht="15" customHeight="1" thickBot="1" x14ac:dyDescent="0.2">
      <c r="A5" s="1" t="s">
        <v>11</v>
      </c>
      <c r="B5" s="4">
        <v>12</v>
      </c>
      <c r="C5" s="84">
        <v>4</v>
      </c>
      <c r="D5"/>
      <c r="E5" s="179" t="s">
        <v>195</v>
      </c>
      <c r="F5" s="84">
        <v>0</v>
      </c>
      <c r="G5" s="84">
        <v>1.218</v>
      </c>
      <c r="H5" s="84">
        <v>0.63100000000000001</v>
      </c>
      <c r="I5" s="84">
        <v>2.1</v>
      </c>
      <c r="J5" s="84">
        <v>0.6750699</v>
      </c>
      <c r="K5" s="84">
        <v>0.30047620000000003</v>
      </c>
      <c r="L5" s="84">
        <v>0</v>
      </c>
      <c r="M5" s="84">
        <v>0.2</v>
      </c>
      <c r="N5" s="84">
        <v>-99</v>
      </c>
      <c r="P5" s="73"/>
      <c r="Q5" s="73"/>
      <c r="R5" s="73"/>
    </row>
    <row r="6" spans="1:46" ht="15" customHeight="1" thickBot="1" x14ac:dyDescent="0.2">
      <c r="B6" s="1"/>
      <c r="C6" s="84">
        <v>5</v>
      </c>
      <c r="D6"/>
      <c r="E6" s="179" t="s">
        <v>196</v>
      </c>
      <c r="F6" s="84">
        <v>0</v>
      </c>
      <c r="G6" s="84">
        <v>0.75600000000000001</v>
      </c>
      <c r="H6" s="84">
        <v>0.75</v>
      </c>
      <c r="I6" s="84">
        <v>5.0199999999999996</v>
      </c>
      <c r="J6" s="84">
        <v>0.9813151</v>
      </c>
      <c r="K6" s="84">
        <v>0.14940239999999999</v>
      </c>
      <c r="L6" s="84">
        <v>0</v>
      </c>
      <c r="M6" s="84">
        <v>0.2</v>
      </c>
      <c r="N6" s="84">
        <v>-99</v>
      </c>
      <c r="P6" s="73"/>
      <c r="Q6" s="73"/>
      <c r="R6" s="73"/>
      <c r="W6" s="36" t="s">
        <v>31</v>
      </c>
      <c r="X6" s="52">
        <f>MAX(MainOutputs!G:G)</f>
        <v>0.98131591081619263</v>
      </c>
    </row>
    <row r="7" spans="1:46" ht="15" customHeight="1" x14ac:dyDescent="0.15">
      <c r="A7" s="2" t="s">
        <v>27</v>
      </c>
      <c r="B7" s="84">
        <f ca="1">COUNTIF(OFFSET(cornerDiets,1,1,NumLiving+NumDead+1,NumLiving+NumDead),"&gt;0")+NumLiving+NumDead+1</f>
        <v>512</v>
      </c>
      <c r="C7" s="84">
        <v>6</v>
      </c>
      <c r="D7"/>
      <c r="E7" s="179" t="s">
        <v>197</v>
      </c>
      <c r="F7" s="84">
        <v>0</v>
      </c>
      <c r="G7" s="84">
        <v>0.79849999999999999</v>
      </c>
      <c r="H7" s="84">
        <v>1.153</v>
      </c>
      <c r="I7" s="84">
        <v>7.4196999999999997</v>
      </c>
      <c r="J7" s="84">
        <v>0.55788105700000001</v>
      </c>
      <c r="K7" s="84">
        <v>0.155397117</v>
      </c>
      <c r="L7" s="84">
        <v>0</v>
      </c>
      <c r="M7" s="84">
        <v>0.2</v>
      </c>
      <c r="N7" s="84">
        <v>-99</v>
      </c>
      <c r="P7" s="73"/>
      <c r="Q7" s="73"/>
      <c r="R7" s="73"/>
    </row>
    <row r="8" spans="1:46" ht="15" customHeight="1" x14ac:dyDescent="0.15">
      <c r="A8" s="2" t="s">
        <v>28</v>
      </c>
      <c r="B8" s="84">
        <f ca="1">COUNTIF(OFFSET(cornerFishing,1,2,NumLiving+NumDead,NumGears),"&gt;0")+NumDead*COUNTIF(OFFSET(cornerDiscards,1,2,NumLiving+NumDead,NumGears),"&gt;0")+NumLiving+NumDead+1</f>
        <v>173</v>
      </c>
      <c r="C8" s="84">
        <v>7</v>
      </c>
      <c r="D8"/>
      <c r="E8" s="179" t="s">
        <v>198</v>
      </c>
      <c r="F8" s="84">
        <v>0</v>
      </c>
      <c r="G8" s="84">
        <v>2.1318552500000001</v>
      </c>
      <c r="H8" s="84">
        <v>1.0169999999999999</v>
      </c>
      <c r="I8" s="84">
        <v>7.7729999999999997</v>
      </c>
      <c r="J8" s="84">
        <v>0.95</v>
      </c>
      <c r="K8" s="84">
        <v>0.13083751499999999</v>
      </c>
      <c r="L8" s="84">
        <v>0</v>
      </c>
      <c r="M8" s="84">
        <v>0.2</v>
      </c>
      <c r="N8" s="84">
        <v>-99</v>
      </c>
      <c r="P8" s="73"/>
      <c r="Q8" s="73"/>
      <c r="R8" s="73"/>
    </row>
    <row r="9" spans="1:46" ht="15" customHeight="1" x14ac:dyDescent="0.15">
      <c r="B9" s="1"/>
      <c r="C9" s="84">
        <v>8</v>
      </c>
      <c r="D9"/>
      <c r="E9" s="179" t="s">
        <v>199</v>
      </c>
      <c r="F9" s="84">
        <v>0</v>
      </c>
      <c r="G9" s="84">
        <v>0.84</v>
      </c>
      <c r="H9" s="84">
        <v>0.45</v>
      </c>
      <c r="I9" s="84">
        <v>4</v>
      </c>
      <c r="J9" s="84">
        <v>0.88589566900000005</v>
      </c>
      <c r="K9" s="84">
        <v>0.1125</v>
      </c>
      <c r="L9" s="84">
        <v>0</v>
      </c>
      <c r="M9" s="84">
        <v>0.2</v>
      </c>
      <c r="N9" s="84">
        <v>-99</v>
      </c>
      <c r="P9" s="73"/>
      <c r="Q9" s="73"/>
      <c r="R9" s="73"/>
    </row>
    <row r="10" spans="1:46" ht="15" customHeight="1" x14ac:dyDescent="0.15">
      <c r="B10" s="1"/>
      <c r="C10" s="84">
        <v>9</v>
      </c>
      <c r="D10"/>
      <c r="E10" s="179" t="s">
        <v>200</v>
      </c>
      <c r="F10" s="84">
        <v>0</v>
      </c>
      <c r="G10" s="84">
        <v>1.077</v>
      </c>
      <c r="H10" s="84">
        <v>0.25</v>
      </c>
      <c r="I10" s="84">
        <v>1.2</v>
      </c>
      <c r="J10" s="84">
        <v>0.57075310000000001</v>
      </c>
      <c r="K10" s="84">
        <v>0.20833332800000001</v>
      </c>
      <c r="L10" s="84">
        <v>-1.9962859999999999E-2</v>
      </c>
      <c r="M10" s="84">
        <v>0.2</v>
      </c>
      <c r="N10" s="84">
        <v>-99</v>
      </c>
    </row>
    <row r="11" spans="1:46" ht="15" customHeight="1" x14ac:dyDescent="0.15">
      <c r="C11" s="84">
        <v>10</v>
      </c>
      <c r="D11"/>
      <c r="E11" s="179" t="s">
        <v>201</v>
      </c>
      <c r="F11" s="84">
        <v>0</v>
      </c>
      <c r="G11" s="84">
        <v>5.3999999999999999E-2</v>
      </c>
      <c r="H11" s="84">
        <v>0.23</v>
      </c>
      <c r="I11" s="84">
        <v>1.5333333</v>
      </c>
      <c r="J11" s="84">
        <v>0.68115939999999997</v>
      </c>
      <c r="K11" s="84">
        <v>0.15</v>
      </c>
      <c r="L11" s="84">
        <v>0</v>
      </c>
      <c r="M11" s="84">
        <v>0.2</v>
      </c>
      <c r="N11" s="84">
        <v>-99</v>
      </c>
    </row>
    <row r="12" spans="1:46" ht="15" customHeight="1" x14ac:dyDescent="0.15">
      <c r="C12" s="84">
        <v>11</v>
      </c>
      <c r="D12"/>
      <c r="E12" s="179" t="s">
        <v>202</v>
      </c>
      <c r="F12" s="84">
        <v>0</v>
      </c>
      <c r="G12" s="84">
        <v>1.6E-2</v>
      </c>
      <c r="H12" s="84">
        <v>0.46</v>
      </c>
      <c r="I12" s="84">
        <v>2.75</v>
      </c>
      <c r="J12" s="84">
        <v>0.63994530000000005</v>
      </c>
      <c r="K12" s="84">
        <v>0.16727273200000001</v>
      </c>
      <c r="L12" s="84">
        <v>0</v>
      </c>
      <c r="M12" s="84">
        <v>0.2</v>
      </c>
      <c r="N12" s="84">
        <v>-99</v>
      </c>
    </row>
    <row r="13" spans="1:46" ht="15" customHeight="1" x14ac:dyDescent="0.15">
      <c r="C13" s="84">
        <v>12</v>
      </c>
      <c r="D13"/>
      <c r="E13" s="179" t="s">
        <v>203</v>
      </c>
      <c r="F13" s="84">
        <v>0</v>
      </c>
      <c r="G13" s="84">
        <v>0.65200000000000002</v>
      </c>
      <c r="H13" s="84">
        <v>0.34100000000000003</v>
      </c>
      <c r="I13" s="84">
        <v>2.7</v>
      </c>
      <c r="J13" s="84">
        <v>0.58416650000000003</v>
      </c>
      <c r="K13" s="84">
        <v>0.1262963</v>
      </c>
      <c r="L13" s="84">
        <v>-1.380368E-2</v>
      </c>
      <c r="M13" s="84">
        <v>0.2</v>
      </c>
      <c r="N13" s="84">
        <v>-99</v>
      </c>
    </row>
    <row r="14" spans="1:46" ht="15" customHeight="1" x14ac:dyDescent="0.15">
      <c r="C14" s="84">
        <v>13</v>
      </c>
      <c r="D14"/>
      <c r="E14" s="179" t="s">
        <v>204</v>
      </c>
      <c r="F14" s="84">
        <v>0</v>
      </c>
      <c r="G14" s="84">
        <v>0.27400000000000002</v>
      </c>
      <c r="H14" s="84">
        <v>0.2</v>
      </c>
      <c r="I14" s="84">
        <v>1.88</v>
      </c>
      <c r="J14" s="84">
        <v>0.65514826800000003</v>
      </c>
      <c r="K14" s="84">
        <v>0.106382981</v>
      </c>
      <c r="L14" s="84">
        <v>-5.4744526699999997E-2</v>
      </c>
      <c r="M14" s="84">
        <v>0.2</v>
      </c>
      <c r="N14" s="84">
        <v>-99</v>
      </c>
    </row>
    <row r="15" spans="1:46" ht="15" customHeight="1" x14ac:dyDescent="0.15">
      <c r="C15" s="84">
        <v>14</v>
      </c>
      <c r="D15"/>
      <c r="E15" s="179" t="s">
        <v>205</v>
      </c>
      <c r="F15" s="84">
        <v>0</v>
      </c>
      <c r="G15" s="84">
        <v>0.24099999999999999</v>
      </c>
      <c r="H15" s="84">
        <v>0.23</v>
      </c>
      <c r="I15" s="84">
        <v>2</v>
      </c>
      <c r="J15" s="84">
        <v>0.13482211499999999</v>
      </c>
      <c r="K15" s="84">
        <v>0.115</v>
      </c>
      <c r="L15" s="84">
        <v>0</v>
      </c>
      <c r="M15" s="84">
        <v>0.2</v>
      </c>
      <c r="N15" s="84">
        <v>-99</v>
      </c>
    </row>
    <row r="16" spans="1:46" ht="15" customHeight="1" x14ac:dyDescent="0.15">
      <c r="C16" s="84">
        <v>15</v>
      </c>
      <c r="D16"/>
      <c r="E16" s="179" t="s">
        <v>206</v>
      </c>
      <c r="F16" s="84">
        <v>0</v>
      </c>
      <c r="G16" s="84">
        <v>3.4</v>
      </c>
      <c r="H16" s="84">
        <v>0.24199999999999999</v>
      </c>
      <c r="I16" s="84">
        <v>2</v>
      </c>
      <c r="J16" s="84">
        <v>0.39357694999999998</v>
      </c>
      <c r="K16" s="84">
        <v>0.121</v>
      </c>
      <c r="L16" s="84">
        <v>0</v>
      </c>
      <c r="M16" s="84">
        <v>0.2</v>
      </c>
      <c r="N16" s="84">
        <v>-99</v>
      </c>
    </row>
    <row r="17" spans="1:22" ht="15" customHeight="1" x14ac:dyDescent="0.15">
      <c r="C17" s="84">
        <v>16</v>
      </c>
      <c r="D17"/>
      <c r="E17" s="179" t="s">
        <v>207</v>
      </c>
      <c r="F17" s="84">
        <v>0</v>
      </c>
      <c r="G17" s="84">
        <v>0.97599999999999998</v>
      </c>
      <c r="H17" s="84">
        <v>0.35</v>
      </c>
      <c r="I17" s="84">
        <v>3</v>
      </c>
      <c r="J17" s="84">
        <v>0.93712490000000004</v>
      </c>
      <c r="K17" s="84">
        <v>0.116666667</v>
      </c>
      <c r="L17" s="84">
        <v>0</v>
      </c>
      <c r="M17" s="84">
        <v>0.2</v>
      </c>
      <c r="N17" s="84">
        <v>-99</v>
      </c>
      <c r="V17" s="1" t="s">
        <v>30</v>
      </c>
    </row>
    <row r="18" spans="1:22" ht="15" customHeight="1" x14ac:dyDescent="0.15">
      <c r="C18" s="84">
        <v>17</v>
      </c>
      <c r="D18"/>
      <c r="E18" s="179" t="s">
        <v>208</v>
      </c>
      <c r="F18" s="84">
        <v>0</v>
      </c>
      <c r="G18" s="84">
        <v>0.59199999999999997</v>
      </c>
      <c r="H18" s="84">
        <v>0.28999999999999998</v>
      </c>
      <c r="I18" s="84">
        <v>2.2000000000000002</v>
      </c>
      <c r="J18" s="84">
        <v>0.85189300000000001</v>
      </c>
      <c r="K18" s="84">
        <v>0.13181817500000001</v>
      </c>
      <c r="L18" s="84">
        <v>0</v>
      </c>
      <c r="M18" s="84">
        <v>0.2</v>
      </c>
      <c r="N18" s="84">
        <v>-99</v>
      </c>
      <c r="V18" s="1"/>
    </row>
    <row r="19" spans="1:22" ht="15" customHeight="1" x14ac:dyDescent="0.15">
      <c r="C19" s="84">
        <v>18</v>
      </c>
      <c r="D19"/>
      <c r="E19" s="179" t="s">
        <v>209</v>
      </c>
      <c r="F19" s="84">
        <v>0</v>
      </c>
      <c r="G19" s="84">
        <v>0.19900000000000001</v>
      </c>
      <c r="H19" s="84">
        <v>0.30099999999999999</v>
      </c>
      <c r="I19" s="84">
        <v>3</v>
      </c>
      <c r="J19" s="84">
        <v>0.553552449</v>
      </c>
      <c r="K19" s="84">
        <v>0.100333333</v>
      </c>
      <c r="L19" s="84">
        <v>0</v>
      </c>
      <c r="M19" s="84">
        <v>0.2</v>
      </c>
      <c r="N19" s="84">
        <v>-99</v>
      </c>
    </row>
    <row r="20" spans="1:22" ht="15" customHeight="1" thickBot="1" x14ac:dyDescent="0.2">
      <c r="C20" s="84">
        <v>19</v>
      </c>
      <c r="D20"/>
      <c r="E20" s="179" t="s">
        <v>210</v>
      </c>
      <c r="F20" s="84">
        <v>0</v>
      </c>
      <c r="G20" s="84">
        <v>0.11255875999999999</v>
      </c>
      <c r="H20" s="84">
        <v>0.78000003100000004</v>
      </c>
      <c r="I20" s="84">
        <v>5.2</v>
      </c>
      <c r="J20" s="84">
        <v>0.95</v>
      </c>
      <c r="K20" s="84">
        <v>0.15</v>
      </c>
      <c r="L20" s="84">
        <v>0</v>
      </c>
      <c r="M20" s="84">
        <v>0.2</v>
      </c>
      <c r="N20" s="84">
        <v>0</v>
      </c>
    </row>
    <row r="21" spans="1:22" ht="15" customHeight="1" thickBot="1" x14ac:dyDescent="0.2">
      <c r="A21" s="47" t="s">
        <v>137</v>
      </c>
      <c r="B21" s="102"/>
      <c r="C21" s="84">
        <v>20</v>
      </c>
      <c r="D21"/>
      <c r="E21" s="179" t="s">
        <v>211</v>
      </c>
      <c r="F21" s="84">
        <v>0</v>
      </c>
      <c r="G21" s="84">
        <v>0.10381934</v>
      </c>
      <c r="H21" s="84">
        <v>0.34399999999999997</v>
      </c>
      <c r="I21" s="84">
        <v>2.2933332900000001</v>
      </c>
      <c r="J21" s="84">
        <v>0.95</v>
      </c>
      <c r="K21" s="84">
        <v>0.15</v>
      </c>
      <c r="L21" s="84">
        <v>0</v>
      </c>
      <c r="M21" s="84">
        <v>0.2</v>
      </c>
      <c r="N21" s="84">
        <v>-99</v>
      </c>
    </row>
    <row r="22" spans="1:22" ht="15" customHeight="1" x14ac:dyDescent="0.15">
      <c r="A22" s="103" t="s">
        <v>58</v>
      </c>
      <c r="B22" s="104">
        <v>0</v>
      </c>
      <c r="C22" s="84">
        <v>21</v>
      </c>
      <c r="D22"/>
      <c r="E22" s="179" t="s">
        <v>212</v>
      </c>
      <c r="F22" s="84">
        <v>0</v>
      </c>
      <c r="G22" s="84">
        <v>0.223431081</v>
      </c>
      <c r="H22" s="84">
        <v>0.7</v>
      </c>
      <c r="I22" s="84">
        <v>4.6666665099999998</v>
      </c>
      <c r="J22" s="84">
        <v>0.95</v>
      </c>
      <c r="K22" s="84">
        <v>0.15</v>
      </c>
      <c r="L22" s="84">
        <v>0</v>
      </c>
      <c r="M22" s="84">
        <v>0.2</v>
      </c>
      <c r="N22" s="84">
        <v>0</v>
      </c>
    </row>
    <row r="23" spans="1:22" ht="15" customHeight="1" x14ac:dyDescent="0.15">
      <c r="A23" s="103" t="s">
        <v>59</v>
      </c>
      <c r="B23" s="104">
        <v>1</v>
      </c>
      <c r="C23" s="84">
        <v>22</v>
      </c>
      <c r="D23"/>
      <c r="E23" s="179" t="s">
        <v>213</v>
      </c>
      <c r="F23" s="84">
        <v>0</v>
      </c>
      <c r="G23" s="84">
        <v>0.25997057600000001</v>
      </c>
      <c r="H23" s="84">
        <v>0.65</v>
      </c>
      <c r="I23" s="84">
        <v>4.2699999999999996</v>
      </c>
      <c r="J23" s="84">
        <v>0.95</v>
      </c>
      <c r="K23" s="84">
        <v>0.15222482400000001</v>
      </c>
      <c r="L23" s="84">
        <v>0</v>
      </c>
      <c r="M23" s="84">
        <v>0.2</v>
      </c>
      <c r="N23" s="84">
        <v>-99</v>
      </c>
    </row>
    <row r="24" spans="1:22" ht="15" customHeight="1" x14ac:dyDescent="0.15">
      <c r="A24" s="103" t="s">
        <v>60</v>
      </c>
      <c r="B24" s="104">
        <v>2</v>
      </c>
      <c r="C24" s="84">
        <v>23</v>
      </c>
      <c r="D24"/>
      <c r="E24" s="179" t="s">
        <v>214</v>
      </c>
      <c r="F24" s="84">
        <v>0</v>
      </c>
      <c r="G24" s="84">
        <v>2.8000000000000001E-2</v>
      </c>
      <c r="H24" s="84">
        <v>0.7</v>
      </c>
      <c r="I24" s="84">
        <v>4.6666665099999998</v>
      </c>
      <c r="J24" s="84">
        <v>0.91685265299999996</v>
      </c>
      <c r="K24" s="84">
        <v>0.15</v>
      </c>
      <c r="L24" s="84">
        <v>0</v>
      </c>
      <c r="M24" s="84">
        <v>0.2</v>
      </c>
      <c r="N24" s="84">
        <v>0</v>
      </c>
    </row>
    <row r="25" spans="1:22" ht="15" customHeight="1" thickBot="1" x14ac:dyDescent="0.2">
      <c r="A25" s="105" t="s">
        <v>44</v>
      </c>
      <c r="B25" s="106">
        <v>3</v>
      </c>
      <c r="C25" s="84">
        <v>24</v>
      </c>
      <c r="D25"/>
      <c r="E25" s="179" t="s">
        <v>215</v>
      </c>
      <c r="F25" s="84">
        <v>0</v>
      </c>
      <c r="G25" s="84">
        <v>1.1039396500000001</v>
      </c>
      <c r="H25" s="84">
        <v>1.1499999999999999</v>
      </c>
      <c r="I25" s="84">
        <v>7.6666660000000002</v>
      </c>
      <c r="J25" s="84">
        <v>0.95</v>
      </c>
      <c r="K25" s="84">
        <v>0.15</v>
      </c>
      <c r="L25" s="84">
        <v>0</v>
      </c>
      <c r="M25" s="84">
        <v>0.2</v>
      </c>
      <c r="N25" s="84">
        <v>-99</v>
      </c>
    </row>
    <row r="26" spans="1:22" ht="15" customHeight="1" x14ac:dyDescent="0.15">
      <c r="A26" s="107" t="s">
        <v>140</v>
      </c>
      <c r="C26" s="84">
        <v>25</v>
      </c>
      <c r="D26"/>
      <c r="E26" s="179" t="s">
        <v>216</v>
      </c>
      <c r="F26" s="84">
        <v>0</v>
      </c>
      <c r="G26" s="84">
        <v>4.6009000000000001E-2</v>
      </c>
      <c r="H26" s="84">
        <v>0.24</v>
      </c>
      <c r="I26" s="84">
        <v>2</v>
      </c>
      <c r="J26" s="84">
        <v>0.389612079</v>
      </c>
      <c r="K26" s="84">
        <v>0.12</v>
      </c>
      <c r="L26" s="84">
        <v>0</v>
      </c>
      <c r="M26" s="84">
        <v>0.2</v>
      </c>
      <c r="N26" s="84">
        <v>0</v>
      </c>
    </row>
    <row r="27" spans="1:22" ht="15" customHeight="1" x14ac:dyDescent="0.15">
      <c r="C27" s="84">
        <v>26</v>
      </c>
      <c r="D27"/>
      <c r="E27" s="179" t="s">
        <v>217</v>
      </c>
      <c r="F27" s="84">
        <v>0</v>
      </c>
      <c r="G27" s="84">
        <v>1.21539438</v>
      </c>
      <c r="H27" s="84">
        <v>0.51</v>
      </c>
      <c r="I27" s="84">
        <v>4.59</v>
      </c>
      <c r="J27" s="84">
        <v>0.95</v>
      </c>
      <c r="K27" s="84">
        <v>0.111111104</v>
      </c>
      <c r="L27" s="84">
        <v>0</v>
      </c>
      <c r="M27" s="84">
        <v>0.2</v>
      </c>
      <c r="N27" s="84">
        <v>-99</v>
      </c>
    </row>
    <row r="28" spans="1:22" ht="15" customHeight="1" x14ac:dyDescent="0.15">
      <c r="C28" s="84">
        <v>27</v>
      </c>
      <c r="D28"/>
      <c r="E28" s="179" t="s">
        <v>218</v>
      </c>
      <c r="F28" s="84">
        <v>0</v>
      </c>
      <c r="G28" s="84">
        <v>0.63034310000000005</v>
      </c>
      <c r="H28" s="84">
        <v>1.4</v>
      </c>
      <c r="I28" s="84">
        <v>5</v>
      </c>
      <c r="J28" s="84">
        <v>0.95</v>
      </c>
      <c r="K28" s="84">
        <v>0.28000000000000003</v>
      </c>
      <c r="L28" s="84">
        <v>0</v>
      </c>
      <c r="M28" s="84">
        <v>0.2</v>
      </c>
      <c r="N28" s="84">
        <v>-99</v>
      </c>
    </row>
    <row r="29" spans="1:22" customFormat="1" ht="15" customHeight="1" x14ac:dyDescent="0.15">
      <c r="C29" s="84">
        <v>28</v>
      </c>
      <c r="E29" s="179" t="s">
        <v>219</v>
      </c>
      <c r="F29" s="84">
        <v>0</v>
      </c>
      <c r="G29" s="84">
        <v>0.65562960000000003</v>
      </c>
      <c r="H29" s="84">
        <v>0.66749999999999998</v>
      </c>
      <c r="I29" s="84">
        <v>4.45</v>
      </c>
      <c r="J29" s="84">
        <v>0.95</v>
      </c>
      <c r="K29" s="84">
        <v>0.15</v>
      </c>
      <c r="L29" s="84">
        <v>0</v>
      </c>
      <c r="M29" s="84">
        <v>0.2</v>
      </c>
      <c r="N29" s="84">
        <v>-99</v>
      </c>
    </row>
    <row r="30" spans="1:22" customFormat="1" ht="15" customHeight="1" x14ac:dyDescent="0.15">
      <c r="C30" s="84">
        <v>29</v>
      </c>
      <c r="E30" s="179" t="s">
        <v>220</v>
      </c>
      <c r="F30" s="84">
        <v>0</v>
      </c>
      <c r="G30" s="84">
        <v>0.15</v>
      </c>
      <c r="H30" s="84">
        <v>0.16</v>
      </c>
      <c r="I30" s="84">
        <v>1.2</v>
      </c>
      <c r="J30" s="84">
        <v>0.51140075900000004</v>
      </c>
      <c r="K30" s="84">
        <v>0.133333325</v>
      </c>
      <c r="L30" s="84">
        <v>0</v>
      </c>
      <c r="M30" s="84">
        <v>0.2</v>
      </c>
      <c r="N30" s="84">
        <v>-99</v>
      </c>
    </row>
    <row r="31" spans="1:22" customFormat="1" ht="15" customHeight="1" x14ac:dyDescent="0.15">
      <c r="C31" s="84">
        <v>30</v>
      </c>
      <c r="E31" s="179" t="s">
        <v>221</v>
      </c>
      <c r="F31" s="84">
        <v>0</v>
      </c>
      <c r="G31" s="84">
        <v>1.6868537699999999</v>
      </c>
      <c r="H31" s="84">
        <v>0.3</v>
      </c>
      <c r="I31" s="84">
        <v>1.5</v>
      </c>
      <c r="J31" s="84">
        <v>0.95</v>
      </c>
      <c r="K31" s="84">
        <v>0.2</v>
      </c>
      <c r="L31" s="84">
        <v>0</v>
      </c>
      <c r="M31" s="84">
        <v>0.2</v>
      </c>
      <c r="N31" s="84">
        <v>-99</v>
      </c>
    </row>
    <row r="32" spans="1:22" customFormat="1" ht="15" customHeight="1" x14ac:dyDescent="0.15">
      <c r="C32" s="84">
        <v>31</v>
      </c>
      <c r="E32" s="179" t="s">
        <v>222</v>
      </c>
      <c r="F32" s="84">
        <v>0</v>
      </c>
      <c r="G32" s="84">
        <v>2.7667229999999998</v>
      </c>
      <c r="H32" s="84">
        <v>1.7</v>
      </c>
      <c r="I32" s="84">
        <v>11.3</v>
      </c>
      <c r="J32" s="84">
        <v>0.95</v>
      </c>
      <c r="K32" s="84">
        <v>0.15044248099999999</v>
      </c>
      <c r="L32" s="84">
        <v>0</v>
      </c>
      <c r="M32" s="84">
        <v>0.2</v>
      </c>
      <c r="N32" s="84">
        <v>-99</v>
      </c>
    </row>
    <row r="33" spans="3:14" customFormat="1" ht="15" customHeight="1" x14ac:dyDescent="0.15">
      <c r="C33" s="84">
        <v>32</v>
      </c>
      <c r="E33" s="179" t="s">
        <v>223</v>
      </c>
      <c r="F33" s="84">
        <v>0</v>
      </c>
      <c r="G33" s="84">
        <v>63.7</v>
      </c>
      <c r="H33" s="84">
        <v>0.6</v>
      </c>
      <c r="I33" s="84">
        <v>6.7</v>
      </c>
      <c r="J33" s="84">
        <v>8.8314829999999997E-2</v>
      </c>
      <c r="K33" s="84">
        <v>8.9552246000000002E-2</v>
      </c>
      <c r="L33" s="84">
        <v>0</v>
      </c>
      <c r="M33" s="84">
        <v>0.2</v>
      </c>
      <c r="N33" s="84">
        <v>-99</v>
      </c>
    </row>
    <row r="34" spans="3:14" customFormat="1" ht="15" customHeight="1" x14ac:dyDescent="0.15">
      <c r="C34" s="84">
        <v>33</v>
      </c>
      <c r="E34" s="179" t="s">
        <v>224</v>
      </c>
      <c r="F34" s="84">
        <v>0</v>
      </c>
      <c r="G34" s="84">
        <v>11.9</v>
      </c>
      <c r="H34" s="84">
        <v>2</v>
      </c>
      <c r="I34" s="84">
        <v>27.8</v>
      </c>
      <c r="J34" s="84">
        <v>0.1461499</v>
      </c>
      <c r="K34" s="84">
        <v>7.1942450000000005E-2</v>
      </c>
      <c r="L34" s="84">
        <v>0</v>
      </c>
      <c r="M34" s="84">
        <v>0.2</v>
      </c>
      <c r="N34" s="84">
        <v>-99</v>
      </c>
    </row>
    <row r="35" spans="3:14" customFormat="1" ht="15" customHeight="1" x14ac:dyDescent="0.15">
      <c r="C35" s="84">
        <v>34</v>
      </c>
      <c r="E35" s="179" t="s">
        <v>225</v>
      </c>
      <c r="F35" s="84">
        <v>0</v>
      </c>
      <c r="G35" s="84">
        <v>57.4</v>
      </c>
      <c r="H35" s="84">
        <v>0.7</v>
      </c>
      <c r="I35" s="84">
        <v>7.7777770000000004</v>
      </c>
      <c r="J35" s="84">
        <v>2.0356997799999998E-2</v>
      </c>
      <c r="K35" s="84">
        <v>0.09</v>
      </c>
      <c r="L35" s="84">
        <v>0</v>
      </c>
      <c r="M35" s="84">
        <v>0.2</v>
      </c>
      <c r="N35" s="84">
        <v>-99</v>
      </c>
    </row>
    <row r="36" spans="3:14" customFormat="1" ht="15" customHeight="1" x14ac:dyDescent="0.15">
      <c r="C36" s="84">
        <v>35</v>
      </c>
      <c r="E36" s="179" t="s">
        <v>226</v>
      </c>
      <c r="F36" s="84">
        <v>0</v>
      </c>
      <c r="G36" s="84">
        <v>4.9000000000000004</v>
      </c>
      <c r="H36" s="84">
        <v>2.5</v>
      </c>
      <c r="I36" s="84">
        <v>12.5</v>
      </c>
      <c r="J36" s="84">
        <v>0.43348639999999999</v>
      </c>
      <c r="K36" s="84">
        <v>0.2</v>
      </c>
      <c r="L36" s="84">
        <v>0</v>
      </c>
      <c r="M36" s="84">
        <v>0.2</v>
      </c>
      <c r="N36" s="84">
        <v>-99</v>
      </c>
    </row>
    <row r="37" spans="3:14" customFormat="1" ht="15" customHeight="1" x14ac:dyDescent="0.15">
      <c r="C37" s="84">
        <v>36</v>
      </c>
      <c r="E37" s="179" t="s">
        <v>227</v>
      </c>
      <c r="F37" s="84">
        <v>0</v>
      </c>
      <c r="G37" s="84">
        <v>16.130617099999998</v>
      </c>
      <c r="H37" s="84">
        <v>3.04</v>
      </c>
      <c r="I37" s="84">
        <v>19.5</v>
      </c>
      <c r="J37" s="84">
        <v>0.95</v>
      </c>
      <c r="K37" s="84">
        <v>0.155897439</v>
      </c>
      <c r="L37" s="84">
        <v>0</v>
      </c>
      <c r="M37" s="84">
        <v>0.2</v>
      </c>
      <c r="N37" s="84">
        <v>-99</v>
      </c>
    </row>
    <row r="38" spans="3:14" customFormat="1" ht="15" customHeight="1" x14ac:dyDescent="0.15">
      <c r="C38" s="84">
        <v>37</v>
      </c>
      <c r="E38" s="179" t="s">
        <v>228</v>
      </c>
      <c r="F38" s="84">
        <v>0</v>
      </c>
      <c r="G38" s="84">
        <v>34</v>
      </c>
      <c r="H38" s="84">
        <v>8.4</v>
      </c>
      <c r="I38" s="84">
        <v>27.999998099999999</v>
      </c>
      <c r="J38" s="84">
        <v>0.53912400000000005</v>
      </c>
      <c r="K38" s="84">
        <v>0.3</v>
      </c>
      <c r="L38" s="84">
        <v>0</v>
      </c>
      <c r="M38" s="84">
        <v>0.2</v>
      </c>
      <c r="N38" s="84">
        <v>-99</v>
      </c>
    </row>
    <row r="39" spans="3:14" customFormat="1" ht="15" customHeight="1" x14ac:dyDescent="0.15">
      <c r="C39" s="84">
        <v>38</v>
      </c>
      <c r="E39" s="179" t="s">
        <v>229</v>
      </c>
      <c r="F39" s="84">
        <v>1</v>
      </c>
      <c r="G39" s="84">
        <v>34.384</v>
      </c>
      <c r="H39" s="84">
        <v>80.730999999999995</v>
      </c>
      <c r="I39" s="84">
        <v>0</v>
      </c>
      <c r="J39" s="84">
        <v>0.46625709999999998</v>
      </c>
      <c r="K39" s="84">
        <v>0</v>
      </c>
      <c r="L39" s="84">
        <v>0</v>
      </c>
      <c r="M39" s="84">
        <v>0</v>
      </c>
      <c r="N39" s="84">
        <v>-99</v>
      </c>
    </row>
    <row r="40" spans="3:14" customFormat="1" ht="15" customHeight="1" x14ac:dyDescent="0.15">
      <c r="C40" s="84">
        <v>39</v>
      </c>
      <c r="E40" s="179" t="s">
        <v>230</v>
      </c>
      <c r="F40" s="84">
        <v>2</v>
      </c>
      <c r="G40" s="84">
        <v>187</v>
      </c>
      <c r="H40" s="84">
        <v>0</v>
      </c>
      <c r="I40" s="84">
        <v>0</v>
      </c>
      <c r="J40" s="84">
        <v>0.49647945199999999</v>
      </c>
      <c r="K40" s="84">
        <v>0</v>
      </c>
      <c r="L40" s="84">
        <v>-4.8128339999999999E-2</v>
      </c>
      <c r="M40" s="84">
        <v>0</v>
      </c>
      <c r="N40" s="84">
        <v>0</v>
      </c>
    </row>
    <row r="41" spans="3:14" customFormat="1" ht="15" customHeight="1" x14ac:dyDescent="0.15">
      <c r="C41" s="84">
        <v>40</v>
      </c>
      <c r="E41" s="179" t="s">
        <v>231</v>
      </c>
      <c r="F41" s="84">
        <v>2</v>
      </c>
      <c r="G41" s="84">
        <v>5</v>
      </c>
      <c r="H41" s="84">
        <v>0</v>
      </c>
      <c r="I41" s="84">
        <v>0</v>
      </c>
      <c r="J41" s="84">
        <v>0</v>
      </c>
      <c r="K41" s="84">
        <v>0</v>
      </c>
      <c r="L41" s="84">
        <v>0</v>
      </c>
      <c r="M41" s="84">
        <v>0</v>
      </c>
      <c r="N41" s="84">
        <v>0</v>
      </c>
    </row>
    <row r="42" spans="3:14" customFormat="1" ht="15" customHeight="1" x14ac:dyDescent="0.15">
      <c r="C42" s="84">
        <v>41</v>
      </c>
      <c r="E42" s="179" t="s">
        <v>232</v>
      </c>
      <c r="F42" s="84">
        <v>3</v>
      </c>
      <c r="G42" s="84">
        <v>0</v>
      </c>
      <c r="H42" s="84">
        <v>0</v>
      </c>
      <c r="I42" s="84">
        <v>0</v>
      </c>
      <c r="J42" s="84">
        <v>0</v>
      </c>
      <c r="K42" s="84">
        <v>0</v>
      </c>
      <c r="L42" s="84">
        <v>0</v>
      </c>
      <c r="M42" s="84">
        <v>0</v>
      </c>
      <c r="N42" s="84">
        <v>0</v>
      </c>
    </row>
    <row r="43" spans="3:14" customFormat="1" ht="15" customHeight="1" x14ac:dyDescent="0.15">
      <c r="C43" s="84">
        <v>42</v>
      </c>
      <c r="E43" s="179" t="s">
        <v>233</v>
      </c>
      <c r="F43" s="84">
        <v>3</v>
      </c>
      <c r="G43" s="84">
        <v>0</v>
      </c>
      <c r="H43" s="84">
        <v>0</v>
      </c>
      <c r="I43" s="84">
        <v>0</v>
      </c>
      <c r="J43" s="84">
        <v>0</v>
      </c>
      <c r="K43" s="84">
        <v>0</v>
      </c>
      <c r="L43" s="84">
        <v>0</v>
      </c>
      <c r="M43" s="84">
        <v>0</v>
      </c>
      <c r="N43" s="84">
        <v>0</v>
      </c>
    </row>
    <row r="44" spans="3:14" customFormat="1" ht="15" customHeight="1" x14ac:dyDescent="0.15">
      <c r="C44" s="84">
        <v>43</v>
      </c>
      <c r="E44" s="179" t="s">
        <v>234</v>
      </c>
      <c r="F44" s="84">
        <v>3</v>
      </c>
      <c r="G44" s="84">
        <v>0</v>
      </c>
      <c r="H44" s="84">
        <v>0</v>
      </c>
      <c r="I44" s="84">
        <v>0</v>
      </c>
      <c r="J44" s="84">
        <v>0</v>
      </c>
      <c r="K44" s="84">
        <v>0</v>
      </c>
      <c r="L44" s="84">
        <v>0</v>
      </c>
      <c r="M44" s="84">
        <v>0</v>
      </c>
      <c r="N44" s="84">
        <v>0</v>
      </c>
    </row>
    <row r="45" spans="3:14" customFormat="1" ht="15" customHeight="1" x14ac:dyDescent="0.15">
      <c r="C45" s="84">
        <v>44</v>
      </c>
      <c r="E45" s="179" t="s">
        <v>235</v>
      </c>
      <c r="F45" s="84">
        <v>3</v>
      </c>
      <c r="G45" s="84">
        <v>0</v>
      </c>
      <c r="H45" s="84">
        <v>0</v>
      </c>
      <c r="I45" s="84">
        <v>0</v>
      </c>
      <c r="J45" s="84">
        <v>0</v>
      </c>
      <c r="K45" s="84">
        <v>0</v>
      </c>
      <c r="L45" s="84">
        <v>0</v>
      </c>
      <c r="M45" s="84">
        <v>0</v>
      </c>
      <c r="N45" s="84">
        <v>0</v>
      </c>
    </row>
    <row r="46" spans="3:14" customFormat="1" ht="15" customHeight="1" x14ac:dyDescent="0.15">
      <c r="C46" s="84">
        <v>45</v>
      </c>
      <c r="E46" s="179" t="s">
        <v>236</v>
      </c>
      <c r="F46" s="84">
        <v>3</v>
      </c>
      <c r="G46" s="84">
        <v>0</v>
      </c>
      <c r="H46" s="84">
        <v>0</v>
      </c>
      <c r="I46" s="84">
        <v>0</v>
      </c>
      <c r="J46" s="84">
        <v>0</v>
      </c>
      <c r="K46" s="84">
        <v>0</v>
      </c>
      <c r="L46" s="84">
        <v>0</v>
      </c>
      <c r="M46" s="84">
        <v>0</v>
      </c>
      <c r="N46" s="84">
        <v>0</v>
      </c>
    </row>
    <row r="47" spans="3:14" customFormat="1" ht="15" customHeight="1" x14ac:dyDescent="0.15">
      <c r="C47" s="84">
        <v>46</v>
      </c>
      <c r="E47" s="179" t="s">
        <v>237</v>
      </c>
      <c r="F47" s="84">
        <v>3</v>
      </c>
      <c r="G47" s="84">
        <v>0</v>
      </c>
      <c r="H47" s="84">
        <v>0</v>
      </c>
      <c r="I47" s="84">
        <v>0</v>
      </c>
      <c r="J47" s="84">
        <v>0</v>
      </c>
      <c r="K47" s="84">
        <v>0</v>
      </c>
      <c r="L47" s="84">
        <v>0</v>
      </c>
      <c r="M47" s="84">
        <v>0</v>
      </c>
      <c r="N47" s="84">
        <v>0</v>
      </c>
    </row>
    <row r="48" spans="3:14" customFormat="1" ht="15" customHeight="1" x14ac:dyDescent="0.15">
      <c r="C48" s="84">
        <v>47</v>
      </c>
      <c r="E48" s="179" t="s">
        <v>238</v>
      </c>
      <c r="F48" s="84">
        <v>3</v>
      </c>
      <c r="G48" s="84">
        <v>0</v>
      </c>
      <c r="H48" s="84">
        <v>0</v>
      </c>
      <c r="I48" s="84">
        <v>0</v>
      </c>
      <c r="J48" s="84">
        <v>0</v>
      </c>
      <c r="K48" s="84">
        <v>0</v>
      </c>
      <c r="L48" s="84">
        <v>0</v>
      </c>
      <c r="M48" s="84">
        <v>0</v>
      </c>
      <c r="N48" s="84">
        <v>0</v>
      </c>
    </row>
    <row r="49" spans="3:14" customFormat="1" ht="15" customHeight="1" x14ac:dyDescent="0.15">
      <c r="C49" s="84">
        <v>48</v>
      </c>
      <c r="E49" s="179" t="s">
        <v>239</v>
      </c>
      <c r="F49" s="84">
        <v>3</v>
      </c>
      <c r="G49" s="84">
        <v>0</v>
      </c>
      <c r="H49" s="84">
        <v>0</v>
      </c>
      <c r="I49" s="84">
        <v>0</v>
      </c>
      <c r="J49" s="84">
        <v>0</v>
      </c>
      <c r="K49" s="84">
        <v>0</v>
      </c>
      <c r="L49" s="84">
        <v>0</v>
      </c>
      <c r="M49" s="84">
        <v>0</v>
      </c>
      <c r="N49" s="84">
        <v>0</v>
      </c>
    </row>
    <row r="50" spans="3:14" customFormat="1" ht="15" customHeight="1" x14ac:dyDescent="0.15">
      <c r="C50" s="84">
        <v>49</v>
      </c>
      <c r="E50" s="179" t="s">
        <v>240</v>
      </c>
      <c r="F50" s="84">
        <v>3</v>
      </c>
      <c r="G50" s="84">
        <v>0</v>
      </c>
      <c r="H50" s="84">
        <v>0</v>
      </c>
      <c r="I50" s="84">
        <v>0</v>
      </c>
      <c r="J50" s="84">
        <v>0</v>
      </c>
      <c r="K50" s="84">
        <v>0</v>
      </c>
      <c r="L50" s="84">
        <v>0</v>
      </c>
      <c r="M50" s="84">
        <v>0</v>
      </c>
      <c r="N50" s="84">
        <v>0</v>
      </c>
    </row>
    <row r="51" spans="3:14" customFormat="1" ht="15" customHeight="1" x14ac:dyDescent="0.15">
      <c r="C51" s="84">
        <v>50</v>
      </c>
      <c r="E51" s="179" t="s">
        <v>241</v>
      </c>
      <c r="F51" s="84">
        <v>3</v>
      </c>
      <c r="G51" s="84">
        <v>0</v>
      </c>
      <c r="H51" s="84">
        <v>0</v>
      </c>
      <c r="I51" s="84">
        <v>0</v>
      </c>
      <c r="J51" s="84">
        <v>0</v>
      </c>
      <c r="K51" s="84">
        <v>0</v>
      </c>
      <c r="L51" s="84">
        <v>0</v>
      </c>
      <c r="M51" s="84">
        <v>0</v>
      </c>
      <c r="N51" s="84">
        <v>0</v>
      </c>
    </row>
    <row r="52" spans="3:14" customFormat="1" ht="15" customHeight="1" x14ac:dyDescent="0.15">
      <c r="C52" s="84">
        <v>51</v>
      </c>
      <c r="E52" s="179" t="s">
        <v>242</v>
      </c>
      <c r="F52" s="84">
        <v>3</v>
      </c>
      <c r="G52" s="84">
        <v>0</v>
      </c>
      <c r="H52" s="84">
        <v>0</v>
      </c>
      <c r="I52" s="84">
        <v>0</v>
      </c>
      <c r="J52" s="84">
        <v>0</v>
      </c>
      <c r="K52" s="84">
        <v>0</v>
      </c>
      <c r="L52" s="84">
        <v>0</v>
      </c>
      <c r="M52" s="84">
        <v>0</v>
      </c>
      <c r="N52" s="84">
        <v>0</v>
      </c>
    </row>
    <row r="53" spans="3:14" customFormat="1" ht="15" customHeight="1" x14ac:dyDescent="0.15">
      <c r="C53" s="84">
        <v>52</v>
      </c>
      <c r="E53" s="179" t="s">
        <v>243</v>
      </c>
      <c r="F53" s="84">
        <v>3</v>
      </c>
      <c r="G53" s="84">
        <v>0</v>
      </c>
      <c r="H53" s="84">
        <v>0</v>
      </c>
      <c r="I53" s="84">
        <v>0</v>
      </c>
      <c r="J53" s="84">
        <v>0</v>
      </c>
      <c r="K53" s="84">
        <v>0</v>
      </c>
      <c r="L53" s="84">
        <v>0</v>
      </c>
      <c r="M53" s="84">
        <v>0</v>
      </c>
      <c r="N53" s="84">
        <v>0</v>
      </c>
    </row>
    <row r="54" spans="3:14" customFormat="1" ht="15" customHeight="1" x14ac:dyDescent="0.15"/>
    <row r="55" spans="3:14" customFormat="1" ht="15" customHeight="1" x14ac:dyDescent="0.15"/>
    <row r="56" spans="3:14" customFormat="1" ht="15" customHeight="1" x14ac:dyDescent="0.15"/>
    <row r="57" spans="3:14" customFormat="1" ht="15" customHeight="1" x14ac:dyDescent="0.15"/>
    <row r="58" spans="3:14" customFormat="1" ht="15" customHeight="1" x14ac:dyDescent="0.15"/>
    <row r="59" spans="3:14" customFormat="1" ht="15" customHeight="1" x14ac:dyDescent="0.15"/>
    <row r="60" spans="3:14" customFormat="1" ht="15" customHeight="1" x14ac:dyDescent="0.15"/>
    <row r="61" spans="3:14" customFormat="1" ht="15" customHeight="1" x14ac:dyDescent="0.15"/>
    <row r="62" spans="3:14" customFormat="1" ht="15" customHeight="1" x14ac:dyDescent="0.15"/>
    <row r="63" spans="3:14" customFormat="1" ht="15" customHeight="1" x14ac:dyDescent="0.15"/>
    <row r="64" spans="3:1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O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45" bestFit="1" customWidth="1"/>
    <col min="2" max="2" width="5.83203125" style="145" bestFit="1" customWidth="1"/>
    <col min="3" max="3" width="13.83203125" style="145" bestFit="1" customWidth="1"/>
    <col min="4" max="5" width="14.83203125" style="145" bestFit="1" customWidth="1"/>
    <col min="6" max="6" width="15.83203125" style="145" bestFit="1" customWidth="1"/>
    <col min="7" max="7" width="8.83203125" style="145" bestFit="1" customWidth="1"/>
    <col min="8" max="9" width="14.83203125" style="145" bestFit="1" customWidth="1"/>
    <col min="10" max="12" width="8.83203125" style="145" bestFit="1" customWidth="1"/>
    <col min="13" max="14" width="14.83203125" style="145" bestFit="1" customWidth="1"/>
    <col min="15" max="16" width="5.83203125" style="145" bestFit="1" customWidth="1"/>
    <col min="17" max="17" width="15.83203125" style="145" bestFit="1" customWidth="1"/>
    <col min="18" max="18" width="5.83203125" style="145" bestFit="1" customWidth="1"/>
    <col min="19" max="19" width="14.83203125" style="145" bestFit="1" customWidth="1"/>
    <col min="20" max="20" width="15.83203125" style="145" bestFit="1" customWidth="1"/>
    <col min="21" max="23" width="14.83203125" style="145" bestFit="1" customWidth="1"/>
    <col min="24" max="24" width="5.83203125" style="145" bestFit="1" customWidth="1"/>
    <col min="25" max="26" width="14.83203125" style="145" bestFit="1" customWidth="1"/>
    <col min="27" max="28" width="5.83203125" style="145" bestFit="1" customWidth="1"/>
    <col min="29" max="29" width="14.83203125" style="145" bestFit="1" customWidth="1"/>
    <col min="30" max="30" width="14.83203125" style="145" customWidth="1"/>
    <col min="31" max="31" width="13.83203125" style="145" customWidth="1"/>
    <col min="32" max="32" width="5.83203125" style="145" customWidth="1"/>
    <col min="33" max="34" width="2.33203125" style="145" customWidth="1"/>
    <col min="35" max="35" width="3.83203125" style="145" customWidth="1"/>
    <col min="36" max="36" width="2.33203125" style="145" customWidth="1"/>
    <col min="37" max="37" width="4.83203125" style="145" customWidth="1"/>
    <col min="38" max="41" width="2.33203125" style="145" customWidth="1"/>
    <col min="42" max="16384" width="8.83203125" style="145"/>
  </cols>
  <sheetData>
    <row r="1" spans="1:41" x14ac:dyDescent="0.15">
      <c r="A1" s="144" t="s">
        <v>19</v>
      </c>
      <c r="B1" s="181" t="s">
        <v>192</v>
      </c>
      <c r="C1" s="181" t="s">
        <v>193</v>
      </c>
      <c r="D1" s="181" t="s">
        <v>194</v>
      </c>
      <c r="E1" s="181" t="s">
        <v>195</v>
      </c>
      <c r="F1" s="181" t="s">
        <v>196</v>
      </c>
      <c r="G1" s="181" t="s">
        <v>197</v>
      </c>
      <c r="H1" s="181" t="s">
        <v>198</v>
      </c>
      <c r="I1" s="181" t="s">
        <v>199</v>
      </c>
      <c r="J1" s="181" t="s">
        <v>200</v>
      </c>
      <c r="K1" s="181" t="s">
        <v>201</v>
      </c>
      <c r="L1" s="181" t="s">
        <v>202</v>
      </c>
      <c r="M1" s="181" t="s">
        <v>203</v>
      </c>
      <c r="N1" s="181" t="s">
        <v>204</v>
      </c>
      <c r="O1" s="181" t="s">
        <v>205</v>
      </c>
      <c r="P1" s="181" t="s">
        <v>206</v>
      </c>
      <c r="Q1" s="181" t="s">
        <v>207</v>
      </c>
      <c r="R1" s="181" t="s">
        <v>208</v>
      </c>
      <c r="S1" s="181" t="s">
        <v>209</v>
      </c>
      <c r="T1" s="181" t="s">
        <v>210</v>
      </c>
      <c r="U1" s="181" t="s">
        <v>211</v>
      </c>
      <c r="V1" s="181" t="s">
        <v>212</v>
      </c>
      <c r="W1" s="181" t="s">
        <v>213</v>
      </c>
      <c r="X1" s="181" t="s">
        <v>214</v>
      </c>
      <c r="Y1" s="181" t="s">
        <v>215</v>
      </c>
      <c r="Z1" s="181" t="s">
        <v>216</v>
      </c>
      <c r="AA1" s="181" t="s">
        <v>217</v>
      </c>
      <c r="AB1" s="181" t="s">
        <v>218</v>
      </c>
      <c r="AC1" s="181" t="s">
        <v>219</v>
      </c>
      <c r="AD1" s="181" t="s">
        <v>220</v>
      </c>
      <c r="AE1" s="181" t="s">
        <v>221</v>
      </c>
      <c r="AF1" s="181" t="s">
        <v>222</v>
      </c>
      <c r="AG1" s="181" t="s">
        <v>223</v>
      </c>
      <c r="AH1" s="181" t="s">
        <v>224</v>
      </c>
      <c r="AI1" s="181" t="s">
        <v>225</v>
      </c>
      <c r="AJ1" s="181" t="s">
        <v>226</v>
      </c>
      <c r="AK1" s="181" t="s">
        <v>227</v>
      </c>
      <c r="AL1" s="181" t="s">
        <v>228</v>
      </c>
      <c r="AM1" s="181" t="s">
        <v>229</v>
      </c>
      <c r="AN1" s="181" t="s">
        <v>230</v>
      </c>
      <c r="AO1" s="181" t="s">
        <v>231</v>
      </c>
    </row>
    <row r="2" spans="1:41" customFormat="1" x14ac:dyDescent="0.15">
      <c r="A2" s="180" t="s">
        <v>192</v>
      </c>
      <c r="B2" s="145">
        <v>0</v>
      </c>
      <c r="C2" s="145">
        <v>0</v>
      </c>
      <c r="D2" s="145">
        <v>0</v>
      </c>
      <c r="E2" s="145">
        <v>0</v>
      </c>
      <c r="F2" s="145">
        <v>0</v>
      </c>
      <c r="G2" s="145">
        <v>0</v>
      </c>
      <c r="H2" s="145">
        <v>0</v>
      </c>
      <c r="I2" s="145">
        <v>0</v>
      </c>
      <c r="J2" s="145">
        <v>0</v>
      </c>
      <c r="K2" s="145">
        <v>0</v>
      </c>
      <c r="L2" s="145">
        <v>0</v>
      </c>
      <c r="M2" s="145">
        <v>0</v>
      </c>
      <c r="N2" s="145">
        <v>0</v>
      </c>
      <c r="O2" s="145">
        <v>0</v>
      </c>
      <c r="P2" s="145">
        <v>0</v>
      </c>
      <c r="Q2" s="145">
        <v>0</v>
      </c>
      <c r="R2" s="145">
        <v>0</v>
      </c>
      <c r="S2" s="145">
        <v>0</v>
      </c>
      <c r="T2" s="145">
        <v>0</v>
      </c>
      <c r="U2" s="145">
        <v>0</v>
      </c>
      <c r="V2" s="145">
        <v>0</v>
      </c>
      <c r="W2" s="145">
        <v>0</v>
      </c>
      <c r="X2" s="145">
        <v>0</v>
      </c>
      <c r="Y2" s="145">
        <v>0</v>
      </c>
      <c r="Z2" s="145">
        <v>0</v>
      </c>
      <c r="AA2" s="145">
        <v>0</v>
      </c>
      <c r="AB2" s="145">
        <v>0</v>
      </c>
      <c r="AC2" s="145">
        <v>0</v>
      </c>
      <c r="AD2" s="145">
        <v>0</v>
      </c>
      <c r="AE2" s="145">
        <v>0</v>
      </c>
      <c r="AF2" s="145">
        <v>0</v>
      </c>
      <c r="AG2" s="145">
        <v>0</v>
      </c>
      <c r="AH2" s="145">
        <v>0</v>
      </c>
      <c r="AI2" s="145">
        <v>0</v>
      </c>
      <c r="AJ2" s="145">
        <v>0</v>
      </c>
      <c r="AK2" s="145">
        <v>0</v>
      </c>
      <c r="AL2" s="145">
        <v>0</v>
      </c>
      <c r="AM2" s="145">
        <v>0</v>
      </c>
      <c r="AN2" s="145">
        <v>0</v>
      </c>
      <c r="AO2" s="145">
        <v>0</v>
      </c>
    </row>
    <row r="3" spans="1:41" customFormat="1" x14ac:dyDescent="0.15">
      <c r="A3" s="180" t="s">
        <v>193</v>
      </c>
      <c r="B3" s="145">
        <v>0</v>
      </c>
      <c r="C3" s="145">
        <v>0</v>
      </c>
      <c r="D3" s="145">
        <v>0</v>
      </c>
      <c r="E3" s="145">
        <v>0</v>
      </c>
      <c r="F3" s="145">
        <v>0</v>
      </c>
      <c r="G3" s="145">
        <v>0</v>
      </c>
      <c r="H3" s="145">
        <v>0</v>
      </c>
      <c r="I3" s="145">
        <v>0</v>
      </c>
      <c r="J3" s="145">
        <v>0</v>
      </c>
      <c r="K3" s="145">
        <v>0</v>
      </c>
      <c r="L3" s="145">
        <v>0</v>
      </c>
      <c r="M3" s="145">
        <v>0</v>
      </c>
      <c r="N3" s="145">
        <v>0</v>
      </c>
      <c r="O3" s="145">
        <v>0</v>
      </c>
      <c r="P3" s="145">
        <v>0</v>
      </c>
      <c r="Q3" s="145">
        <v>0</v>
      </c>
      <c r="R3" s="145">
        <v>0</v>
      </c>
      <c r="S3" s="145">
        <v>0</v>
      </c>
      <c r="T3" s="145">
        <v>0</v>
      </c>
      <c r="U3" s="145">
        <v>0</v>
      </c>
      <c r="V3" s="145">
        <v>0</v>
      </c>
      <c r="W3" s="145">
        <v>0</v>
      </c>
      <c r="X3" s="145">
        <v>0</v>
      </c>
      <c r="Y3" s="145">
        <v>0</v>
      </c>
      <c r="Z3" s="145">
        <v>0</v>
      </c>
      <c r="AA3" s="145">
        <v>0</v>
      </c>
      <c r="AB3" s="145">
        <v>0</v>
      </c>
      <c r="AC3" s="145">
        <v>0</v>
      </c>
      <c r="AD3" s="145">
        <v>0</v>
      </c>
      <c r="AE3" s="145">
        <v>0</v>
      </c>
      <c r="AF3" s="145">
        <v>0</v>
      </c>
      <c r="AG3" s="145">
        <v>0</v>
      </c>
      <c r="AH3" s="145">
        <v>0</v>
      </c>
      <c r="AI3" s="145">
        <v>0</v>
      </c>
      <c r="AJ3" s="145">
        <v>0</v>
      </c>
      <c r="AK3" s="145">
        <v>0</v>
      </c>
      <c r="AL3" s="145">
        <v>0</v>
      </c>
      <c r="AM3" s="145">
        <v>0</v>
      </c>
      <c r="AN3" s="145">
        <v>0</v>
      </c>
      <c r="AO3" s="145">
        <v>0</v>
      </c>
    </row>
    <row r="4" spans="1:41" customFormat="1" x14ac:dyDescent="0.15">
      <c r="A4" s="180" t="s">
        <v>194</v>
      </c>
      <c r="B4" s="145">
        <v>0</v>
      </c>
      <c r="C4" s="145">
        <v>0</v>
      </c>
      <c r="D4" s="145">
        <v>9.6700096700096691E-4</v>
      </c>
      <c r="E4" s="145">
        <v>0</v>
      </c>
      <c r="F4" s="145">
        <v>0</v>
      </c>
      <c r="G4" s="145">
        <v>0</v>
      </c>
      <c r="H4" s="145">
        <v>0</v>
      </c>
      <c r="I4" s="145">
        <v>0</v>
      </c>
      <c r="J4" s="145">
        <v>0</v>
      </c>
      <c r="K4" s="145">
        <v>0</v>
      </c>
      <c r="L4" s="145">
        <v>0</v>
      </c>
      <c r="M4" s="145">
        <v>0</v>
      </c>
      <c r="N4" s="145">
        <v>0</v>
      </c>
      <c r="O4" s="145">
        <v>0</v>
      </c>
      <c r="P4" s="145">
        <v>0</v>
      </c>
      <c r="Q4" s="145">
        <v>0</v>
      </c>
      <c r="R4" s="145">
        <v>0</v>
      </c>
      <c r="S4" s="145">
        <v>0</v>
      </c>
      <c r="T4" s="145">
        <v>0</v>
      </c>
      <c r="U4" s="145">
        <v>0</v>
      </c>
      <c r="V4" s="145">
        <v>0</v>
      </c>
      <c r="W4" s="145">
        <v>0</v>
      </c>
      <c r="X4" s="145">
        <v>0</v>
      </c>
      <c r="Y4" s="145">
        <v>0</v>
      </c>
      <c r="Z4" s="145">
        <v>1.0309280095876304E-3</v>
      </c>
      <c r="AA4" s="145">
        <v>0</v>
      </c>
      <c r="AB4" s="145">
        <v>0</v>
      </c>
      <c r="AC4" s="145">
        <v>0</v>
      </c>
      <c r="AD4" s="145">
        <v>0</v>
      </c>
      <c r="AE4" s="145">
        <v>0</v>
      </c>
      <c r="AF4" s="145">
        <v>0</v>
      </c>
      <c r="AG4" s="145">
        <v>0</v>
      </c>
      <c r="AH4" s="145">
        <v>0</v>
      </c>
      <c r="AI4" s="145">
        <v>0</v>
      </c>
      <c r="AJ4" s="145">
        <v>0</v>
      </c>
      <c r="AK4" s="145">
        <v>0</v>
      </c>
      <c r="AL4" s="145">
        <v>0</v>
      </c>
      <c r="AM4" s="145">
        <v>0</v>
      </c>
      <c r="AN4" s="145">
        <v>0</v>
      </c>
      <c r="AO4" s="145">
        <v>0</v>
      </c>
    </row>
    <row r="5" spans="1:41" customFormat="1" x14ac:dyDescent="0.15">
      <c r="A5" s="180" t="s">
        <v>195</v>
      </c>
      <c r="B5" s="145">
        <v>0</v>
      </c>
      <c r="C5" s="145">
        <v>1.8000018000017996E-2</v>
      </c>
      <c r="D5" s="145">
        <v>0</v>
      </c>
      <c r="E5" s="145">
        <v>0</v>
      </c>
      <c r="F5" s="145">
        <v>0</v>
      </c>
      <c r="G5" s="145">
        <v>0</v>
      </c>
      <c r="H5" s="145">
        <v>0</v>
      </c>
      <c r="I5" s="145">
        <v>0</v>
      </c>
      <c r="J5" s="145">
        <v>0</v>
      </c>
      <c r="K5" s="145">
        <v>0</v>
      </c>
      <c r="L5" s="145">
        <v>0</v>
      </c>
      <c r="M5" s="145">
        <v>0</v>
      </c>
      <c r="N5" s="145">
        <v>0</v>
      </c>
      <c r="O5" s="145">
        <v>5.0000000000000001E-3</v>
      </c>
      <c r="P5" s="145">
        <v>0</v>
      </c>
      <c r="Q5" s="145">
        <v>0</v>
      </c>
      <c r="R5" s="145">
        <v>0</v>
      </c>
      <c r="S5" s="145">
        <v>8.9989820020359972E-3</v>
      </c>
      <c r="T5" s="145">
        <v>0</v>
      </c>
      <c r="U5" s="145">
        <v>0</v>
      </c>
      <c r="V5" s="145">
        <v>0</v>
      </c>
      <c r="W5" s="145">
        <v>0</v>
      </c>
      <c r="X5" s="145">
        <v>0</v>
      </c>
      <c r="Y5" s="145">
        <v>0</v>
      </c>
      <c r="Z5" s="145">
        <v>0</v>
      </c>
      <c r="AA5" s="145">
        <v>0</v>
      </c>
      <c r="AB5" s="145">
        <v>0</v>
      </c>
      <c r="AC5" s="145">
        <v>0</v>
      </c>
      <c r="AD5" s="145">
        <v>0</v>
      </c>
      <c r="AE5" s="145">
        <v>0</v>
      </c>
      <c r="AF5" s="145">
        <v>0</v>
      </c>
      <c r="AG5" s="145">
        <v>0</v>
      </c>
      <c r="AH5" s="145">
        <v>0</v>
      </c>
      <c r="AI5" s="145">
        <v>0</v>
      </c>
      <c r="AJ5" s="145">
        <v>0</v>
      </c>
      <c r="AK5" s="145">
        <v>0</v>
      </c>
      <c r="AL5" s="145">
        <v>0</v>
      </c>
      <c r="AM5" s="145">
        <v>0</v>
      </c>
      <c r="AN5" s="145">
        <v>0</v>
      </c>
      <c r="AO5" s="145">
        <v>0</v>
      </c>
    </row>
    <row r="6" spans="1:41" customFormat="1" x14ac:dyDescent="0.15">
      <c r="A6" s="180" t="s">
        <v>196</v>
      </c>
      <c r="B6" s="145">
        <v>1.2999999999999999E-2</v>
      </c>
      <c r="C6" s="145">
        <v>0.16600016600016598</v>
      </c>
      <c r="D6" s="145">
        <v>4.7900047900047895E-3</v>
      </c>
      <c r="E6" s="145">
        <v>1.6690150211351902E-2</v>
      </c>
      <c r="F6" s="145">
        <v>5.9999308854013196E-3</v>
      </c>
      <c r="G6" s="145">
        <v>9.9900000000000032E-4</v>
      </c>
      <c r="H6" s="145">
        <v>0</v>
      </c>
      <c r="I6" s="145">
        <v>9.0420180840361675E-3</v>
      </c>
      <c r="J6" s="145">
        <v>0</v>
      </c>
      <c r="K6" s="145">
        <v>3.125E-2</v>
      </c>
      <c r="L6" s="145">
        <v>0</v>
      </c>
      <c r="M6" s="145">
        <v>0</v>
      </c>
      <c r="N6" s="145">
        <v>4.9620148860446585E-2</v>
      </c>
      <c r="O6" s="145">
        <v>2.1000000000000001E-2</v>
      </c>
      <c r="P6" s="145">
        <v>0</v>
      </c>
      <c r="Q6" s="145">
        <v>1.2620000001262001E-3</v>
      </c>
      <c r="R6" s="145">
        <v>0</v>
      </c>
      <c r="S6" s="145">
        <v>5.699588600822799E-2</v>
      </c>
      <c r="T6" s="145">
        <v>8.051576540048716E-2</v>
      </c>
      <c r="U6" s="145">
        <v>4.985004985004985E-3</v>
      </c>
      <c r="V6" s="145">
        <v>1.2171588793914206E-2</v>
      </c>
      <c r="W6" s="145">
        <v>9.9999900000100019E-6</v>
      </c>
      <c r="X6" s="145">
        <v>0</v>
      </c>
      <c r="Y6" s="145">
        <v>0</v>
      </c>
      <c r="Z6" s="145">
        <v>0</v>
      </c>
      <c r="AA6" s="145">
        <v>0</v>
      </c>
      <c r="AB6" s="145">
        <v>0</v>
      </c>
      <c r="AC6" s="145">
        <v>6.8846085443025687E-3</v>
      </c>
      <c r="AD6" s="145">
        <v>0</v>
      </c>
      <c r="AE6" s="145">
        <v>0</v>
      </c>
      <c r="AF6" s="145">
        <v>0</v>
      </c>
      <c r="AG6" s="145">
        <v>0</v>
      </c>
      <c r="AH6" s="145">
        <v>0</v>
      </c>
      <c r="AI6" s="145">
        <v>0</v>
      </c>
      <c r="AJ6" s="145">
        <v>0</v>
      </c>
      <c r="AK6" s="145">
        <v>0</v>
      </c>
      <c r="AL6" s="145">
        <v>0</v>
      </c>
      <c r="AM6" s="145">
        <v>0</v>
      </c>
      <c r="AN6" s="145">
        <v>0</v>
      </c>
      <c r="AO6" s="145">
        <v>0</v>
      </c>
    </row>
    <row r="7" spans="1:41" customFormat="1" x14ac:dyDescent="0.15">
      <c r="A7" s="180" t="s">
        <v>197</v>
      </c>
      <c r="B7" s="145">
        <v>0</v>
      </c>
      <c r="C7" s="145">
        <v>2.7000027000026995E-2</v>
      </c>
      <c r="D7" s="145">
        <v>0</v>
      </c>
      <c r="E7" s="145">
        <v>0</v>
      </c>
      <c r="F7" s="145">
        <v>0</v>
      </c>
      <c r="G7" s="145">
        <v>1.2985000000000002E-2</v>
      </c>
      <c r="H7" s="145">
        <v>0</v>
      </c>
      <c r="I7" s="145">
        <v>0</v>
      </c>
      <c r="J7" s="145">
        <v>0</v>
      </c>
      <c r="K7" s="145">
        <v>0</v>
      </c>
      <c r="L7" s="145">
        <v>0</v>
      </c>
      <c r="M7" s="145">
        <v>0</v>
      </c>
      <c r="N7" s="145">
        <v>0</v>
      </c>
      <c r="O7" s="145">
        <v>1.0999999999999999E-2</v>
      </c>
      <c r="P7" s="145">
        <v>0</v>
      </c>
      <c r="Q7" s="145">
        <v>0</v>
      </c>
      <c r="R7" s="145">
        <v>0</v>
      </c>
      <c r="S7" s="145">
        <v>1.0998978002043998E-2</v>
      </c>
      <c r="T7" s="145">
        <v>0</v>
      </c>
      <c r="U7" s="145">
        <v>0</v>
      </c>
      <c r="V7" s="145">
        <v>0</v>
      </c>
      <c r="W7" s="145">
        <v>0</v>
      </c>
      <c r="X7" s="145">
        <v>0</v>
      </c>
      <c r="Y7" s="145">
        <v>0</v>
      </c>
      <c r="Z7" s="145">
        <v>6.9072165242371128E-2</v>
      </c>
      <c r="AA7" s="145">
        <v>0</v>
      </c>
      <c r="AB7" s="145">
        <v>0</v>
      </c>
      <c r="AC7" s="145">
        <v>0</v>
      </c>
      <c r="AD7" s="145">
        <v>0</v>
      </c>
      <c r="AE7" s="145">
        <v>0</v>
      </c>
      <c r="AF7" s="145">
        <v>0</v>
      </c>
      <c r="AG7" s="145">
        <v>0</v>
      </c>
      <c r="AH7" s="145">
        <v>0</v>
      </c>
      <c r="AI7" s="145">
        <v>0</v>
      </c>
      <c r="AJ7" s="145">
        <v>0</v>
      </c>
      <c r="AK7" s="145">
        <v>0</v>
      </c>
      <c r="AL7" s="145">
        <v>0</v>
      </c>
      <c r="AM7" s="145">
        <v>0</v>
      </c>
      <c r="AN7" s="145">
        <v>0</v>
      </c>
      <c r="AO7" s="145">
        <v>0</v>
      </c>
    </row>
    <row r="8" spans="1:41" customFormat="1" x14ac:dyDescent="0.15">
      <c r="A8" s="180" t="s">
        <v>198</v>
      </c>
      <c r="B8" s="145">
        <v>8.0000000000000002E-3</v>
      </c>
      <c r="C8" s="145">
        <v>0.14000014000013999</v>
      </c>
      <c r="D8" s="145">
        <v>0</v>
      </c>
      <c r="E8" s="145">
        <v>9.8410885697971268E-2</v>
      </c>
      <c r="F8" s="145">
        <v>4.3246659173988801E-3</v>
      </c>
      <c r="G8" s="145">
        <v>7.2913000000000019E-2</v>
      </c>
      <c r="H8" s="145">
        <v>1.4499985500014499E-2</v>
      </c>
      <c r="I8" s="145">
        <v>9.0420180840361675E-3</v>
      </c>
      <c r="J8" s="145">
        <v>5.9999999999999984E-3</v>
      </c>
      <c r="K8" s="145">
        <v>6.25E-2</v>
      </c>
      <c r="L8" s="145">
        <v>3.0000000000000001E-3</v>
      </c>
      <c r="M8" s="145">
        <v>0</v>
      </c>
      <c r="N8" s="145">
        <v>4.9620148860446585E-3</v>
      </c>
      <c r="O8" s="145">
        <v>4.2999999999999997E-2</v>
      </c>
      <c r="P8" s="145">
        <v>0</v>
      </c>
      <c r="Q8" s="145">
        <v>0.10852700001085271</v>
      </c>
      <c r="R8" s="145">
        <v>0</v>
      </c>
      <c r="S8" s="145">
        <v>0.48296203407593191</v>
      </c>
      <c r="T8" s="145">
        <v>0.20100139274871209</v>
      </c>
      <c r="U8" s="145">
        <v>4.6860046860046863E-2</v>
      </c>
      <c r="V8" s="145">
        <v>0</v>
      </c>
      <c r="W8" s="145">
        <v>2.0019979980020019E-3</v>
      </c>
      <c r="X8" s="145">
        <v>0</v>
      </c>
      <c r="Y8" s="145">
        <v>0</v>
      </c>
      <c r="Z8" s="145">
        <v>1.2371134115051547E-2</v>
      </c>
      <c r="AA8" s="145">
        <v>0</v>
      </c>
      <c r="AB8" s="145">
        <v>0</v>
      </c>
      <c r="AC8" s="145">
        <v>4.7756365218856338E-2</v>
      </c>
      <c r="AD8" s="145">
        <v>0</v>
      </c>
      <c r="AE8" s="145">
        <v>0</v>
      </c>
      <c r="AF8" s="145">
        <v>0</v>
      </c>
      <c r="AG8" s="145">
        <v>0</v>
      </c>
      <c r="AH8" s="145">
        <v>0</v>
      </c>
      <c r="AI8" s="145">
        <v>0</v>
      </c>
      <c r="AJ8" s="145">
        <v>0</v>
      </c>
      <c r="AK8" s="145">
        <v>0</v>
      </c>
      <c r="AL8" s="145">
        <v>0</v>
      </c>
      <c r="AM8" s="145">
        <v>0</v>
      </c>
      <c r="AN8" s="145">
        <v>0</v>
      </c>
      <c r="AO8" s="145">
        <v>0</v>
      </c>
    </row>
    <row r="9" spans="1:41" customFormat="1" x14ac:dyDescent="0.15">
      <c r="A9" s="180" t="s">
        <v>199</v>
      </c>
      <c r="B9" s="145">
        <v>0</v>
      </c>
      <c r="C9" s="145">
        <v>9.2000092000091988E-2</v>
      </c>
      <c r="D9" s="145">
        <v>4.7900047900047895E-3</v>
      </c>
      <c r="E9" s="145">
        <v>1.2380111421002789E-2</v>
      </c>
      <c r="F9" s="145">
        <v>0</v>
      </c>
      <c r="G9" s="145">
        <v>9.9900000000000032E-4</v>
      </c>
      <c r="H9" s="145">
        <v>4.4399955600044392E-4</v>
      </c>
      <c r="I9" s="145">
        <v>9.0420180840361675E-3</v>
      </c>
      <c r="J9" s="145">
        <v>0</v>
      </c>
      <c r="K9" s="145">
        <v>9.375E-2</v>
      </c>
      <c r="L9" s="145">
        <v>5.4089999999999997E-3</v>
      </c>
      <c r="M9" s="145">
        <v>0</v>
      </c>
      <c r="N9" s="145">
        <v>0</v>
      </c>
      <c r="O9" s="145">
        <v>0</v>
      </c>
      <c r="P9" s="145">
        <v>0</v>
      </c>
      <c r="Q9" s="145">
        <v>9.8660000009865995E-3</v>
      </c>
      <c r="R9" s="145">
        <v>0</v>
      </c>
      <c r="S9" s="145">
        <v>4.1996916006167992E-2</v>
      </c>
      <c r="T9" s="145">
        <v>2.8329605446467565E-2</v>
      </c>
      <c r="U9" s="145">
        <v>2.6919026919026919E-2</v>
      </c>
      <c r="V9" s="145">
        <v>0</v>
      </c>
      <c r="W9" s="145">
        <v>0</v>
      </c>
      <c r="X9" s="145">
        <v>0</v>
      </c>
      <c r="Y9" s="145">
        <v>0</v>
      </c>
      <c r="Z9" s="145">
        <v>0</v>
      </c>
      <c r="AA9" s="145">
        <v>0</v>
      </c>
      <c r="AB9" s="145">
        <v>0</v>
      </c>
      <c r="AC9" s="145">
        <v>6.8846085443025687E-3</v>
      </c>
      <c r="AD9" s="145">
        <v>0</v>
      </c>
      <c r="AE9" s="145">
        <v>0</v>
      </c>
      <c r="AF9" s="145">
        <v>0</v>
      </c>
      <c r="AG9" s="145">
        <v>0</v>
      </c>
      <c r="AH9" s="145">
        <v>0</v>
      </c>
      <c r="AI9" s="145">
        <v>0</v>
      </c>
      <c r="AJ9" s="145">
        <v>0</v>
      </c>
      <c r="AK9" s="145">
        <v>0</v>
      </c>
      <c r="AL9" s="145">
        <v>0</v>
      </c>
      <c r="AM9" s="145">
        <v>0</v>
      </c>
      <c r="AN9" s="145">
        <v>0</v>
      </c>
      <c r="AO9" s="145">
        <v>0</v>
      </c>
    </row>
    <row r="10" spans="1:41" customFormat="1" x14ac:dyDescent="0.15">
      <c r="A10" s="180" t="s">
        <v>200</v>
      </c>
      <c r="B10" s="145">
        <v>0</v>
      </c>
      <c r="C10" s="145">
        <v>3.5000035000034999E-2</v>
      </c>
      <c r="D10" s="145">
        <v>0</v>
      </c>
      <c r="E10" s="145">
        <v>2.5000225002025016E-3</v>
      </c>
      <c r="F10" s="145">
        <v>2.1167899595693116E-4</v>
      </c>
      <c r="G10" s="145">
        <v>0</v>
      </c>
      <c r="H10" s="145">
        <v>0</v>
      </c>
      <c r="I10" s="145">
        <v>1.00500201000402E-3</v>
      </c>
      <c r="J10" s="145">
        <v>7.0999999999999991E-4</v>
      </c>
      <c r="K10" s="145">
        <v>0.13125000000000001</v>
      </c>
      <c r="L10" s="145">
        <v>1.6226999999999998E-2</v>
      </c>
      <c r="M10" s="145">
        <v>0</v>
      </c>
      <c r="N10" s="145">
        <v>0</v>
      </c>
      <c r="O10" s="145">
        <v>0.107</v>
      </c>
      <c r="P10" s="145">
        <v>0</v>
      </c>
      <c r="Q10" s="145">
        <v>0</v>
      </c>
      <c r="R10" s="145">
        <v>0</v>
      </c>
      <c r="S10" s="145">
        <v>1.8998962002075997E-2</v>
      </c>
      <c r="T10" s="145">
        <v>2.4461813512817777E-2</v>
      </c>
      <c r="U10" s="145">
        <v>4.985004985004985E-3</v>
      </c>
      <c r="V10" s="145">
        <v>2.034817638982591E-2</v>
      </c>
      <c r="W10" s="145">
        <v>0</v>
      </c>
      <c r="X10" s="145">
        <v>0</v>
      </c>
      <c r="Y10" s="145">
        <v>0</v>
      </c>
      <c r="Z10" s="145">
        <v>0</v>
      </c>
      <c r="AA10" s="145">
        <v>0</v>
      </c>
      <c r="AB10" s="145">
        <v>0</v>
      </c>
      <c r="AC10" s="145">
        <v>0</v>
      </c>
      <c r="AD10" s="145">
        <v>0</v>
      </c>
      <c r="AE10" s="145">
        <v>0</v>
      </c>
      <c r="AF10" s="145">
        <v>0</v>
      </c>
      <c r="AG10" s="145">
        <v>0</v>
      </c>
      <c r="AH10" s="145">
        <v>0</v>
      </c>
      <c r="AI10" s="145">
        <v>0</v>
      </c>
      <c r="AJ10" s="145">
        <v>0</v>
      </c>
      <c r="AK10" s="145">
        <v>0</v>
      </c>
      <c r="AL10" s="145">
        <v>0</v>
      </c>
      <c r="AM10" s="145">
        <v>0</v>
      </c>
      <c r="AN10" s="145">
        <v>0</v>
      </c>
      <c r="AO10" s="145">
        <v>0</v>
      </c>
    </row>
    <row r="11" spans="1:41" customFormat="1" x14ac:dyDescent="0.15">
      <c r="A11" s="180" t="s">
        <v>201</v>
      </c>
      <c r="B11" s="145">
        <v>0</v>
      </c>
      <c r="C11" s="145">
        <v>0</v>
      </c>
      <c r="D11" s="145">
        <v>0</v>
      </c>
      <c r="E11" s="145">
        <v>0</v>
      </c>
      <c r="F11" s="145">
        <v>0</v>
      </c>
      <c r="G11" s="145">
        <v>0</v>
      </c>
      <c r="H11" s="145">
        <v>0</v>
      </c>
      <c r="I11" s="145">
        <v>0</v>
      </c>
      <c r="J11" s="145">
        <v>0</v>
      </c>
      <c r="K11" s="145">
        <v>0</v>
      </c>
      <c r="L11" s="145">
        <v>0</v>
      </c>
      <c r="M11" s="145">
        <v>0</v>
      </c>
      <c r="N11" s="145">
        <v>0</v>
      </c>
      <c r="O11" s="145">
        <v>0</v>
      </c>
      <c r="P11" s="145">
        <v>0</v>
      </c>
      <c r="Q11" s="145">
        <v>0</v>
      </c>
      <c r="R11" s="145">
        <v>0</v>
      </c>
      <c r="S11" s="145">
        <v>0</v>
      </c>
      <c r="T11" s="145">
        <v>0</v>
      </c>
      <c r="U11" s="145">
        <v>0</v>
      </c>
      <c r="V11" s="145">
        <v>0</v>
      </c>
      <c r="W11" s="145">
        <v>0</v>
      </c>
      <c r="X11" s="145">
        <v>0</v>
      </c>
      <c r="Y11" s="145">
        <v>0</v>
      </c>
      <c r="Z11" s="145">
        <v>0</v>
      </c>
      <c r="AA11" s="145">
        <v>0</v>
      </c>
      <c r="AB11" s="145">
        <v>0</v>
      </c>
      <c r="AC11" s="145">
        <v>0</v>
      </c>
      <c r="AD11" s="145">
        <v>0</v>
      </c>
      <c r="AE11" s="145">
        <v>0</v>
      </c>
      <c r="AF11" s="145">
        <v>0</v>
      </c>
      <c r="AG11" s="145">
        <v>0</v>
      </c>
      <c r="AH11" s="145">
        <v>0</v>
      </c>
      <c r="AI11" s="145">
        <v>0</v>
      </c>
      <c r="AJ11" s="145">
        <v>0</v>
      </c>
      <c r="AK11" s="145">
        <v>0</v>
      </c>
      <c r="AL11" s="145">
        <v>0</v>
      </c>
      <c r="AM11" s="145">
        <v>0</v>
      </c>
      <c r="AN11" s="145">
        <v>0</v>
      </c>
      <c r="AO11" s="145">
        <v>0</v>
      </c>
    </row>
    <row r="12" spans="1:41" customFormat="1" x14ac:dyDescent="0.15">
      <c r="A12" s="180" t="s">
        <v>202</v>
      </c>
      <c r="B12" s="145">
        <v>0</v>
      </c>
      <c r="C12" s="145">
        <v>5.0000050000049989E-4</v>
      </c>
      <c r="D12" s="145">
        <v>0</v>
      </c>
      <c r="E12" s="145">
        <v>1.410012690114211E-3</v>
      </c>
      <c r="F12" s="145">
        <v>0</v>
      </c>
      <c r="G12" s="145">
        <v>0</v>
      </c>
      <c r="H12" s="145">
        <v>0</v>
      </c>
      <c r="I12" s="145">
        <v>0</v>
      </c>
      <c r="J12" s="145">
        <v>0</v>
      </c>
      <c r="K12" s="145">
        <v>0</v>
      </c>
      <c r="L12" s="145">
        <v>0</v>
      </c>
      <c r="M12" s="145">
        <v>0</v>
      </c>
      <c r="N12" s="145">
        <v>0</v>
      </c>
      <c r="O12" s="145">
        <v>0</v>
      </c>
      <c r="P12" s="145">
        <v>0</v>
      </c>
      <c r="Q12" s="145">
        <v>0</v>
      </c>
      <c r="R12" s="145">
        <v>0</v>
      </c>
      <c r="S12" s="145">
        <v>9.9999800000400026E-4</v>
      </c>
      <c r="T12" s="145">
        <v>0</v>
      </c>
      <c r="U12" s="145">
        <v>0</v>
      </c>
      <c r="V12" s="145">
        <v>0</v>
      </c>
      <c r="W12" s="145">
        <v>0</v>
      </c>
      <c r="X12" s="145">
        <v>0</v>
      </c>
      <c r="Y12" s="145">
        <v>0</v>
      </c>
      <c r="Z12" s="145">
        <v>0</v>
      </c>
      <c r="AA12" s="145">
        <v>0</v>
      </c>
      <c r="AB12" s="145">
        <v>0</v>
      </c>
      <c r="AC12" s="145">
        <v>0</v>
      </c>
      <c r="AD12" s="145">
        <v>0</v>
      </c>
      <c r="AE12" s="145">
        <v>0</v>
      </c>
      <c r="AF12" s="145">
        <v>0</v>
      </c>
      <c r="AG12" s="145">
        <v>0</v>
      </c>
      <c r="AH12" s="145">
        <v>0</v>
      </c>
      <c r="AI12" s="145">
        <v>0</v>
      </c>
      <c r="AJ12" s="145">
        <v>0</v>
      </c>
      <c r="AK12" s="145">
        <v>0</v>
      </c>
      <c r="AL12" s="145">
        <v>0</v>
      </c>
      <c r="AM12" s="145">
        <v>0</v>
      </c>
      <c r="AN12" s="145">
        <v>0</v>
      </c>
      <c r="AO12" s="145">
        <v>0</v>
      </c>
    </row>
    <row r="13" spans="1:41" customFormat="1" x14ac:dyDescent="0.15">
      <c r="A13" s="180" t="s">
        <v>203</v>
      </c>
      <c r="B13" s="145">
        <v>0</v>
      </c>
      <c r="C13" s="145">
        <v>2.0000020000019998E-2</v>
      </c>
      <c r="D13" s="145">
        <v>0</v>
      </c>
      <c r="E13" s="145">
        <v>5.1300461704155333E-3</v>
      </c>
      <c r="F13" s="145">
        <v>0</v>
      </c>
      <c r="G13" s="145">
        <v>0</v>
      </c>
      <c r="H13" s="145">
        <v>0</v>
      </c>
      <c r="I13" s="145">
        <v>1.00500201000402E-3</v>
      </c>
      <c r="J13" s="145">
        <v>1.0099999999999997E-4</v>
      </c>
      <c r="K13" s="145">
        <v>3.125E-2</v>
      </c>
      <c r="L13" s="145">
        <v>6.7609999999999996E-3</v>
      </c>
      <c r="M13" s="145">
        <v>0</v>
      </c>
      <c r="N13" s="145">
        <v>9.9200297600892805E-4</v>
      </c>
      <c r="O13" s="145">
        <v>4.2999999999999997E-2</v>
      </c>
      <c r="P13" s="145">
        <v>0</v>
      </c>
      <c r="Q13" s="145">
        <v>5.7000000005700006E-5</v>
      </c>
      <c r="R13" s="145">
        <v>0</v>
      </c>
      <c r="S13" s="145">
        <v>1.5998968002063997E-2</v>
      </c>
      <c r="T13" s="145">
        <v>9.0781860789802188E-2</v>
      </c>
      <c r="U13" s="145">
        <v>0</v>
      </c>
      <c r="V13" s="145">
        <v>0</v>
      </c>
      <c r="W13" s="145">
        <v>9.9999900000100019E-6</v>
      </c>
      <c r="X13" s="145">
        <v>0</v>
      </c>
      <c r="Y13" s="145">
        <v>0</v>
      </c>
      <c r="Z13" s="145">
        <v>4.1237112483505145E-2</v>
      </c>
      <c r="AA13" s="145">
        <v>0</v>
      </c>
      <c r="AB13" s="145">
        <v>0</v>
      </c>
      <c r="AC13" s="145">
        <v>0</v>
      </c>
      <c r="AD13" s="145">
        <v>0</v>
      </c>
      <c r="AE13" s="145">
        <v>0</v>
      </c>
      <c r="AF13" s="145">
        <v>0</v>
      </c>
      <c r="AG13" s="145">
        <v>0</v>
      </c>
      <c r="AH13" s="145">
        <v>0</v>
      </c>
      <c r="AI13" s="145">
        <v>0</v>
      </c>
      <c r="AJ13" s="145">
        <v>0</v>
      </c>
      <c r="AK13" s="145">
        <v>0</v>
      </c>
      <c r="AL13" s="145">
        <v>0</v>
      </c>
      <c r="AM13" s="145">
        <v>0</v>
      </c>
      <c r="AN13" s="145">
        <v>0</v>
      </c>
      <c r="AO13" s="145">
        <v>0</v>
      </c>
    </row>
    <row r="14" spans="1:41" customFormat="1" x14ac:dyDescent="0.15">
      <c r="A14" s="180" t="s">
        <v>204</v>
      </c>
      <c r="B14" s="145">
        <v>0</v>
      </c>
      <c r="C14" s="145">
        <v>3.7000037000036991E-2</v>
      </c>
      <c r="D14" s="145">
        <v>0</v>
      </c>
      <c r="E14" s="145">
        <v>0</v>
      </c>
      <c r="F14" s="145">
        <v>0</v>
      </c>
      <c r="G14" s="145">
        <v>0</v>
      </c>
      <c r="H14" s="145">
        <v>0</v>
      </c>
      <c r="I14" s="145">
        <v>0</v>
      </c>
      <c r="J14" s="145">
        <v>0</v>
      </c>
      <c r="K14" s="145">
        <v>2.8125000000000001E-2</v>
      </c>
      <c r="L14" s="145">
        <v>0</v>
      </c>
      <c r="M14" s="145">
        <v>0</v>
      </c>
      <c r="N14" s="145">
        <v>9.9200297600892805E-4</v>
      </c>
      <c r="O14" s="145">
        <v>0</v>
      </c>
      <c r="P14" s="145">
        <v>0</v>
      </c>
      <c r="Q14" s="145">
        <v>0</v>
      </c>
      <c r="R14" s="145">
        <v>0</v>
      </c>
      <c r="S14" s="145">
        <v>1.8998962002075997E-2</v>
      </c>
      <c r="T14" s="145">
        <v>0</v>
      </c>
      <c r="U14" s="145">
        <v>1.994001994001994E-3</v>
      </c>
      <c r="V14" s="145">
        <v>0</v>
      </c>
      <c r="W14" s="145">
        <v>0</v>
      </c>
      <c r="X14" s="145">
        <v>0</v>
      </c>
      <c r="Y14" s="145">
        <v>0</v>
      </c>
      <c r="Z14" s="145">
        <v>7.2164950671134032E-3</v>
      </c>
      <c r="AA14" s="145">
        <v>0</v>
      </c>
      <c r="AB14" s="145">
        <v>0</v>
      </c>
      <c r="AC14" s="145">
        <v>0</v>
      </c>
      <c r="AD14" s="145">
        <v>0</v>
      </c>
      <c r="AE14" s="145">
        <v>0</v>
      </c>
      <c r="AF14" s="145">
        <v>0</v>
      </c>
      <c r="AG14" s="145">
        <v>0</v>
      </c>
      <c r="AH14" s="145">
        <v>0</v>
      </c>
      <c r="AI14" s="145">
        <v>0</v>
      </c>
      <c r="AJ14" s="145">
        <v>0</v>
      </c>
      <c r="AK14" s="145">
        <v>0</v>
      </c>
      <c r="AL14" s="145">
        <v>0</v>
      </c>
      <c r="AM14" s="145">
        <v>0</v>
      </c>
      <c r="AN14" s="145">
        <v>0</v>
      </c>
      <c r="AO14" s="145">
        <v>0</v>
      </c>
    </row>
    <row r="15" spans="1:41" customFormat="1" x14ac:dyDescent="0.15">
      <c r="A15" s="180" t="s">
        <v>205</v>
      </c>
      <c r="B15" s="145">
        <v>0</v>
      </c>
      <c r="C15" s="145">
        <v>0</v>
      </c>
      <c r="D15" s="145">
        <v>0</v>
      </c>
      <c r="E15" s="145">
        <v>0</v>
      </c>
      <c r="F15" s="145">
        <v>0</v>
      </c>
      <c r="G15" s="145">
        <v>0</v>
      </c>
      <c r="H15" s="145">
        <v>0</v>
      </c>
      <c r="I15" s="145">
        <v>0</v>
      </c>
      <c r="J15" s="145">
        <v>0</v>
      </c>
      <c r="K15" s="145">
        <v>0</v>
      </c>
      <c r="L15" s="145">
        <v>0</v>
      </c>
      <c r="M15" s="145">
        <v>0</v>
      </c>
      <c r="N15" s="145">
        <v>0</v>
      </c>
      <c r="O15" s="145">
        <v>0</v>
      </c>
      <c r="P15" s="145">
        <v>0</v>
      </c>
      <c r="Q15" s="145">
        <v>0</v>
      </c>
      <c r="R15" s="145">
        <v>0</v>
      </c>
      <c r="S15" s="145">
        <v>2.9999940000120006E-3</v>
      </c>
      <c r="T15" s="145">
        <v>0</v>
      </c>
      <c r="U15" s="145">
        <v>0</v>
      </c>
      <c r="V15" s="145">
        <v>0</v>
      </c>
      <c r="W15" s="145">
        <v>0</v>
      </c>
      <c r="X15" s="145">
        <v>0</v>
      </c>
      <c r="Y15" s="145">
        <v>0</v>
      </c>
      <c r="Z15" s="145">
        <v>2.8865978368453594E-2</v>
      </c>
      <c r="AA15" s="145">
        <v>0</v>
      </c>
      <c r="AB15" s="145">
        <v>0</v>
      </c>
      <c r="AC15" s="145">
        <v>0</v>
      </c>
      <c r="AD15" s="145">
        <v>0</v>
      </c>
      <c r="AE15" s="145">
        <v>0</v>
      </c>
      <c r="AF15" s="145">
        <v>0</v>
      </c>
      <c r="AG15" s="145">
        <v>0</v>
      </c>
      <c r="AH15" s="145">
        <v>0</v>
      </c>
      <c r="AI15" s="145">
        <v>0</v>
      </c>
      <c r="AJ15" s="145">
        <v>0</v>
      </c>
      <c r="AK15" s="145">
        <v>0</v>
      </c>
      <c r="AL15" s="145">
        <v>0</v>
      </c>
      <c r="AM15" s="145">
        <v>0</v>
      </c>
      <c r="AN15" s="145">
        <v>0</v>
      </c>
      <c r="AO15" s="145">
        <v>0</v>
      </c>
    </row>
    <row r="16" spans="1:41" customFormat="1" x14ac:dyDescent="0.15">
      <c r="A16" s="180" t="s">
        <v>206</v>
      </c>
      <c r="B16" s="145">
        <v>5.0000000000000001E-3</v>
      </c>
      <c r="C16" s="145">
        <v>5.2000052000051984E-2</v>
      </c>
      <c r="D16" s="145">
        <v>0</v>
      </c>
      <c r="E16" s="145">
        <v>1.1670105030945278E-2</v>
      </c>
      <c r="F16" s="145">
        <v>2.7096439482458008E-3</v>
      </c>
      <c r="G16" s="145">
        <v>9.9900000000000032E-4</v>
      </c>
      <c r="H16" s="145">
        <v>0</v>
      </c>
      <c r="I16" s="145">
        <v>4.0190080380160765E-3</v>
      </c>
      <c r="J16" s="145">
        <v>3.8999999999999988E-4</v>
      </c>
      <c r="K16" s="145">
        <v>0</v>
      </c>
      <c r="L16" s="145">
        <v>2.63E-3</v>
      </c>
      <c r="M16" s="145">
        <v>6.7480067480067477E-3</v>
      </c>
      <c r="N16" s="145">
        <v>1.0916032748098246E-2</v>
      </c>
      <c r="O16" s="145">
        <v>0</v>
      </c>
      <c r="P16" s="145">
        <v>0</v>
      </c>
      <c r="Q16" s="145">
        <v>1.4799000001479899E-2</v>
      </c>
      <c r="R16" s="145">
        <v>0</v>
      </c>
      <c r="S16" s="145">
        <v>9.6991806016387974E-2</v>
      </c>
      <c r="T16" s="145">
        <v>3.9764244445948921E-2</v>
      </c>
      <c r="U16" s="145">
        <v>7.0788070788070798E-2</v>
      </c>
      <c r="V16" s="145">
        <v>1.0210219994894888E-3</v>
      </c>
      <c r="W16" s="145">
        <v>9.9999900000100019E-6</v>
      </c>
      <c r="X16" s="145">
        <v>0</v>
      </c>
      <c r="Y16" s="145">
        <v>9.9400099400099402E-4</v>
      </c>
      <c r="Z16" s="145">
        <v>5.9793815556082479E-2</v>
      </c>
      <c r="AA16" s="145">
        <v>0</v>
      </c>
      <c r="AB16" s="145">
        <v>0</v>
      </c>
      <c r="AC16" s="145">
        <v>0</v>
      </c>
      <c r="AD16" s="145">
        <v>0</v>
      </c>
      <c r="AE16" s="145">
        <v>0</v>
      </c>
      <c r="AF16" s="145">
        <v>0</v>
      </c>
      <c r="AG16" s="145">
        <v>0</v>
      </c>
      <c r="AH16" s="145">
        <v>0</v>
      </c>
      <c r="AI16" s="145">
        <v>0</v>
      </c>
      <c r="AJ16" s="145">
        <v>0</v>
      </c>
      <c r="AK16" s="145">
        <v>0</v>
      </c>
      <c r="AL16" s="145">
        <v>0</v>
      </c>
      <c r="AM16" s="145">
        <v>0</v>
      </c>
      <c r="AN16" s="145">
        <v>0</v>
      </c>
      <c r="AO16" s="145">
        <v>0</v>
      </c>
    </row>
    <row r="17" spans="1:41" customFormat="1" x14ac:dyDescent="0.15">
      <c r="A17" s="180" t="s">
        <v>207</v>
      </c>
      <c r="B17" s="145">
        <v>0</v>
      </c>
      <c r="C17" s="145">
        <v>3.0000030000029996E-3</v>
      </c>
      <c r="D17" s="145">
        <v>0</v>
      </c>
      <c r="E17" s="145">
        <v>1.6690150211351902E-2</v>
      </c>
      <c r="F17" s="145">
        <v>4.5321479134359747E-3</v>
      </c>
      <c r="G17" s="145">
        <v>1.2315000000000001E-2</v>
      </c>
      <c r="H17" s="145">
        <v>1.158998841001159E-3</v>
      </c>
      <c r="I17" s="145">
        <v>0</v>
      </c>
      <c r="J17" s="145">
        <v>0</v>
      </c>
      <c r="K17" s="145">
        <v>0</v>
      </c>
      <c r="L17" s="145">
        <v>0</v>
      </c>
      <c r="M17" s="145">
        <v>0</v>
      </c>
      <c r="N17" s="145">
        <v>0</v>
      </c>
      <c r="O17" s="145">
        <v>0</v>
      </c>
      <c r="P17" s="145">
        <v>0</v>
      </c>
      <c r="Q17" s="145">
        <v>1.2190000001219001E-3</v>
      </c>
      <c r="R17" s="145">
        <v>0</v>
      </c>
      <c r="S17" s="145">
        <v>2.4997950004099996E-2</v>
      </c>
      <c r="T17" s="145">
        <v>1.1342510098679838E-3</v>
      </c>
      <c r="U17" s="145">
        <v>1.988001988001988E-3</v>
      </c>
      <c r="V17" s="145">
        <v>2.0163089989918455E-3</v>
      </c>
      <c r="W17" s="145">
        <v>9.9999900000100019E-6</v>
      </c>
      <c r="X17" s="145">
        <v>0</v>
      </c>
      <c r="Y17" s="145">
        <v>0</v>
      </c>
      <c r="Z17" s="145">
        <v>5.876289054649487E-3</v>
      </c>
      <c r="AA17" s="145">
        <v>0</v>
      </c>
      <c r="AB17" s="145">
        <v>0</v>
      </c>
      <c r="AC17" s="145">
        <v>6.8846085443025687E-3</v>
      </c>
      <c r="AD17" s="145">
        <v>0</v>
      </c>
      <c r="AE17" s="145">
        <v>0</v>
      </c>
      <c r="AF17" s="145">
        <v>0</v>
      </c>
      <c r="AG17" s="145">
        <v>0</v>
      </c>
      <c r="AH17" s="145">
        <v>0</v>
      </c>
      <c r="AI17" s="145">
        <v>0</v>
      </c>
      <c r="AJ17" s="145">
        <v>0</v>
      </c>
      <c r="AK17" s="145">
        <v>0</v>
      </c>
      <c r="AL17" s="145">
        <v>0</v>
      </c>
      <c r="AM17" s="145">
        <v>0</v>
      </c>
      <c r="AN17" s="145">
        <v>0</v>
      </c>
      <c r="AO17" s="145">
        <v>0</v>
      </c>
    </row>
    <row r="18" spans="1:41" customFormat="1" x14ac:dyDescent="0.15">
      <c r="A18" s="180" t="s">
        <v>208</v>
      </c>
      <c r="B18" s="145">
        <v>3.9E-2</v>
      </c>
      <c r="C18" s="145">
        <v>1.6000016000015996E-2</v>
      </c>
      <c r="D18" s="145">
        <v>0</v>
      </c>
      <c r="E18" s="145">
        <v>0</v>
      </c>
      <c r="F18" s="145">
        <v>0</v>
      </c>
      <c r="G18" s="145">
        <v>0</v>
      </c>
      <c r="H18" s="145">
        <v>0</v>
      </c>
      <c r="I18" s="145">
        <v>0</v>
      </c>
      <c r="J18" s="145">
        <v>0</v>
      </c>
      <c r="K18" s="145">
        <v>0</v>
      </c>
      <c r="L18" s="145">
        <v>0</v>
      </c>
      <c r="M18" s="145">
        <v>0</v>
      </c>
      <c r="N18" s="145">
        <v>9.9200297600892805E-4</v>
      </c>
      <c r="O18" s="145">
        <v>6.3E-2</v>
      </c>
      <c r="P18" s="145">
        <v>0</v>
      </c>
      <c r="Q18" s="145">
        <v>0</v>
      </c>
      <c r="R18" s="145">
        <v>0</v>
      </c>
      <c r="S18" s="145">
        <v>3.999992000016001E-3</v>
      </c>
      <c r="T18" s="145">
        <v>0</v>
      </c>
      <c r="U18" s="145">
        <v>0</v>
      </c>
      <c r="V18" s="145">
        <v>0</v>
      </c>
      <c r="W18" s="145">
        <v>0</v>
      </c>
      <c r="X18" s="145">
        <v>0</v>
      </c>
      <c r="Y18" s="145">
        <v>0</v>
      </c>
      <c r="Z18" s="145">
        <v>0.14845360938061852</v>
      </c>
      <c r="AA18" s="145">
        <v>0</v>
      </c>
      <c r="AB18" s="145">
        <v>0</v>
      </c>
      <c r="AC18" s="145">
        <v>0</v>
      </c>
      <c r="AD18" s="145">
        <v>0</v>
      </c>
      <c r="AE18" s="145">
        <v>0</v>
      </c>
      <c r="AF18" s="145">
        <v>0</v>
      </c>
      <c r="AG18" s="145">
        <v>0</v>
      </c>
      <c r="AH18" s="145">
        <v>0</v>
      </c>
      <c r="AI18" s="145">
        <v>0</v>
      </c>
      <c r="AJ18" s="145">
        <v>0</v>
      </c>
      <c r="AK18" s="145">
        <v>0</v>
      </c>
      <c r="AL18" s="145">
        <v>0</v>
      </c>
      <c r="AM18" s="145">
        <v>0</v>
      </c>
      <c r="AN18" s="145">
        <v>0</v>
      </c>
      <c r="AO18" s="145">
        <v>0</v>
      </c>
    </row>
    <row r="19" spans="1:41" customFormat="1" x14ac:dyDescent="0.15">
      <c r="A19" s="180" t="s">
        <v>209</v>
      </c>
      <c r="B19" s="145">
        <v>2E-3</v>
      </c>
      <c r="C19" s="145">
        <v>1.9000019000018996E-4</v>
      </c>
      <c r="D19" s="145">
        <v>0</v>
      </c>
      <c r="E19" s="145">
        <v>4.3000387003483027E-3</v>
      </c>
      <c r="F19" s="145">
        <v>0</v>
      </c>
      <c r="G19" s="145">
        <v>0</v>
      </c>
      <c r="H19" s="145">
        <v>0</v>
      </c>
      <c r="I19" s="145">
        <v>0</v>
      </c>
      <c r="J19" s="145">
        <v>0</v>
      </c>
      <c r="K19" s="145">
        <v>0</v>
      </c>
      <c r="L19" s="145">
        <v>0</v>
      </c>
      <c r="M19" s="145">
        <v>0</v>
      </c>
      <c r="N19" s="145">
        <v>0</v>
      </c>
      <c r="O19" s="145">
        <v>2E-3</v>
      </c>
      <c r="P19" s="145">
        <v>0</v>
      </c>
      <c r="Q19" s="145">
        <v>0</v>
      </c>
      <c r="R19" s="145">
        <v>0</v>
      </c>
      <c r="S19" s="145">
        <v>2.9999940000120006E-3</v>
      </c>
      <c r="T19" s="145">
        <v>0</v>
      </c>
      <c r="U19" s="145">
        <v>0</v>
      </c>
      <c r="V19" s="145">
        <v>0</v>
      </c>
      <c r="W19" s="145">
        <v>0</v>
      </c>
      <c r="X19" s="145">
        <v>0</v>
      </c>
      <c r="Y19" s="145">
        <v>0</v>
      </c>
      <c r="Z19" s="145">
        <v>2.8865980268453616E-3</v>
      </c>
      <c r="AA19" s="145">
        <v>0</v>
      </c>
      <c r="AB19" s="145">
        <v>0</v>
      </c>
      <c r="AC19" s="145">
        <v>0</v>
      </c>
      <c r="AD19" s="145">
        <v>0</v>
      </c>
      <c r="AE19" s="145">
        <v>0</v>
      </c>
      <c r="AF19" s="145">
        <v>0</v>
      </c>
      <c r="AG19" s="145">
        <v>0</v>
      </c>
      <c r="AH19" s="145">
        <v>0</v>
      </c>
      <c r="AI19" s="145">
        <v>0</v>
      </c>
      <c r="AJ19" s="145">
        <v>0</v>
      </c>
      <c r="AK19" s="145">
        <v>0</v>
      </c>
      <c r="AL19" s="145">
        <v>0</v>
      </c>
      <c r="AM19" s="145">
        <v>0</v>
      </c>
      <c r="AN19" s="145">
        <v>0</v>
      </c>
      <c r="AO19" s="145">
        <v>0</v>
      </c>
    </row>
    <row r="20" spans="1:41" customFormat="1" x14ac:dyDescent="0.15">
      <c r="A20" s="180" t="s">
        <v>210</v>
      </c>
      <c r="B20" s="145">
        <v>2E-3</v>
      </c>
      <c r="C20" s="145">
        <v>2.0000020000019996E-3</v>
      </c>
      <c r="D20" s="145">
        <v>0</v>
      </c>
      <c r="E20" s="145">
        <v>1.2650113851024658E-2</v>
      </c>
      <c r="F20" s="145">
        <v>2.1167899595693116E-4</v>
      </c>
      <c r="G20" s="145">
        <v>0</v>
      </c>
      <c r="H20" s="145">
        <v>0</v>
      </c>
      <c r="I20" s="145">
        <v>0</v>
      </c>
      <c r="J20" s="145">
        <v>0</v>
      </c>
      <c r="K20" s="145">
        <v>6.25E-2</v>
      </c>
      <c r="L20" s="145">
        <v>0</v>
      </c>
      <c r="M20" s="145">
        <v>0</v>
      </c>
      <c r="N20" s="145">
        <v>0</v>
      </c>
      <c r="O20" s="145">
        <v>8.9999999999999993E-3</v>
      </c>
      <c r="P20" s="145">
        <v>0</v>
      </c>
      <c r="Q20" s="145">
        <v>0</v>
      </c>
      <c r="R20" s="145">
        <v>0</v>
      </c>
      <c r="S20" s="145">
        <v>2.3997952004095994E-2</v>
      </c>
      <c r="T20" s="145">
        <v>0</v>
      </c>
      <c r="U20" s="145">
        <v>0</v>
      </c>
      <c r="V20" s="145">
        <v>0</v>
      </c>
      <c r="W20" s="145">
        <v>0</v>
      </c>
      <c r="X20" s="145">
        <v>0</v>
      </c>
      <c r="Y20" s="145">
        <v>0</v>
      </c>
      <c r="Z20" s="145">
        <v>1.1546392107381447E-2</v>
      </c>
      <c r="AA20" s="145">
        <v>0</v>
      </c>
      <c r="AB20" s="145">
        <v>0</v>
      </c>
      <c r="AC20" s="145">
        <v>6.8846085443025687E-3</v>
      </c>
      <c r="AD20" s="145">
        <v>0</v>
      </c>
      <c r="AE20" s="145">
        <v>0</v>
      </c>
      <c r="AF20" s="145">
        <v>0</v>
      </c>
      <c r="AG20" s="145">
        <v>0</v>
      </c>
      <c r="AH20" s="145">
        <v>0</v>
      </c>
      <c r="AI20" s="145">
        <v>0</v>
      </c>
      <c r="AJ20" s="145">
        <v>0</v>
      </c>
      <c r="AK20" s="145">
        <v>0</v>
      </c>
      <c r="AL20" s="145">
        <v>0</v>
      </c>
      <c r="AM20" s="145">
        <v>0</v>
      </c>
      <c r="AN20" s="145">
        <v>0</v>
      </c>
      <c r="AO20" s="145">
        <v>0</v>
      </c>
    </row>
    <row r="21" spans="1:41" customFormat="1" x14ac:dyDescent="0.15">
      <c r="A21" s="180" t="s">
        <v>211</v>
      </c>
      <c r="B21" s="145">
        <v>2E-3</v>
      </c>
      <c r="C21" s="145">
        <v>9.5000095000094987E-4</v>
      </c>
      <c r="D21" s="145">
        <v>0</v>
      </c>
      <c r="E21" s="145">
        <v>4.8300434703912329E-3</v>
      </c>
      <c r="F21" s="145">
        <v>0</v>
      </c>
      <c r="G21" s="145">
        <v>0</v>
      </c>
      <c r="H21" s="145">
        <v>0</v>
      </c>
      <c r="I21" s="145">
        <v>0</v>
      </c>
      <c r="J21" s="145">
        <v>0</v>
      </c>
      <c r="K21" s="145">
        <v>0</v>
      </c>
      <c r="L21" s="145">
        <v>0</v>
      </c>
      <c r="M21" s="145">
        <v>0</v>
      </c>
      <c r="N21" s="145">
        <v>0</v>
      </c>
      <c r="O21" s="145">
        <v>1.0999999999999999E-2</v>
      </c>
      <c r="P21" s="145">
        <v>0</v>
      </c>
      <c r="Q21" s="145">
        <v>0</v>
      </c>
      <c r="R21" s="145">
        <v>0</v>
      </c>
      <c r="S21" s="145">
        <v>9.9999800000400026E-4</v>
      </c>
      <c r="T21" s="145">
        <v>5.1071830444324928E-3</v>
      </c>
      <c r="U21" s="145">
        <v>0</v>
      </c>
      <c r="V21" s="145">
        <v>0</v>
      </c>
      <c r="W21" s="145">
        <v>0</v>
      </c>
      <c r="X21" s="145">
        <v>0</v>
      </c>
      <c r="Y21" s="145">
        <v>0</v>
      </c>
      <c r="Z21" s="145">
        <v>1.1752576709298962E-2</v>
      </c>
      <c r="AA21" s="145">
        <v>0</v>
      </c>
      <c r="AB21" s="145">
        <v>0</v>
      </c>
      <c r="AC21" s="145">
        <v>0</v>
      </c>
      <c r="AD21" s="145">
        <v>0</v>
      </c>
      <c r="AE21" s="145">
        <v>0</v>
      </c>
      <c r="AF21" s="145">
        <v>0</v>
      </c>
      <c r="AG21" s="145">
        <v>0</v>
      </c>
      <c r="AH21" s="145">
        <v>0</v>
      </c>
      <c r="AI21" s="145">
        <v>0</v>
      </c>
      <c r="AJ21" s="145">
        <v>0</v>
      </c>
      <c r="AK21" s="145">
        <v>0</v>
      </c>
      <c r="AL21" s="145">
        <v>0</v>
      </c>
      <c r="AM21" s="145">
        <v>0</v>
      </c>
      <c r="AN21" s="145">
        <v>0</v>
      </c>
      <c r="AO21" s="145">
        <v>0</v>
      </c>
    </row>
    <row r="22" spans="1:41" customFormat="1" x14ac:dyDescent="0.15">
      <c r="A22" s="180" t="s">
        <v>212</v>
      </c>
      <c r="B22" s="145">
        <v>2E-3</v>
      </c>
      <c r="C22" s="145">
        <v>9.0000090000089978E-3</v>
      </c>
      <c r="D22" s="145">
        <v>0</v>
      </c>
      <c r="E22" s="145">
        <v>1.1880106920962287E-2</v>
      </c>
      <c r="F22" s="145">
        <v>7.4955098568357619E-4</v>
      </c>
      <c r="G22" s="145">
        <v>0</v>
      </c>
      <c r="H22" s="145">
        <v>0</v>
      </c>
      <c r="I22" s="145">
        <v>1.0000020000040001E-4</v>
      </c>
      <c r="J22" s="145">
        <v>1.3899999999999996E-4</v>
      </c>
      <c r="K22" s="145">
        <v>3.125E-2</v>
      </c>
      <c r="L22" s="145">
        <v>1.8256000000000001E-2</v>
      </c>
      <c r="M22" s="145">
        <v>0</v>
      </c>
      <c r="N22" s="145">
        <v>4.1680125040375125E-2</v>
      </c>
      <c r="O22" s="145">
        <v>4.2999999999999997E-2</v>
      </c>
      <c r="P22" s="145">
        <v>0</v>
      </c>
      <c r="Q22" s="145">
        <v>0</v>
      </c>
      <c r="R22" s="145">
        <v>0</v>
      </c>
      <c r="S22" s="145">
        <v>3.7996924006151997E-2</v>
      </c>
      <c r="T22" s="145">
        <v>2.659252683135498E-2</v>
      </c>
      <c r="U22" s="145">
        <v>1.7946017946017946E-2</v>
      </c>
      <c r="V22" s="145">
        <v>0</v>
      </c>
      <c r="W22" s="145">
        <v>1.000998999001001E-3</v>
      </c>
      <c r="X22" s="145">
        <v>0</v>
      </c>
      <c r="Y22" s="145">
        <v>0</v>
      </c>
      <c r="Z22" s="145">
        <v>4.1134022582546406E-2</v>
      </c>
      <c r="AA22" s="145">
        <v>0</v>
      </c>
      <c r="AB22" s="145">
        <v>0</v>
      </c>
      <c r="AC22" s="145">
        <v>4.9722173375518035E-3</v>
      </c>
      <c r="AD22" s="145">
        <v>0</v>
      </c>
      <c r="AE22" s="145">
        <v>0</v>
      </c>
      <c r="AF22" s="145">
        <v>0</v>
      </c>
      <c r="AG22" s="145">
        <v>0</v>
      </c>
      <c r="AH22" s="145">
        <v>0</v>
      </c>
      <c r="AI22" s="145">
        <v>0</v>
      </c>
      <c r="AJ22" s="145">
        <v>0</v>
      </c>
      <c r="AK22" s="145">
        <v>0</v>
      </c>
      <c r="AL22" s="145">
        <v>0</v>
      </c>
      <c r="AM22" s="145">
        <v>0</v>
      </c>
      <c r="AN22" s="145">
        <v>0</v>
      </c>
      <c r="AO22" s="145">
        <v>0</v>
      </c>
    </row>
    <row r="23" spans="1:41" customFormat="1" x14ac:dyDescent="0.15">
      <c r="A23" s="180" t="s">
        <v>213</v>
      </c>
      <c r="B23" s="145">
        <v>0</v>
      </c>
      <c r="C23" s="145">
        <v>3.0000030000029994E-2</v>
      </c>
      <c r="D23" s="145">
        <v>7.8880078880078867E-3</v>
      </c>
      <c r="E23" s="145">
        <v>8.8700798307184744E-3</v>
      </c>
      <c r="F23" s="145">
        <v>2.4498999532069107E-3</v>
      </c>
      <c r="G23" s="145">
        <v>1.1870000000000001E-3</v>
      </c>
      <c r="H23" s="145">
        <v>2.3499976500023496E-4</v>
      </c>
      <c r="I23" s="145">
        <v>5.0240100480200963E-3</v>
      </c>
      <c r="J23" s="145">
        <v>6.5999999999999992E-5</v>
      </c>
      <c r="K23" s="145">
        <v>0</v>
      </c>
      <c r="L23" s="145">
        <v>2.0284E-2</v>
      </c>
      <c r="M23" s="145">
        <v>1.9800019800019799E-4</v>
      </c>
      <c r="N23" s="145">
        <v>7.5422226266678813E-2</v>
      </c>
      <c r="O23" s="145">
        <v>2.5999999999999999E-2</v>
      </c>
      <c r="P23" s="145">
        <v>0</v>
      </c>
      <c r="Q23" s="145">
        <v>0</v>
      </c>
      <c r="R23" s="145">
        <v>0</v>
      </c>
      <c r="S23" s="145">
        <v>1.6998966002067999E-2</v>
      </c>
      <c r="T23" s="145">
        <v>8.9989160782905694E-3</v>
      </c>
      <c r="U23" s="145">
        <v>9.9700099700099701E-4</v>
      </c>
      <c r="V23" s="145">
        <v>4.7831829976084086E-3</v>
      </c>
      <c r="W23" s="145">
        <v>1.2010987989012014E-2</v>
      </c>
      <c r="X23" s="145">
        <v>0</v>
      </c>
      <c r="Y23" s="145">
        <v>0</v>
      </c>
      <c r="Z23" s="145">
        <v>0</v>
      </c>
      <c r="AA23" s="145">
        <v>0</v>
      </c>
      <c r="AB23" s="145">
        <v>0</v>
      </c>
      <c r="AC23" s="145">
        <v>0</v>
      </c>
      <c r="AD23" s="145">
        <v>0</v>
      </c>
      <c r="AE23" s="145">
        <v>0</v>
      </c>
      <c r="AF23" s="145">
        <v>0</v>
      </c>
      <c r="AG23" s="145">
        <v>0</v>
      </c>
      <c r="AH23" s="145">
        <v>0</v>
      </c>
      <c r="AI23" s="145">
        <v>0</v>
      </c>
      <c r="AJ23" s="145">
        <v>0</v>
      </c>
      <c r="AK23" s="145">
        <v>0</v>
      </c>
      <c r="AL23" s="145">
        <v>0</v>
      </c>
      <c r="AM23" s="145">
        <v>0</v>
      </c>
      <c r="AN23" s="145">
        <v>0</v>
      </c>
      <c r="AO23" s="145">
        <v>0</v>
      </c>
    </row>
    <row r="24" spans="1:41" customFormat="1" x14ac:dyDescent="0.15">
      <c r="A24" s="180" t="s">
        <v>214</v>
      </c>
      <c r="B24" s="145">
        <v>0</v>
      </c>
      <c r="C24" s="145">
        <v>1.0000010000009999E-4</v>
      </c>
      <c r="D24" s="145">
        <v>0</v>
      </c>
      <c r="E24" s="145">
        <v>1.0000090000810007E-6</v>
      </c>
      <c r="F24" s="145">
        <v>2.3639559548484412E-3</v>
      </c>
      <c r="G24" s="145">
        <v>1.0000000000000003E-5</v>
      </c>
      <c r="H24" s="145">
        <v>1.6999983000016998E-5</v>
      </c>
      <c r="I24" s="145">
        <v>0</v>
      </c>
      <c r="J24" s="145">
        <v>6.7899999999999992E-4</v>
      </c>
      <c r="K24" s="145">
        <v>0</v>
      </c>
      <c r="L24" s="145">
        <v>2.4620000000000002E-3</v>
      </c>
      <c r="M24" s="145">
        <v>1.4900014900014899E-4</v>
      </c>
      <c r="N24" s="145">
        <v>3.8040114120342365E-3</v>
      </c>
      <c r="O24" s="145">
        <v>0</v>
      </c>
      <c r="P24" s="145">
        <v>0</v>
      </c>
      <c r="Q24" s="145">
        <v>0</v>
      </c>
      <c r="R24" s="145">
        <v>0</v>
      </c>
      <c r="S24" s="145">
        <v>0</v>
      </c>
      <c r="T24" s="145">
        <v>0</v>
      </c>
      <c r="U24" s="145">
        <v>0</v>
      </c>
      <c r="V24" s="145">
        <v>0</v>
      </c>
      <c r="W24" s="145">
        <v>9.9999900000100019E-6</v>
      </c>
      <c r="X24" s="145">
        <v>0.01</v>
      </c>
      <c r="Y24" s="145">
        <v>0</v>
      </c>
      <c r="Z24" s="145">
        <v>1.0309278095876284E-2</v>
      </c>
      <c r="AA24" s="145">
        <v>0</v>
      </c>
      <c r="AB24" s="145">
        <v>1E-3</v>
      </c>
      <c r="AC24" s="145">
        <v>0</v>
      </c>
      <c r="AD24" s="145">
        <v>0</v>
      </c>
      <c r="AE24" s="145">
        <v>0</v>
      </c>
      <c r="AF24" s="145">
        <v>0</v>
      </c>
      <c r="AG24" s="145">
        <v>0</v>
      </c>
      <c r="AH24" s="145">
        <v>0</v>
      </c>
      <c r="AI24" s="145">
        <v>0</v>
      </c>
      <c r="AJ24" s="145">
        <v>0</v>
      </c>
      <c r="AK24" s="145">
        <v>0</v>
      </c>
      <c r="AL24" s="145">
        <v>0</v>
      </c>
      <c r="AM24" s="145">
        <v>0</v>
      </c>
      <c r="AN24" s="145">
        <v>0</v>
      </c>
      <c r="AO24" s="145">
        <v>0</v>
      </c>
    </row>
    <row r="25" spans="1:41" customFormat="1" x14ac:dyDescent="0.15">
      <c r="A25" s="180" t="s">
        <v>215</v>
      </c>
      <c r="B25" s="145">
        <v>7.4999999999999997E-2</v>
      </c>
      <c r="C25" s="145">
        <v>0.11100011100011098</v>
      </c>
      <c r="D25" s="145">
        <v>6.434206434206434E-2</v>
      </c>
      <c r="E25" s="145">
        <v>0.1078309704787343</v>
      </c>
      <c r="F25" s="145">
        <v>2.4167961938391925E-2</v>
      </c>
      <c r="G25" s="145">
        <v>1.6980000000000002E-2</v>
      </c>
      <c r="H25" s="145">
        <v>3.9999960000039999E-3</v>
      </c>
      <c r="I25" s="145">
        <v>6.028312056624114E-2</v>
      </c>
      <c r="J25" s="145">
        <v>1.0899999999999998E-3</v>
      </c>
      <c r="K25" s="145">
        <v>0.25</v>
      </c>
      <c r="L25" s="145">
        <v>0.27315800000000001</v>
      </c>
      <c r="M25" s="145">
        <v>5.1500051500051505E-4</v>
      </c>
      <c r="N25" s="145">
        <v>4.9620148860446585E-3</v>
      </c>
      <c r="O25" s="145">
        <v>0.01</v>
      </c>
      <c r="P25" s="145">
        <v>0</v>
      </c>
      <c r="Q25" s="145">
        <v>5.0317000005031698E-2</v>
      </c>
      <c r="R25" s="145">
        <v>0</v>
      </c>
      <c r="S25" s="145">
        <v>9.9999800000400026E-4</v>
      </c>
      <c r="T25" s="145">
        <v>4.1702220362809317E-3</v>
      </c>
      <c r="U25" s="145">
        <v>4.2872042872042875E-2</v>
      </c>
      <c r="V25" s="145">
        <v>0</v>
      </c>
      <c r="W25" s="145">
        <v>1.3011986988013013E-2</v>
      </c>
      <c r="X25" s="145">
        <v>0.01</v>
      </c>
      <c r="Y25" s="145">
        <v>0</v>
      </c>
      <c r="Z25" s="145">
        <v>1.0309280095876304E-3</v>
      </c>
      <c r="AA25" s="145">
        <v>0</v>
      </c>
      <c r="AB25" s="145">
        <v>0</v>
      </c>
      <c r="AC25" s="145">
        <v>0</v>
      </c>
      <c r="AD25" s="145">
        <v>0</v>
      </c>
      <c r="AE25" s="145">
        <v>0</v>
      </c>
      <c r="AF25" s="145">
        <v>0</v>
      </c>
      <c r="AG25" s="145">
        <v>0</v>
      </c>
      <c r="AH25" s="145">
        <v>0</v>
      </c>
      <c r="AI25" s="145">
        <v>0</v>
      </c>
      <c r="AJ25" s="145">
        <v>0</v>
      </c>
      <c r="AK25" s="145">
        <v>0</v>
      </c>
      <c r="AL25" s="145">
        <v>0</v>
      </c>
      <c r="AM25" s="145">
        <v>0</v>
      </c>
      <c r="AN25" s="145">
        <v>0</v>
      </c>
      <c r="AO25" s="145">
        <v>0</v>
      </c>
    </row>
    <row r="26" spans="1:41" customFormat="1" x14ac:dyDescent="0.15">
      <c r="A26" s="180" t="s">
        <v>216</v>
      </c>
      <c r="B26" s="145">
        <v>0</v>
      </c>
      <c r="C26" s="145">
        <v>0</v>
      </c>
      <c r="D26" s="145">
        <v>0</v>
      </c>
      <c r="E26" s="145">
        <v>0</v>
      </c>
      <c r="F26" s="145">
        <v>0</v>
      </c>
      <c r="G26" s="145">
        <v>0</v>
      </c>
      <c r="H26" s="145">
        <v>0</v>
      </c>
      <c r="I26" s="145">
        <v>0</v>
      </c>
      <c r="J26" s="145">
        <v>0</v>
      </c>
      <c r="K26" s="145">
        <v>0</v>
      </c>
      <c r="L26" s="145">
        <v>0</v>
      </c>
      <c r="M26" s="145">
        <v>0</v>
      </c>
      <c r="N26" s="145">
        <v>0</v>
      </c>
      <c r="O26" s="145">
        <v>0</v>
      </c>
      <c r="P26" s="145">
        <v>0</v>
      </c>
      <c r="Q26" s="145">
        <v>0</v>
      </c>
      <c r="R26" s="145">
        <v>0</v>
      </c>
      <c r="S26" s="145">
        <v>0</v>
      </c>
      <c r="T26" s="145">
        <v>0</v>
      </c>
      <c r="U26" s="145">
        <v>0</v>
      </c>
      <c r="V26" s="145">
        <v>0</v>
      </c>
      <c r="W26" s="145">
        <v>0</v>
      </c>
      <c r="X26" s="145">
        <v>0</v>
      </c>
      <c r="Y26" s="145">
        <v>0</v>
      </c>
      <c r="Z26" s="145">
        <v>5.1546390479381421E-3</v>
      </c>
      <c r="AA26" s="145">
        <v>0</v>
      </c>
      <c r="AB26" s="145">
        <v>0</v>
      </c>
      <c r="AC26" s="145">
        <v>0</v>
      </c>
      <c r="AD26" s="145">
        <v>0</v>
      </c>
      <c r="AE26" s="145">
        <v>0</v>
      </c>
      <c r="AF26" s="145">
        <v>0</v>
      </c>
      <c r="AG26" s="145">
        <v>0</v>
      </c>
      <c r="AH26" s="145">
        <v>0</v>
      </c>
      <c r="AI26" s="145">
        <v>0</v>
      </c>
      <c r="AJ26" s="145">
        <v>0</v>
      </c>
      <c r="AK26" s="145">
        <v>0</v>
      </c>
      <c r="AL26" s="145">
        <v>0</v>
      </c>
      <c r="AM26" s="145">
        <v>0</v>
      </c>
      <c r="AN26" s="145">
        <v>0</v>
      </c>
      <c r="AO26" s="145">
        <v>0</v>
      </c>
    </row>
    <row r="27" spans="1:41" customFormat="1" x14ac:dyDescent="0.15">
      <c r="A27" s="180" t="s">
        <v>217</v>
      </c>
      <c r="B27" s="145">
        <v>0.04</v>
      </c>
      <c r="C27" s="145">
        <v>5.8000058000057989E-2</v>
      </c>
      <c r="D27" s="145">
        <v>4.6078046078046074E-2</v>
      </c>
      <c r="E27" s="145">
        <v>2.5070225632030686E-2</v>
      </c>
      <c r="F27" s="145">
        <v>2.667166949057111E-3</v>
      </c>
      <c r="G27" s="145">
        <v>1.2315000000000001E-2</v>
      </c>
      <c r="H27" s="145">
        <v>3.4999965000034996E-3</v>
      </c>
      <c r="I27" s="145">
        <v>1.00500201000402E-3</v>
      </c>
      <c r="J27" s="145">
        <v>3.8999999999999988E-4</v>
      </c>
      <c r="K27" s="145">
        <v>8.7499999999999994E-2</v>
      </c>
      <c r="L27" s="145">
        <v>1.5E-3</v>
      </c>
      <c r="M27" s="145">
        <v>0</v>
      </c>
      <c r="N27" s="145">
        <v>2.9770089310267936E-3</v>
      </c>
      <c r="O27" s="145">
        <v>3.1E-2</v>
      </c>
      <c r="P27" s="145">
        <v>0</v>
      </c>
      <c r="Q27" s="145">
        <v>1.9732000001973199E-2</v>
      </c>
      <c r="R27" s="145">
        <v>8.3000000000000004E-2</v>
      </c>
      <c r="S27" s="145">
        <v>4.7995904008191988E-2</v>
      </c>
      <c r="T27" s="145">
        <v>5.4518700474312691E-3</v>
      </c>
      <c r="U27" s="145">
        <v>6.9790069790069791E-3</v>
      </c>
      <c r="V27" s="145">
        <v>0</v>
      </c>
      <c r="W27" s="145">
        <v>4.0039959960040039E-3</v>
      </c>
      <c r="X27" s="145">
        <v>0</v>
      </c>
      <c r="Y27" s="145">
        <v>0</v>
      </c>
      <c r="Z27" s="145">
        <v>8.0412370747835041E-2</v>
      </c>
      <c r="AA27" s="145">
        <v>0</v>
      </c>
      <c r="AB27" s="145">
        <v>0</v>
      </c>
      <c r="AC27" s="145">
        <v>0</v>
      </c>
      <c r="AD27" s="145">
        <v>0</v>
      </c>
      <c r="AE27" s="145">
        <v>0</v>
      </c>
      <c r="AF27" s="145">
        <v>0</v>
      </c>
      <c r="AG27" s="145">
        <v>0</v>
      </c>
      <c r="AH27" s="145">
        <v>0</v>
      </c>
      <c r="AI27" s="145">
        <v>0</v>
      </c>
      <c r="AJ27" s="145">
        <v>0</v>
      </c>
      <c r="AK27" s="145">
        <v>0</v>
      </c>
      <c r="AL27" s="145">
        <v>0</v>
      </c>
      <c r="AM27" s="145">
        <v>0</v>
      </c>
      <c r="AN27" s="145">
        <v>0</v>
      </c>
      <c r="AO27" s="145">
        <v>0</v>
      </c>
    </row>
    <row r="28" spans="1:41" customFormat="1" x14ac:dyDescent="0.15">
      <c r="A28" s="180" t="s">
        <v>218</v>
      </c>
      <c r="B28" s="145">
        <v>0</v>
      </c>
      <c r="C28" s="145">
        <v>0</v>
      </c>
      <c r="D28" s="145">
        <v>8.3260083260083256E-3</v>
      </c>
      <c r="E28" s="145">
        <v>0</v>
      </c>
      <c r="F28" s="145">
        <v>0</v>
      </c>
      <c r="G28" s="145">
        <v>4.1950000000000008E-2</v>
      </c>
      <c r="H28" s="145">
        <v>2.0999979000020999E-2</v>
      </c>
      <c r="I28" s="145">
        <v>1.0000020000040001E-4</v>
      </c>
      <c r="J28" s="145">
        <v>0</v>
      </c>
      <c r="K28" s="145">
        <v>0</v>
      </c>
      <c r="L28" s="145">
        <v>0</v>
      </c>
      <c r="M28" s="145">
        <v>0</v>
      </c>
      <c r="N28" s="145">
        <v>0</v>
      </c>
      <c r="O28" s="145">
        <v>1E-3</v>
      </c>
      <c r="P28" s="145">
        <v>0</v>
      </c>
      <c r="Q28" s="145">
        <v>1.87460000018746E-2</v>
      </c>
      <c r="R28" s="145">
        <v>0</v>
      </c>
      <c r="S28" s="145">
        <v>0</v>
      </c>
      <c r="T28" s="145">
        <v>0</v>
      </c>
      <c r="U28" s="145">
        <v>0</v>
      </c>
      <c r="V28" s="145">
        <v>0</v>
      </c>
      <c r="W28" s="145">
        <v>0</v>
      </c>
      <c r="X28" s="145">
        <v>0</v>
      </c>
      <c r="Y28" s="145">
        <v>0</v>
      </c>
      <c r="Z28" s="145">
        <v>2.8865978368453594E-2</v>
      </c>
      <c r="AA28" s="145">
        <v>0</v>
      </c>
      <c r="AB28" s="145">
        <v>0.05</v>
      </c>
      <c r="AC28" s="145">
        <v>6.9871724481283962E-3</v>
      </c>
      <c r="AD28" s="145">
        <v>0</v>
      </c>
      <c r="AE28" s="145">
        <v>0</v>
      </c>
      <c r="AF28" s="145">
        <v>0</v>
      </c>
      <c r="AG28" s="145">
        <v>0</v>
      </c>
      <c r="AH28" s="145">
        <v>0</v>
      </c>
      <c r="AI28" s="145">
        <v>0</v>
      </c>
      <c r="AJ28" s="145">
        <v>0</v>
      </c>
      <c r="AK28" s="145">
        <v>0</v>
      </c>
      <c r="AL28" s="145">
        <v>0</v>
      </c>
      <c r="AM28" s="145">
        <v>0</v>
      </c>
      <c r="AN28" s="145">
        <v>0</v>
      </c>
      <c r="AO28" s="145">
        <v>0</v>
      </c>
    </row>
    <row r="29" spans="1:41" customFormat="1" x14ac:dyDescent="0.15">
      <c r="A29" s="180" t="s">
        <v>219</v>
      </c>
      <c r="B29" s="145">
        <v>5.0000000000000001E-3</v>
      </c>
      <c r="C29" s="145">
        <v>3.3000033000032993E-2</v>
      </c>
      <c r="D29" s="145">
        <v>9.9970099970099965E-3</v>
      </c>
      <c r="E29" s="145">
        <v>9.0800817207354854E-3</v>
      </c>
      <c r="F29" s="145">
        <v>5.3172898984397629E-4</v>
      </c>
      <c r="G29" s="145">
        <v>9.9880000000000021E-3</v>
      </c>
      <c r="H29" s="145">
        <v>9.9999900000099996E-4</v>
      </c>
      <c r="I29" s="145">
        <v>2.009004018008036E-3</v>
      </c>
      <c r="J29" s="145">
        <v>1.1799999999999997E-4</v>
      </c>
      <c r="K29" s="145">
        <v>3.125E-2</v>
      </c>
      <c r="L29" s="145">
        <v>1.8932000000000001E-2</v>
      </c>
      <c r="M29" s="145">
        <v>0</v>
      </c>
      <c r="N29" s="145">
        <v>3.8703116109348332E-2</v>
      </c>
      <c r="O29" s="145">
        <v>9.2999999999999999E-2</v>
      </c>
      <c r="P29" s="145">
        <v>0</v>
      </c>
      <c r="Q29" s="145">
        <v>6.9060000006906002E-3</v>
      </c>
      <c r="R29" s="145">
        <v>0</v>
      </c>
      <c r="S29" s="145">
        <v>1.1998976002047997E-2</v>
      </c>
      <c r="T29" s="145">
        <v>4.947936043047043E-2</v>
      </c>
      <c r="U29" s="145">
        <v>2.1934021934021934E-2</v>
      </c>
      <c r="V29" s="145">
        <v>0</v>
      </c>
      <c r="W29" s="145">
        <v>9.9999900000100019E-6</v>
      </c>
      <c r="X29" s="145">
        <v>0</v>
      </c>
      <c r="Y29" s="145">
        <v>0</v>
      </c>
      <c r="Z29" s="145">
        <v>0</v>
      </c>
      <c r="AA29" s="145">
        <v>0</v>
      </c>
      <c r="AB29" s="145">
        <v>0.04</v>
      </c>
      <c r="AC29" s="145">
        <v>0</v>
      </c>
      <c r="AD29" s="145">
        <v>0</v>
      </c>
      <c r="AE29" s="145">
        <v>0</v>
      </c>
      <c r="AF29" s="145">
        <v>0</v>
      </c>
      <c r="AG29" s="145">
        <v>0</v>
      </c>
      <c r="AH29" s="145">
        <v>0</v>
      </c>
      <c r="AI29" s="145">
        <v>0</v>
      </c>
      <c r="AJ29" s="145">
        <v>0</v>
      </c>
      <c r="AK29" s="145">
        <v>0</v>
      </c>
      <c r="AL29" s="145">
        <v>0</v>
      </c>
      <c r="AM29" s="145">
        <v>0</v>
      </c>
      <c r="AN29" s="145">
        <v>0</v>
      </c>
      <c r="AO29" s="145">
        <v>0</v>
      </c>
    </row>
    <row r="30" spans="1:41" customFormat="1" x14ac:dyDescent="0.15">
      <c r="A30" s="180" t="s">
        <v>220</v>
      </c>
      <c r="B30" s="145">
        <v>0</v>
      </c>
      <c r="C30" s="145">
        <v>0</v>
      </c>
      <c r="D30" s="145">
        <v>0</v>
      </c>
      <c r="E30" s="145">
        <v>1.470013230119071E-3</v>
      </c>
      <c r="F30" s="145">
        <v>4.9999999045000021E-5</v>
      </c>
      <c r="G30" s="145">
        <v>0</v>
      </c>
      <c r="H30" s="145">
        <v>0</v>
      </c>
      <c r="I30" s="145">
        <v>1.0000020000040001E-4</v>
      </c>
      <c r="J30" s="145">
        <v>0</v>
      </c>
      <c r="K30" s="145">
        <v>0</v>
      </c>
      <c r="L30" s="145">
        <v>0</v>
      </c>
      <c r="M30" s="145">
        <v>0</v>
      </c>
      <c r="N30" s="145">
        <v>2.4650073950221855E-3</v>
      </c>
      <c r="O30" s="145">
        <v>0</v>
      </c>
      <c r="P30" s="145">
        <v>0</v>
      </c>
      <c r="Q30" s="145">
        <v>0</v>
      </c>
      <c r="R30" s="145">
        <v>0</v>
      </c>
      <c r="S30" s="145">
        <v>8.799982400035201E-5</v>
      </c>
      <c r="T30" s="145">
        <v>8.0392430699414135E-3</v>
      </c>
      <c r="U30" s="145">
        <v>1.994001994001994E-3</v>
      </c>
      <c r="V30" s="145">
        <v>0</v>
      </c>
      <c r="W30" s="145">
        <v>9.9999900000100019E-6</v>
      </c>
      <c r="X30" s="145">
        <v>0</v>
      </c>
      <c r="Y30" s="145">
        <v>0</v>
      </c>
      <c r="Z30" s="145">
        <v>5.1546390479381421E-3</v>
      </c>
      <c r="AA30" s="145">
        <v>0</v>
      </c>
      <c r="AB30" s="145">
        <v>0</v>
      </c>
      <c r="AC30" s="145">
        <v>0</v>
      </c>
      <c r="AD30" s="145">
        <v>0</v>
      </c>
      <c r="AE30" s="145">
        <v>0</v>
      </c>
      <c r="AF30" s="145">
        <v>0</v>
      </c>
      <c r="AG30" s="145">
        <v>0</v>
      </c>
      <c r="AH30" s="145">
        <v>0</v>
      </c>
      <c r="AI30" s="145">
        <v>0</v>
      </c>
      <c r="AJ30" s="145">
        <v>0</v>
      </c>
      <c r="AK30" s="145">
        <v>0</v>
      </c>
      <c r="AL30" s="145">
        <v>0</v>
      </c>
      <c r="AM30" s="145">
        <v>0</v>
      </c>
      <c r="AN30" s="145">
        <v>0</v>
      </c>
      <c r="AO30" s="145">
        <v>0</v>
      </c>
    </row>
    <row r="31" spans="1:41" customFormat="1" x14ac:dyDescent="0.15">
      <c r="A31" s="180" t="s">
        <v>221</v>
      </c>
      <c r="B31" s="145">
        <v>0</v>
      </c>
      <c r="C31" s="145">
        <v>3.3000033000032993E-2</v>
      </c>
      <c r="D31" s="145">
        <v>1.5058015058015057E-2</v>
      </c>
      <c r="E31" s="145">
        <v>5.7190514714632427E-2</v>
      </c>
      <c r="F31" s="145">
        <v>1.4054156531565611E-2</v>
      </c>
      <c r="G31" s="145">
        <v>0</v>
      </c>
      <c r="H31" s="145">
        <v>9.1999908000091983E-5</v>
      </c>
      <c r="I31" s="145">
        <v>7.0330140660281324E-3</v>
      </c>
      <c r="J31" s="145">
        <v>2.7999999999999994E-2</v>
      </c>
      <c r="K31" s="145">
        <v>6.25E-2</v>
      </c>
      <c r="L31" s="145">
        <v>0.14266400000000001</v>
      </c>
      <c r="M31" s="145">
        <v>4.9620049620049626E-3</v>
      </c>
      <c r="N31" s="145">
        <v>0.1190873572620718</v>
      </c>
      <c r="O31" s="145">
        <v>1.9E-2</v>
      </c>
      <c r="P31" s="145">
        <v>0</v>
      </c>
      <c r="Q31" s="145">
        <v>9.8699990009869991E-4</v>
      </c>
      <c r="R31" s="145">
        <v>0</v>
      </c>
      <c r="S31" s="145">
        <v>2.9099941800116407E-4</v>
      </c>
      <c r="T31" s="145">
        <v>1.2915910112368416E-2</v>
      </c>
      <c r="U31" s="145">
        <v>4.2872042872042875E-2</v>
      </c>
      <c r="V31" s="145">
        <v>1.918007809040996E-2</v>
      </c>
      <c r="W31" s="145">
        <v>2.7024972975027029E-2</v>
      </c>
      <c r="X31" s="145">
        <v>0</v>
      </c>
      <c r="Y31" s="145">
        <v>0</v>
      </c>
      <c r="Z31" s="145">
        <v>0</v>
      </c>
      <c r="AA31" s="145">
        <v>0</v>
      </c>
      <c r="AB31" s="145">
        <v>0</v>
      </c>
      <c r="AC31" s="145">
        <v>1.1666655760176895E-2</v>
      </c>
      <c r="AD31" s="145">
        <v>2.5349025349025351E-2</v>
      </c>
      <c r="AE31" s="145">
        <v>0</v>
      </c>
      <c r="AF31" s="145">
        <v>0</v>
      </c>
      <c r="AG31" s="145">
        <v>0</v>
      </c>
      <c r="AH31" s="145">
        <v>0</v>
      </c>
      <c r="AI31" s="145">
        <v>0</v>
      </c>
      <c r="AJ31" s="145">
        <v>0</v>
      </c>
      <c r="AK31" s="145">
        <v>0</v>
      </c>
      <c r="AL31" s="145">
        <v>0</v>
      </c>
      <c r="AM31" s="145">
        <v>0</v>
      </c>
      <c r="AN31" s="145">
        <v>0</v>
      </c>
      <c r="AO31" s="145">
        <v>0</v>
      </c>
    </row>
    <row r="32" spans="1:41" customFormat="1" x14ac:dyDescent="0.15">
      <c r="A32" s="180" t="s">
        <v>222</v>
      </c>
      <c r="B32" s="145">
        <v>0</v>
      </c>
      <c r="C32" s="145">
        <v>5.0000050000049989E-4</v>
      </c>
      <c r="D32" s="145">
        <v>1.5058015058015057E-2</v>
      </c>
      <c r="E32" s="145">
        <v>8.4520760686846177E-2</v>
      </c>
      <c r="F32" s="145">
        <v>0.11294539784274291</v>
      </c>
      <c r="G32" s="145">
        <v>8.9890000000000022E-3</v>
      </c>
      <c r="H32" s="145">
        <v>3.9999960000039997E-2</v>
      </c>
      <c r="I32" s="145">
        <v>2.8635057270114544E-2</v>
      </c>
      <c r="J32" s="145">
        <v>2.8999999999999995E-2</v>
      </c>
      <c r="K32" s="145">
        <v>9.375E-2</v>
      </c>
      <c r="L32" s="145">
        <v>0.30873899999999999</v>
      </c>
      <c r="M32" s="145">
        <v>8.3361083361083374E-2</v>
      </c>
      <c r="N32" s="145">
        <v>5.8551175653526966E-2</v>
      </c>
      <c r="O32" s="145">
        <v>1.7000000000000001E-2</v>
      </c>
      <c r="P32" s="145">
        <v>0.27900000000000003</v>
      </c>
      <c r="Q32" s="145">
        <v>3.0585000003058502E-2</v>
      </c>
      <c r="R32" s="145">
        <v>2.8000000000000001E-2</v>
      </c>
      <c r="S32" s="145">
        <v>6.1994876010247994E-2</v>
      </c>
      <c r="T32" s="145">
        <v>0.31001988369717298</v>
      </c>
      <c r="U32" s="145">
        <v>8.2752082752082762E-2</v>
      </c>
      <c r="V32" s="145">
        <v>0.15781825792109086</v>
      </c>
      <c r="W32" s="145">
        <v>5.0045949954050054E-2</v>
      </c>
      <c r="X32" s="145">
        <v>1E-3</v>
      </c>
      <c r="Y32" s="145">
        <v>9.9000099000098993E-5</v>
      </c>
      <c r="Z32" s="145">
        <v>0</v>
      </c>
      <c r="AA32" s="145">
        <v>4.5999999999999999E-2</v>
      </c>
      <c r="AB32" s="145">
        <v>0</v>
      </c>
      <c r="AC32" s="145">
        <v>0</v>
      </c>
      <c r="AD32" s="145">
        <v>8.5112085112085109E-2</v>
      </c>
      <c r="AE32" s="145">
        <v>0</v>
      </c>
      <c r="AF32" s="145">
        <v>0</v>
      </c>
      <c r="AG32" s="145">
        <v>0</v>
      </c>
      <c r="AH32" s="145">
        <v>0</v>
      </c>
      <c r="AI32" s="145">
        <v>0</v>
      </c>
      <c r="AJ32" s="145">
        <v>0</v>
      </c>
      <c r="AK32" s="145">
        <v>0</v>
      </c>
      <c r="AL32" s="145">
        <v>0</v>
      </c>
      <c r="AM32" s="145">
        <v>0</v>
      </c>
      <c r="AN32" s="145">
        <v>0</v>
      </c>
      <c r="AO32" s="145">
        <v>0</v>
      </c>
    </row>
    <row r="33" spans="1:41" customFormat="1" x14ac:dyDescent="0.15">
      <c r="A33" s="180" t="s">
        <v>223</v>
      </c>
      <c r="B33" s="145">
        <v>0</v>
      </c>
      <c r="C33" s="145">
        <v>0</v>
      </c>
      <c r="D33" s="145">
        <v>1.5058015058015057E-2</v>
      </c>
      <c r="E33" s="145">
        <v>2.6720240482164339E-2</v>
      </c>
      <c r="F33" s="145">
        <v>2.0437357509646474E-2</v>
      </c>
      <c r="G33" s="145">
        <v>0</v>
      </c>
      <c r="H33" s="145">
        <v>0</v>
      </c>
      <c r="I33" s="145">
        <v>0.42248684497368993</v>
      </c>
      <c r="J33" s="145">
        <v>0.79531699999999983</v>
      </c>
      <c r="K33" s="145">
        <v>3.1250000000000002E-3</v>
      </c>
      <c r="L33" s="145">
        <v>6.7609999999999996E-3</v>
      </c>
      <c r="M33" s="145">
        <v>5.1604051604051605E-2</v>
      </c>
      <c r="N33" s="145">
        <v>3.4700104100312304E-4</v>
      </c>
      <c r="O33" s="145">
        <v>0</v>
      </c>
      <c r="P33" s="145">
        <v>0</v>
      </c>
      <c r="Q33" s="145">
        <v>0</v>
      </c>
      <c r="R33" s="145">
        <v>0</v>
      </c>
      <c r="S33" s="145">
        <v>0</v>
      </c>
      <c r="T33" s="145">
        <v>2.0064600174562023E-5</v>
      </c>
      <c r="U33" s="145">
        <v>0.26819726819726825</v>
      </c>
      <c r="V33" s="145">
        <v>4.4997002877501496E-2</v>
      </c>
      <c r="W33" s="145">
        <v>9.0082909917090087E-2</v>
      </c>
      <c r="X33" s="145">
        <v>0</v>
      </c>
      <c r="Y33" s="145">
        <v>4.6410046410046406E-3</v>
      </c>
      <c r="Z33" s="145">
        <v>0</v>
      </c>
      <c r="AA33" s="145">
        <v>0</v>
      </c>
      <c r="AB33" s="145">
        <v>0</v>
      </c>
      <c r="AC33" s="145">
        <v>0</v>
      </c>
      <c r="AD33" s="145">
        <v>0.243000243000243</v>
      </c>
      <c r="AE33" s="145">
        <v>0.15284715284715286</v>
      </c>
      <c r="AF33" s="145">
        <v>0</v>
      </c>
      <c r="AG33" s="145">
        <v>0</v>
      </c>
      <c r="AH33" s="145">
        <v>0</v>
      </c>
      <c r="AI33" s="145">
        <v>0</v>
      </c>
      <c r="AJ33" s="145">
        <v>0</v>
      </c>
      <c r="AK33" s="145">
        <v>0</v>
      </c>
      <c r="AL33" s="145">
        <v>0</v>
      </c>
      <c r="AM33" s="145">
        <v>0</v>
      </c>
      <c r="AN33" s="145">
        <v>0</v>
      </c>
      <c r="AO33" s="145">
        <v>0</v>
      </c>
    </row>
    <row r="34" spans="1:41" customFormat="1" x14ac:dyDescent="0.15">
      <c r="A34" s="180" t="s">
        <v>224</v>
      </c>
      <c r="B34" s="145">
        <v>0</v>
      </c>
      <c r="C34" s="145">
        <v>2.1105021105021101E-2</v>
      </c>
      <c r="D34" s="145">
        <v>1.5058015058015057E-2</v>
      </c>
      <c r="E34" s="145">
        <v>3.2020288182593643E-2</v>
      </c>
      <c r="F34" s="145">
        <v>5.6982138911641146E-2</v>
      </c>
      <c r="G34" s="145">
        <v>0</v>
      </c>
      <c r="H34" s="145">
        <v>0</v>
      </c>
      <c r="I34" s="145">
        <v>9.8463196926393853E-2</v>
      </c>
      <c r="J34" s="145">
        <v>2.7999999999999994E-2</v>
      </c>
      <c r="K34" s="145">
        <v>0</v>
      </c>
      <c r="L34" s="145">
        <v>1.8256000000000001E-2</v>
      </c>
      <c r="M34" s="145">
        <v>0.6222286222286223</v>
      </c>
      <c r="N34" s="145">
        <v>0.42970628911886738</v>
      </c>
      <c r="O34" s="145">
        <v>8.0000000000000002E-3</v>
      </c>
      <c r="P34" s="145">
        <v>0</v>
      </c>
      <c r="Q34" s="145">
        <v>1.08530000010853E-2</v>
      </c>
      <c r="R34" s="145">
        <v>0</v>
      </c>
      <c r="S34" s="145">
        <v>0</v>
      </c>
      <c r="T34" s="145">
        <v>1.12306206977064E-2</v>
      </c>
      <c r="U34" s="145">
        <v>6.9790069790069791E-3</v>
      </c>
      <c r="V34" s="145">
        <v>0.3589043618205478</v>
      </c>
      <c r="W34" s="145">
        <v>0.1881728118271882</v>
      </c>
      <c r="X34" s="145">
        <v>1E-3</v>
      </c>
      <c r="Y34" s="145">
        <v>0</v>
      </c>
      <c r="Z34" s="145">
        <v>0</v>
      </c>
      <c r="AA34" s="145">
        <v>0</v>
      </c>
      <c r="AB34" s="145">
        <v>0</v>
      </c>
      <c r="AC34" s="145">
        <v>0</v>
      </c>
      <c r="AD34" s="145">
        <v>0.10800010800010801</v>
      </c>
      <c r="AE34" s="145">
        <v>0.14385614385614387</v>
      </c>
      <c r="AF34" s="145">
        <v>1.4999999999999999E-2</v>
      </c>
      <c r="AG34" s="145">
        <v>0</v>
      </c>
      <c r="AH34" s="145">
        <v>0</v>
      </c>
      <c r="AI34" s="145">
        <v>0</v>
      </c>
      <c r="AJ34" s="145">
        <v>0</v>
      </c>
      <c r="AK34" s="145">
        <v>0</v>
      </c>
      <c r="AL34" s="145">
        <v>0</v>
      </c>
      <c r="AM34" s="145">
        <v>0</v>
      </c>
      <c r="AN34" s="145">
        <v>0</v>
      </c>
      <c r="AO34" s="145">
        <v>0</v>
      </c>
    </row>
    <row r="35" spans="1:41" customFormat="1" x14ac:dyDescent="0.15">
      <c r="A35" s="180" t="s">
        <v>225</v>
      </c>
      <c r="B35" s="145">
        <v>0</v>
      </c>
      <c r="C35" s="145">
        <v>2.1105021105021101E-2</v>
      </c>
      <c r="D35" s="145">
        <v>1.5058015058015057E-2</v>
      </c>
      <c r="E35" s="145">
        <v>7.0370633335700011E-2</v>
      </c>
      <c r="F35" s="145">
        <v>4.771715908860226E-2</v>
      </c>
      <c r="G35" s="145">
        <v>0</v>
      </c>
      <c r="H35" s="145">
        <v>0</v>
      </c>
      <c r="I35" s="145">
        <v>4.621709243418487E-2</v>
      </c>
      <c r="J35" s="145">
        <v>4.5999999999999992E-2</v>
      </c>
      <c r="K35" s="145">
        <v>0</v>
      </c>
      <c r="L35" s="145">
        <v>6.7609999999999996E-3</v>
      </c>
      <c r="M35" s="145">
        <v>1.4886014886014886E-2</v>
      </c>
      <c r="N35" s="145">
        <v>7.6414229242687731E-2</v>
      </c>
      <c r="O35" s="145">
        <v>3.3000000000000002E-2</v>
      </c>
      <c r="P35" s="145">
        <v>0</v>
      </c>
      <c r="Q35" s="145">
        <v>0</v>
      </c>
      <c r="R35" s="145">
        <v>0</v>
      </c>
      <c r="S35" s="145">
        <v>0</v>
      </c>
      <c r="T35" s="145">
        <v>4.7962600417274617E-4</v>
      </c>
      <c r="U35" s="145">
        <v>0.1665011665011665</v>
      </c>
      <c r="V35" s="145">
        <v>5.9805914770097036E-2</v>
      </c>
      <c r="W35" s="145">
        <v>8.0069919930080072E-3</v>
      </c>
      <c r="X35" s="145">
        <v>0</v>
      </c>
      <c r="Y35" s="145">
        <v>0</v>
      </c>
      <c r="Z35" s="145">
        <v>0</v>
      </c>
      <c r="AA35" s="145">
        <v>0</v>
      </c>
      <c r="AB35" s="145">
        <v>0</v>
      </c>
      <c r="AC35" s="145">
        <v>0</v>
      </c>
      <c r="AD35" s="145">
        <v>6.8360068360068362E-3</v>
      </c>
      <c r="AE35" s="145">
        <v>1.1988011988011988E-2</v>
      </c>
      <c r="AF35" s="145">
        <v>0</v>
      </c>
      <c r="AG35" s="145">
        <v>0</v>
      </c>
      <c r="AH35" s="145">
        <v>0</v>
      </c>
      <c r="AI35" s="145">
        <v>0</v>
      </c>
      <c r="AJ35" s="145">
        <v>0</v>
      </c>
      <c r="AK35" s="145">
        <v>0</v>
      </c>
      <c r="AL35" s="145">
        <v>0</v>
      </c>
      <c r="AM35" s="145">
        <v>0</v>
      </c>
      <c r="AN35" s="145">
        <v>0</v>
      </c>
      <c r="AO35" s="145">
        <v>0</v>
      </c>
    </row>
    <row r="36" spans="1:41" customFormat="1" x14ac:dyDescent="0.15">
      <c r="A36" s="180" t="s">
        <v>226</v>
      </c>
      <c r="B36" s="145">
        <v>0</v>
      </c>
      <c r="C36" s="145">
        <v>7.3549073549073543E-2</v>
      </c>
      <c r="D36" s="145">
        <v>1.5058015058015057E-2</v>
      </c>
      <c r="E36" s="145">
        <v>0.10014090126811141</v>
      </c>
      <c r="F36" s="145">
        <v>0.17039803874539747</v>
      </c>
      <c r="G36" s="145">
        <v>9.6885000000000013E-2</v>
      </c>
      <c r="H36" s="145">
        <v>7.4999925000074985E-3</v>
      </c>
      <c r="I36" s="145">
        <v>7.5354150708301426E-2</v>
      </c>
      <c r="J36" s="145">
        <v>1.6999999999999998E-2</v>
      </c>
      <c r="K36" s="145">
        <v>0</v>
      </c>
      <c r="L36" s="145">
        <v>0</v>
      </c>
      <c r="M36" s="145">
        <v>4.6642046642046645E-2</v>
      </c>
      <c r="N36" s="145">
        <v>2.3817071451214356E-2</v>
      </c>
      <c r="O36" s="145">
        <v>0.111</v>
      </c>
      <c r="P36" s="145">
        <v>8.0000000000000002E-3</v>
      </c>
      <c r="Q36" s="145">
        <v>2.7625000002762499E-2</v>
      </c>
      <c r="R36" s="145">
        <v>0</v>
      </c>
      <c r="S36" s="145">
        <v>6.9989860020279971E-3</v>
      </c>
      <c r="T36" s="145">
        <v>4.7999147717592588E-2</v>
      </c>
      <c r="U36" s="145">
        <v>5.4836054836054839E-2</v>
      </c>
      <c r="V36" s="145">
        <v>3.5146005482426995E-2</v>
      </c>
      <c r="W36" s="145">
        <v>0.47743952256047745</v>
      </c>
      <c r="X36" s="145">
        <v>0</v>
      </c>
      <c r="Y36" s="145">
        <v>3.8776038776038774E-2</v>
      </c>
      <c r="Z36" s="145">
        <v>5.1546390479381421E-3</v>
      </c>
      <c r="AA36" s="145">
        <v>0.1</v>
      </c>
      <c r="AB36" s="145">
        <v>0</v>
      </c>
      <c r="AC36" s="145">
        <v>0</v>
      </c>
      <c r="AD36" s="145">
        <v>0.28398828398828402</v>
      </c>
      <c r="AE36" s="145">
        <v>0.43456543456543456</v>
      </c>
      <c r="AF36" s="145">
        <v>1.4999999999999999E-2</v>
      </c>
      <c r="AG36" s="145">
        <v>0</v>
      </c>
      <c r="AH36" s="145">
        <v>0</v>
      </c>
      <c r="AI36" s="145">
        <v>0</v>
      </c>
      <c r="AJ36" s="145">
        <v>0</v>
      </c>
      <c r="AK36" s="145">
        <v>0</v>
      </c>
      <c r="AL36" s="145">
        <v>0</v>
      </c>
      <c r="AM36" s="145">
        <v>0</v>
      </c>
      <c r="AN36" s="145">
        <v>0</v>
      </c>
      <c r="AO36" s="145">
        <v>0</v>
      </c>
    </row>
    <row r="37" spans="1:41" customFormat="1" x14ac:dyDescent="0.15">
      <c r="A37" s="180" t="s">
        <v>227</v>
      </c>
      <c r="B37" s="145">
        <v>0.60499999999999998</v>
      </c>
      <c r="C37" s="145">
        <v>0</v>
      </c>
      <c r="D37" s="145">
        <v>0.43197743197743194</v>
      </c>
      <c r="E37" s="145">
        <v>0.26638239744157693</v>
      </c>
      <c r="F37" s="145">
        <v>0.50726439031125004</v>
      </c>
      <c r="G37" s="145">
        <v>0.40052400000000005</v>
      </c>
      <c r="H37" s="145">
        <v>0.80799919200080794</v>
      </c>
      <c r="I37" s="145">
        <v>0.18285936571873143</v>
      </c>
      <c r="J37" s="145">
        <v>4.6999999999999986E-2</v>
      </c>
      <c r="K37" s="145">
        <v>0</v>
      </c>
      <c r="L37" s="145">
        <v>0.1482</v>
      </c>
      <c r="M37" s="145">
        <v>0.1687061687061687</v>
      </c>
      <c r="N37" s="145">
        <v>3.7711113133339406E-2</v>
      </c>
      <c r="O37" s="145">
        <v>0.28000000000000003</v>
      </c>
      <c r="P37" s="145">
        <v>0.67300000000000004</v>
      </c>
      <c r="Q37" s="145">
        <v>0.67582700006758267</v>
      </c>
      <c r="R37" s="145">
        <v>0.58499999999999996</v>
      </c>
      <c r="S37" s="145">
        <v>6.9899860200279607E-4</v>
      </c>
      <c r="T37" s="145">
        <v>4.3506492278506483E-2</v>
      </c>
      <c r="U37" s="145">
        <v>0.11465711465711466</v>
      </c>
      <c r="V37" s="145">
        <v>0.28380809985809596</v>
      </c>
      <c r="W37" s="145">
        <v>7.6069923930076069E-2</v>
      </c>
      <c r="X37" s="145">
        <v>0.434</v>
      </c>
      <c r="Y37" s="145">
        <v>0.20780120780120781</v>
      </c>
      <c r="Z37" s="145">
        <v>5.1546390479381421E-3</v>
      </c>
      <c r="AA37" s="145">
        <v>0.51300000000000001</v>
      </c>
      <c r="AB37" s="145">
        <v>0.45900000000000002</v>
      </c>
      <c r="AC37" s="145">
        <v>0.35821966409742101</v>
      </c>
      <c r="AD37" s="145">
        <v>0.14771414771414773</v>
      </c>
      <c r="AE37" s="145">
        <v>0.15684315684315686</v>
      </c>
      <c r="AF37" s="145">
        <v>0.12</v>
      </c>
      <c r="AG37" s="145">
        <v>0</v>
      </c>
      <c r="AH37" s="145">
        <v>0</v>
      </c>
      <c r="AI37" s="145">
        <v>0</v>
      </c>
      <c r="AJ37" s="145">
        <v>0</v>
      </c>
      <c r="AK37" s="145">
        <v>0.02</v>
      </c>
      <c r="AL37" s="145">
        <v>0</v>
      </c>
      <c r="AM37" s="145">
        <v>0</v>
      </c>
      <c r="AN37" s="145">
        <v>0</v>
      </c>
      <c r="AO37" s="145">
        <v>0</v>
      </c>
    </row>
    <row r="38" spans="1:41" customFormat="1" x14ac:dyDescent="0.15">
      <c r="A38" s="180" t="s">
        <v>228</v>
      </c>
      <c r="B38" s="145">
        <v>8.2000000000000003E-2</v>
      </c>
      <c r="C38" s="145">
        <v>0</v>
      </c>
      <c r="D38" s="145">
        <v>0</v>
      </c>
      <c r="E38" s="145">
        <v>1.1790106110954999E-2</v>
      </c>
      <c r="F38" s="145">
        <v>1.9231349632681222E-2</v>
      </c>
      <c r="G38" s="145">
        <v>9.9900000000000032E-4</v>
      </c>
      <c r="H38" s="145">
        <v>9.9999900000099996E-4</v>
      </c>
      <c r="I38" s="145">
        <v>3.7175074350148704E-2</v>
      </c>
      <c r="J38" s="145">
        <v>0</v>
      </c>
      <c r="K38" s="145">
        <v>0</v>
      </c>
      <c r="L38" s="145">
        <v>0</v>
      </c>
      <c r="M38" s="145">
        <v>0</v>
      </c>
      <c r="N38" s="145">
        <v>1.5878047634142904E-2</v>
      </c>
      <c r="O38" s="145">
        <v>1.2999999999999999E-2</v>
      </c>
      <c r="P38" s="145">
        <v>0.04</v>
      </c>
      <c r="Q38" s="145">
        <v>2.2692000002269199E-2</v>
      </c>
      <c r="R38" s="145">
        <v>0.30399999999999999</v>
      </c>
      <c r="S38" s="145">
        <v>0</v>
      </c>
      <c r="T38" s="145">
        <v>0</v>
      </c>
      <c r="U38" s="145">
        <v>1.0967010967010967E-2</v>
      </c>
      <c r="V38" s="145">
        <v>0</v>
      </c>
      <c r="W38" s="145">
        <v>5.1046948953051056E-2</v>
      </c>
      <c r="X38" s="145">
        <v>0.54400000000000004</v>
      </c>
      <c r="Y38" s="145">
        <v>0.70791770791770792</v>
      </c>
      <c r="Z38" s="145">
        <v>0</v>
      </c>
      <c r="AA38" s="145">
        <v>0.34100000000000003</v>
      </c>
      <c r="AB38" s="145">
        <v>0.45</v>
      </c>
      <c r="AC38" s="145">
        <v>0.19949981292902547</v>
      </c>
      <c r="AD38" s="145">
        <v>0</v>
      </c>
      <c r="AE38" s="145">
        <v>0</v>
      </c>
      <c r="AF38" s="145">
        <v>0.24</v>
      </c>
      <c r="AG38" s="145">
        <v>0</v>
      </c>
      <c r="AH38" s="145">
        <v>0</v>
      </c>
      <c r="AI38" s="145">
        <v>0</v>
      </c>
      <c r="AJ38" s="145">
        <v>0</v>
      </c>
      <c r="AK38" s="145">
        <v>0.43</v>
      </c>
      <c r="AL38" s="145">
        <v>0</v>
      </c>
      <c r="AM38" s="145">
        <v>0</v>
      </c>
      <c r="AN38" s="145">
        <v>0</v>
      </c>
      <c r="AO38" s="145">
        <v>0</v>
      </c>
    </row>
    <row r="39" spans="1:41" x14ac:dyDescent="0.15">
      <c r="A39" s="180" t="s">
        <v>229</v>
      </c>
      <c r="B39" s="145">
        <v>0</v>
      </c>
      <c r="C39" s="145">
        <v>0</v>
      </c>
      <c r="D39" s="145">
        <v>0</v>
      </c>
      <c r="E39" s="145">
        <v>0</v>
      </c>
      <c r="F39" s="145">
        <v>0</v>
      </c>
      <c r="G39" s="145">
        <v>0</v>
      </c>
      <c r="H39" s="145">
        <v>0</v>
      </c>
      <c r="I39" s="145">
        <v>0</v>
      </c>
      <c r="J39" s="145">
        <v>0</v>
      </c>
      <c r="K39" s="145">
        <v>0</v>
      </c>
      <c r="L39" s="145">
        <v>0</v>
      </c>
      <c r="M39" s="145">
        <v>0</v>
      </c>
      <c r="N39" s="145">
        <v>0</v>
      </c>
      <c r="O39" s="145">
        <v>0</v>
      </c>
      <c r="P39" s="145">
        <v>0</v>
      </c>
      <c r="Q39" s="145">
        <v>0</v>
      </c>
      <c r="R39" s="145">
        <v>0</v>
      </c>
      <c r="S39" s="145">
        <v>0</v>
      </c>
      <c r="T39" s="145">
        <v>0</v>
      </c>
      <c r="U39" s="145">
        <v>0</v>
      </c>
      <c r="V39" s="145">
        <v>0</v>
      </c>
      <c r="W39" s="145">
        <v>9.9999900000100019E-6</v>
      </c>
      <c r="X39" s="145">
        <v>0</v>
      </c>
      <c r="Y39" s="145">
        <v>0</v>
      </c>
      <c r="Z39" s="145">
        <v>0</v>
      </c>
      <c r="AA39" s="145">
        <v>0</v>
      </c>
      <c r="AB39" s="145">
        <v>0</v>
      </c>
      <c r="AC39" s="145">
        <v>0</v>
      </c>
      <c r="AD39" s="145">
        <v>0</v>
      </c>
      <c r="AE39" s="145">
        <v>0</v>
      </c>
      <c r="AF39" s="145">
        <v>8.5000000000000006E-2</v>
      </c>
      <c r="AG39" s="145">
        <v>0</v>
      </c>
      <c r="AH39" s="145">
        <v>0</v>
      </c>
      <c r="AI39" s="145">
        <v>0.5</v>
      </c>
      <c r="AJ39" s="145">
        <v>0</v>
      </c>
      <c r="AK39" s="145">
        <v>0.37</v>
      </c>
      <c r="AL39" s="145">
        <v>1</v>
      </c>
      <c r="AM39" s="145">
        <v>0</v>
      </c>
      <c r="AN39" s="145">
        <v>0</v>
      </c>
      <c r="AO39" s="145">
        <v>0</v>
      </c>
    </row>
    <row r="40" spans="1:41" x14ac:dyDescent="0.15">
      <c r="A40" s="180" t="s">
        <v>230</v>
      </c>
      <c r="B40" s="145">
        <v>0</v>
      </c>
      <c r="C40" s="145">
        <v>0</v>
      </c>
      <c r="D40" s="145">
        <v>0.16524816524816524</v>
      </c>
      <c r="E40" s="145">
        <v>0</v>
      </c>
      <c r="F40" s="145">
        <v>0</v>
      </c>
      <c r="G40" s="145">
        <v>0</v>
      </c>
      <c r="H40" s="145">
        <v>0</v>
      </c>
      <c r="I40" s="145">
        <v>0</v>
      </c>
      <c r="J40" s="145">
        <v>0</v>
      </c>
      <c r="K40" s="145">
        <v>0</v>
      </c>
      <c r="L40" s="145">
        <v>0</v>
      </c>
      <c r="M40" s="145">
        <v>0</v>
      </c>
      <c r="N40" s="145">
        <v>0</v>
      </c>
      <c r="O40" s="145">
        <v>0</v>
      </c>
      <c r="P40" s="145">
        <v>0</v>
      </c>
      <c r="Q40" s="145">
        <v>0</v>
      </c>
      <c r="R40" s="145">
        <v>0</v>
      </c>
      <c r="S40" s="145">
        <v>0</v>
      </c>
      <c r="T40" s="145">
        <v>0</v>
      </c>
      <c r="U40" s="145">
        <v>9.9700099700099701E-4</v>
      </c>
      <c r="V40" s="145">
        <v>0</v>
      </c>
      <c r="W40" s="145">
        <v>0</v>
      </c>
      <c r="X40" s="145">
        <v>0</v>
      </c>
      <c r="Y40" s="145">
        <v>3.9771039771039768E-2</v>
      </c>
      <c r="Z40" s="145">
        <v>0</v>
      </c>
      <c r="AA40" s="145">
        <v>0</v>
      </c>
      <c r="AB40" s="145">
        <v>0</v>
      </c>
      <c r="AC40" s="145">
        <v>0</v>
      </c>
      <c r="AD40" s="145">
        <v>0.10000010000010001</v>
      </c>
      <c r="AE40" s="145">
        <v>9.9900099900099903E-2</v>
      </c>
      <c r="AF40" s="145">
        <v>0.52500000000000002</v>
      </c>
      <c r="AG40" s="145">
        <v>1</v>
      </c>
      <c r="AH40" s="145">
        <v>1</v>
      </c>
      <c r="AI40" s="145">
        <v>0.5</v>
      </c>
      <c r="AJ40" s="145">
        <v>1</v>
      </c>
      <c r="AK40" s="145">
        <v>0.18</v>
      </c>
      <c r="AL40" s="145">
        <v>0</v>
      </c>
      <c r="AM40" s="145">
        <v>0</v>
      </c>
      <c r="AN40" s="145">
        <v>0</v>
      </c>
      <c r="AO40" s="145">
        <v>0</v>
      </c>
    </row>
    <row r="41" spans="1:41" x14ac:dyDescent="0.15">
      <c r="A41" s="180" t="s">
        <v>231</v>
      </c>
      <c r="B41" s="145">
        <v>0</v>
      </c>
      <c r="C41" s="145">
        <v>0</v>
      </c>
      <c r="D41" s="145">
        <v>0</v>
      </c>
      <c r="E41" s="145">
        <v>0</v>
      </c>
      <c r="F41" s="145">
        <v>0</v>
      </c>
      <c r="G41" s="145">
        <v>0</v>
      </c>
      <c r="H41" s="145">
        <v>0</v>
      </c>
      <c r="I41" s="145">
        <v>0</v>
      </c>
      <c r="J41" s="145">
        <v>0</v>
      </c>
      <c r="K41" s="145">
        <v>0</v>
      </c>
      <c r="L41" s="145">
        <v>0</v>
      </c>
      <c r="M41" s="145">
        <v>0</v>
      </c>
      <c r="N41" s="145">
        <v>0</v>
      </c>
      <c r="O41" s="145">
        <v>0</v>
      </c>
      <c r="P41" s="145">
        <v>0</v>
      </c>
      <c r="Q41" s="145">
        <v>0</v>
      </c>
      <c r="R41" s="145">
        <v>0</v>
      </c>
      <c r="S41" s="145">
        <v>0</v>
      </c>
      <c r="T41" s="145">
        <v>0</v>
      </c>
      <c r="U41" s="145">
        <v>0</v>
      </c>
      <c r="V41" s="145">
        <v>0</v>
      </c>
      <c r="W41" s="145">
        <v>0</v>
      </c>
      <c r="X41" s="145">
        <v>0</v>
      </c>
      <c r="Y41" s="145">
        <v>0</v>
      </c>
      <c r="Z41" s="145">
        <v>0</v>
      </c>
      <c r="AA41" s="145">
        <v>0</v>
      </c>
      <c r="AB41" s="145">
        <v>0</v>
      </c>
      <c r="AC41" s="145">
        <v>0</v>
      </c>
      <c r="AD41" s="145">
        <v>0</v>
      </c>
      <c r="AE41" s="145">
        <v>0</v>
      </c>
      <c r="AF41" s="145">
        <v>0</v>
      </c>
      <c r="AG41" s="145">
        <v>0</v>
      </c>
      <c r="AH41" s="145">
        <v>0</v>
      </c>
      <c r="AI41" s="145">
        <v>0</v>
      </c>
      <c r="AJ41" s="145">
        <v>0</v>
      </c>
      <c r="AK41" s="145">
        <v>0</v>
      </c>
      <c r="AL41" s="145">
        <v>0</v>
      </c>
      <c r="AM41" s="145">
        <v>0</v>
      </c>
      <c r="AN41" s="145">
        <v>0</v>
      </c>
      <c r="AO41" s="145">
        <v>0</v>
      </c>
    </row>
    <row r="42" spans="1:41" x14ac:dyDescent="0.15">
      <c r="A42" s="180" t="s">
        <v>244</v>
      </c>
      <c r="B42" s="145">
        <v>0.12</v>
      </c>
      <c r="C42" s="145">
        <v>0</v>
      </c>
      <c r="D42" s="145">
        <v>0.16524816524816524</v>
      </c>
      <c r="E42" s="145">
        <v>0</v>
      </c>
      <c r="F42" s="145">
        <v>0</v>
      </c>
      <c r="G42" s="145">
        <v>0.30896300000000004</v>
      </c>
      <c r="H42" s="145">
        <v>9.7553902446097546E-2</v>
      </c>
      <c r="I42" s="145">
        <v>0</v>
      </c>
      <c r="J42" s="145">
        <v>0</v>
      </c>
      <c r="K42" s="145">
        <v>0</v>
      </c>
      <c r="L42" s="145">
        <v>0</v>
      </c>
      <c r="M42" s="145">
        <v>0</v>
      </c>
      <c r="N42" s="145">
        <v>0</v>
      </c>
      <c r="O42" s="145">
        <v>0</v>
      </c>
      <c r="P42" s="145">
        <v>0</v>
      </c>
      <c r="Q42" s="145">
        <v>0</v>
      </c>
      <c r="R42" s="145">
        <v>0</v>
      </c>
      <c r="S42" s="145">
        <v>0</v>
      </c>
      <c r="T42" s="145">
        <v>0</v>
      </c>
      <c r="U42" s="145">
        <v>0</v>
      </c>
      <c r="V42" s="145">
        <v>0</v>
      </c>
      <c r="W42" s="145">
        <v>0</v>
      </c>
      <c r="X42" s="145">
        <v>0</v>
      </c>
      <c r="Y42" s="145">
        <v>0</v>
      </c>
      <c r="Z42" s="145">
        <v>0.41752577188298967</v>
      </c>
      <c r="AA42" s="145">
        <v>0</v>
      </c>
      <c r="AB42" s="145">
        <v>0</v>
      </c>
      <c r="AC42" s="145">
        <v>0.34335967803162998</v>
      </c>
      <c r="AD42" s="145">
        <v>0</v>
      </c>
      <c r="AE42" s="145">
        <v>0</v>
      </c>
      <c r="AF42" s="145">
        <v>0</v>
      </c>
      <c r="AG42" s="145">
        <v>0</v>
      </c>
      <c r="AH42" s="145">
        <v>0</v>
      </c>
      <c r="AI42" s="145">
        <v>0</v>
      </c>
      <c r="AJ42" s="145">
        <v>0</v>
      </c>
      <c r="AK42" s="145">
        <v>0</v>
      </c>
      <c r="AL42" s="145">
        <v>0</v>
      </c>
      <c r="AM42" s="145">
        <v>0</v>
      </c>
      <c r="AN42" s="145">
        <v>0</v>
      </c>
      <c r="AO42" s="145">
        <v>0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tabSelected="1" workbookViewId="0">
      <pane xSplit="2" ySplit="1" topLeftCell="C35" activePane="bottomRight" state="frozen"/>
      <selection pane="topRight" activeCell="C1" sqref="C1"/>
      <selection pane="bottomLeft" activeCell="A2" sqref="A2"/>
      <selection pane="bottomRight" activeCell="H45" sqref="H45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12.6640625" style="114" customWidth="1"/>
    <col min="5" max="6" width="12.6640625" style="113" customWidth="1"/>
    <col min="7" max="8" width="8.83203125" style="114"/>
  </cols>
  <sheetData>
    <row r="1" spans="1:8" ht="70" x14ac:dyDescent="0.15">
      <c r="A1" s="5" t="s">
        <v>20</v>
      </c>
      <c r="B1" s="1" t="s">
        <v>0</v>
      </c>
      <c r="C1" s="183" t="s">
        <v>230</v>
      </c>
      <c r="D1" s="183" t="s">
        <v>231</v>
      </c>
      <c r="E1" s="183" t="s">
        <v>245</v>
      </c>
      <c r="F1" s="183" t="s">
        <v>246</v>
      </c>
      <c r="G1"/>
      <c r="H1"/>
    </row>
    <row r="2" spans="1:8" x14ac:dyDescent="0.15">
      <c r="A2">
        <v>1</v>
      </c>
      <c r="B2" s="182" t="s">
        <v>192</v>
      </c>
      <c r="C2" s="114">
        <v>1</v>
      </c>
      <c r="D2" s="114">
        <v>0</v>
      </c>
      <c r="E2" s="113">
        <v>0</v>
      </c>
      <c r="F2" s="113">
        <v>1</v>
      </c>
      <c r="G2"/>
      <c r="H2"/>
    </row>
    <row r="3" spans="1:8" x14ac:dyDescent="0.15">
      <c r="A3">
        <v>2</v>
      </c>
      <c r="B3" s="182" t="s">
        <v>193</v>
      </c>
      <c r="C3" s="114">
        <v>1</v>
      </c>
      <c r="D3" s="114">
        <v>0</v>
      </c>
      <c r="E3" s="113">
        <v>0</v>
      </c>
      <c r="F3" s="113">
        <v>1</v>
      </c>
      <c r="G3"/>
      <c r="H3"/>
    </row>
    <row r="4" spans="1:8" x14ac:dyDescent="0.15">
      <c r="A4">
        <v>3</v>
      </c>
      <c r="B4" s="182" t="s">
        <v>194</v>
      </c>
      <c r="C4" s="114">
        <v>1</v>
      </c>
      <c r="D4" s="114">
        <v>0</v>
      </c>
      <c r="E4" s="113">
        <v>0</v>
      </c>
      <c r="F4" s="113">
        <v>1</v>
      </c>
      <c r="G4"/>
      <c r="H4"/>
    </row>
    <row r="5" spans="1:8" x14ac:dyDescent="0.15">
      <c r="A5">
        <v>4</v>
      </c>
      <c r="B5" s="182" t="s">
        <v>195</v>
      </c>
      <c r="C5" s="114">
        <v>1</v>
      </c>
      <c r="D5" s="114">
        <v>0</v>
      </c>
      <c r="E5" s="113">
        <v>0</v>
      </c>
      <c r="F5" s="113">
        <v>1</v>
      </c>
      <c r="G5"/>
      <c r="H5"/>
    </row>
    <row r="6" spans="1:8" x14ac:dyDescent="0.15">
      <c r="A6">
        <v>5</v>
      </c>
      <c r="B6" s="182" t="s">
        <v>196</v>
      </c>
      <c r="C6" s="114">
        <v>1</v>
      </c>
      <c r="D6" s="114">
        <v>0</v>
      </c>
      <c r="E6" s="113">
        <v>0</v>
      </c>
      <c r="F6" s="113">
        <v>1</v>
      </c>
      <c r="G6"/>
      <c r="H6"/>
    </row>
    <row r="7" spans="1:8" x14ac:dyDescent="0.15">
      <c r="A7">
        <v>6</v>
      </c>
      <c r="B7" s="182" t="s">
        <v>197</v>
      </c>
      <c r="C7" s="114">
        <v>1</v>
      </c>
      <c r="D7" s="114">
        <v>0</v>
      </c>
      <c r="E7" s="113">
        <v>0</v>
      </c>
      <c r="F7" s="113">
        <v>1</v>
      </c>
      <c r="G7"/>
      <c r="H7"/>
    </row>
    <row r="8" spans="1:8" x14ac:dyDescent="0.15">
      <c r="A8">
        <v>7</v>
      </c>
      <c r="B8" s="182" t="s">
        <v>198</v>
      </c>
      <c r="C8" s="114">
        <v>1</v>
      </c>
      <c r="D8" s="114">
        <v>0</v>
      </c>
      <c r="E8" s="113">
        <v>0</v>
      </c>
      <c r="F8" s="113">
        <v>1</v>
      </c>
      <c r="G8"/>
      <c r="H8"/>
    </row>
    <row r="9" spans="1:8" x14ac:dyDescent="0.15">
      <c r="A9">
        <v>8</v>
      </c>
      <c r="B9" s="182" t="s">
        <v>199</v>
      </c>
      <c r="C9" s="114">
        <v>1</v>
      </c>
      <c r="D9" s="114">
        <v>0</v>
      </c>
      <c r="E9" s="113">
        <v>0</v>
      </c>
      <c r="F9" s="113">
        <v>1</v>
      </c>
      <c r="G9"/>
      <c r="H9"/>
    </row>
    <row r="10" spans="1:8" x14ac:dyDescent="0.15">
      <c r="A10">
        <v>9</v>
      </c>
      <c r="B10" s="182" t="s">
        <v>200</v>
      </c>
      <c r="C10" s="114">
        <v>1</v>
      </c>
      <c r="D10" s="114">
        <v>0</v>
      </c>
      <c r="E10" s="113">
        <v>0</v>
      </c>
      <c r="F10" s="113">
        <v>1</v>
      </c>
      <c r="G10"/>
      <c r="H10"/>
    </row>
    <row r="11" spans="1:8" x14ac:dyDescent="0.15">
      <c r="A11">
        <v>10</v>
      </c>
      <c r="B11" s="182" t="s">
        <v>201</v>
      </c>
      <c r="C11" s="114">
        <v>1</v>
      </c>
      <c r="D11" s="114">
        <v>0</v>
      </c>
      <c r="E11" s="113">
        <v>0</v>
      </c>
      <c r="F11" s="113">
        <v>1</v>
      </c>
      <c r="G11"/>
      <c r="H11"/>
    </row>
    <row r="12" spans="1:8" x14ac:dyDescent="0.15">
      <c r="A12">
        <v>11</v>
      </c>
      <c r="B12" s="182" t="s">
        <v>202</v>
      </c>
      <c r="C12" s="114">
        <v>1</v>
      </c>
      <c r="D12" s="114">
        <v>0</v>
      </c>
      <c r="E12" s="113">
        <v>0</v>
      </c>
      <c r="F12" s="113">
        <v>1</v>
      </c>
      <c r="G12"/>
      <c r="H12"/>
    </row>
    <row r="13" spans="1:8" x14ac:dyDescent="0.15">
      <c r="A13">
        <v>12</v>
      </c>
      <c r="B13" s="182" t="s">
        <v>203</v>
      </c>
      <c r="C13" s="114">
        <v>1</v>
      </c>
      <c r="D13" s="114">
        <v>0</v>
      </c>
      <c r="E13" s="113">
        <v>0</v>
      </c>
      <c r="F13" s="113">
        <v>1</v>
      </c>
      <c r="G13"/>
      <c r="H13"/>
    </row>
    <row r="14" spans="1:8" x14ac:dyDescent="0.15">
      <c r="A14">
        <v>13</v>
      </c>
      <c r="B14" s="182" t="s">
        <v>204</v>
      </c>
      <c r="C14" s="114">
        <v>1</v>
      </c>
      <c r="D14" s="114">
        <v>0</v>
      </c>
      <c r="E14" s="113">
        <v>0</v>
      </c>
      <c r="F14" s="113">
        <v>1</v>
      </c>
      <c r="G14"/>
      <c r="H14"/>
    </row>
    <row r="15" spans="1:8" x14ac:dyDescent="0.15">
      <c r="A15">
        <v>14</v>
      </c>
      <c r="B15" s="182" t="s">
        <v>205</v>
      </c>
      <c r="C15" s="114">
        <v>1</v>
      </c>
      <c r="D15" s="114">
        <v>0</v>
      </c>
      <c r="E15" s="113">
        <v>0</v>
      </c>
      <c r="F15" s="113">
        <v>1</v>
      </c>
      <c r="G15"/>
      <c r="H15"/>
    </row>
    <row r="16" spans="1:8" x14ac:dyDescent="0.15">
      <c r="A16">
        <v>15</v>
      </c>
      <c r="B16" s="182" t="s">
        <v>206</v>
      </c>
      <c r="C16" s="114">
        <v>1</v>
      </c>
      <c r="D16" s="114">
        <v>0</v>
      </c>
      <c r="E16" s="113">
        <v>0</v>
      </c>
      <c r="F16" s="113">
        <v>1</v>
      </c>
      <c r="G16"/>
      <c r="H16"/>
    </row>
    <row r="17" spans="1:8" ht="15" customHeight="1" x14ac:dyDescent="0.15">
      <c r="A17">
        <v>16</v>
      </c>
      <c r="B17" s="182" t="s">
        <v>207</v>
      </c>
      <c r="C17" s="114">
        <v>1</v>
      </c>
      <c r="D17" s="114">
        <v>0</v>
      </c>
      <c r="E17" s="113">
        <v>0</v>
      </c>
      <c r="F17" s="113">
        <v>1</v>
      </c>
      <c r="G17"/>
      <c r="H17"/>
    </row>
    <row r="18" spans="1:8" ht="15" customHeight="1" x14ac:dyDescent="0.15">
      <c r="A18">
        <v>17</v>
      </c>
      <c r="B18" s="182" t="s">
        <v>208</v>
      </c>
      <c r="C18" s="114">
        <v>1</v>
      </c>
      <c r="D18" s="114">
        <v>0</v>
      </c>
      <c r="E18" s="113">
        <v>0</v>
      </c>
      <c r="F18" s="113">
        <v>1</v>
      </c>
      <c r="G18"/>
      <c r="H18"/>
    </row>
    <row r="19" spans="1:8" ht="15" customHeight="1" x14ac:dyDescent="0.15">
      <c r="A19">
        <v>18</v>
      </c>
      <c r="B19" s="182" t="s">
        <v>209</v>
      </c>
      <c r="C19" s="114">
        <v>1</v>
      </c>
      <c r="D19" s="114">
        <v>0</v>
      </c>
      <c r="E19" s="113">
        <v>0</v>
      </c>
      <c r="F19" s="113">
        <v>1</v>
      </c>
      <c r="G19"/>
      <c r="H19"/>
    </row>
    <row r="20" spans="1:8" ht="15" customHeight="1" x14ac:dyDescent="0.15">
      <c r="A20">
        <v>19</v>
      </c>
      <c r="B20" s="182" t="s">
        <v>210</v>
      </c>
      <c r="C20" s="114">
        <v>1</v>
      </c>
      <c r="D20" s="114">
        <v>0</v>
      </c>
      <c r="E20" s="113">
        <v>0</v>
      </c>
      <c r="F20" s="113">
        <v>1</v>
      </c>
      <c r="G20"/>
      <c r="H20"/>
    </row>
    <row r="21" spans="1:8" ht="15" customHeight="1" x14ac:dyDescent="0.15">
      <c r="A21">
        <v>20</v>
      </c>
      <c r="B21" s="182" t="s">
        <v>211</v>
      </c>
      <c r="C21" s="114">
        <v>1</v>
      </c>
      <c r="D21" s="114">
        <v>0</v>
      </c>
      <c r="E21" s="113">
        <v>0</v>
      </c>
      <c r="F21" s="113">
        <v>1</v>
      </c>
      <c r="G21"/>
      <c r="H21"/>
    </row>
    <row r="22" spans="1:8" ht="15" customHeight="1" x14ac:dyDescent="0.15">
      <c r="A22">
        <v>21</v>
      </c>
      <c r="B22" s="182" t="s">
        <v>212</v>
      </c>
      <c r="C22" s="114">
        <v>1</v>
      </c>
      <c r="D22" s="114">
        <v>0</v>
      </c>
      <c r="E22" s="113">
        <v>0</v>
      </c>
      <c r="F22" s="113">
        <v>1</v>
      </c>
      <c r="G22"/>
      <c r="H22"/>
    </row>
    <row r="23" spans="1:8" ht="15" customHeight="1" x14ac:dyDescent="0.15">
      <c r="A23">
        <v>22</v>
      </c>
      <c r="B23" s="182" t="s">
        <v>213</v>
      </c>
      <c r="C23" s="114">
        <v>1</v>
      </c>
      <c r="D23" s="114">
        <v>0</v>
      </c>
      <c r="E23" s="113">
        <v>0</v>
      </c>
      <c r="F23" s="113">
        <v>1</v>
      </c>
      <c r="G23"/>
      <c r="H23"/>
    </row>
    <row r="24" spans="1:8" ht="15" customHeight="1" x14ac:dyDescent="0.15">
      <c r="A24">
        <v>23</v>
      </c>
      <c r="B24" s="182" t="s">
        <v>214</v>
      </c>
      <c r="C24" s="114">
        <v>1</v>
      </c>
      <c r="D24" s="114">
        <v>0</v>
      </c>
      <c r="E24" s="113">
        <v>0</v>
      </c>
      <c r="F24" s="113">
        <v>1</v>
      </c>
      <c r="G24"/>
      <c r="H24"/>
    </row>
    <row r="25" spans="1:8" ht="15" customHeight="1" x14ac:dyDescent="0.15">
      <c r="A25">
        <v>24</v>
      </c>
      <c r="B25" s="182" t="s">
        <v>215</v>
      </c>
      <c r="C25" s="114">
        <v>1</v>
      </c>
      <c r="D25" s="114">
        <v>0</v>
      </c>
      <c r="E25" s="113">
        <v>0</v>
      </c>
      <c r="F25" s="113">
        <v>1</v>
      </c>
      <c r="G25"/>
      <c r="H25"/>
    </row>
    <row r="26" spans="1:8" ht="15" customHeight="1" x14ac:dyDescent="0.15">
      <c r="A26">
        <v>25</v>
      </c>
      <c r="B26" s="182" t="s">
        <v>216</v>
      </c>
      <c r="C26" s="114">
        <v>1</v>
      </c>
      <c r="D26" s="114">
        <v>0</v>
      </c>
      <c r="E26" s="113">
        <v>0</v>
      </c>
      <c r="F26" s="113">
        <v>1</v>
      </c>
      <c r="G26"/>
      <c r="H26"/>
    </row>
    <row r="27" spans="1:8" ht="15" customHeight="1" x14ac:dyDescent="0.15">
      <c r="A27">
        <v>26</v>
      </c>
      <c r="B27" s="182" t="s">
        <v>217</v>
      </c>
      <c r="C27" s="114">
        <v>1</v>
      </c>
      <c r="D27" s="114">
        <v>0</v>
      </c>
      <c r="E27" s="113">
        <v>0</v>
      </c>
      <c r="F27" s="113">
        <v>1</v>
      </c>
      <c r="G27"/>
      <c r="H27"/>
    </row>
    <row r="28" spans="1:8" ht="15" customHeight="1" x14ac:dyDescent="0.15">
      <c r="A28">
        <v>27</v>
      </c>
      <c r="B28" s="182" t="s">
        <v>218</v>
      </c>
      <c r="C28" s="114">
        <v>1</v>
      </c>
      <c r="D28" s="114">
        <v>0</v>
      </c>
      <c r="E28" s="113">
        <v>0</v>
      </c>
      <c r="F28" s="113">
        <v>1</v>
      </c>
      <c r="G28"/>
      <c r="H28"/>
    </row>
    <row r="29" spans="1:8" ht="15" customHeight="1" x14ac:dyDescent="0.15">
      <c r="A29">
        <v>28</v>
      </c>
      <c r="B29" s="182" t="s">
        <v>219</v>
      </c>
      <c r="C29" s="114">
        <v>1</v>
      </c>
      <c r="D29" s="114">
        <v>0</v>
      </c>
      <c r="E29" s="113">
        <v>0</v>
      </c>
      <c r="F29" s="113">
        <v>1</v>
      </c>
      <c r="G29"/>
      <c r="H29"/>
    </row>
    <row r="30" spans="1:8" ht="15" customHeight="1" x14ac:dyDescent="0.15">
      <c r="A30">
        <v>29</v>
      </c>
      <c r="B30" s="182" t="s">
        <v>220</v>
      </c>
      <c r="C30" s="114">
        <v>1</v>
      </c>
      <c r="D30" s="114">
        <v>0</v>
      </c>
      <c r="E30" s="113">
        <v>0</v>
      </c>
      <c r="F30" s="113">
        <v>1</v>
      </c>
      <c r="G30"/>
      <c r="H30"/>
    </row>
    <row r="31" spans="1:8" ht="15" customHeight="1" x14ac:dyDescent="0.15">
      <c r="A31">
        <v>30</v>
      </c>
      <c r="B31" s="182" t="s">
        <v>221</v>
      </c>
      <c r="C31" s="114">
        <v>1</v>
      </c>
      <c r="D31" s="114">
        <v>0</v>
      </c>
      <c r="E31" s="113">
        <v>0</v>
      </c>
      <c r="F31" s="113">
        <v>1</v>
      </c>
      <c r="G31"/>
      <c r="H31"/>
    </row>
    <row r="32" spans="1:8" ht="15" customHeight="1" x14ac:dyDescent="0.15">
      <c r="A32">
        <v>31</v>
      </c>
      <c r="B32" s="182" t="s">
        <v>222</v>
      </c>
      <c r="C32" s="114">
        <v>1</v>
      </c>
      <c r="D32" s="114">
        <v>0</v>
      </c>
      <c r="E32" s="113">
        <v>0</v>
      </c>
      <c r="F32" s="113">
        <v>1</v>
      </c>
    </row>
    <row r="33" spans="1:8" ht="15" customHeight="1" x14ac:dyDescent="0.15">
      <c r="A33">
        <v>32</v>
      </c>
      <c r="B33" s="182" t="s">
        <v>223</v>
      </c>
      <c r="C33" s="114">
        <v>1</v>
      </c>
      <c r="D33" s="114">
        <v>0</v>
      </c>
      <c r="E33" s="113">
        <v>0</v>
      </c>
      <c r="F33" s="113">
        <v>1</v>
      </c>
    </row>
    <row r="34" spans="1:8" ht="15" customHeight="1" x14ac:dyDescent="0.15">
      <c r="A34">
        <v>33</v>
      </c>
      <c r="B34" s="182" t="s">
        <v>224</v>
      </c>
      <c r="C34" s="114">
        <v>1</v>
      </c>
      <c r="D34" s="114">
        <v>0</v>
      </c>
      <c r="E34" s="113">
        <v>0</v>
      </c>
      <c r="F34" s="113">
        <v>1</v>
      </c>
    </row>
    <row r="35" spans="1:8" ht="15" customHeight="1" x14ac:dyDescent="0.15">
      <c r="A35">
        <v>34</v>
      </c>
      <c r="B35" s="182" t="s">
        <v>225</v>
      </c>
      <c r="C35" s="114">
        <v>1</v>
      </c>
      <c r="D35" s="114">
        <v>0</v>
      </c>
      <c r="E35" s="113">
        <v>0</v>
      </c>
      <c r="F35" s="113">
        <v>1</v>
      </c>
    </row>
    <row r="36" spans="1:8" ht="15" customHeight="1" x14ac:dyDescent="0.15">
      <c r="A36">
        <v>35</v>
      </c>
      <c r="B36" s="182" t="s">
        <v>226</v>
      </c>
      <c r="C36" s="114">
        <v>1</v>
      </c>
      <c r="D36" s="114">
        <v>0</v>
      </c>
      <c r="E36" s="114">
        <v>0</v>
      </c>
      <c r="F36" s="114">
        <v>1</v>
      </c>
      <c r="G36"/>
      <c r="H36"/>
    </row>
    <row r="37" spans="1:8" ht="15" customHeight="1" x14ac:dyDescent="0.15">
      <c r="A37">
        <v>36</v>
      </c>
      <c r="B37" s="182" t="s">
        <v>227</v>
      </c>
      <c r="C37" s="114">
        <v>1</v>
      </c>
      <c r="D37" s="114">
        <v>0</v>
      </c>
      <c r="E37" s="114">
        <v>0</v>
      </c>
      <c r="F37" s="114">
        <v>1</v>
      </c>
      <c r="G37"/>
      <c r="H37"/>
    </row>
    <row r="38" spans="1:8" ht="15" customHeight="1" x14ac:dyDescent="0.15">
      <c r="A38">
        <v>37</v>
      </c>
      <c r="B38" s="182" t="s">
        <v>228</v>
      </c>
      <c r="C38" s="114">
        <v>1</v>
      </c>
      <c r="D38" s="114">
        <v>0</v>
      </c>
      <c r="E38" s="114">
        <v>0</v>
      </c>
      <c r="F38" s="114">
        <v>1</v>
      </c>
      <c r="G38"/>
      <c r="H38"/>
    </row>
    <row r="39" spans="1:8" ht="15" customHeight="1" x14ac:dyDescent="0.15">
      <c r="A39">
        <v>38</v>
      </c>
      <c r="B39" s="182" t="s">
        <v>229</v>
      </c>
      <c r="C39" s="114">
        <v>1</v>
      </c>
      <c r="D39" s="114">
        <v>0</v>
      </c>
      <c r="E39" s="114">
        <v>0</v>
      </c>
      <c r="F39" s="114">
        <v>1</v>
      </c>
      <c r="G39"/>
      <c r="H39"/>
    </row>
    <row r="40" spans="1:8" ht="15" customHeight="1" x14ac:dyDescent="0.15">
      <c r="A40">
        <v>39</v>
      </c>
      <c r="B40" s="182" t="s">
        <v>230</v>
      </c>
      <c r="C40" s="114">
        <v>0</v>
      </c>
      <c r="D40" s="114">
        <v>1</v>
      </c>
      <c r="E40" s="114">
        <v>0</v>
      </c>
      <c r="F40" s="114">
        <v>1</v>
      </c>
      <c r="G40"/>
      <c r="H40"/>
    </row>
    <row r="41" spans="1:8" ht="15" customHeight="1" x14ac:dyDescent="0.15">
      <c r="A41">
        <v>40</v>
      </c>
      <c r="B41" s="182" t="s">
        <v>231</v>
      </c>
      <c r="C41" s="114">
        <v>0</v>
      </c>
      <c r="D41" s="114">
        <v>0</v>
      </c>
      <c r="E41" s="114">
        <v>1</v>
      </c>
      <c r="F41" s="114">
        <v>1</v>
      </c>
      <c r="G41"/>
      <c r="H41"/>
    </row>
    <row r="42" spans="1:8" ht="15" customHeight="1" x14ac:dyDescent="0.15">
      <c r="A42">
        <v>41</v>
      </c>
      <c r="B42" s="182" t="s">
        <v>232</v>
      </c>
      <c r="C42" s="114">
        <v>0</v>
      </c>
      <c r="D42" s="114">
        <v>1</v>
      </c>
      <c r="E42" s="114">
        <v>0</v>
      </c>
      <c r="F42" s="114">
        <v>1</v>
      </c>
      <c r="G42"/>
      <c r="H42"/>
    </row>
    <row r="43" spans="1:8" ht="15" customHeight="1" x14ac:dyDescent="0.15">
      <c r="A43">
        <v>42</v>
      </c>
      <c r="B43" s="182" t="s">
        <v>233</v>
      </c>
      <c r="C43" s="114">
        <v>0</v>
      </c>
      <c r="D43" s="114">
        <v>1</v>
      </c>
      <c r="E43" s="114">
        <v>0</v>
      </c>
      <c r="F43" s="114">
        <v>1</v>
      </c>
      <c r="G43"/>
      <c r="H43"/>
    </row>
    <row r="44" spans="1:8" ht="15" customHeight="1" x14ac:dyDescent="0.15">
      <c r="A44">
        <v>43</v>
      </c>
      <c r="B44" s="182" t="s">
        <v>234</v>
      </c>
      <c r="C44" s="114">
        <v>0</v>
      </c>
      <c r="D44" s="114">
        <v>1</v>
      </c>
      <c r="E44" s="113">
        <v>0</v>
      </c>
      <c r="F44" s="113">
        <v>1</v>
      </c>
      <c r="G44"/>
      <c r="H44"/>
    </row>
    <row r="45" spans="1:8" ht="15" customHeight="1" x14ac:dyDescent="0.15">
      <c r="A45">
        <v>44</v>
      </c>
      <c r="B45" s="182" t="s">
        <v>235</v>
      </c>
      <c r="C45" s="114">
        <v>0</v>
      </c>
      <c r="D45" s="114">
        <v>1</v>
      </c>
      <c r="E45" s="113">
        <v>0</v>
      </c>
      <c r="F45" s="113">
        <v>1</v>
      </c>
      <c r="G45"/>
      <c r="H45"/>
    </row>
    <row r="46" spans="1:8" ht="15" customHeight="1" x14ac:dyDescent="0.15">
      <c r="A46">
        <v>45</v>
      </c>
      <c r="B46" s="182" t="s">
        <v>236</v>
      </c>
      <c r="C46" s="114">
        <v>0</v>
      </c>
      <c r="D46" s="114">
        <v>1</v>
      </c>
      <c r="E46" s="114">
        <v>0</v>
      </c>
      <c r="F46" s="114">
        <v>1</v>
      </c>
      <c r="G46"/>
      <c r="H46"/>
    </row>
    <row r="47" spans="1:8" ht="15" customHeight="1" x14ac:dyDescent="0.15">
      <c r="A47">
        <v>46</v>
      </c>
      <c r="B47" s="182" t="s">
        <v>237</v>
      </c>
      <c r="C47" s="114">
        <v>0</v>
      </c>
      <c r="D47" s="114">
        <v>1</v>
      </c>
      <c r="E47" s="113">
        <v>0</v>
      </c>
      <c r="F47" s="113">
        <v>1</v>
      </c>
      <c r="G47"/>
      <c r="H47"/>
    </row>
    <row r="48" spans="1:8" ht="15" customHeight="1" x14ac:dyDescent="0.15">
      <c r="A48">
        <v>47</v>
      </c>
      <c r="B48" s="182" t="s">
        <v>238</v>
      </c>
      <c r="C48" s="114">
        <v>0</v>
      </c>
      <c r="D48" s="114">
        <v>1</v>
      </c>
      <c r="E48" s="113">
        <v>0</v>
      </c>
      <c r="F48" s="113">
        <v>1</v>
      </c>
      <c r="G48"/>
      <c r="H48"/>
    </row>
    <row r="49" spans="1:8" ht="15" customHeight="1" x14ac:dyDescent="0.15">
      <c r="A49">
        <v>48</v>
      </c>
      <c r="B49" s="182" t="s">
        <v>239</v>
      </c>
      <c r="C49" s="114">
        <v>0</v>
      </c>
      <c r="D49" s="114">
        <v>1</v>
      </c>
      <c r="E49" s="113">
        <v>0</v>
      </c>
      <c r="F49" s="113">
        <v>1</v>
      </c>
      <c r="G49"/>
      <c r="H49"/>
    </row>
    <row r="50" spans="1:8" ht="15" customHeight="1" x14ac:dyDescent="0.15">
      <c r="A50">
        <v>49</v>
      </c>
      <c r="B50" s="182" t="s">
        <v>240</v>
      </c>
      <c r="C50" s="114">
        <v>0</v>
      </c>
      <c r="D50" s="114">
        <v>1</v>
      </c>
      <c r="E50" s="113">
        <v>0</v>
      </c>
      <c r="F50" s="113">
        <v>1</v>
      </c>
      <c r="G50"/>
      <c r="H50"/>
    </row>
    <row r="51" spans="1:8" ht="15" customHeight="1" x14ac:dyDescent="0.15">
      <c r="A51">
        <v>50</v>
      </c>
      <c r="B51" s="182" t="s">
        <v>241</v>
      </c>
      <c r="C51" s="114">
        <v>0</v>
      </c>
      <c r="D51" s="114">
        <v>1</v>
      </c>
      <c r="E51" s="113">
        <v>0</v>
      </c>
      <c r="F51" s="113">
        <v>1</v>
      </c>
      <c r="G51"/>
      <c r="H51"/>
    </row>
    <row r="52" spans="1:8" ht="15" customHeight="1" x14ac:dyDescent="0.15">
      <c r="A52">
        <v>51</v>
      </c>
      <c r="B52" s="182" t="s">
        <v>242</v>
      </c>
      <c r="C52" s="114">
        <v>0</v>
      </c>
      <c r="D52" s="114">
        <v>1</v>
      </c>
      <c r="E52" s="113">
        <v>0</v>
      </c>
      <c r="F52" s="113">
        <v>1</v>
      </c>
      <c r="G52"/>
      <c r="H52"/>
    </row>
    <row r="53" spans="1:8" ht="15" customHeight="1" x14ac:dyDescent="0.15">
      <c r="A53">
        <v>52</v>
      </c>
      <c r="B53" s="182" t="s">
        <v>243</v>
      </c>
      <c r="C53" s="114">
        <v>0</v>
      </c>
      <c r="D53" s="114">
        <v>1</v>
      </c>
      <c r="E53" s="113">
        <v>0</v>
      </c>
      <c r="F53" s="113">
        <v>1</v>
      </c>
      <c r="G53"/>
      <c r="H53"/>
    </row>
    <row r="54" spans="1:8" ht="15" customHeight="1" x14ac:dyDescent="0.15">
      <c r="C54"/>
      <c r="D54"/>
      <c r="E54"/>
      <c r="F54"/>
      <c r="G54"/>
      <c r="H54"/>
    </row>
    <row r="55" spans="1:8" ht="15" customHeight="1" x14ac:dyDescent="0.15">
      <c r="C55"/>
      <c r="D55"/>
      <c r="E55"/>
      <c r="F55"/>
      <c r="G55"/>
      <c r="H55"/>
    </row>
    <row r="56" spans="1:8" ht="15" customHeight="1" x14ac:dyDescent="0.15">
      <c r="C56"/>
      <c r="D56"/>
      <c r="E56"/>
      <c r="F56"/>
      <c r="G56"/>
      <c r="H56"/>
    </row>
    <row r="57" spans="1:8" ht="15" customHeight="1" x14ac:dyDescent="0.15">
      <c r="C57"/>
      <c r="D57"/>
      <c r="E57"/>
      <c r="F57"/>
      <c r="G57"/>
      <c r="H57"/>
    </row>
    <row r="58" spans="1:8" ht="15" customHeight="1" x14ac:dyDescent="0.15">
      <c r="C58"/>
      <c r="D58"/>
      <c r="E58"/>
      <c r="F58"/>
      <c r="G58"/>
      <c r="H58"/>
    </row>
    <row r="59" spans="1:8" ht="15" customHeight="1" x14ac:dyDescent="0.15">
      <c r="C59"/>
      <c r="D59"/>
      <c r="E59"/>
      <c r="F59"/>
      <c r="G59"/>
      <c r="H59"/>
    </row>
    <row r="60" spans="1:8" ht="15" customHeight="1" x14ac:dyDescent="0.15">
      <c r="C60"/>
      <c r="D60"/>
      <c r="E60"/>
      <c r="F60"/>
      <c r="G60"/>
      <c r="H60"/>
    </row>
    <row r="61" spans="1:8" ht="15" customHeight="1" x14ac:dyDescent="0.15">
      <c r="C61"/>
      <c r="D61"/>
      <c r="E61"/>
      <c r="F61"/>
      <c r="G61"/>
      <c r="H61"/>
    </row>
    <row r="62" spans="1:8" ht="15" customHeight="1" x14ac:dyDescent="0.15">
      <c r="C62"/>
      <c r="D62"/>
      <c r="E62"/>
      <c r="F62"/>
      <c r="G62"/>
      <c r="H62"/>
    </row>
    <row r="63" spans="1:8" ht="15" customHeight="1" x14ac:dyDescent="0.15">
      <c r="C63"/>
      <c r="D63"/>
      <c r="E63"/>
      <c r="F63"/>
      <c r="G63"/>
      <c r="H63"/>
    </row>
    <row r="64" spans="1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O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6.6640625" bestFit="1" customWidth="1"/>
    <col min="3" max="4" width="8.83203125" bestFit="1" customWidth="1"/>
    <col min="5" max="5" width="12.83203125" bestFit="1" customWidth="1"/>
    <col min="6" max="6" width="8.83203125" customWidth="1"/>
    <col min="7" max="7" width="11.83203125" customWidth="1"/>
    <col min="8" max="8" width="10.83203125" customWidth="1"/>
    <col min="9" max="10" width="8.83203125" customWidth="1"/>
    <col min="11" max="11" width="5.83203125" customWidth="1"/>
    <col min="12" max="13" width="8.83203125" customWidth="1"/>
    <col min="14" max="14" width="6.83203125" customWidth="1"/>
    <col min="15" max="15" width="12.83203125" customWidth="1"/>
  </cols>
  <sheetData>
    <row r="1" spans="1:15" s="115" customFormat="1" ht="112" x14ac:dyDescent="0.15">
      <c r="A1" s="5" t="s">
        <v>21</v>
      </c>
      <c r="B1" s="3" t="s">
        <v>0</v>
      </c>
      <c r="C1" s="185" t="s">
        <v>232</v>
      </c>
      <c r="D1" s="185" t="s">
        <v>233</v>
      </c>
      <c r="E1" s="185" t="s">
        <v>234</v>
      </c>
      <c r="F1" s="185" t="s">
        <v>235</v>
      </c>
      <c r="G1" s="185" t="s">
        <v>236</v>
      </c>
      <c r="H1" s="185" t="s">
        <v>237</v>
      </c>
      <c r="I1" s="185" t="s">
        <v>238</v>
      </c>
      <c r="J1" s="185" t="s">
        <v>239</v>
      </c>
      <c r="K1" s="185" t="s">
        <v>240</v>
      </c>
      <c r="L1" s="185" t="s">
        <v>241</v>
      </c>
      <c r="M1" s="185" t="s">
        <v>242</v>
      </c>
      <c r="N1" s="185" t="s">
        <v>243</v>
      </c>
      <c r="O1" s="185" t="s">
        <v>247</v>
      </c>
    </row>
    <row r="2" spans="1:15" ht="15" customHeight="1" x14ac:dyDescent="0.15">
      <c r="A2">
        <v>1</v>
      </c>
      <c r="B2" s="184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</row>
    <row r="3" spans="1:15" ht="15" customHeight="1" x14ac:dyDescent="0.15">
      <c r="A3">
        <v>2</v>
      </c>
      <c r="B3" s="184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2.0000000000000001E-4</v>
      </c>
      <c r="O3">
        <v>2.0000000000000001E-4</v>
      </c>
    </row>
    <row r="4" spans="1:15" ht="15" customHeight="1" x14ac:dyDescent="0.15">
      <c r="A4">
        <v>3</v>
      </c>
      <c r="B4" s="184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</row>
    <row r="5" spans="1:15" ht="15" customHeight="1" x14ac:dyDescent="0.15">
      <c r="A5">
        <v>4</v>
      </c>
      <c r="B5" s="184" t="s">
        <v>195</v>
      </c>
      <c r="C5">
        <v>0.32691700000000001</v>
      </c>
      <c r="D5">
        <v>5.9716999999999999E-2</v>
      </c>
      <c r="E5">
        <v>2.565E-3</v>
      </c>
      <c r="F5">
        <v>7.5770000000000004E-3</v>
      </c>
      <c r="G5">
        <v>9.5472000000000001E-2</v>
      </c>
      <c r="H5">
        <v>7.025E-3</v>
      </c>
      <c r="I5">
        <v>6.038E-3</v>
      </c>
      <c r="J5">
        <v>4.2700000000000002E-4</v>
      </c>
      <c r="K5">
        <v>0</v>
      </c>
      <c r="L5">
        <v>0</v>
      </c>
      <c r="M5">
        <v>0</v>
      </c>
      <c r="N5">
        <v>0</v>
      </c>
      <c r="O5">
        <v>0.50573800000000002</v>
      </c>
    </row>
    <row r="6" spans="1:15" ht="15" customHeight="1" x14ac:dyDescent="0.15">
      <c r="A6">
        <v>5</v>
      </c>
      <c r="B6" s="184" t="s">
        <v>196</v>
      </c>
      <c r="C6">
        <v>1.2749999999999999E-2</v>
      </c>
      <c r="D6">
        <v>2.3289999999999999E-3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1.5078999999999999E-2</v>
      </c>
    </row>
    <row r="7" spans="1:15" ht="15" customHeight="1" x14ac:dyDescent="0.15">
      <c r="A7">
        <v>6</v>
      </c>
      <c r="B7" s="184" t="s">
        <v>197</v>
      </c>
      <c r="C7">
        <v>2.7900000000000001E-4</v>
      </c>
      <c r="D7">
        <v>1.9999999999999999E-6</v>
      </c>
      <c r="E7">
        <v>0.410136</v>
      </c>
      <c r="F7">
        <v>7.7999999999999999E-5</v>
      </c>
      <c r="G7">
        <v>1.9999999999999999E-6</v>
      </c>
      <c r="H7">
        <v>0</v>
      </c>
      <c r="I7">
        <v>6.9999999999999999E-6</v>
      </c>
      <c r="J7">
        <v>0</v>
      </c>
      <c r="K7">
        <v>0</v>
      </c>
      <c r="L7">
        <v>0</v>
      </c>
      <c r="M7">
        <v>0</v>
      </c>
      <c r="N7">
        <v>0</v>
      </c>
      <c r="O7">
        <v>0.41050399999999998</v>
      </c>
    </row>
    <row r="8" spans="1:15" ht="15" customHeight="1" x14ac:dyDescent="0.15">
      <c r="A8">
        <v>7</v>
      </c>
      <c r="B8" s="184" t="s">
        <v>198</v>
      </c>
      <c r="C8">
        <v>0</v>
      </c>
      <c r="D8">
        <v>0</v>
      </c>
      <c r="E8">
        <v>0.11501599999999999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0.11501599999999999</v>
      </c>
    </row>
    <row r="9" spans="1:15" ht="15" customHeight="1" x14ac:dyDescent="0.15">
      <c r="A9">
        <v>8</v>
      </c>
      <c r="B9" s="184" t="s">
        <v>199</v>
      </c>
      <c r="C9">
        <v>9.0273000000000006E-2</v>
      </c>
      <c r="D9">
        <v>1.7694000000000001E-2</v>
      </c>
      <c r="E9">
        <v>2.604E-3</v>
      </c>
      <c r="F9">
        <v>1.9059999999999999E-3</v>
      </c>
      <c r="G9">
        <v>1.0866000000000001E-2</v>
      </c>
      <c r="H9">
        <v>8.5000000000000006E-5</v>
      </c>
      <c r="I9">
        <v>7.6099999999999996E-4</v>
      </c>
      <c r="J9">
        <v>1.8E-5</v>
      </c>
      <c r="K9">
        <v>0</v>
      </c>
      <c r="L9">
        <v>0</v>
      </c>
      <c r="M9">
        <v>0</v>
      </c>
      <c r="N9">
        <v>0</v>
      </c>
      <c r="O9">
        <v>0.12420700000000001</v>
      </c>
    </row>
    <row r="10" spans="1:15" ht="15" customHeight="1" x14ac:dyDescent="0.15">
      <c r="A10">
        <v>9</v>
      </c>
      <c r="B10" s="184" t="s">
        <v>200</v>
      </c>
      <c r="C10">
        <v>3.083E-2</v>
      </c>
      <c r="D10">
        <v>6.136E-3</v>
      </c>
      <c r="E10">
        <v>3.97E-4</v>
      </c>
      <c r="F10">
        <v>7.9000000000000001E-4</v>
      </c>
      <c r="G10">
        <v>3.833E-3</v>
      </c>
      <c r="H10">
        <v>3.1000000000000001E-5</v>
      </c>
      <c r="I10">
        <v>3.8999999999999999E-5</v>
      </c>
      <c r="J10">
        <v>8.2999999999999998E-5</v>
      </c>
      <c r="K10">
        <v>0</v>
      </c>
      <c r="L10">
        <v>0</v>
      </c>
      <c r="M10">
        <v>0</v>
      </c>
      <c r="N10">
        <v>0</v>
      </c>
      <c r="O10">
        <v>4.2139000000000003E-2</v>
      </c>
    </row>
    <row r="11" spans="1:15" ht="15" customHeight="1" x14ac:dyDescent="0.15">
      <c r="A11">
        <v>10</v>
      </c>
      <c r="B11" s="184" t="s">
        <v>201</v>
      </c>
      <c r="C11">
        <v>1.389E-3</v>
      </c>
      <c r="D11">
        <v>4.5000000000000003E-5</v>
      </c>
      <c r="E11">
        <v>3.1999999999999999E-5</v>
      </c>
      <c r="F11">
        <v>4.28E-4</v>
      </c>
      <c r="G11">
        <v>5.9300000000000004E-3</v>
      </c>
      <c r="H11">
        <v>5.9599999999999996E-4</v>
      </c>
      <c r="I11">
        <v>3.1999999999999999E-5</v>
      </c>
      <c r="J11">
        <v>7.9999999999999996E-6</v>
      </c>
      <c r="K11">
        <v>0</v>
      </c>
      <c r="L11">
        <v>0</v>
      </c>
      <c r="M11">
        <v>0</v>
      </c>
      <c r="N11">
        <v>0</v>
      </c>
      <c r="O11">
        <v>8.4600000000000005E-3</v>
      </c>
    </row>
    <row r="12" spans="1:15" ht="15" customHeight="1" x14ac:dyDescent="0.15">
      <c r="A12">
        <v>11</v>
      </c>
      <c r="B12" s="184" t="s">
        <v>202</v>
      </c>
      <c r="C12">
        <v>5.8999999999999998E-5</v>
      </c>
      <c r="D12">
        <v>1.9999999999999999E-6</v>
      </c>
      <c r="E12">
        <v>9.9999999999999995E-7</v>
      </c>
      <c r="F12">
        <v>1.8E-5</v>
      </c>
      <c r="G12">
        <v>2.5300000000000002E-4</v>
      </c>
      <c r="H12">
        <v>2.5000000000000001E-5</v>
      </c>
      <c r="I12">
        <v>9.9999999999999995E-7</v>
      </c>
      <c r="J12">
        <v>0</v>
      </c>
      <c r="K12">
        <v>0</v>
      </c>
      <c r="L12">
        <v>0</v>
      </c>
      <c r="M12">
        <v>0</v>
      </c>
      <c r="N12">
        <v>0</v>
      </c>
      <c r="O12">
        <v>3.5900000000000005E-4</v>
      </c>
    </row>
    <row r="13" spans="1:15" ht="15" customHeight="1" x14ac:dyDescent="0.15">
      <c r="A13">
        <v>12</v>
      </c>
      <c r="B13" s="184" t="s">
        <v>203</v>
      </c>
      <c r="C13">
        <v>2.0695000000000002E-2</v>
      </c>
      <c r="D13">
        <v>3.823E-3</v>
      </c>
      <c r="E13">
        <v>2.5700000000000001E-4</v>
      </c>
      <c r="F13">
        <v>5.4600000000000004E-4</v>
      </c>
      <c r="G13">
        <v>1.8900000000000001E-4</v>
      </c>
      <c r="H13">
        <v>2.8E-5</v>
      </c>
      <c r="I13">
        <v>3.1000000000000001E-5</v>
      </c>
      <c r="J13">
        <v>0</v>
      </c>
      <c r="K13">
        <v>0</v>
      </c>
      <c r="L13">
        <v>0</v>
      </c>
      <c r="M13">
        <v>0</v>
      </c>
      <c r="N13">
        <v>0</v>
      </c>
      <c r="O13">
        <v>2.5569000000000005E-2</v>
      </c>
    </row>
    <row r="14" spans="1:15" ht="15" customHeight="1" x14ac:dyDescent="0.15">
      <c r="A14">
        <v>13</v>
      </c>
      <c r="B14" s="184" t="s">
        <v>204</v>
      </c>
      <c r="C14">
        <v>1.3799999999999999E-4</v>
      </c>
      <c r="D14">
        <v>6.9999999999999999E-6</v>
      </c>
      <c r="E14">
        <v>2.8879999999999999E-3</v>
      </c>
      <c r="F14">
        <v>3.0000000000000001E-6</v>
      </c>
      <c r="G14">
        <v>2.4000000000000001E-5</v>
      </c>
      <c r="H14">
        <v>0</v>
      </c>
      <c r="I14">
        <v>1.9999999999999999E-6</v>
      </c>
      <c r="J14">
        <v>7.9999999999999996E-6</v>
      </c>
      <c r="K14">
        <v>0</v>
      </c>
      <c r="L14">
        <v>0</v>
      </c>
      <c r="M14">
        <v>0</v>
      </c>
      <c r="N14">
        <v>0</v>
      </c>
      <c r="O14">
        <v>3.0700000000000002E-3</v>
      </c>
    </row>
    <row r="15" spans="1:15" ht="15" customHeight="1" x14ac:dyDescent="0.15">
      <c r="A15">
        <v>14</v>
      </c>
      <c r="B15" s="184" t="s">
        <v>205</v>
      </c>
      <c r="C15">
        <v>1.9999999999999999E-6</v>
      </c>
      <c r="D15">
        <v>1.9999999999999999E-6</v>
      </c>
      <c r="E15">
        <v>2.9970000000000001E-3</v>
      </c>
      <c r="F15">
        <v>5.0000000000000004E-6</v>
      </c>
      <c r="G15">
        <v>2.0000000000000002E-5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3.026E-3</v>
      </c>
    </row>
    <row r="16" spans="1:15" ht="15" customHeight="1" x14ac:dyDescent="0.15">
      <c r="A16">
        <v>15</v>
      </c>
      <c r="B16" s="184" t="s">
        <v>206</v>
      </c>
      <c r="C16">
        <v>8.796E-3</v>
      </c>
      <c r="D16">
        <v>1.9900000000000001E-4</v>
      </c>
      <c r="E16">
        <v>1.5020000000000001E-3</v>
      </c>
      <c r="F16">
        <v>5.1954E-2</v>
      </c>
      <c r="G16">
        <v>6.0000000000000002E-5</v>
      </c>
      <c r="H16">
        <v>0</v>
      </c>
      <c r="I16">
        <v>1.8E-5</v>
      </c>
      <c r="J16">
        <v>2.6400000000000002E-4</v>
      </c>
      <c r="K16">
        <v>0</v>
      </c>
      <c r="L16">
        <v>0</v>
      </c>
      <c r="M16">
        <v>0</v>
      </c>
      <c r="N16">
        <v>0</v>
      </c>
      <c r="O16">
        <v>6.2793000000000002E-2</v>
      </c>
    </row>
    <row r="17" spans="1:15" ht="15" customHeight="1" x14ac:dyDescent="0.15">
      <c r="A17">
        <v>16</v>
      </c>
      <c r="B17" s="184" t="s">
        <v>207</v>
      </c>
      <c r="C17">
        <v>9.8615999999999995E-2</v>
      </c>
      <c r="D17">
        <v>4.0229999999999997E-3</v>
      </c>
      <c r="E17">
        <v>4.4190000000000002E-3</v>
      </c>
      <c r="F17">
        <v>4.7819999999999998E-3</v>
      </c>
      <c r="G17">
        <v>1.588E-3</v>
      </c>
      <c r="H17">
        <v>1.0000000000000001E-5</v>
      </c>
      <c r="I17">
        <v>1.1370999999999999E-2</v>
      </c>
      <c r="J17">
        <v>0</v>
      </c>
      <c r="K17">
        <v>0</v>
      </c>
      <c r="L17">
        <v>0</v>
      </c>
      <c r="M17">
        <v>0</v>
      </c>
      <c r="N17">
        <v>0</v>
      </c>
      <c r="O17">
        <v>0.124809</v>
      </c>
    </row>
    <row r="18" spans="1:15" ht="15" customHeight="1" x14ac:dyDescent="0.15">
      <c r="A18">
        <v>17</v>
      </c>
      <c r="B18" s="184" t="s">
        <v>208</v>
      </c>
      <c r="C18">
        <v>2.0000000000000002E-5</v>
      </c>
      <c r="D18">
        <v>7.9999999999999996E-6</v>
      </c>
      <c r="E18">
        <v>3.5330000000000001E-3</v>
      </c>
      <c r="F18">
        <v>2.0000000000000002E-5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3.581E-3</v>
      </c>
    </row>
    <row r="19" spans="1:15" ht="15" customHeight="1" x14ac:dyDescent="0.15">
      <c r="A19">
        <v>18</v>
      </c>
      <c r="B19" s="184" t="s">
        <v>209</v>
      </c>
      <c r="C19">
        <v>6.9399999999999996E-4</v>
      </c>
      <c r="D19">
        <v>1.5100000000000001E-4</v>
      </c>
      <c r="E19">
        <v>9.869999E-4</v>
      </c>
      <c r="F19">
        <v>3.6000000000000002E-4</v>
      </c>
      <c r="G19">
        <v>1.0543E-2</v>
      </c>
      <c r="H19">
        <v>8.83E-4</v>
      </c>
      <c r="I19">
        <v>7.9600000000000005E-4</v>
      </c>
      <c r="J19">
        <v>0</v>
      </c>
      <c r="K19">
        <v>0</v>
      </c>
      <c r="L19">
        <v>0</v>
      </c>
      <c r="M19">
        <v>0</v>
      </c>
      <c r="N19">
        <v>0</v>
      </c>
      <c r="O19">
        <v>1.44139999E-2</v>
      </c>
    </row>
    <row r="20" spans="1:15" ht="15" customHeight="1" x14ac:dyDescent="0.15">
      <c r="A20">
        <v>19</v>
      </c>
      <c r="B20" s="184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</row>
    <row r="21" spans="1:15" ht="15" customHeight="1" x14ac:dyDescent="0.15">
      <c r="A21">
        <v>20</v>
      </c>
      <c r="B21" s="184" t="s">
        <v>211</v>
      </c>
      <c r="C21">
        <v>1.9070000000000001E-3</v>
      </c>
      <c r="D21">
        <v>1.3200000000000001E-4</v>
      </c>
      <c r="E21">
        <v>2.8159999999999999E-3</v>
      </c>
      <c r="F21">
        <v>1.56E-4</v>
      </c>
      <c r="G21">
        <v>1.549E-3</v>
      </c>
      <c r="H21">
        <v>2.3E-5</v>
      </c>
      <c r="I21">
        <v>6.9999999999999994E-5</v>
      </c>
      <c r="J21">
        <v>3.0000000000000001E-6</v>
      </c>
      <c r="K21">
        <v>0</v>
      </c>
      <c r="L21">
        <v>0</v>
      </c>
      <c r="M21">
        <v>0</v>
      </c>
      <c r="N21">
        <v>0</v>
      </c>
      <c r="O21">
        <v>6.6559999999999996E-3</v>
      </c>
    </row>
    <row r="22" spans="1:15" ht="15" customHeight="1" x14ac:dyDescent="0.15">
      <c r="A22">
        <v>21</v>
      </c>
      <c r="B22" s="184" t="s">
        <v>212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</row>
    <row r="23" spans="1:15" ht="15" customHeight="1" x14ac:dyDescent="0.15">
      <c r="A23">
        <v>22</v>
      </c>
      <c r="B23" s="184" t="s">
        <v>213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</row>
    <row r="24" spans="1:15" ht="15" customHeight="1" x14ac:dyDescent="0.15">
      <c r="A24">
        <v>23</v>
      </c>
      <c r="B24" s="184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</row>
    <row r="25" spans="1:15" ht="15" customHeight="1" x14ac:dyDescent="0.15">
      <c r="A25">
        <v>24</v>
      </c>
      <c r="B25" s="184" t="s">
        <v>215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</row>
    <row r="26" spans="1:15" ht="15" customHeight="1" x14ac:dyDescent="0.15">
      <c r="A26">
        <v>25</v>
      </c>
      <c r="B26" s="184" t="s">
        <v>216</v>
      </c>
      <c r="C26">
        <v>0</v>
      </c>
      <c r="D26">
        <v>0</v>
      </c>
      <c r="E26">
        <v>0</v>
      </c>
      <c r="F26">
        <v>0</v>
      </c>
      <c r="G26">
        <v>1.3156520000000001E-3</v>
      </c>
      <c r="H26">
        <v>5.5562999999999999E-4</v>
      </c>
      <c r="I26">
        <v>1.9999999999999999E-6</v>
      </c>
      <c r="J26">
        <v>0</v>
      </c>
      <c r="K26">
        <v>0</v>
      </c>
      <c r="L26">
        <v>0</v>
      </c>
      <c r="M26">
        <v>0</v>
      </c>
      <c r="N26">
        <v>0</v>
      </c>
      <c r="O26">
        <v>1.8732820000000002E-3</v>
      </c>
    </row>
    <row r="27" spans="1:15" ht="15" customHeight="1" x14ac:dyDescent="0.15">
      <c r="A27">
        <v>26</v>
      </c>
      <c r="B27" s="184" t="s">
        <v>217</v>
      </c>
      <c r="C27">
        <v>7.9999999999999996E-6</v>
      </c>
      <c r="D27">
        <v>0</v>
      </c>
      <c r="E27">
        <v>3.4399999999999999E-3</v>
      </c>
      <c r="F27">
        <v>3.8999999999999999E-5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3.9100000000000002E-4</v>
      </c>
      <c r="N27">
        <v>0</v>
      </c>
      <c r="O27">
        <v>3.8779999999999999E-3</v>
      </c>
    </row>
    <row r="28" spans="1:15" ht="15" customHeight="1" x14ac:dyDescent="0.15">
      <c r="A28">
        <v>27</v>
      </c>
      <c r="B28" s="184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</row>
    <row r="29" spans="1:15" ht="15" customHeight="1" x14ac:dyDescent="0.15">
      <c r="A29">
        <v>28</v>
      </c>
      <c r="B29" s="184" t="s">
        <v>219</v>
      </c>
      <c r="C29">
        <v>3.9899999999999999E-4</v>
      </c>
      <c r="D29">
        <v>0</v>
      </c>
      <c r="E29">
        <v>1.31904E-2</v>
      </c>
      <c r="F29">
        <v>0</v>
      </c>
      <c r="G29">
        <v>2.4600000000000002E-4</v>
      </c>
      <c r="H29">
        <v>0</v>
      </c>
      <c r="I29">
        <v>7.9999999999999996E-6</v>
      </c>
      <c r="J29">
        <v>0</v>
      </c>
      <c r="K29">
        <v>0</v>
      </c>
      <c r="L29">
        <v>0</v>
      </c>
      <c r="M29">
        <v>1.0182999999999999E-2</v>
      </c>
      <c r="N29">
        <v>0</v>
      </c>
      <c r="O29">
        <v>2.4026399999999996E-2</v>
      </c>
    </row>
    <row r="30" spans="1:15" ht="15" customHeight="1" x14ac:dyDescent="0.15">
      <c r="A30">
        <v>29</v>
      </c>
      <c r="B30" s="184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1E-3</v>
      </c>
      <c r="L30">
        <v>0</v>
      </c>
      <c r="M30">
        <v>0</v>
      </c>
      <c r="N30">
        <v>0</v>
      </c>
      <c r="O30">
        <v>1E-3</v>
      </c>
    </row>
    <row r="31" spans="1:15" ht="15" customHeight="1" x14ac:dyDescent="0.15">
      <c r="A31">
        <v>30</v>
      </c>
      <c r="B31" s="184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</row>
    <row r="32" spans="1:15" ht="15" customHeight="1" x14ac:dyDescent="0.15">
      <c r="A32">
        <v>31</v>
      </c>
      <c r="B32" s="184" t="s">
        <v>222</v>
      </c>
      <c r="C32">
        <v>0</v>
      </c>
      <c r="D32">
        <v>6.9999999999999999E-6</v>
      </c>
      <c r="E32">
        <v>0</v>
      </c>
      <c r="F32">
        <v>0</v>
      </c>
      <c r="G32">
        <v>0</v>
      </c>
      <c r="H32">
        <v>0</v>
      </c>
      <c r="I32">
        <v>0</v>
      </c>
      <c r="J32">
        <v>2.696E-3</v>
      </c>
      <c r="K32">
        <v>0</v>
      </c>
      <c r="L32">
        <v>0</v>
      </c>
      <c r="M32">
        <v>0</v>
      </c>
      <c r="N32">
        <v>0</v>
      </c>
      <c r="O32">
        <v>2.7030000000000001E-3</v>
      </c>
    </row>
    <row r="33" spans="1:15" ht="15" customHeight="1" x14ac:dyDescent="0.15">
      <c r="A33">
        <v>32</v>
      </c>
      <c r="B33" s="184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</row>
    <row r="34" spans="1:15" ht="15" customHeight="1" x14ac:dyDescent="0.15">
      <c r="A34">
        <v>33</v>
      </c>
      <c r="B34" s="184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</row>
    <row r="35" spans="1:15" ht="15" customHeight="1" x14ac:dyDescent="0.15">
      <c r="A35">
        <v>34</v>
      </c>
      <c r="B35" s="184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1.451E-3</v>
      </c>
      <c r="M35">
        <v>0</v>
      </c>
      <c r="N35">
        <v>0</v>
      </c>
      <c r="O35">
        <v>1.451E-3</v>
      </c>
    </row>
    <row r="36" spans="1:15" ht="15" customHeight="1" x14ac:dyDescent="0.15">
      <c r="A36">
        <v>35</v>
      </c>
      <c r="B36" s="184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1E-3</v>
      </c>
      <c r="M36">
        <v>0</v>
      </c>
      <c r="N36">
        <v>0</v>
      </c>
      <c r="O36">
        <v>1E-3</v>
      </c>
    </row>
    <row r="37" spans="1:15" ht="15" customHeight="1" x14ac:dyDescent="0.15">
      <c r="A37">
        <v>36</v>
      </c>
      <c r="B37" s="184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</row>
    <row r="38" spans="1:15" ht="15" customHeight="1" x14ac:dyDescent="0.15">
      <c r="A38">
        <v>37</v>
      </c>
      <c r="B38" s="184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</row>
    <row r="39" spans="1:15" ht="15" customHeight="1" x14ac:dyDescent="0.15">
      <c r="A39">
        <v>38</v>
      </c>
      <c r="B39" s="184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</row>
    <row r="40" spans="1:15" ht="15" customHeight="1" x14ac:dyDescent="0.15">
      <c r="A40">
        <v>39</v>
      </c>
      <c r="B40" s="184" t="s">
        <v>230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</row>
    <row r="41" spans="1:15" ht="15" customHeight="1" x14ac:dyDescent="0.15">
      <c r="A41">
        <v>40</v>
      </c>
      <c r="B41" s="184" t="s">
        <v>231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</row>
    <row r="42" spans="1:15" ht="15" customHeight="1" x14ac:dyDescent="0.15"/>
    <row r="43" spans="1:15" ht="15" customHeight="1" x14ac:dyDescent="0.15"/>
    <row r="44" spans="1:15" ht="15" customHeight="1" x14ac:dyDescent="0.15"/>
    <row r="45" spans="1:15" ht="15" customHeight="1" x14ac:dyDescent="0.15"/>
    <row r="46" spans="1:15" ht="15" customHeight="1" x14ac:dyDescent="0.15"/>
    <row r="47" spans="1:15" ht="15" customHeight="1" x14ac:dyDescent="0.15"/>
    <row r="48" spans="1:15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O41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6.6640625" bestFit="1" customWidth="1"/>
    <col min="3" max="3" width="11.83203125" bestFit="1" customWidth="1"/>
    <col min="4" max="4" width="5.83203125" bestFit="1" customWidth="1"/>
    <col min="5" max="5" width="11.83203125" bestFit="1" customWidth="1"/>
    <col min="6" max="7" width="11.83203125" customWidth="1"/>
    <col min="8" max="14" width="2.33203125" customWidth="1"/>
    <col min="15" max="15" width="11.83203125" customWidth="1"/>
  </cols>
  <sheetData>
    <row r="1" spans="1:15" s="115" customFormat="1" ht="112" x14ac:dyDescent="0.15">
      <c r="A1" s="5" t="s">
        <v>22</v>
      </c>
      <c r="B1" s="3" t="s">
        <v>0</v>
      </c>
      <c r="C1" s="187" t="s">
        <v>232</v>
      </c>
      <c r="D1" s="187" t="s">
        <v>233</v>
      </c>
      <c r="E1" s="187" t="s">
        <v>234</v>
      </c>
      <c r="F1" s="187" t="s">
        <v>235</v>
      </c>
      <c r="G1" s="187" t="s">
        <v>236</v>
      </c>
      <c r="H1" s="187" t="s">
        <v>237</v>
      </c>
      <c r="I1" s="187" t="s">
        <v>238</v>
      </c>
      <c r="J1" s="187" t="s">
        <v>239</v>
      </c>
      <c r="K1" s="187" t="s">
        <v>240</v>
      </c>
      <c r="L1" s="187" t="s">
        <v>241</v>
      </c>
      <c r="M1" s="187" t="s">
        <v>242</v>
      </c>
      <c r="N1" s="187" t="s">
        <v>243</v>
      </c>
      <c r="O1" s="187" t="s">
        <v>247</v>
      </c>
    </row>
    <row r="2" spans="1:15" x14ac:dyDescent="0.15">
      <c r="A2">
        <v>1</v>
      </c>
      <c r="B2" s="186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</row>
    <row r="3" spans="1:15" x14ac:dyDescent="0.15">
      <c r="A3">
        <v>2</v>
      </c>
      <c r="B3" s="186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</row>
    <row r="4" spans="1:15" x14ac:dyDescent="0.15">
      <c r="A4">
        <v>3</v>
      </c>
      <c r="B4" s="186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</row>
    <row r="5" spans="1:15" x14ac:dyDescent="0.15">
      <c r="A5">
        <v>4</v>
      </c>
      <c r="B5" s="186" t="s">
        <v>195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</row>
    <row r="6" spans="1:15" x14ac:dyDescent="0.15">
      <c r="A6">
        <v>5</v>
      </c>
      <c r="B6" s="186" t="s">
        <v>196</v>
      </c>
      <c r="C6">
        <v>0.16900000000000001</v>
      </c>
      <c r="D6">
        <v>3.1E-2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0.2</v>
      </c>
    </row>
    <row r="7" spans="1:15" x14ac:dyDescent="0.15">
      <c r="A7">
        <v>6</v>
      </c>
      <c r="B7" s="186" t="s">
        <v>197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</row>
    <row r="8" spans="1:15" x14ac:dyDescent="0.15">
      <c r="A8">
        <v>7</v>
      </c>
      <c r="B8" s="186" t="s">
        <v>198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</row>
    <row r="9" spans="1:15" x14ac:dyDescent="0.15">
      <c r="A9">
        <v>8</v>
      </c>
      <c r="B9" s="186" t="s">
        <v>199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</row>
    <row r="10" spans="1:15" x14ac:dyDescent="0.15">
      <c r="A10">
        <v>9</v>
      </c>
      <c r="B10" s="186" t="s">
        <v>200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</row>
    <row r="11" spans="1:15" x14ac:dyDescent="0.15">
      <c r="A11">
        <v>10</v>
      </c>
      <c r="B11" s="186" t="s">
        <v>201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</row>
    <row r="12" spans="1:15" x14ac:dyDescent="0.15">
      <c r="A12">
        <v>11</v>
      </c>
      <c r="B12" s="186" t="s">
        <v>202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</row>
    <row r="13" spans="1:15" x14ac:dyDescent="0.15">
      <c r="A13">
        <v>12</v>
      </c>
      <c r="B13" s="186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</row>
    <row r="14" spans="1:15" x14ac:dyDescent="0.15">
      <c r="A14">
        <v>13</v>
      </c>
      <c r="B14" s="186" t="s">
        <v>204</v>
      </c>
      <c r="C14">
        <v>1.5961669999999999E-3</v>
      </c>
      <c r="D14">
        <v>0</v>
      </c>
      <c r="E14">
        <v>0.02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2.1596166999999999E-2</v>
      </c>
    </row>
    <row r="15" spans="1:15" x14ac:dyDescent="0.15">
      <c r="A15">
        <v>14</v>
      </c>
      <c r="B15" s="186" t="s">
        <v>205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</row>
    <row r="16" spans="1:15" x14ac:dyDescent="0.15">
      <c r="A16">
        <v>15</v>
      </c>
      <c r="B16" s="186" t="s">
        <v>206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</row>
    <row r="17" spans="1:15" x14ac:dyDescent="0.15">
      <c r="A17">
        <v>16</v>
      </c>
      <c r="B17" s="186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</row>
    <row r="18" spans="1:15" x14ac:dyDescent="0.15">
      <c r="A18">
        <v>17</v>
      </c>
      <c r="B18" s="186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</row>
    <row r="19" spans="1:15" x14ac:dyDescent="0.15">
      <c r="A19">
        <v>18</v>
      </c>
      <c r="B19" s="186" t="s">
        <v>209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</row>
    <row r="20" spans="1:15" x14ac:dyDescent="0.15">
      <c r="A20">
        <v>19</v>
      </c>
      <c r="B20" s="186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</row>
    <row r="21" spans="1:15" x14ac:dyDescent="0.15">
      <c r="A21">
        <v>20</v>
      </c>
      <c r="B21" s="186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</row>
    <row r="22" spans="1:15" x14ac:dyDescent="0.15">
      <c r="A22">
        <v>21</v>
      </c>
      <c r="B22" s="186" t="s">
        <v>212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</row>
    <row r="23" spans="1:15" x14ac:dyDescent="0.15">
      <c r="A23">
        <v>22</v>
      </c>
      <c r="B23" s="186" t="s">
        <v>213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</row>
    <row r="24" spans="1:15" x14ac:dyDescent="0.15">
      <c r="A24">
        <v>23</v>
      </c>
      <c r="B24" s="186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</row>
    <row r="25" spans="1:15" x14ac:dyDescent="0.15">
      <c r="A25">
        <v>24</v>
      </c>
      <c r="B25" s="186" t="s">
        <v>215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</row>
    <row r="26" spans="1:15" x14ac:dyDescent="0.15">
      <c r="A26">
        <v>25</v>
      </c>
      <c r="B26" s="186" t="s">
        <v>216</v>
      </c>
      <c r="C26">
        <v>0</v>
      </c>
      <c r="D26">
        <v>0</v>
      </c>
      <c r="E26">
        <v>6.5151900000000003E-4</v>
      </c>
      <c r="F26">
        <v>6.5151900000000003E-4</v>
      </c>
      <c r="G26">
        <v>6.5151900000000003E-4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1.954557E-3</v>
      </c>
    </row>
    <row r="27" spans="1:15" x14ac:dyDescent="0.15">
      <c r="A27">
        <v>26</v>
      </c>
      <c r="B27" s="186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</row>
    <row r="28" spans="1:15" x14ac:dyDescent="0.15">
      <c r="A28">
        <v>27</v>
      </c>
      <c r="B28" s="186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</row>
    <row r="29" spans="1:15" x14ac:dyDescent="0.15">
      <c r="A29">
        <v>28</v>
      </c>
      <c r="B29" s="186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</row>
    <row r="30" spans="1:15" x14ac:dyDescent="0.15">
      <c r="A30">
        <v>29</v>
      </c>
      <c r="B30" s="186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</row>
    <row r="31" spans="1:15" x14ac:dyDescent="0.15">
      <c r="A31">
        <v>30</v>
      </c>
      <c r="B31" s="186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</row>
    <row r="32" spans="1:15" x14ac:dyDescent="0.15">
      <c r="A32">
        <v>31</v>
      </c>
      <c r="B32" s="186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</row>
    <row r="33" spans="1:15" x14ac:dyDescent="0.15">
      <c r="A33">
        <v>32</v>
      </c>
      <c r="B33" s="186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</row>
    <row r="34" spans="1:15" x14ac:dyDescent="0.15">
      <c r="A34">
        <v>33</v>
      </c>
      <c r="B34" s="186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</row>
    <row r="35" spans="1:15" x14ac:dyDescent="0.15">
      <c r="A35">
        <v>34</v>
      </c>
      <c r="B35" s="186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</row>
    <row r="36" spans="1:15" x14ac:dyDescent="0.15">
      <c r="A36">
        <v>35</v>
      </c>
      <c r="B36" s="186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</row>
    <row r="37" spans="1:15" x14ac:dyDescent="0.15">
      <c r="A37">
        <v>36</v>
      </c>
      <c r="B37" s="186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</row>
    <row r="38" spans="1:15" x14ac:dyDescent="0.15">
      <c r="A38">
        <v>37</v>
      </c>
      <c r="B38" s="186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</row>
    <row r="39" spans="1:15" x14ac:dyDescent="0.15">
      <c r="A39">
        <v>38</v>
      </c>
      <c r="B39" s="186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</row>
    <row r="40" spans="1:15" x14ac:dyDescent="0.15">
      <c r="A40">
        <v>39</v>
      </c>
      <c r="B40" s="186" t="s">
        <v>230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</row>
    <row r="41" spans="1:15" x14ac:dyDescent="0.15">
      <c r="A41">
        <v>40</v>
      </c>
      <c r="B41" s="186" t="s">
        <v>231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6.6640625" bestFit="1" customWidth="1"/>
    <col min="6" max="6" width="4.83203125" bestFit="1" customWidth="1"/>
    <col min="7" max="9" width="3.83203125" bestFit="1" customWidth="1"/>
    <col min="10" max="11" width="4.83203125" style="114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6" customFormat="1" ht="14" thickBot="1" x14ac:dyDescent="0.2">
      <c r="D1" s="117" t="s">
        <v>8</v>
      </c>
      <c r="E1" s="117" t="s">
        <v>0</v>
      </c>
      <c r="F1" s="118" t="s">
        <v>99</v>
      </c>
      <c r="G1" s="119" t="s">
        <v>84</v>
      </c>
      <c r="H1" s="119" t="s">
        <v>85</v>
      </c>
      <c r="I1" s="119" t="s">
        <v>86</v>
      </c>
      <c r="J1" s="119" t="s">
        <v>87</v>
      </c>
      <c r="K1" s="119" t="s">
        <v>88</v>
      </c>
      <c r="L1" s="120" t="s">
        <v>89</v>
      </c>
      <c r="M1" s="120" t="s">
        <v>93</v>
      </c>
      <c r="N1" s="120" t="s">
        <v>92</v>
      </c>
      <c r="O1" s="120" t="s">
        <v>90</v>
      </c>
      <c r="P1" s="120" t="s">
        <v>91</v>
      </c>
      <c r="Q1" s="121" t="s">
        <v>94</v>
      </c>
      <c r="R1" s="121" t="s">
        <v>95</v>
      </c>
      <c r="S1" s="121" t="s">
        <v>96</v>
      </c>
      <c r="T1" s="121" t="s">
        <v>97</v>
      </c>
      <c r="U1" s="121" t="s">
        <v>98</v>
      </c>
      <c r="V1" s="119" t="s">
        <v>100</v>
      </c>
      <c r="W1" s="119" t="s">
        <v>101</v>
      </c>
      <c r="X1" s="119" t="s">
        <v>102</v>
      </c>
      <c r="Y1" s="119" t="s">
        <v>134</v>
      </c>
      <c r="Z1" s="120" t="s">
        <v>103</v>
      </c>
      <c r="AA1" s="120" t="s">
        <v>104</v>
      </c>
      <c r="AB1" s="120" t="s">
        <v>105</v>
      </c>
      <c r="AC1" s="122" t="s">
        <v>135</v>
      </c>
      <c r="AD1" s="121" t="s">
        <v>106</v>
      </c>
      <c r="AE1" s="121" t="s">
        <v>107</v>
      </c>
      <c r="AF1" s="121" t="s">
        <v>108</v>
      </c>
      <c r="AG1" s="121" t="s">
        <v>136</v>
      </c>
      <c r="AH1" s="119" t="s">
        <v>109</v>
      </c>
      <c r="AI1" s="119" t="s">
        <v>111</v>
      </c>
      <c r="AJ1" s="119" t="s">
        <v>110</v>
      </c>
      <c r="AK1" s="120" t="s">
        <v>115</v>
      </c>
      <c r="AL1" s="120" t="s">
        <v>116</v>
      </c>
      <c r="AM1" s="120" t="s">
        <v>117</v>
      </c>
      <c r="AN1" s="121" t="s">
        <v>112</v>
      </c>
      <c r="AO1" s="121" t="s">
        <v>113</v>
      </c>
      <c r="AP1" s="121" t="s">
        <v>114</v>
      </c>
    </row>
    <row r="2" spans="1:42" x14ac:dyDescent="0.15">
      <c r="A2" s="123" t="s">
        <v>74</v>
      </c>
      <c r="B2" s="124">
        <v>1</v>
      </c>
      <c r="D2">
        <v>1</v>
      </c>
      <c r="E2" s="188" t="s">
        <v>192</v>
      </c>
      <c r="F2">
        <v>0.98</v>
      </c>
      <c r="G2">
        <v>0.8</v>
      </c>
      <c r="H2">
        <v>0.8</v>
      </c>
      <c r="I2">
        <v>0.8</v>
      </c>
      <c r="J2" s="114">
        <v>0.25</v>
      </c>
      <c r="K2" s="114">
        <v>0.05</v>
      </c>
    </row>
    <row r="3" spans="1:42" x14ac:dyDescent="0.15">
      <c r="A3" s="123" t="s">
        <v>75</v>
      </c>
      <c r="B3" s="125">
        <v>1</v>
      </c>
      <c r="D3">
        <v>2</v>
      </c>
      <c r="E3" s="188" t="s">
        <v>193</v>
      </c>
      <c r="F3">
        <v>0.98</v>
      </c>
      <c r="G3">
        <v>0.8</v>
      </c>
      <c r="H3">
        <v>0.8</v>
      </c>
      <c r="I3">
        <v>0.8</v>
      </c>
      <c r="J3" s="114">
        <v>0.25</v>
      </c>
      <c r="K3" s="114">
        <v>0.05</v>
      </c>
    </row>
    <row r="4" spans="1:42" x14ac:dyDescent="0.15">
      <c r="A4" s="123" t="s">
        <v>76</v>
      </c>
      <c r="B4" s="125">
        <v>1</v>
      </c>
      <c r="D4">
        <v>3</v>
      </c>
      <c r="E4" s="188" t="s">
        <v>194</v>
      </c>
      <c r="F4">
        <v>0.98</v>
      </c>
      <c r="G4">
        <v>0.8</v>
      </c>
      <c r="H4">
        <v>0.8</v>
      </c>
      <c r="I4">
        <v>0.8</v>
      </c>
      <c r="J4" s="114">
        <v>0.25</v>
      </c>
      <c r="K4" s="114">
        <v>0.05</v>
      </c>
    </row>
    <row r="5" spans="1:42" x14ac:dyDescent="0.15">
      <c r="A5" s="123" t="s">
        <v>77</v>
      </c>
      <c r="B5" s="125">
        <v>1</v>
      </c>
      <c r="D5">
        <v>4</v>
      </c>
      <c r="E5" s="188" t="s">
        <v>195</v>
      </c>
      <c r="F5">
        <v>0.98</v>
      </c>
      <c r="G5">
        <v>0.8</v>
      </c>
      <c r="H5">
        <v>0.8</v>
      </c>
      <c r="I5">
        <v>0.8</v>
      </c>
      <c r="J5" s="114">
        <v>0.25</v>
      </c>
      <c r="K5" s="114">
        <v>0.05</v>
      </c>
    </row>
    <row r="6" spans="1:42" x14ac:dyDescent="0.15">
      <c r="A6" s="123" t="s">
        <v>78</v>
      </c>
      <c r="B6" s="125">
        <v>1</v>
      </c>
      <c r="D6">
        <v>5</v>
      </c>
      <c r="E6" s="188" t="s">
        <v>196</v>
      </c>
      <c r="F6">
        <v>0.98</v>
      </c>
      <c r="G6">
        <v>0.8</v>
      </c>
      <c r="H6">
        <v>0.8</v>
      </c>
      <c r="I6">
        <v>0.8</v>
      </c>
      <c r="J6" s="114">
        <v>0.25</v>
      </c>
      <c r="K6" s="114">
        <v>0.05</v>
      </c>
    </row>
    <row r="7" spans="1:42" x14ac:dyDescent="0.15">
      <c r="A7" s="123" t="s">
        <v>79</v>
      </c>
      <c r="B7" s="125">
        <v>1</v>
      </c>
      <c r="D7">
        <v>6</v>
      </c>
      <c r="E7" s="188" t="s">
        <v>197</v>
      </c>
      <c r="F7">
        <v>0.98</v>
      </c>
      <c r="G7">
        <v>0.8</v>
      </c>
      <c r="H7">
        <v>0.8</v>
      </c>
      <c r="I7">
        <v>0.8</v>
      </c>
      <c r="J7" s="114">
        <v>0.25</v>
      </c>
      <c r="K7" s="114">
        <v>0.05</v>
      </c>
    </row>
    <row r="8" spans="1:42" x14ac:dyDescent="0.15">
      <c r="A8" s="123" t="s">
        <v>80</v>
      </c>
      <c r="B8" s="125">
        <v>1</v>
      </c>
      <c r="D8">
        <v>7</v>
      </c>
      <c r="E8" s="188" t="s">
        <v>198</v>
      </c>
      <c r="F8">
        <v>0.98</v>
      </c>
      <c r="G8">
        <v>0.8</v>
      </c>
      <c r="H8">
        <v>0.8</v>
      </c>
      <c r="I8">
        <v>0.8</v>
      </c>
      <c r="J8" s="114">
        <v>0.25</v>
      </c>
      <c r="K8" s="114">
        <v>0.05</v>
      </c>
    </row>
    <row r="9" spans="1:42" x14ac:dyDescent="0.15">
      <c r="A9" s="123" t="s">
        <v>81</v>
      </c>
      <c r="B9" s="125">
        <v>0.1</v>
      </c>
      <c r="C9" s="61" t="s">
        <v>150</v>
      </c>
      <c r="D9">
        <v>8</v>
      </c>
      <c r="E9" s="188" t="s">
        <v>199</v>
      </c>
      <c r="F9">
        <v>0.98</v>
      </c>
      <c r="G9">
        <v>0.8</v>
      </c>
      <c r="H9">
        <v>0.8</v>
      </c>
      <c r="I9">
        <v>0.8</v>
      </c>
      <c r="J9" s="114">
        <v>0.25</v>
      </c>
      <c r="K9" s="114">
        <v>0.05</v>
      </c>
    </row>
    <row r="10" spans="1:42" ht="14" thickBot="1" x14ac:dyDescent="0.2">
      <c r="A10" s="123" t="s">
        <v>149</v>
      </c>
      <c r="B10" s="126">
        <f>1/3</f>
        <v>0.33333333333333331</v>
      </c>
      <c r="C10" s="61" t="s">
        <v>150</v>
      </c>
      <c r="D10">
        <v>9</v>
      </c>
      <c r="E10" s="188" t="s">
        <v>200</v>
      </c>
      <c r="F10">
        <v>0.98</v>
      </c>
      <c r="G10">
        <v>0.8</v>
      </c>
      <c r="H10">
        <v>0.8</v>
      </c>
      <c r="I10">
        <v>0.8</v>
      </c>
      <c r="J10" s="114">
        <v>0.25</v>
      </c>
      <c r="K10" s="114">
        <v>0.05</v>
      </c>
    </row>
    <row r="11" spans="1:42" x14ac:dyDescent="0.15">
      <c r="D11">
        <v>10</v>
      </c>
      <c r="E11" s="188" t="s">
        <v>201</v>
      </c>
      <c r="F11">
        <v>0.98</v>
      </c>
      <c r="G11">
        <v>0.8</v>
      </c>
      <c r="H11">
        <v>0.8</v>
      </c>
      <c r="I11">
        <v>0.8</v>
      </c>
      <c r="J11" s="114">
        <v>0.25</v>
      </c>
      <c r="K11" s="114">
        <v>0.05</v>
      </c>
    </row>
    <row r="12" spans="1:42" x14ac:dyDescent="0.15">
      <c r="D12">
        <v>11</v>
      </c>
      <c r="E12" s="188" t="s">
        <v>202</v>
      </c>
      <c r="F12">
        <v>0.98</v>
      </c>
      <c r="G12">
        <v>0.8</v>
      </c>
      <c r="H12">
        <v>0.8</v>
      </c>
      <c r="I12">
        <v>0.8</v>
      </c>
      <c r="J12" s="114">
        <v>0.25</v>
      </c>
      <c r="K12" s="114">
        <v>0.05</v>
      </c>
    </row>
    <row r="13" spans="1:42" x14ac:dyDescent="0.15">
      <c r="D13">
        <v>12</v>
      </c>
      <c r="E13" s="188" t="s">
        <v>203</v>
      </c>
      <c r="F13">
        <v>0.98</v>
      </c>
      <c r="G13">
        <v>0.8</v>
      </c>
      <c r="H13">
        <v>0.8</v>
      </c>
      <c r="I13">
        <v>0.8</v>
      </c>
      <c r="J13" s="114">
        <v>0.25</v>
      </c>
      <c r="K13" s="114">
        <v>0.05</v>
      </c>
    </row>
    <row r="14" spans="1:42" x14ac:dyDescent="0.15">
      <c r="D14">
        <v>13</v>
      </c>
      <c r="E14" s="188" t="s">
        <v>204</v>
      </c>
      <c r="F14">
        <v>0.98</v>
      </c>
      <c r="G14">
        <v>0.8</v>
      </c>
      <c r="H14">
        <v>0.8</v>
      </c>
      <c r="I14">
        <v>0.8</v>
      </c>
      <c r="J14" s="114">
        <v>0.25</v>
      </c>
      <c r="K14" s="114">
        <v>0.05</v>
      </c>
    </row>
    <row r="15" spans="1:42" x14ac:dyDescent="0.15">
      <c r="D15">
        <v>14</v>
      </c>
      <c r="E15" s="188" t="s">
        <v>205</v>
      </c>
      <c r="F15">
        <v>0.98</v>
      </c>
      <c r="G15">
        <v>0.8</v>
      </c>
      <c r="H15">
        <v>0.8</v>
      </c>
      <c r="I15">
        <v>0.8</v>
      </c>
      <c r="J15" s="114">
        <v>0.25</v>
      </c>
      <c r="K15" s="114">
        <v>0.05</v>
      </c>
    </row>
    <row r="16" spans="1:42" x14ac:dyDescent="0.15">
      <c r="D16">
        <v>15</v>
      </c>
      <c r="E16" s="188" t="s">
        <v>206</v>
      </c>
      <c r="F16">
        <v>0.98</v>
      </c>
      <c r="G16">
        <v>0.8</v>
      </c>
      <c r="H16">
        <v>0.8</v>
      </c>
      <c r="I16">
        <v>0.8</v>
      </c>
      <c r="J16" s="114">
        <v>0.25</v>
      </c>
      <c r="K16" s="114">
        <v>0.05</v>
      </c>
    </row>
    <row r="17" spans="4:33" ht="15" customHeight="1" x14ac:dyDescent="0.15">
      <c r="D17">
        <v>16</v>
      </c>
      <c r="E17" s="188" t="s">
        <v>207</v>
      </c>
      <c r="F17">
        <v>0.98</v>
      </c>
      <c r="G17">
        <v>0.8</v>
      </c>
      <c r="H17">
        <v>0.8</v>
      </c>
      <c r="I17">
        <v>0.8</v>
      </c>
      <c r="J17" s="114">
        <v>0.25</v>
      </c>
      <c r="K17" s="114">
        <v>0.05</v>
      </c>
    </row>
    <row r="18" spans="4:33" ht="15" customHeight="1" x14ac:dyDescent="0.15">
      <c r="D18">
        <v>17</v>
      </c>
      <c r="E18" s="188" t="s">
        <v>208</v>
      </c>
      <c r="F18">
        <v>0.98</v>
      </c>
      <c r="G18">
        <v>0.8</v>
      </c>
      <c r="H18">
        <v>0.8</v>
      </c>
      <c r="I18">
        <v>0.8</v>
      </c>
      <c r="J18" s="114">
        <v>0.25</v>
      </c>
      <c r="K18" s="114">
        <v>0.05</v>
      </c>
    </row>
    <row r="19" spans="4:33" ht="15" customHeight="1" x14ac:dyDescent="0.15">
      <c r="D19">
        <v>18</v>
      </c>
      <c r="E19" s="188" t="s">
        <v>209</v>
      </c>
      <c r="F19">
        <v>0.98</v>
      </c>
      <c r="G19">
        <v>0.8</v>
      </c>
      <c r="H19">
        <v>0.8</v>
      </c>
      <c r="I19">
        <v>0.8</v>
      </c>
      <c r="J19" s="114">
        <v>0.25</v>
      </c>
      <c r="K19" s="114">
        <v>0.05</v>
      </c>
    </row>
    <row r="20" spans="4:33" ht="15" customHeight="1" x14ac:dyDescent="0.15">
      <c r="D20">
        <v>19</v>
      </c>
      <c r="E20" s="188" t="s">
        <v>210</v>
      </c>
      <c r="F20">
        <v>0.98</v>
      </c>
      <c r="G20">
        <v>0.8</v>
      </c>
      <c r="H20">
        <v>0.8</v>
      </c>
      <c r="I20">
        <v>0.8</v>
      </c>
      <c r="J20" s="114">
        <v>0.25</v>
      </c>
      <c r="K20" s="114">
        <v>0.05</v>
      </c>
    </row>
    <row r="21" spans="4:33" ht="15" customHeight="1" x14ac:dyDescent="0.15">
      <c r="D21">
        <v>20</v>
      </c>
      <c r="E21" s="188" t="s">
        <v>211</v>
      </c>
      <c r="F21">
        <v>0.98</v>
      </c>
      <c r="G21">
        <v>0.8</v>
      </c>
      <c r="H21">
        <v>0.8</v>
      </c>
      <c r="I21">
        <v>0.8</v>
      </c>
      <c r="J21" s="114">
        <v>0.25</v>
      </c>
      <c r="K21" s="114">
        <v>0.05</v>
      </c>
    </row>
    <row r="22" spans="4:33" ht="15" customHeight="1" x14ac:dyDescent="0.15">
      <c r="D22">
        <v>21</v>
      </c>
      <c r="E22" s="188" t="s">
        <v>212</v>
      </c>
      <c r="F22">
        <v>0.98</v>
      </c>
      <c r="G22">
        <v>0.8</v>
      </c>
      <c r="H22">
        <v>0.8</v>
      </c>
      <c r="I22">
        <v>0.8</v>
      </c>
      <c r="J22" s="114">
        <v>0.25</v>
      </c>
      <c r="K22" s="114">
        <v>0.05</v>
      </c>
    </row>
    <row r="23" spans="4:33" ht="15" customHeight="1" x14ac:dyDescent="0.15">
      <c r="D23">
        <v>22</v>
      </c>
      <c r="E23" s="188" t="s">
        <v>213</v>
      </c>
      <c r="F23">
        <v>0.98</v>
      </c>
      <c r="G23">
        <v>0.8</v>
      </c>
      <c r="H23">
        <v>0.8</v>
      </c>
      <c r="I23">
        <v>0.8</v>
      </c>
      <c r="J23" s="114">
        <v>0.25</v>
      </c>
      <c r="K23" s="114">
        <v>0.05</v>
      </c>
    </row>
    <row r="24" spans="4:33" ht="15" customHeight="1" x14ac:dyDescent="0.15">
      <c r="D24">
        <v>23</v>
      </c>
      <c r="E24" s="188" t="s">
        <v>214</v>
      </c>
      <c r="F24">
        <v>0.98</v>
      </c>
      <c r="G24">
        <v>0.8</v>
      </c>
      <c r="H24">
        <v>0.8</v>
      </c>
      <c r="I24">
        <v>0.8</v>
      </c>
      <c r="J24" s="114">
        <v>0.25</v>
      </c>
      <c r="K24" s="114">
        <v>0.05</v>
      </c>
    </row>
    <row r="25" spans="4:33" ht="15" customHeight="1" x14ac:dyDescent="0.15">
      <c r="D25">
        <v>24</v>
      </c>
      <c r="E25" s="188" t="s">
        <v>215</v>
      </c>
      <c r="F25">
        <v>0.98</v>
      </c>
      <c r="G25">
        <v>0.8</v>
      </c>
      <c r="H25">
        <v>0.8</v>
      </c>
      <c r="I25">
        <v>0.8</v>
      </c>
      <c r="J25" s="114">
        <v>0.25</v>
      </c>
      <c r="K25" s="114">
        <v>0.05</v>
      </c>
    </row>
    <row r="26" spans="4:33" ht="15" customHeight="1" x14ac:dyDescent="0.15">
      <c r="D26">
        <v>25</v>
      </c>
      <c r="E26" s="188" t="s">
        <v>216</v>
      </c>
      <c r="F26">
        <v>0.98</v>
      </c>
      <c r="G26">
        <v>0.8</v>
      </c>
      <c r="H26">
        <v>0.8</v>
      </c>
      <c r="I26">
        <v>0.8</v>
      </c>
      <c r="J26" s="114">
        <v>0.25</v>
      </c>
      <c r="K26" s="114">
        <v>0.05</v>
      </c>
    </row>
    <row r="27" spans="4:33" ht="15" customHeight="1" x14ac:dyDescent="0.15">
      <c r="D27">
        <v>26</v>
      </c>
      <c r="E27" s="188" t="s">
        <v>217</v>
      </c>
      <c r="F27">
        <v>0.98</v>
      </c>
      <c r="G27">
        <v>0.8</v>
      </c>
      <c r="H27">
        <v>0.8</v>
      </c>
      <c r="I27">
        <v>0.8</v>
      </c>
      <c r="J27" s="114">
        <v>0.25</v>
      </c>
      <c r="K27" s="114">
        <v>0.05</v>
      </c>
    </row>
    <row r="28" spans="4:33" ht="15" customHeight="1" x14ac:dyDescent="0.15">
      <c r="D28">
        <v>27</v>
      </c>
      <c r="E28" s="188" t="s">
        <v>218</v>
      </c>
      <c r="F28">
        <v>0.98</v>
      </c>
      <c r="G28">
        <v>0.8</v>
      </c>
      <c r="H28">
        <v>0.8</v>
      </c>
      <c r="I28">
        <v>0.8</v>
      </c>
      <c r="J28" s="114">
        <v>0.25</v>
      </c>
      <c r="K28" s="114">
        <v>0.05</v>
      </c>
    </row>
    <row r="29" spans="4:33" ht="15" customHeight="1" x14ac:dyDescent="0.15">
      <c r="D29">
        <v>28</v>
      </c>
      <c r="E29" s="188" t="s">
        <v>219</v>
      </c>
      <c r="F29">
        <v>0.98</v>
      </c>
      <c r="G29">
        <v>0.8</v>
      </c>
      <c r="H29">
        <v>0.8</v>
      </c>
      <c r="I29">
        <v>0.8</v>
      </c>
      <c r="J29" s="114">
        <v>0.25</v>
      </c>
      <c r="K29" s="114">
        <v>0.05</v>
      </c>
      <c r="Y29"/>
      <c r="AC29"/>
      <c r="AG29"/>
    </row>
    <row r="30" spans="4:33" ht="15" customHeight="1" x14ac:dyDescent="0.15">
      <c r="D30">
        <v>29</v>
      </c>
      <c r="E30" s="188" t="s">
        <v>220</v>
      </c>
      <c r="F30">
        <v>0.98</v>
      </c>
      <c r="G30">
        <v>0.8</v>
      </c>
      <c r="H30">
        <v>0.8</v>
      </c>
      <c r="I30">
        <v>0.8</v>
      </c>
      <c r="J30" s="114">
        <v>0.25</v>
      </c>
      <c r="K30" s="114">
        <v>0.05</v>
      </c>
      <c r="Y30"/>
      <c r="AC30"/>
      <c r="AG30"/>
    </row>
    <row r="31" spans="4:33" ht="15" customHeight="1" x14ac:dyDescent="0.15">
      <c r="D31">
        <v>30</v>
      </c>
      <c r="E31" s="188" t="s">
        <v>221</v>
      </c>
      <c r="F31">
        <v>0.98</v>
      </c>
      <c r="G31">
        <v>0.8</v>
      </c>
      <c r="H31">
        <v>0.8</v>
      </c>
      <c r="I31">
        <v>0.8</v>
      </c>
      <c r="J31" s="114">
        <v>0.25</v>
      </c>
      <c r="K31" s="114">
        <v>0.05</v>
      </c>
      <c r="Y31"/>
      <c r="AC31"/>
      <c r="AG31"/>
    </row>
    <row r="32" spans="4:33" ht="15" customHeight="1" x14ac:dyDescent="0.15">
      <c r="D32">
        <v>31</v>
      </c>
      <c r="E32" s="188" t="s">
        <v>222</v>
      </c>
      <c r="F32">
        <v>0.98</v>
      </c>
      <c r="G32">
        <v>0.8</v>
      </c>
      <c r="H32">
        <v>0.8</v>
      </c>
      <c r="I32">
        <v>0.8</v>
      </c>
      <c r="J32" s="114">
        <v>0.25</v>
      </c>
      <c r="K32" s="114">
        <v>0.05</v>
      </c>
      <c r="Y32"/>
      <c r="AC32"/>
      <c r="AG32"/>
    </row>
    <row r="33" spans="4:33" ht="15" customHeight="1" x14ac:dyDescent="0.15">
      <c r="D33">
        <v>32</v>
      </c>
      <c r="E33" s="188" t="s">
        <v>223</v>
      </c>
      <c r="F33">
        <v>0.98</v>
      </c>
      <c r="G33">
        <v>0.8</v>
      </c>
      <c r="H33">
        <v>0.8</v>
      </c>
      <c r="I33">
        <v>0.8</v>
      </c>
      <c r="J33" s="114">
        <v>0.25</v>
      </c>
      <c r="K33" s="114">
        <v>0.05</v>
      </c>
      <c r="Y33"/>
      <c r="AC33"/>
      <c r="AG33"/>
    </row>
    <row r="34" spans="4:33" ht="15" customHeight="1" x14ac:dyDescent="0.15">
      <c r="D34">
        <v>33</v>
      </c>
      <c r="E34" s="188" t="s">
        <v>224</v>
      </c>
      <c r="F34">
        <v>0.98</v>
      </c>
      <c r="G34">
        <v>0.8</v>
      </c>
      <c r="H34">
        <v>0.8</v>
      </c>
      <c r="I34">
        <v>0.8</v>
      </c>
      <c r="J34" s="114">
        <v>0.25</v>
      </c>
      <c r="K34" s="114">
        <v>0.05</v>
      </c>
      <c r="Y34"/>
      <c r="AC34"/>
      <c r="AG34"/>
    </row>
    <row r="35" spans="4:33" ht="15" customHeight="1" x14ac:dyDescent="0.15">
      <c r="D35">
        <v>34</v>
      </c>
      <c r="E35" s="188" t="s">
        <v>225</v>
      </c>
      <c r="F35">
        <v>0.98</v>
      </c>
      <c r="G35">
        <v>0.8</v>
      </c>
      <c r="H35">
        <v>0.8</v>
      </c>
      <c r="I35">
        <v>0.8</v>
      </c>
      <c r="J35" s="114">
        <v>0.25</v>
      </c>
      <c r="K35" s="114">
        <v>0.05</v>
      </c>
      <c r="Y35"/>
      <c r="AC35"/>
      <c r="AG35"/>
    </row>
    <row r="36" spans="4:33" ht="15" customHeight="1" x14ac:dyDescent="0.15">
      <c r="D36">
        <v>35</v>
      </c>
      <c r="E36" s="188" t="s">
        <v>226</v>
      </c>
      <c r="F36">
        <v>0.98</v>
      </c>
      <c r="G36">
        <v>0.8</v>
      </c>
      <c r="H36">
        <v>0.8</v>
      </c>
      <c r="I36">
        <v>0.8</v>
      </c>
      <c r="J36" s="114">
        <v>0.25</v>
      </c>
      <c r="K36" s="114">
        <v>0.05</v>
      </c>
      <c r="Y36"/>
      <c r="AC36"/>
      <c r="AG36"/>
    </row>
    <row r="37" spans="4:33" ht="15" customHeight="1" x14ac:dyDescent="0.15">
      <c r="D37">
        <v>36</v>
      </c>
      <c r="E37" s="188" t="s">
        <v>227</v>
      </c>
      <c r="F37">
        <v>0.98</v>
      </c>
      <c r="G37">
        <v>0.8</v>
      </c>
      <c r="H37">
        <v>0.8</v>
      </c>
      <c r="I37">
        <v>0.8</v>
      </c>
      <c r="J37" s="114">
        <v>0.25</v>
      </c>
      <c r="K37" s="114">
        <v>0.05</v>
      </c>
      <c r="Y37"/>
      <c r="AC37"/>
      <c r="AG37"/>
    </row>
    <row r="38" spans="4:33" ht="15" customHeight="1" x14ac:dyDescent="0.15">
      <c r="D38">
        <v>37</v>
      </c>
      <c r="E38" s="188" t="s">
        <v>228</v>
      </c>
      <c r="F38">
        <v>0.98</v>
      </c>
      <c r="G38">
        <v>0.8</v>
      </c>
      <c r="H38">
        <v>0.8</v>
      </c>
      <c r="I38">
        <v>0.8</v>
      </c>
      <c r="J38" s="114">
        <v>0.25</v>
      </c>
      <c r="K38" s="114">
        <v>0.05</v>
      </c>
      <c r="Y38"/>
      <c r="AC38"/>
      <c r="AG38"/>
    </row>
    <row r="39" spans="4:33" ht="15" customHeight="1" x14ac:dyDescent="0.15">
      <c r="D39">
        <v>38</v>
      </c>
      <c r="E39" s="188" t="s">
        <v>229</v>
      </c>
      <c r="F39">
        <v>0.98</v>
      </c>
      <c r="G39">
        <v>0.8</v>
      </c>
      <c r="H39">
        <v>0.8</v>
      </c>
      <c r="I39">
        <v>0</v>
      </c>
      <c r="J39" s="114">
        <v>0</v>
      </c>
      <c r="K39" s="114">
        <v>0</v>
      </c>
    </row>
    <row r="40" spans="4:33" ht="15" customHeight="1" x14ac:dyDescent="0.15">
      <c r="D40">
        <v>39</v>
      </c>
      <c r="E40" s="188" t="s">
        <v>230</v>
      </c>
      <c r="F40">
        <v>0.98</v>
      </c>
      <c r="G40">
        <v>0.8</v>
      </c>
      <c r="H40">
        <v>0</v>
      </c>
      <c r="I40">
        <v>0</v>
      </c>
      <c r="J40" s="114">
        <v>0</v>
      </c>
      <c r="K40" s="114">
        <v>0</v>
      </c>
      <c r="Y40"/>
      <c r="AC40"/>
      <c r="AG40"/>
    </row>
    <row r="41" spans="4:33" ht="15" customHeight="1" x14ac:dyDescent="0.15">
      <c r="D41">
        <v>40</v>
      </c>
      <c r="E41" s="188" t="s">
        <v>231</v>
      </c>
      <c r="F41">
        <v>0.98</v>
      </c>
      <c r="G41">
        <v>0.8</v>
      </c>
      <c r="H41">
        <v>0</v>
      </c>
      <c r="I41">
        <v>0</v>
      </c>
      <c r="J41" s="114">
        <v>0</v>
      </c>
      <c r="K41" s="114">
        <v>0</v>
      </c>
      <c r="Y41"/>
      <c r="AC41"/>
      <c r="AG41"/>
    </row>
    <row r="42" spans="4:33" ht="15" customHeight="1" x14ac:dyDescent="0.15">
      <c r="J42"/>
      <c r="K42"/>
      <c r="Y42"/>
      <c r="AC42"/>
      <c r="AG42"/>
    </row>
    <row r="43" spans="4:33" ht="15" customHeight="1" x14ac:dyDescent="0.15">
      <c r="J43"/>
      <c r="K43"/>
      <c r="Y43"/>
      <c r="AC43"/>
      <c r="AG43"/>
    </row>
    <row r="44" spans="4:33" ht="15" customHeight="1" x14ac:dyDescent="0.15">
      <c r="J44"/>
      <c r="K44"/>
      <c r="Y44"/>
      <c r="AC44"/>
      <c r="AG44"/>
    </row>
    <row r="45" spans="4:33" ht="15" customHeight="1" x14ac:dyDescent="0.15">
      <c r="J45"/>
      <c r="K45"/>
      <c r="Y45"/>
      <c r="AC45"/>
      <c r="AG45"/>
    </row>
    <row r="46" spans="4:33" ht="15" customHeight="1" x14ac:dyDescent="0.15">
      <c r="J46"/>
      <c r="K46"/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O42"/>
  <sheetViews>
    <sheetView workbookViewId="0">
      <selection activeCell="A3" sqref="A3"/>
    </sheetView>
  </sheetViews>
  <sheetFormatPr baseColWidth="10" defaultRowHeight="13" x14ac:dyDescent="0.15"/>
  <cols>
    <col min="1" max="1" width="21.6640625" style="112" bestFit="1" customWidth="1"/>
    <col min="2" max="38" width="3.83203125" style="112" customWidth="1"/>
    <col min="39" max="41" width="2.33203125" style="112" customWidth="1"/>
    <col min="42" max="16384" width="10.83203125" style="112"/>
  </cols>
  <sheetData>
    <row r="1" spans="1:41" x14ac:dyDescent="0.15">
      <c r="A1" s="63" t="s">
        <v>118</v>
      </c>
      <c r="B1" s="190" t="s">
        <v>192</v>
      </c>
      <c r="C1" s="190" t="s">
        <v>193</v>
      </c>
      <c r="D1" s="190" t="s">
        <v>194</v>
      </c>
      <c r="E1" s="190" t="s">
        <v>195</v>
      </c>
      <c r="F1" s="190" t="s">
        <v>196</v>
      </c>
      <c r="G1" s="190" t="s">
        <v>197</v>
      </c>
      <c r="H1" s="190" t="s">
        <v>198</v>
      </c>
      <c r="I1" s="190" t="s">
        <v>199</v>
      </c>
      <c r="J1" s="190" t="s">
        <v>200</v>
      </c>
      <c r="K1" s="190" t="s">
        <v>201</v>
      </c>
      <c r="L1" s="190" t="s">
        <v>202</v>
      </c>
      <c r="M1" s="190" t="s">
        <v>203</v>
      </c>
      <c r="N1" s="190" t="s">
        <v>204</v>
      </c>
      <c r="O1" s="190" t="s">
        <v>205</v>
      </c>
      <c r="P1" s="190" t="s">
        <v>206</v>
      </c>
      <c r="Q1" s="190" t="s">
        <v>207</v>
      </c>
      <c r="R1" s="190" t="s">
        <v>208</v>
      </c>
      <c r="S1" s="190" t="s">
        <v>209</v>
      </c>
      <c r="T1" s="190" t="s">
        <v>210</v>
      </c>
      <c r="U1" s="190" t="s">
        <v>211</v>
      </c>
      <c r="V1" s="190" t="s">
        <v>212</v>
      </c>
      <c r="W1" s="190" t="s">
        <v>213</v>
      </c>
      <c r="X1" s="190" t="s">
        <v>214</v>
      </c>
      <c r="Y1" s="190" t="s">
        <v>215</v>
      </c>
      <c r="Z1" s="190" t="s">
        <v>216</v>
      </c>
      <c r="AA1" s="190" t="s">
        <v>217</v>
      </c>
      <c r="AB1" s="190" t="s">
        <v>218</v>
      </c>
      <c r="AC1" s="190" t="s">
        <v>219</v>
      </c>
      <c r="AD1" s="190" t="s">
        <v>220</v>
      </c>
      <c r="AE1" s="190" t="s">
        <v>221</v>
      </c>
      <c r="AF1" s="190" t="s">
        <v>222</v>
      </c>
      <c r="AG1" s="190" t="s">
        <v>223</v>
      </c>
      <c r="AH1" s="190" t="s">
        <v>224</v>
      </c>
      <c r="AI1" s="190" t="s">
        <v>225</v>
      </c>
      <c r="AJ1" s="190" t="s">
        <v>226</v>
      </c>
      <c r="AK1" s="190" t="s">
        <v>227</v>
      </c>
      <c r="AL1" s="190" t="s">
        <v>228</v>
      </c>
      <c r="AM1" s="190" t="s">
        <v>229</v>
      </c>
      <c r="AN1" s="190" t="s">
        <v>230</v>
      </c>
      <c r="AO1" s="190" t="s">
        <v>231</v>
      </c>
    </row>
    <row r="2" spans="1:41" customFormat="1" x14ac:dyDescent="0.15">
      <c r="A2" s="189" t="s">
        <v>192</v>
      </c>
      <c r="B2" s="112">
        <v>0</v>
      </c>
      <c r="C2" s="112">
        <v>0</v>
      </c>
      <c r="D2" s="112">
        <v>0</v>
      </c>
      <c r="E2" s="112">
        <v>0</v>
      </c>
      <c r="F2" s="112">
        <v>0</v>
      </c>
      <c r="G2" s="112">
        <v>0</v>
      </c>
      <c r="H2" s="112">
        <v>0</v>
      </c>
      <c r="I2" s="112">
        <v>0</v>
      </c>
      <c r="J2" s="112">
        <v>0</v>
      </c>
      <c r="K2" s="112">
        <v>0</v>
      </c>
      <c r="L2" s="112">
        <v>0</v>
      </c>
      <c r="M2" s="112">
        <v>0</v>
      </c>
      <c r="N2" s="112">
        <v>0</v>
      </c>
      <c r="O2" s="112">
        <v>0</v>
      </c>
      <c r="P2" s="112">
        <v>0</v>
      </c>
      <c r="Q2" s="112">
        <v>0</v>
      </c>
      <c r="R2" s="112">
        <v>0</v>
      </c>
      <c r="S2" s="112">
        <v>0</v>
      </c>
      <c r="T2" s="112">
        <v>0</v>
      </c>
      <c r="U2" s="112">
        <v>0</v>
      </c>
      <c r="V2" s="112">
        <v>0</v>
      </c>
      <c r="W2" s="112">
        <v>0</v>
      </c>
      <c r="X2" s="112">
        <v>0</v>
      </c>
      <c r="Y2" s="112">
        <v>0</v>
      </c>
      <c r="Z2" s="112">
        <v>0</v>
      </c>
      <c r="AA2" s="112">
        <v>0</v>
      </c>
      <c r="AB2" s="112">
        <v>0</v>
      </c>
      <c r="AC2" s="112">
        <v>0</v>
      </c>
      <c r="AD2" s="112">
        <v>0</v>
      </c>
      <c r="AE2" s="112">
        <v>0</v>
      </c>
      <c r="AF2" s="112">
        <v>0</v>
      </c>
      <c r="AG2" s="112">
        <v>0</v>
      </c>
      <c r="AH2" s="112">
        <v>0</v>
      </c>
      <c r="AI2" s="112">
        <v>0</v>
      </c>
      <c r="AJ2" s="112">
        <v>0</v>
      </c>
      <c r="AK2" s="112">
        <v>0</v>
      </c>
      <c r="AL2" s="112">
        <v>0</v>
      </c>
      <c r="AM2" s="112">
        <v>0</v>
      </c>
      <c r="AN2" s="112">
        <v>0</v>
      </c>
      <c r="AO2" s="112">
        <v>0</v>
      </c>
    </row>
    <row r="3" spans="1:41" customFormat="1" x14ac:dyDescent="0.15">
      <c r="A3" s="189" t="s">
        <v>193</v>
      </c>
      <c r="B3" s="112">
        <v>0</v>
      </c>
      <c r="C3" s="112">
        <v>0</v>
      </c>
      <c r="D3" s="112">
        <v>0</v>
      </c>
      <c r="E3" s="112">
        <v>0</v>
      </c>
      <c r="F3" s="112">
        <v>0</v>
      </c>
      <c r="G3" s="112">
        <v>0</v>
      </c>
      <c r="H3" s="112">
        <v>0</v>
      </c>
      <c r="I3" s="112">
        <v>0</v>
      </c>
      <c r="J3" s="112">
        <v>0</v>
      </c>
      <c r="K3" s="112">
        <v>0</v>
      </c>
      <c r="L3" s="112">
        <v>0</v>
      </c>
      <c r="M3" s="112">
        <v>0</v>
      </c>
      <c r="N3" s="112">
        <v>0</v>
      </c>
      <c r="O3" s="112">
        <v>0</v>
      </c>
      <c r="P3" s="112">
        <v>0</v>
      </c>
      <c r="Q3" s="112">
        <v>0</v>
      </c>
      <c r="R3" s="112">
        <v>0</v>
      </c>
      <c r="S3" s="112">
        <v>0</v>
      </c>
      <c r="T3" s="112">
        <v>0</v>
      </c>
      <c r="U3" s="112">
        <v>0</v>
      </c>
      <c r="V3" s="112">
        <v>0</v>
      </c>
      <c r="W3" s="112">
        <v>0</v>
      </c>
      <c r="X3" s="112">
        <v>0</v>
      </c>
      <c r="Y3" s="112">
        <v>0</v>
      </c>
      <c r="Z3" s="112">
        <v>0</v>
      </c>
      <c r="AA3" s="112">
        <v>0</v>
      </c>
      <c r="AB3" s="112">
        <v>0</v>
      </c>
      <c r="AC3" s="112">
        <v>0</v>
      </c>
      <c r="AD3" s="112">
        <v>0</v>
      </c>
      <c r="AE3" s="112">
        <v>0</v>
      </c>
      <c r="AF3" s="112">
        <v>0</v>
      </c>
      <c r="AG3" s="112">
        <v>0</v>
      </c>
      <c r="AH3" s="112">
        <v>0</v>
      </c>
      <c r="AI3" s="112">
        <v>0</v>
      </c>
      <c r="AJ3" s="112">
        <v>0</v>
      </c>
      <c r="AK3" s="112">
        <v>0</v>
      </c>
      <c r="AL3" s="112">
        <v>0</v>
      </c>
      <c r="AM3" s="112">
        <v>0</v>
      </c>
      <c r="AN3" s="112">
        <v>0</v>
      </c>
      <c r="AO3" s="112">
        <v>0</v>
      </c>
    </row>
    <row r="4" spans="1:41" customFormat="1" x14ac:dyDescent="0.15">
      <c r="A4" s="189" t="s">
        <v>194</v>
      </c>
      <c r="B4" s="112">
        <v>0</v>
      </c>
      <c r="C4" s="112">
        <v>0</v>
      </c>
      <c r="D4" s="112">
        <v>0.8</v>
      </c>
      <c r="E4" s="112">
        <v>0</v>
      </c>
      <c r="F4" s="112">
        <v>0</v>
      </c>
      <c r="G4" s="112">
        <v>0</v>
      </c>
      <c r="H4" s="112">
        <v>0</v>
      </c>
      <c r="I4" s="112">
        <v>0</v>
      </c>
      <c r="J4" s="112">
        <v>0</v>
      </c>
      <c r="K4" s="112">
        <v>0</v>
      </c>
      <c r="L4" s="112">
        <v>0</v>
      </c>
      <c r="M4" s="112">
        <v>0</v>
      </c>
      <c r="N4" s="112">
        <v>0</v>
      </c>
      <c r="O4" s="112">
        <v>0</v>
      </c>
      <c r="P4" s="112">
        <v>0</v>
      </c>
      <c r="Q4" s="112">
        <v>0</v>
      </c>
      <c r="R4" s="112">
        <v>0</v>
      </c>
      <c r="S4" s="112">
        <v>0</v>
      </c>
      <c r="T4" s="112">
        <v>0</v>
      </c>
      <c r="U4" s="112">
        <v>0</v>
      </c>
      <c r="V4" s="112">
        <v>0</v>
      </c>
      <c r="W4" s="112">
        <v>0</v>
      </c>
      <c r="X4" s="112">
        <v>0</v>
      </c>
      <c r="Y4" s="112">
        <v>0</v>
      </c>
      <c r="Z4" s="112">
        <v>0.8</v>
      </c>
      <c r="AA4" s="112">
        <v>0</v>
      </c>
      <c r="AB4" s="112">
        <v>0</v>
      </c>
      <c r="AC4" s="112">
        <v>0</v>
      </c>
      <c r="AD4" s="112">
        <v>0</v>
      </c>
      <c r="AE4" s="112">
        <v>0</v>
      </c>
      <c r="AF4" s="112">
        <v>0</v>
      </c>
      <c r="AG4" s="112">
        <v>0</v>
      </c>
      <c r="AH4" s="112">
        <v>0</v>
      </c>
      <c r="AI4" s="112">
        <v>0</v>
      </c>
      <c r="AJ4" s="112">
        <v>0</v>
      </c>
      <c r="AK4" s="112">
        <v>0</v>
      </c>
      <c r="AL4" s="112">
        <v>0</v>
      </c>
      <c r="AM4" s="112">
        <v>0</v>
      </c>
      <c r="AN4" s="112">
        <v>0</v>
      </c>
      <c r="AO4" s="112">
        <v>0</v>
      </c>
    </row>
    <row r="5" spans="1:41" customFormat="1" x14ac:dyDescent="0.15">
      <c r="A5" s="189" t="s">
        <v>195</v>
      </c>
      <c r="B5" s="112">
        <v>0</v>
      </c>
      <c r="C5" s="112">
        <v>0.8</v>
      </c>
      <c r="D5" s="112">
        <v>0</v>
      </c>
      <c r="E5" s="112">
        <v>0</v>
      </c>
      <c r="F5" s="112">
        <v>0</v>
      </c>
      <c r="G5" s="112">
        <v>0</v>
      </c>
      <c r="H5" s="112">
        <v>0</v>
      </c>
      <c r="I5" s="112">
        <v>0</v>
      </c>
      <c r="J5" s="112">
        <v>0</v>
      </c>
      <c r="K5" s="112">
        <v>0</v>
      </c>
      <c r="L5" s="112">
        <v>0</v>
      </c>
      <c r="M5" s="112">
        <v>0</v>
      </c>
      <c r="N5" s="112">
        <v>0</v>
      </c>
      <c r="O5" s="112">
        <v>0.8</v>
      </c>
      <c r="P5" s="112">
        <v>0</v>
      </c>
      <c r="Q5" s="112">
        <v>0</v>
      </c>
      <c r="R5" s="112">
        <v>0</v>
      </c>
      <c r="S5" s="112">
        <v>0.8</v>
      </c>
      <c r="T5" s="112">
        <v>0</v>
      </c>
      <c r="U5" s="112">
        <v>0</v>
      </c>
      <c r="V5" s="112">
        <v>0</v>
      </c>
      <c r="W5" s="112">
        <v>0</v>
      </c>
      <c r="X5" s="112">
        <v>0</v>
      </c>
      <c r="Y5" s="112">
        <v>0</v>
      </c>
      <c r="Z5" s="112">
        <v>0</v>
      </c>
      <c r="AA5" s="112">
        <v>0</v>
      </c>
      <c r="AB5" s="112">
        <v>0</v>
      </c>
      <c r="AC5" s="112">
        <v>0</v>
      </c>
      <c r="AD5" s="112">
        <v>0</v>
      </c>
      <c r="AE5" s="112">
        <v>0</v>
      </c>
      <c r="AF5" s="112">
        <v>0</v>
      </c>
      <c r="AG5" s="112">
        <v>0</v>
      </c>
      <c r="AH5" s="112">
        <v>0</v>
      </c>
      <c r="AI5" s="112">
        <v>0</v>
      </c>
      <c r="AJ5" s="112">
        <v>0</v>
      </c>
      <c r="AK5" s="112">
        <v>0</v>
      </c>
      <c r="AL5" s="112">
        <v>0</v>
      </c>
      <c r="AM5" s="112">
        <v>0</v>
      </c>
      <c r="AN5" s="112">
        <v>0</v>
      </c>
      <c r="AO5" s="112">
        <v>0</v>
      </c>
    </row>
    <row r="6" spans="1:41" customFormat="1" x14ac:dyDescent="0.15">
      <c r="A6" s="189" t="s">
        <v>196</v>
      </c>
      <c r="B6" s="112">
        <v>0.8</v>
      </c>
      <c r="C6" s="112">
        <v>0.8</v>
      </c>
      <c r="D6" s="112">
        <v>0.8</v>
      </c>
      <c r="E6" s="112">
        <v>0.8</v>
      </c>
      <c r="F6" s="112">
        <v>0.8</v>
      </c>
      <c r="G6" s="112">
        <v>0.8</v>
      </c>
      <c r="H6" s="112">
        <v>0</v>
      </c>
      <c r="I6" s="112">
        <v>0.8</v>
      </c>
      <c r="J6" s="112">
        <v>0</v>
      </c>
      <c r="K6" s="112">
        <v>0.8</v>
      </c>
      <c r="L6" s="112">
        <v>0</v>
      </c>
      <c r="M6" s="112">
        <v>0</v>
      </c>
      <c r="N6" s="112">
        <v>0.8</v>
      </c>
      <c r="O6" s="112">
        <v>0.8</v>
      </c>
      <c r="P6" s="112">
        <v>0</v>
      </c>
      <c r="Q6" s="112">
        <v>0.8</v>
      </c>
      <c r="R6" s="112">
        <v>0</v>
      </c>
      <c r="S6" s="112">
        <v>0.8</v>
      </c>
      <c r="T6" s="112">
        <v>0.8</v>
      </c>
      <c r="U6" s="112">
        <v>0.8</v>
      </c>
      <c r="V6" s="112">
        <v>0.8</v>
      </c>
      <c r="W6" s="112">
        <v>0.8</v>
      </c>
      <c r="X6" s="112">
        <v>0</v>
      </c>
      <c r="Y6" s="112">
        <v>0</v>
      </c>
      <c r="Z6" s="112">
        <v>0</v>
      </c>
      <c r="AA6" s="112">
        <v>0</v>
      </c>
      <c r="AB6" s="112">
        <v>0</v>
      </c>
      <c r="AC6" s="112">
        <v>0.8</v>
      </c>
      <c r="AD6" s="112">
        <v>0</v>
      </c>
      <c r="AE6" s="112">
        <v>0</v>
      </c>
      <c r="AF6" s="112">
        <v>0</v>
      </c>
      <c r="AG6" s="112">
        <v>0</v>
      </c>
      <c r="AH6" s="112">
        <v>0</v>
      </c>
      <c r="AI6" s="112">
        <v>0</v>
      </c>
      <c r="AJ6" s="112">
        <v>0</v>
      </c>
      <c r="AK6" s="112">
        <v>0</v>
      </c>
      <c r="AL6" s="112">
        <v>0</v>
      </c>
      <c r="AM6" s="112">
        <v>0</v>
      </c>
      <c r="AN6" s="112">
        <v>0</v>
      </c>
      <c r="AO6" s="112">
        <v>0</v>
      </c>
    </row>
    <row r="7" spans="1:41" customFormat="1" x14ac:dyDescent="0.15">
      <c r="A7" s="189" t="s">
        <v>197</v>
      </c>
      <c r="B7" s="112">
        <v>0</v>
      </c>
      <c r="C7" s="112">
        <v>0.8</v>
      </c>
      <c r="D7" s="112">
        <v>0</v>
      </c>
      <c r="E7" s="112">
        <v>0</v>
      </c>
      <c r="F7" s="112">
        <v>0</v>
      </c>
      <c r="G7" s="112">
        <v>0.8</v>
      </c>
      <c r="H7" s="112">
        <v>0</v>
      </c>
      <c r="I7" s="112">
        <v>0</v>
      </c>
      <c r="J7" s="112">
        <v>0</v>
      </c>
      <c r="K7" s="112">
        <v>0</v>
      </c>
      <c r="L7" s="112">
        <v>0</v>
      </c>
      <c r="M7" s="112">
        <v>0</v>
      </c>
      <c r="N7" s="112">
        <v>0</v>
      </c>
      <c r="O7" s="112">
        <v>0.8</v>
      </c>
      <c r="P7" s="112">
        <v>0</v>
      </c>
      <c r="Q7" s="112">
        <v>0</v>
      </c>
      <c r="R7" s="112">
        <v>0</v>
      </c>
      <c r="S7" s="112">
        <v>0.8</v>
      </c>
      <c r="T7" s="112">
        <v>0</v>
      </c>
      <c r="U7" s="112">
        <v>0</v>
      </c>
      <c r="V7" s="112">
        <v>0</v>
      </c>
      <c r="W7" s="112">
        <v>0</v>
      </c>
      <c r="X7" s="112">
        <v>0</v>
      </c>
      <c r="Y7" s="112">
        <v>0</v>
      </c>
      <c r="Z7" s="112">
        <v>0.8</v>
      </c>
      <c r="AA7" s="112">
        <v>0</v>
      </c>
      <c r="AB7" s="112">
        <v>0</v>
      </c>
      <c r="AC7" s="112">
        <v>0</v>
      </c>
      <c r="AD7" s="112">
        <v>0</v>
      </c>
      <c r="AE7" s="112">
        <v>0</v>
      </c>
      <c r="AF7" s="112">
        <v>0</v>
      </c>
      <c r="AG7" s="112">
        <v>0</v>
      </c>
      <c r="AH7" s="112">
        <v>0</v>
      </c>
      <c r="AI7" s="112">
        <v>0</v>
      </c>
      <c r="AJ7" s="112">
        <v>0</v>
      </c>
      <c r="AK7" s="112">
        <v>0</v>
      </c>
      <c r="AL7" s="112">
        <v>0</v>
      </c>
      <c r="AM7" s="112">
        <v>0</v>
      </c>
      <c r="AN7" s="112">
        <v>0</v>
      </c>
      <c r="AO7" s="112">
        <v>0</v>
      </c>
    </row>
    <row r="8" spans="1:41" customFormat="1" x14ac:dyDescent="0.15">
      <c r="A8" s="189" t="s">
        <v>198</v>
      </c>
      <c r="B8" s="112">
        <v>0.8</v>
      </c>
      <c r="C8" s="112">
        <v>0.8</v>
      </c>
      <c r="D8" s="112">
        <v>0</v>
      </c>
      <c r="E8" s="112">
        <v>0.8</v>
      </c>
      <c r="F8" s="112">
        <v>0.8</v>
      </c>
      <c r="G8" s="112">
        <v>0.8</v>
      </c>
      <c r="H8" s="112">
        <v>0.8</v>
      </c>
      <c r="I8" s="112">
        <v>0.8</v>
      </c>
      <c r="J8" s="112">
        <v>0.8</v>
      </c>
      <c r="K8" s="112">
        <v>0.8</v>
      </c>
      <c r="L8" s="112">
        <v>0.8</v>
      </c>
      <c r="M8" s="112">
        <v>0</v>
      </c>
      <c r="N8" s="112">
        <v>0.8</v>
      </c>
      <c r="O8" s="112">
        <v>0.8</v>
      </c>
      <c r="P8" s="112">
        <v>0</v>
      </c>
      <c r="Q8" s="112">
        <v>0.8</v>
      </c>
      <c r="R8" s="112">
        <v>0</v>
      </c>
      <c r="S8" s="112">
        <v>0.8</v>
      </c>
      <c r="T8" s="112">
        <v>0.8</v>
      </c>
      <c r="U8" s="112">
        <v>0.8</v>
      </c>
      <c r="V8" s="112">
        <v>0</v>
      </c>
      <c r="W8" s="112">
        <v>0.8</v>
      </c>
      <c r="X8" s="112">
        <v>0</v>
      </c>
      <c r="Y8" s="112">
        <v>0</v>
      </c>
      <c r="Z8" s="112">
        <v>0.8</v>
      </c>
      <c r="AA8" s="112">
        <v>0</v>
      </c>
      <c r="AB8" s="112">
        <v>0</v>
      </c>
      <c r="AC8" s="112">
        <v>0.8</v>
      </c>
      <c r="AD8" s="112">
        <v>0</v>
      </c>
      <c r="AE8" s="112">
        <v>0</v>
      </c>
      <c r="AF8" s="112">
        <v>0</v>
      </c>
      <c r="AG8" s="112">
        <v>0</v>
      </c>
      <c r="AH8" s="112">
        <v>0</v>
      </c>
      <c r="AI8" s="112">
        <v>0</v>
      </c>
      <c r="AJ8" s="112">
        <v>0</v>
      </c>
      <c r="AK8" s="112">
        <v>0</v>
      </c>
      <c r="AL8" s="112">
        <v>0</v>
      </c>
      <c r="AM8" s="112">
        <v>0</v>
      </c>
      <c r="AN8" s="112">
        <v>0</v>
      </c>
      <c r="AO8" s="112">
        <v>0</v>
      </c>
    </row>
    <row r="9" spans="1:41" customFormat="1" x14ac:dyDescent="0.15">
      <c r="A9" s="189" t="s">
        <v>199</v>
      </c>
      <c r="B9" s="112">
        <v>0</v>
      </c>
      <c r="C9" s="112">
        <v>0.8</v>
      </c>
      <c r="D9" s="112">
        <v>0.8</v>
      </c>
      <c r="E9" s="112">
        <v>0.8</v>
      </c>
      <c r="F9" s="112">
        <v>0</v>
      </c>
      <c r="G9" s="112">
        <v>0.8</v>
      </c>
      <c r="H9" s="112">
        <v>0.8</v>
      </c>
      <c r="I9" s="112">
        <v>0.8</v>
      </c>
      <c r="J9" s="112">
        <v>0</v>
      </c>
      <c r="K9" s="112">
        <v>0.8</v>
      </c>
      <c r="L9" s="112">
        <v>0.8</v>
      </c>
      <c r="M9" s="112">
        <v>0</v>
      </c>
      <c r="N9" s="112">
        <v>0</v>
      </c>
      <c r="O9" s="112">
        <v>0</v>
      </c>
      <c r="P9" s="112">
        <v>0</v>
      </c>
      <c r="Q9" s="112">
        <v>0.8</v>
      </c>
      <c r="R9" s="112">
        <v>0</v>
      </c>
      <c r="S9" s="112">
        <v>0.8</v>
      </c>
      <c r="T9" s="112">
        <v>0.8</v>
      </c>
      <c r="U9" s="112">
        <v>0.8</v>
      </c>
      <c r="V9" s="112">
        <v>0</v>
      </c>
      <c r="W9" s="112">
        <v>0</v>
      </c>
      <c r="X9" s="112">
        <v>0</v>
      </c>
      <c r="Y9" s="112">
        <v>0</v>
      </c>
      <c r="Z9" s="112">
        <v>0</v>
      </c>
      <c r="AA9" s="112">
        <v>0</v>
      </c>
      <c r="AB9" s="112">
        <v>0</v>
      </c>
      <c r="AC9" s="112">
        <v>0.8</v>
      </c>
      <c r="AD9" s="112">
        <v>0</v>
      </c>
      <c r="AE9" s="112">
        <v>0</v>
      </c>
      <c r="AF9" s="112">
        <v>0</v>
      </c>
      <c r="AG9" s="112">
        <v>0</v>
      </c>
      <c r="AH9" s="112">
        <v>0</v>
      </c>
      <c r="AI9" s="112">
        <v>0</v>
      </c>
      <c r="AJ9" s="112">
        <v>0</v>
      </c>
      <c r="AK9" s="112">
        <v>0</v>
      </c>
      <c r="AL9" s="112">
        <v>0</v>
      </c>
      <c r="AM9" s="112">
        <v>0</v>
      </c>
      <c r="AN9" s="112">
        <v>0</v>
      </c>
      <c r="AO9" s="112">
        <v>0</v>
      </c>
    </row>
    <row r="10" spans="1:41" customFormat="1" x14ac:dyDescent="0.15">
      <c r="A10" s="189" t="s">
        <v>200</v>
      </c>
      <c r="B10" s="112">
        <v>0</v>
      </c>
      <c r="C10" s="112">
        <v>0.8</v>
      </c>
      <c r="D10" s="112">
        <v>0</v>
      </c>
      <c r="E10" s="112">
        <v>0.8</v>
      </c>
      <c r="F10" s="112">
        <v>0.8</v>
      </c>
      <c r="G10" s="112">
        <v>0</v>
      </c>
      <c r="H10" s="112">
        <v>0</v>
      </c>
      <c r="I10" s="112">
        <v>0.8</v>
      </c>
      <c r="J10" s="112">
        <v>0.8</v>
      </c>
      <c r="K10" s="112">
        <v>0.8</v>
      </c>
      <c r="L10" s="112">
        <v>0.8</v>
      </c>
      <c r="M10" s="112">
        <v>0</v>
      </c>
      <c r="N10" s="112">
        <v>0</v>
      </c>
      <c r="O10" s="112">
        <v>0.8</v>
      </c>
      <c r="P10" s="112">
        <v>0</v>
      </c>
      <c r="Q10" s="112">
        <v>0</v>
      </c>
      <c r="R10" s="112">
        <v>0</v>
      </c>
      <c r="S10" s="112">
        <v>0.8</v>
      </c>
      <c r="T10" s="112">
        <v>0.8</v>
      </c>
      <c r="U10" s="112">
        <v>0.8</v>
      </c>
      <c r="V10" s="112">
        <v>0.8</v>
      </c>
      <c r="W10" s="112">
        <v>0</v>
      </c>
      <c r="X10" s="112">
        <v>0</v>
      </c>
      <c r="Y10" s="112">
        <v>0</v>
      </c>
      <c r="Z10" s="112">
        <v>0</v>
      </c>
      <c r="AA10" s="112">
        <v>0</v>
      </c>
      <c r="AB10" s="112">
        <v>0</v>
      </c>
      <c r="AC10" s="112">
        <v>0</v>
      </c>
      <c r="AD10" s="112">
        <v>0</v>
      </c>
      <c r="AE10" s="112">
        <v>0</v>
      </c>
      <c r="AF10" s="112">
        <v>0</v>
      </c>
      <c r="AG10" s="112">
        <v>0</v>
      </c>
      <c r="AH10" s="112">
        <v>0</v>
      </c>
      <c r="AI10" s="112">
        <v>0</v>
      </c>
      <c r="AJ10" s="112">
        <v>0</v>
      </c>
      <c r="AK10" s="112">
        <v>0</v>
      </c>
      <c r="AL10" s="112">
        <v>0</v>
      </c>
      <c r="AM10" s="112">
        <v>0</v>
      </c>
      <c r="AN10" s="112">
        <v>0</v>
      </c>
      <c r="AO10" s="112">
        <v>0</v>
      </c>
    </row>
    <row r="11" spans="1:41" customFormat="1" x14ac:dyDescent="0.15">
      <c r="A11" s="189" t="s">
        <v>201</v>
      </c>
      <c r="B11" s="112">
        <v>0</v>
      </c>
      <c r="C11" s="112">
        <v>0</v>
      </c>
      <c r="D11" s="112">
        <v>0</v>
      </c>
      <c r="E11" s="112">
        <v>0</v>
      </c>
      <c r="F11" s="112">
        <v>0</v>
      </c>
      <c r="G11" s="112">
        <v>0</v>
      </c>
      <c r="H11" s="112">
        <v>0</v>
      </c>
      <c r="I11" s="112">
        <v>0</v>
      </c>
      <c r="J11" s="112">
        <v>0</v>
      </c>
      <c r="K11" s="112">
        <v>0</v>
      </c>
      <c r="L11" s="112">
        <v>0</v>
      </c>
      <c r="M11" s="112">
        <v>0</v>
      </c>
      <c r="N11" s="112">
        <v>0</v>
      </c>
      <c r="O11" s="112">
        <v>0</v>
      </c>
      <c r="P11" s="112">
        <v>0</v>
      </c>
      <c r="Q11" s="112">
        <v>0</v>
      </c>
      <c r="R11" s="112">
        <v>0</v>
      </c>
      <c r="S11" s="112">
        <v>0</v>
      </c>
      <c r="T11" s="112">
        <v>0</v>
      </c>
      <c r="U11" s="112">
        <v>0</v>
      </c>
      <c r="V11" s="112">
        <v>0</v>
      </c>
      <c r="W11" s="112">
        <v>0</v>
      </c>
      <c r="X11" s="112">
        <v>0</v>
      </c>
      <c r="Y11" s="112">
        <v>0</v>
      </c>
      <c r="Z11" s="112">
        <v>0</v>
      </c>
      <c r="AA11" s="112">
        <v>0</v>
      </c>
      <c r="AB11" s="112">
        <v>0</v>
      </c>
      <c r="AC11" s="112">
        <v>0</v>
      </c>
      <c r="AD11" s="112">
        <v>0</v>
      </c>
      <c r="AE11" s="112">
        <v>0</v>
      </c>
      <c r="AF11" s="112">
        <v>0</v>
      </c>
      <c r="AG11" s="112">
        <v>0</v>
      </c>
      <c r="AH11" s="112">
        <v>0</v>
      </c>
      <c r="AI11" s="112">
        <v>0</v>
      </c>
      <c r="AJ11" s="112">
        <v>0</v>
      </c>
      <c r="AK11" s="112">
        <v>0</v>
      </c>
      <c r="AL11" s="112">
        <v>0</v>
      </c>
      <c r="AM11" s="112">
        <v>0</v>
      </c>
      <c r="AN11" s="112">
        <v>0</v>
      </c>
      <c r="AO11" s="112">
        <v>0</v>
      </c>
    </row>
    <row r="12" spans="1:41" customFormat="1" x14ac:dyDescent="0.15">
      <c r="A12" s="189" t="s">
        <v>202</v>
      </c>
      <c r="B12" s="112">
        <v>0</v>
      </c>
      <c r="C12" s="112">
        <v>0.8</v>
      </c>
      <c r="D12" s="112">
        <v>0</v>
      </c>
      <c r="E12" s="112">
        <v>0.8</v>
      </c>
      <c r="F12" s="112">
        <v>0</v>
      </c>
      <c r="G12" s="112">
        <v>0</v>
      </c>
      <c r="H12" s="112">
        <v>0</v>
      </c>
      <c r="I12" s="112">
        <v>0</v>
      </c>
      <c r="J12" s="112">
        <v>0</v>
      </c>
      <c r="K12" s="112">
        <v>0</v>
      </c>
      <c r="L12" s="112">
        <v>0</v>
      </c>
      <c r="M12" s="112">
        <v>0</v>
      </c>
      <c r="N12" s="112">
        <v>0</v>
      </c>
      <c r="O12" s="112">
        <v>0</v>
      </c>
      <c r="P12" s="112">
        <v>0</v>
      </c>
      <c r="Q12" s="112">
        <v>0</v>
      </c>
      <c r="R12" s="112">
        <v>0</v>
      </c>
      <c r="S12" s="112">
        <v>0.8</v>
      </c>
      <c r="T12" s="112">
        <v>0</v>
      </c>
      <c r="U12" s="112">
        <v>0</v>
      </c>
      <c r="V12" s="112">
        <v>0</v>
      </c>
      <c r="W12" s="112">
        <v>0</v>
      </c>
      <c r="X12" s="112">
        <v>0</v>
      </c>
      <c r="Y12" s="112">
        <v>0</v>
      </c>
      <c r="Z12" s="112">
        <v>0</v>
      </c>
      <c r="AA12" s="112">
        <v>0</v>
      </c>
      <c r="AB12" s="112">
        <v>0</v>
      </c>
      <c r="AC12" s="112">
        <v>0</v>
      </c>
      <c r="AD12" s="112">
        <v>0</v>
      </c>
      <c r="AE12" s="112">
        <v>0</v>
      </c>
      <c r="AF12" s="112">
        <v>0</v>
      </c>
      <c r="AG12" s="112">
        <v>0</v>
      </c>
      <c r="AH12" s="112">
        <v>0</v>
      </c>
      <c r="AI12" s="112">
        <v>0</v>
      </c>
      <c r="AJ12" s="112">
        <v>0</v>
      </c>
      <c r="AK12" s="112">
        <v>0</v>
      </c>
      <c r="AL12" s="112">
        <v>0</v>
      </c>
      <c r="AM12" s="112">
        <v>0</v>
      </c>
      <c r="AN12" s="112">
        <v>0</v>
      </c>
      <c r="AO12" s="112">
        <v>0</v>
      </c>
    </row>
    <row r="13" spans="1:41" customFormat="1" x14ac:dyDescent="0.15">
      <c r="A13" s="189" t="s">
        <v>203</v>
      </c>
      <c r="B13" s="112">
        <v>0</v>
      </c>
      <c r="C13" s="112">
        <v>0.8</v>
      </c>
      <c r="D13" s="112">
        <v>0</v>
      </c>
      <c r="E13" s="112">
        <v>0.8</v>
      </c>
      <c r="F13" s="112">
        <v>0</v>
      </c>
      <c r="G13" s="112">
        <v>0</v>
      </c>
      <c r="H13" s="112">
        <v>0</v>
      </c>
      <c r="I13" s="112">
        <v>0.8</v>
      </c>
      <c r="J13" s="112">
        <v>0.8</v>
      </c>
      <c r="K13" s="112">
        <v>0.8</v>
      </c>
      <c r="L13" s="112">
        <v>0.8</v>
      </c>
      <c r="M13" s="112">
        <v>0</v>
      </c>
      <c r="N13" s="112">
        <v>0.8</v>
      </c>
      <c r="O13" s="112">
        <v>0.8</v>
      </c>
      <c r="P13" s="112">
        <v>0</v>
      </c>
      <c r="Q13" s="112">
        <v>0.8</v>
      </c>
      <c r="R13" s="112">
        <v>0</v>
      </c>
      <c r="S13" s="112">
        <v>0.8</v>
      </c>
      <c r="T13" s="112">
        <v>0.8</v>
      </c>
      <c r="U13" s="112">
        <v>0</v>
      </c>
      <c r="V13" s="112">
        <v>0</v>
      </c>
      <c r="W13" s="112">
        <v>0.8</v>
      </c>
      <c r="X13" s="112">
        <v>0</v>
      </c>
      <c r="Y13" s="112">
        <v>0</v>
      </c>
      <c r="Z13" s="112">
        <v>0.8</v>
      </c>
      <c r="AA13" s="112">
        <v>0</v>
      </c>
      <c r="AB13" s="112">
        <v>0</v>
      </c>
      <c r="AC13" s="112">
        <v>0</v>
      </c>
      <c r="AD13" s="112">
        <v>0</v>
      </c>
      <c r="AE13" s="112">
        <v>0</v>
      </c>
      <c r="AF13" s="112">
        <v>0</v>
      </c>
      <c r="AG13" s="112">
        <v>0</v>
      </c>
      <c r="AH13" s="112">
        <v>0</v>
      </c>
      <c r="AI13" s="112">
        <v>0</v>
      </c>
      <c r="AJ13" s="112">
        <v>0</v>
      </c>
      <c r="AK13" s="112">
        <v>0</v>
      </c>
      <c r="AL13" s="112">
        <v>0</v>
      </c>
      <c r="AM13" s="112">
        <v>0</v>
      </c>
      <c r="AN13" s="112">
        <v>0</v>
      </c>
      <c r="AO13" s="112">
        <v>0</v>
      </c>
    </row>
    <row r="14" spans="1:41" customFormat="1" x14ac:dyDescent="0.15">
      <c r="A14" s="189" t="s">
        <v>204</v>
      </c>
      <c r="B14" s="112">
        <v>0</v>
      </c>
      <c r="C14" s="112">
        <v>0.8</v>
      </c>
      <c r="D14" s="112">
        <v>0</v>
      </c>
      <c r="E14" s="112">
        <v>0</v>
      </c>
      <c r="F14" s="112">
        <v>0</v>
      </c>
      <c r="G14" s="112">
        <v>0</v>
      </c>
      <c r="H14" s="112">
        <v>0</v>
      </c>
      <c r="I14" s="112">
        <v>0</v>
      </c>
      <c r="J14" s="112">
        <v>0</v>
      </c>
      <c r="K14" s="112">
        <v>0.8</v>
      </c>
      <c r="L14" s="112">
        <v>0</v>
      </c>
      <c r="M14" s="112">
        <v>0</v>
      </c>
      <c r="N14" s="112">
        <v>0.8</v>
      </c>
      <c r="O14" s="112">
        <v>0</v>
      </c>
      <c r="P14" s="112">
        <v>0</v>
      </c>
      <c r="Q14" s="112">
        <v>0</v>
      </c>
      <c r="R14" s="112">
        <v>0</v>
      </c>
      <c r="S14" s="112">
        <v>0.8</v>
      </c>
      <c r="T14" s="112">
        <v>0</v>
      </c>
      <c r="U14" s="112">
        <v>0.8</v>
      </c>
      <c r="V14" s="112">
        <v>0</v>
      </c>
      <c r="W14" s="112">
        <v>0</v>
      </c>
      <c r="X14" s="112">
        <v>0</v>
      </c>
      <c r="Y14" s="112">
        <v>0</v>
      </c>
      <c r="Z14" s="112">
        <v>0.8</v>
      </c>
      <c r="AA14" s="112">
        <v>0</v>
      </c>
      <c r="AB14" s="112">
        <v>0</v>
      </c>
      <c r="AC14" s="112">
        <v>0</v>
      </c>
      <c r="AD14" s="112">
        <v>0</v>
      </c>
      <c r="AE14" s="112">
        <v>0</v>
      </c>
      <c r="AF14" s="112">
        <v>0</v>
      </c>
      <c r="AG14" s="112">
        <v>0</v>
      </c>
      <c r="AH14" s="112">
        <v>0</v>
      </c>
      <c r="AI14" s="112">
        <v>0</v>
      </c>
      <c r="AJ14" s="112">
        <v>0</v>
      </c>
      <c r="AK14" s="112">
        <v>0</v>
      </c>
      <c r="AL14" s="112">
        <v>0</v>
      </c>
      <c r="AM14" s="112">
        <v>0</v>
      </c>
      <c r="AN14" s="112">
        <v>0</v>
      </c>
      <c r="AO14" s="112">
        <v>0</v>
      </c>
    </row>
    <row r="15" spans="1:41" customFormat="1" x14ac:dyDescent="0.15">
      <c r="A15" s="189" t="s">
        <v>205</v>
      </c>
      <c r="B15" s="112">
        <v>0</v>
      </c>
      <c r="C15" s="112">
        <v>0</v>
      </c>
      <c r="D15" s="112">
        <v>0</v>
      </c>
      <c r="E15" s="112">
        <v>0</v>
      </c>
      <c r="F15" s="112">
        <v>0</v>
      </c>
      <c r="G15" s="112">
        <v>0</v>
      </c>
      <c r="H15" s="112">
        <v>0</v>
      </c>
      <c r="I15" s="112">
        <v>0</v>
      </c>
      <c r="J15" s="112">
        <v>0</v>
      </c>
      <c r="K15" s="112">
        <v>0</v>
      </c>
      <c r="L15" s="112">
        <v>0</v>
      </c>
      <c r="M15" s="112">
        <v>0</v>
      </c>
      <c r="N15" s="112">
        <v>0</v>
      </c>
      <c r="O15" s="112">
        <v>0</v>
      </c>
      <c r="P15" s="112">
        <v>0</v>
      </c>
      <c r="Q15" s="112">
        <v>0</v>
      </c>
      <c r="R15" s="112">
        <v>0</v>
      </c>
      <c r="S15" s="112">
        <v>0.8</v>
      </c>
      <c r="T15" s="112">
        <v>0</v>
      </c>
      <c r="U15" s="112">
        <v>0</v>
      </c>
      <c r="V15" s="112">
        <v>0</v>
      </c>
      <c r="W15" s="112">
        <v>0</v>
      </c>
      <c r="X15" s="112">
        <v>0</v>
      </c>
      <c r="Y15" s="112">
        <v>0</v>
      </c>
      <c r="Z15" s="112">
        <v>0.8</v>
      </c>
      <c r="AA15" s="112">
        <v>0</v>
      </c>
      <c r="AB15" s="112">
        <v>0</v>
      </c>
      <c r="AC15" s="112">
        <v>0</v>
      </c>
      <c r="AD15" s="112">
        <v>0</v>
      </c>
      <c r="AE15" s="112">
        <v>0</v>
      </c>
      <c r="AF15" s="112">
        <v>0</v>
      </c>
      <c r="AG15" s="112">
        <v>0</v>
      </c>
      <c r="AH15" s="112">
        <v>0</v>
      </c>
      <c r="AI15" s="112">
        <v>0</v>
      </c>
      <c r="AJ15" s="112">
        <v>0</v>
      </c>
      <c r="AK15" s="112">
        <v>0</v>
      </c>
      <c r="AL15" s="112">
        <v>0</v>
      </c>
      <c r="AM15" s="112">
        <v>0</v>
      </c>
      <c r="AN15" s="112">
        <v>0</v>
      </c>
      <c r="AO15" s="112">
        <v>0</v>
      </c>
    </row>
    <row r="16" spans="1:41" customFormat="1" x14ac:dyDescent="0.15">
      <c r="A16" s="189" t="s">
        <v>206</v>
      </c>
      <c r="B16" s="112">
        <v>0.8</v>
      </c>
      <c r="C16" s="112">
        <v>0.8</v>
      </c>
      <c r="D16" s="112">
        <v>0</v>
      </c>
      <c r="E16" s="112">
        <v>0.8</v>
      </c>
      <c r="F16" s="112">
        <v>0.8</v>
      </c>
      <c r="G16" s="112">
        <v>0.8</v>
      </c>
      <c r="H16" s="112">
        <v>0</v>
      </c>
      <c r="I16" s="112">
        <v>0.8</v>
      </c>
      <c r="J16" s="112">
        <v>0.8</v>
      </c>
      <c r="K16" s="112">
        <v>0</v>
      </c>
      <c r="L16" s="112">
        <v>0.8</v>
      </c>
      <c r="M16" s="112">
        <v>0.8</v>
      </c>
      <c r="N16" s="112">
        <v>0.8</v>
      </c>
      <c r="O16" s="112">
        <v>0</v>
      </c>
      <c r="P16" s="112">
        <v>0</v>
      </c>
      <c r="Q16" s="112">
        <v>0.8</v>
      </c>
      <c r="R16" s="112">
        <v>0</v>
      </c>
      <c r="S16" s="112">
        <v>0.8</v>
      </c>
      <c r="T16" s="112">
        <v>0.8</v>
      </c>
      <c r="U16" s="112">
        <v>0.8</v>
      </c>
      <c r="V16" s="112">
        <v>0.8</v>
      </c>
      <c r="W16" s="112">
        <v>0.8</v>
      </c>
      <c r="X16" s="112">
        <v>0</v>
      </c>
      <c r="Y16" s="112">
        <v>0.8</v>
      </c>
      <c r="Z16" s="112">
        <v>0.8</v>
      </c>
      <c r="AA16" s="112">
        <v>0</v>
      </c>
      <c r="AB16" s="112">
        <v>0</v>
      </c>
      <c r="AC16" s="112">
        <v>0</v>
      </c>
      <c r="AD16" s="112">
        <v>0</v>
      </c>
      <c r="AE16" s="112">
        <v>0</v>
      </c>
      <c r="AF16" s="112">
        <v>0</v>
      </c>
      <c r="AG16" s="112">
        <v>0</v>
      </c>
      <c r="AH16" s="112">
        <v>0</v>
      </c>
      <c r="AI16" s="112">
        <v>0</v>
      </c>
      <c r="AJ16" s="112">
        <v>0</v>
      </c>
      <c r="AK16" s="112">
        <v>0</v>
      </c>
      <c r="AL16" s="112">
        <v>0</v>
      </c>
      <c r="AM16" s="112">
        <v>0</v>
      </c>
      <c r="AN16" s="112">
        <v>0</v>
      </c>
      <c r="AO16" s="112">
        <v>0</v>
      </c>
    </row>
    <row r="17" spans="1:41" customFormat="1" x14ac:dyDescent="0.15">
      <c r="A17" s="189" t="s">
        <v>207</v>
      </c>
      <c r="B17" s="112">
        <v>0</v>
      </c>
      <c r="C17" s="112">
        <v>0.8</v>
      </c>
      <c r="D17" s="112">
        <v>0</v>
      </c>
      <c r="E17" s="112">
        <v>0.8</v>
      </c>
      <c r="F17" s="112">
        <v>0.8</v>
      </c>
      <c r="G17" s="112">
        <v>0.8</v>
      </c>
      <c r="H17" s="112">
        <v>0.8</v>
      </c>
      <c r="I17" s="112">
        <v>0</v>
      </c>
      <c r="J17" s="112">
        <v>0</v>
      </c>
      <c r="K17" s="112">
        <v>0</v>
      </c>
      <c r="L17" s="112">
        <v>0</v>
      </c>
      <c r="M17" s="112">
        <v>0</v>
      </c>
      <c r="N17" s="112">
        <v>0</v>
      </c>
      <c r="O17" s="112">
        <v>0</v>
      </c>
      <c r="P17" s="112">
        <v>0</v>
      </c>
      <c r="Q17" s="112">
        <v>0.8</v>
      </c>
      <c r="R17" s="112">
        <v>0</v>
      </c>
      <c r="S17" s="112">
        <v>0.8</v>
      </c>
      <c r="T17" s="112">
        <v>0.8</v>
      </c>
      <c r="U17" s="112">
        <v>0.8</v>
      </c>
      <c r="V17" s="112">
        <v>0.8</v>
      </c>
      <c r="W17" s="112">
        <v>0.8</v>
      </c>
      <c r="X17" s="112">
        <v>0</v>
      </c>
      <c r="Y17" s="112">
        <v>0</v>
      </c>
      <c r="Z17" s="112">
        <v>0.8</v>
      </c>
      <c r="AA17" s="112">
        <v>0</v>
      </c>
      <c r="AB17" s="112">
        <v>0</v>
      </c>
      <c r="AC17" s="112">
        <v>0.8</v>
      </c>
      <c r="AD17" s="112">
        <v>0</v>
      </c>
      <c r="AE17" s="112">
        <v>0</v>
      </c>
      <c r="AF17" s="112">
        <v>0</v>
      </c>
      <c r="AG17" s="112">
        <v>0</v>
      </c>
      <c r="AH17" s="112">
        <v>0</v>
      </c>
      <c r="AI17" s="112">
        <v>0</v>
      </c>
      <c r="AJ17" s="112">
        <v>0</v>
      </c>
      <c r="AK17" s="112">
        <v>0</v>
      </c>
      <c r="AL17" s="112">
        <v>0</v>
      </c>
      <c r="AM17" s="112">
        <v>0</v>
      </c>
      <c r="AN17" s="112">
        <v>0</v>
      </c>
      <c r="AO17" s="112">
        <v>0</v>
      </c>
    </row>
    <row r="18" spans="1:41" customFormat="1" x14ac:dyDescent="0.15">
      <c r="A18" s="189" t="s">
        <v>208</v>
      </c>
      <c r="B18" s="112">
        <v>0.8</v>
      </c>
      <c r="C18" s="112">
        <v>0.8</v>
      </c>
      <c r="D18" s="112">
        <v>0</v>
      </c>
      <c r="E18" s="112">
        <v>0</v>
      </c>
      <c r="F18" s="112">
        <v>0</v>
      </c>
      <c r="G18" s="112">
        <v>0</v>
      </c>
      <c r="H18" s="112">
        <v>0</v>
      </c>
      <c r="I18" s="112">
        <v>0</v>
      </c>
      <c r="J18" s="112">
        <v>0</v>
      </c>
      <c r="K18" s="112">
        <v>0</v>
      </c>
      <c r="L18" s="112">
        <v>0</v>
      </c>
      <c r="M18" s="112">
        <v>0</v>
      </c>
      <c r="N18" s="112">
        <v>0.8</v>
      </c>
      <c r="O18" s="112">
        <v>0.8</v>
      </c>
      <c r="P18" s="112">
        <v>0</v>
      </c>
      <c r="Q18" s="112">
        <v>0</v>
      </c>
      <c r="R18" s="112">
        <v>0</v>
      </c>
      <c r="S18" s="112">
        <v>0.8</v>
      </c>
      <c r="T18" s="112">
        <v>0</v>
      </c>
      <c r="U18" s="112">
        <v>0</v>
      </c>
      <c r="V18" s="112">
        <v>0</v>
      </c>
      <c r="W18" s="112">
        <v>0</v>
      </c>
      <c r="X18" s="112">
        <v>0</v>
      </c>
      <c r="Y18" s="112">
        <v>0</v>
      </c>
      <c r="Z18" s="112">
        <v>0.8</v>
      </c>
      <c r="AA18" s="112">
        <v>0</v>
      </c>
      <c r="AB18" s="112">
        <v>0</v>
      </c>
      <c r="AC18" s="112">
        <v>0</v>
      </c>
      <c r="AD18" s="112">
        <v>0</v>
      </c>
      <c r="AE18" s="112">
        <v>0</v>
      </c>
      <c r="AF18" s="112">
        <v>0</v>
      </c>
      <c r="AG18" s="112">
        <v>0</v>
      </c>
      <c r="AH18" s="112">
        <v>0</v>
      </c>
      <c r="AI18" s="112">
        <v>0</v>
      </c>
      <c r="AJ18" s="112">
        <v>0</v>
      </c>
      <c r="AK18" s="112">
        <v>0</v>
      </c>
      <c r="AL18" s="112">
        <v>0</v>
      </c>
      <c r="AM18" s="112">
        <v>0</v>
      </c>
      <c r="AN18" s="112">
        <v>0</v>
      </c>
      <c r="AO18" s="112">
        <v>0</v>
      </c>
    </row>
    <row r="19" spans="1:41" customFormat="1" x14ac:dyDescent="0.15">
      <c r="A19" s="189" t="s">
        <v>209</v>
      </c>
      <c r="B19" s="112">
        <v>0.8</v>
      </c>
      <c r="C19" s="112">
        <v>0.8</v>
      </c>
      <c r="D19" s="112">
        <v>0</v>
      </c>
      <c r="E19" s="112">
        <v>0.8</v>
      </c>
      <c r="F19" s="112">
        <v>0</v>
      </c>
      <c r="G19" s="112">
        <v>0</v>
      </c>
      <c r="H19" s="112">
        <v>0</v>
      </c>
      <c r="I19" s="112">
        <v>0</v>
      </c>
      <c r="J19" s="112">
        <v>0</v>
      </c>
      <c r="K19" s="112">
        <v>0</v>
      </c>
      <c r="L19" s="112">
        <v>0</v>
      </c>
      <c r="M19" s="112">
        <v>0</v>
      </c>
      <c r="N19" s="112">
        <v>0</v>
      </c>
      <c r="O19" s="112">
        <v>0.8</v>
      </c>
      <c r="P19" s="112">
        <v>0</v>
      </c>
      <c r="Q19" s="112">
        <v>0</v>
      </c>
      <c r="R19" s="112">
        <v>0</v>
      </c>
      <c r="S19" s="112">
        <v>0.8</v>
      </c>
      <c r="T19" s="112">
        <v>0</v>
      </c>
      <c r="U19" s="112">
        <v>0</v>
      </c>
      <c r="V19" s="112">
        <v>0</v>
      </c>
      <c r="W19" s="112">
        <v>0</v>
      </c>
      <c r="X19" s="112">
        <v>0</v>
      </c>
      <c r="Y19" s="112">
        <v>0</v>
      </c>
      <c r="Z19" s="112">
        <v>0.8</v>
      </c>
      <c r="AA19" s="112">
        <v>0</v>
      </c>
      <c r="AB19" s="112">
        <v>0</v>
      </c>
      <c r="AC19" s="112">
        <v>0</v>
      </c>
      <c r="AD19" s="112">
        <v>0</v>
      </c>
      <c r="AE19" s="112">
        <v>0</v>
      </c>
      <c r="AF19" s="112">
        <v>0</v>
      </c>
      <c r="AG19" s="112">
        <v>0</v>
      </c>
      <c r="AH19" s="112">
        <v>0</v>
      </c>
      <c r="AI19" s="112">
        <v>0</v>
      </c>
      <c r="AJ19" s="112">
        <v>0</v>
      </c>
      <c r="AK19" s="112">
        <v>0</v>
      </c>
      <c r="AL19" s="112">
        <v>0</v>
      </c>
      <c r="AM19" s="112">
        <v>0</v>
      </c>
      <c r="AN19" s="112">
        <v>0</v>
      </c>
      <c r="AO19" s="112">
        <v>0</v>
      </c>
    </row>
    <row r="20" spans="1:41" customFormat="1" x14ac:dyDescent="0.15">
      <c r="A20" s="189" t="s">
        <v>210</v>
      </c>
      <c r="B20" s="112">
        <v>0.8</v>
      </c>
      <c r="C20" s="112">
        <v>0.8</v>
      </c>
      <c r="D20" s="112">
        <v>0</v>
      </c>
      <c r="E20" s="112">
        <v>0.8</v>
      </c>
      <c r="F20" s="112">
        <v>0.8</v>
      </c>
      <c r="G20" s="112">
        <v>0</v>
      </c>
      <c r="H20" s="112">
        <v>0</v>
      </c>
      <c r="I20" s="112">
        <v>0</v>
      </c>
      <c r="J20" s="112">
        <v>0</v>
      </c>
      <c r="K20" s="112">
        <v>0.8</v>
      </c>
      <c r="L20" s="112">
        <v>0</v>
      </c>
      <c r="M20" s="112">
        <v>0</v>
      </c>
      <c r="N20" s="112">
        <v>0</v>
      </c>
      <c r="O20" s="112">
        <v>0.8</v>
      </c>
      <c r="P20" s="112">
        <v>0</v>
      </c>
      <c r="Q20" s="112">
        <v>0</v>
      </c>
      <c r="R20" s="112">
        <v>0</v>
      </c>
      <c r="S20" s="112">
        <v>0.8</v>
      </c>
      <c r="T20" s="112">
        <v>0</v>
      </c>
      <c r="U20" s="112">
        <v>0</v>
      </c>
      <c r="V20" s="112">
        <v>0</v>
      </c>
      <c r="W20" s="112">
        <v>0</v>
      </c>
      <c r="X20" s="112">
        <v>0</v>
      </c>
      <c r="Y20" s="112">
        <v>0</v>
      </c>
      <c r="Z20" s="112">
        <v>0.8</v>
      </c>
      <c r="AA20" s="112">
        <v>0</v>
      </c>
      <c r="AB20" s="112">
        <v>0</v>
      </c>
      <c r="AC20" s="112">
        <v>0.8</v>
      </c>
      <c r="AD20" s="112">
        <v>0</v>
      </c>
      <c r="AE20" s="112">
        <v>0</v>
      </c>
      <c r="AF20" s="112">
        <v>0</v>
      </c>
      <c r="AG20" s="112">
        <v>0</v>
      </c>
      <c r="AH20" s="112">
        <v>0</v>
      </c>
      <c r="AI20" s="112">
        <v>0</v>
      </c>
      <c r="AJ20" s="112">
        <v>0</v>
      </c>
      <c r="AK20" s="112">
        <v>0</v>
      </c>
      <c r="AL20" s="112">
        <v>0</v>
      </c>
      <c r="AM20" s="112">
        <v>0</v>
      </c>
      <c r="AN20" s="112">
        <v>0</v>
      </c>
      <c r="AO20" s="112">
        <v>0</v>
      </c>
    </row>
    <row r="21" spans="1:41" customFormat="1" x14ac:dyDescent="0.15">
      <c r="A21" s="189" t="s">
        <v>211</v>
      </c>
      <c r="B21" s="112">
        <v>0.8</v>
      </c>
      <c r="C21" s="112">
        <v>0.8</v>
      </c>
      <c r="D21" s="112">
        <v>0</v>
      </c>
      <c r="E21" s="112">
        <v>0.8</v>
      </c>
      <c r="F21" s="112">
        <v>0</v>
      </c>
      <c r="G21" s="112">
        <v>0</v>
      </c>
      <c r="H21" s="112">
        <v>0</v>
      </c>
      <c r="I21" s="112">
        <v>0</v>
      </c>
      <c r="J21" s="112">
        <v>0</v>
      </c>
      <c r="K21" s="112">
        <v>0</v>
      </c>
      <c r="L21" s="112">
        <v>0</v>
      </c>
      <c r="M21" s="112">
        <v>0</v>
      </c>
      <c r="N21" s="112">
        <v>0</v>
      </c>
      <c r="O21" s="112">
        <v>0.8</v>
      </c>
      <c r="P21" s="112">
        <v>0</v>
      </c>
      <c r="Q21" s="112">
        <v>0</v>
      </c>
      <c r="R21" s="112">
        <v>0</v>
      </c>
      <c r="S21" s="112">
        <v>0.8</v>
      </c>
      <c r="T21" s="112">
        <v>0.8</v>
      </c>
      <c r="U21" s="112">
        <v>0</v>
      </c>
      <c r="V21" s="112">
        <v>0</v>
      </c>
      <c r="W21" s="112">
        <v>0</v>
      </c>
      <c r="X21" s="112">
        <v>0</v>
      </c>
      <c r="Y21" s="112">
        <v>0</v>
      </c>
      <c r="Z21" s="112">
        <v>0.8</v>
      </c>
      <c r="AA21" s="112">
        <v>0</v>
      </c>
      <c r="AB21" s="112">
        <v>0</v>
      </c>
      <c r="AC21" s="112">
        <v>0</v>
      </c>
      <c r="AD21" s="112">
        <v>0</v>
      </c>
      <c r="AE21" s="112">
        <v>0</v>
      </c>
      <c r="AF21" s="112">
        <v>0</v>
      </c>
      <c r="AG21" s="112">
        <v>0</v>
      </c>
      <c r="AH21" s="112">
        <v>0</v>
      </c>
      <c r="AI21" s="112">
        <v>0</v>
      </c>
      <c r="AJ21" s="112">
        <v>0</v>
      </c>
      <c r="AK21" s="112">
        <v>0</v>
      </c>
      <c r="AL21" s="112">
        <v>0</v>
      </c>
      <c r="AM21" s="112">
        <v>0</v>
      </c>
      <c r="AN21" s="112">
        <v>0</v>
      </c>
      <c r="AO21" s="112">
        <v>0</v>
      </c>
    </row>
    <row r="22" spans="1:41" customFormat="1" x14ac:dyDescent="0.15">
      <c r="A22" s="189" t="s">
        <v>212</v>
      </c>
      <c r="B22" s="112">
        <v>0.8</v>
      </c>
      <c r="C22" s="112">
        <v>0.8</v>
      </c>
      <c r="D22" s="112">
        <v>0</v>
      </c>
      <c r="E22" s="112">
        <v>0.8</v>
      </c>
      <c r="F22" s="112">
        <v>0.8</v>
      </c>
      <c r="G22" s="112">
        <v>0</v>
      </c>
      <c r="H22" s="112">
        <v>0</v>
      </c>
      <c r="I22" s="112">
        <v>0.8</v>
      </c>
      <c r="J22" s="112">
        <v>0.8</v>
      </c>
      <c r="K22" s="112">
        <v>0.8</v>
      </c>
      <c r="L22" s="112">
        <v>0.8</v>
      </c>
      <c r="M22" s="112">
        <v>0</v>
      </c>
      <c r="N22" s="112">
        <v>0.8</v>
      </c>
      <c r="O22" s="112">
        <v>0.8</v>
      </c>
      <c r="P22" s="112">
        <v>0</v>
      </c>
      <c r="Q22" s="112">
        <v>0</v>
      </c>
      <c r="R22" s="112">
        <v>0</v>
      </c>
      <c r="S22" s="112">
        <v>0.8</v>
      </c>
      <c r="T22" s="112">
        <v>0.8</v>
      </c>
      <c r="U22" s="112">
        <v>0.8</v>
      </c>
      <c r="V22" s="112">
        <v>0</v>
      </c>
      <c r="W22" s="112">
        <v>0.8</v>
      </c>
      <c r="X22" s="112">
        <v>0</v>
      </c>
      <c r="Y22" s="112">
        <v>0</v>
      </c>
      <c r="Z22" s="112">
        <v>0.8</v>
      </c>
      <c r="AA22" s="112">
        <v>0</v>
      </c>
      <c r="AB22" s="112">
        <v>0</v>
      </c>
      <c r="AC22" s="112">
        <v>0.8</v>
      </c>
      <c r="AD22" s="112">
        <v>0</v>
      </c>
      <c r="AE22" s="112">
        <v>0</v>
      </c>
      <c r="AF22" s="112">
        <v>0</v>
      </c>
      <c r="AG22" s="112">
        <v>0</v>
      </c>
      <c r="AH22" s="112">
        <v>0</v>
      </c>
      <c r="AI22" s="112">
        <v>0</v>
      </c>
      <c r="AJ22" s="112">
        <v>0</v>
      </c>
      <c r="AK22" s="112">
        <v>0</v>
      </c>
      <c r="AL22" s="112">
        <v>0</v>
      </c>
      <c r="AM22" s="112">
        <v>0</v>
      </c>
      <c r="AN22" s="112">
        <v>0</v>
      </c>
      <c r="AO22" s="112">
        <v>0</v>
      </c>
    </row>
    <row r="23" spans="1:41" customFormat="1" x14ac:dyDescent="0.15">
      <c r="A23" s="189" t="s">
        <v>213</v>
      </c>
      <c r="B23" s="112">
        <v>0</v>
      </c>
      <c r="C23" s="112">
        <v>0.8</v>
      </c>
      <c r="D23" s="112">
        <v>0.8</v>
      </c>
      <c r="E23" s="112">
        <v>0.8</v>
      </c>
      <c r="F23" s="112">
        <v>0.8</v>
      </c>
      <c r="G23" s="112">
        <v>0.8</v>
      </c>
      <c r="H23" s="112">
        <v>0.8</v>
      </c>
      <c r="I23" s="112">
        <v>0.8</v>
      </c>
      <c r="J23" s="112">
        <v>0.8</v>
      </c>
      <c r="K23" s="112">
        <v>0</v>
      </c>
      <c r="L23" s="112">
        <v>0.8</v>
      </c>
      <c r="M23" s="112">
        <v>0.8</v>
      </c>
      <c r="N23" s="112">
        <v>0.8</v>
      </c>
      <c r="O23" s="112">
        <v>0.8</v>
      </c>
      <c r="P23" s="112">
        <v>0</v>
      </c>
      <c r="Q23" s="112">
        <v>0</v>
      </c>
      <c r="R23" s="112">
        <v>0</v>
      </c>
      <c r="S23" s="112">
        <v>0.8</v>
      </c>
      <c r="T23" s="112">
        <v>0.8</v>
      </c>
      <c r="U23" s="112">
        <v>0.8</v>
      </c>
      <c r="V23" s="112">
        <v>0.8</v>
      </c>
      <c r="W23" s="112">
        <v>0.8</v>
      </c>
      <c r="X23" s="112">
        <v>0</v>
      </c>
      <c r="Y23" s="112">
        <v>0</v>
      </c>
      <c r="Z23" s="112">
        <v>0</v>
      </c>
      <c r="AA23" s="112">
        <v>0</v>
      </c>
      <c r="AB23" s="112">
        <v>0</v>
      </c>
      <c r="AC23" s="112">
        <v>0</v>
      </c>
      <c r="AD23" s="112">
        <v>0</v>
      </c>
      <c r="AE23" s="112">
        <v>0</v>
      </c>
      <c r="AF23" s="112">
        <v>0</v>
      </c>
      <c r="AG23" s="112">
        <v>0</v>
      </c>
      <c r="AH23" s="112">
        <v>0</v>
      </c>
      <c r="AI23" s="112">
        <v>0</v>
      </c>
      <c r="AJ23" s="112">
        <v>0</v>
      </c>
      <c r="AK23" s="112">
        <v>0</v>
      </c>
      <c r="AL23" s="112">
        <v>0</v>
      </c>
      <c r="AM23" s="112">
        <v>0</v>
      </c>
      <c r="AN23" s="112">
        <v>0</v>
      </c>
      <c r="AO23" s="112">
        <v>0</v>
      </c>
    </row>
    <row r="24" spans="1:41" customFormat="1" x14ac:dyDescent="0.15">
      <c r="A24" s="189" t="s">
        <v>214</v>
      </c>
      <c r="B24" s="112">
        <v>0</v>
      </c>
      <c r="C24" s="112">
        <v>0.8</v>
      </c>
      <c r="D24" s="112">
        <v>0</v>
      </c>
      <c r="E24" s="112">
        <v>0.8</v>
      </c>
      <c r="F24" s="112">
        <v>0.8</v>
      </c>
      <c r="G24" s="112">
        <v>0.8</v>
      </c>
      <c r="H24" s="112">
        <v>0.8</v>
      </c>
      <c r="I24" s="112">
        <v>0</v>
      </c>
      <c r="J24" s="112">
        <v>0.8</v>
      </c>
      <c r="K24" s="112">
        <v>0</v>
      </c>
      <c r="L24" s="112">
        <v>0.8</v>
      </c>
      <c r="M24" s="112">
        <v>0.8</v>
      </c>
      <c r="N24" s="112">
        <v>0.8</v>
      </c>
      <c r="O24" s="112">
        <v>0</v>
      </c>
      <c r="P24" s="112">
        <v>0</v>
      </c>
      <c r="Q24" s="112">
        <v>0</v>
      </c>
      <c r="R24" s="112">
        <v>0</v>
      </c>
      <c r="S24" s="112">
        <v>0</v>
      </c>
      <c r="T24" s="112">
        <v>0</v>
      </c>
      <c r="U24" s="112">
        <v>0</v>
      </c>
      <c r="V24" s="112">
        <v>0</v>
      </c>
      <c r="W24" s="112">
        <v>0.8</v>
      </c>
      <c r="X24" s="112">
        <v>0.8</v>
      </c>
      <c r="Y24" s="112">
        <v>0</v>
      </c>
      <c r="Z24" s="112">
        <v>0.8</v>
      </c>
      <c r="AA24" s="112">
        <v>0</v>
      </c>
      <c r="AB24" s="112">
        <v>0.8</v>
      </c>
      <c r="AC24" s="112">
        <v>0</v>
      </c>
      <c r="AD24" s="112">
        <v>0</v>
      </c>
      <c r="AE24" s="112">
        <v>0</v>
      </c>
      <c r="AF24" s="112">
        <v>0</v>
      </c>
      <c r="AG24" s="112">
        <v>0</v>
      </c>
      <c r="AH24" s="112">
        <v>0</v>
      </c>
      <c r="AI24" s="112">
        <v>0</v>
      </c>
      <c r="AJ24" s="112">
        <v>0</v>
      </c>
      <c r="AK24" s="112">
        <v>0</v>
      </c>
      <c r="AL24" s="112">
        <v>0</v>
      </c>
      <c r="AM24" s="112">
        <v>0</v>
      </c>
      <c r="AN24" s="112">
        <v>0</v>
      </c>
      <c r="AO24" s="112">
        <v>0</v>
      </c>
    </row>
    <row r="25" spans="1:41" customFormat="1" x14ac:dyDescent="0.15">
      <c r="A25" s="189" t="s">
        <v>215</v>
      </c>
      <c r="B25" s="112">
        <v>0.8</v>
      </c>
      <c r="C25" s="112">
        <v>0.8</v>
      </c>
      <c r="D25" s="112">
        <v>0.8</v>
      </c>
      <c r="E25" s="112">
        <v>0.8</v>
      </c>
      <c r="F25" s="112">
        <v>0.8</v>
      </c>
      <c r="G25" s="112">
        <v>0.8</v>
      </c>
      <c r="H25" s="112">
        <v>0.8</v>
      </c>
      <c r="I25" s="112">
        <v>0.8</v>
      </c>
      <c r="J25" s="112">
        <v>0.8</v>
      </c>
      <c r="K25" s="112">
        <v>0.8</v>
      </c>
      <c r="L25" s="112">
        <v>0.8</v>
      </c>
      <c r="M25" s="112">
        <v>0.8</v>
      </c>
      <c r="N25" s="112">
        <v>0.8</v>
      </c>
      <c r="O25" s="112">
        <v>0.8</v>
      </c>
      <c r="P25" s="112">
        <v>0</v>
      </c>
      <c r="Q25" s="112">
        <v>0.8</v>
      </c>
      <c r="R25" s="112">
        <v>0</v>
      </c>
      <c r="S25" s="112">
        <v>0.8</v>
      </c>
      <c r="T25" s="112">
        <v>0.8</v>
      </c>
      <c r="U25" s="112">
        <v>0.8</v>
      </c>
      <c r="V25" s="112">
        <v>0</v>
      </c>
      <c r="W25" s="112">
        <v>0.8</v>
      </c>
      <c r="X25" s="112">
        <v>0.8</v>
      </c>
      <c r="Y25" s="112">
        <v>0</v>
      </c>
      <c r="Z25" s="112">
        <v>0.8</v>
      </c>
      <c r="AA25" s="112">
        <v>0</v>
      </c>
      <c r="AB25" s="112">
        <v>0</v>
      </c>
      <c r="AC25" s="112">
        <v>0</v>
      </c>
      <c r="AD25" s="112">
        <v>0</v>
      </c>
      <c r="AE25" s="112">
        <v>0</v>
      </c>
      <c r="AF25" s="112">
        <v>0</v>
      </c>
      <c r="AG25" s="112">
        <v>0</v>
      </c>
      <c r="AH25" s="112">
        <v>0</v>
      </c>
      <c r="AI25" s="112">
        <v>0</v>
      </c>
      <c r="AJ25" s="112">
        <v>0</v>
      </c>
      <c r="AK25" s="112">
        <v>0</v>
      </c>
      <c r="AL25" s="112">
        <v>0</v>
      </c>
      <c r="AM25" s="112">
        <v>0</v>
      </c>
      <c r="AN25" s="112">
        <v>0</v>
      </c>
      <c r="AO25" s="112">
        <v>0</v>
      </c>
    </row>
    <row r="26" spans="1:41" customFormat="1" x14ac:dyDescent="0.15">
      <c r="A26" s="189" t="s">
        <v>216</v>
      </c>
      <c r="B26" s="112">
        <v>0</v>
      </c>
      <c r="C26" s="112">
        <v>0</v>
      </c>
      <c r="D26" s="112">
        <v>0</v>
      </c>
      <c r="E26" s="112">
        <v>0</v>
      </c>
      <c r="F26" s="112">
        <v>0</v>
      </c>
      <c r="G26" s="112">
        <v>0</v>
      </c>
      <c r="H26" s="112">
        <v>0</v>
      </c>
      <c r="I26" s="112">
        <v>0</v>
      </c>
      <c r="J26" s="112">
        <v>0</v>
      </c>
      <c r="K26" s="112">
        <v>0</v>
      </c>
      <c r="L26" s="112">
        <v>0</v>
      </c>
      <c r="M26" s="112">
        <v>0</v>
      </c>
      <c r="N26" s="112">
        <v>0</v>
      </c>
      <c r="O26" s="112">
        <v>0</v>
      </c>
      <c r="P26" s="112">
        <v>0</v>
      </c>
      <c r="Q26" s="112">
        <v>0</v>
      </c>
      <c r="R26" s="112">
        <v>0</v>
      </c>
      <c r="S26" s="112">
        <v>0</v>
      </c>
      <c r="T26" s="112">
        <v>0</v>
      </c>
      <c r="U26" s="112">
        <v>0</v>
      </c>
      <c r="V26" s="112">
        <v>0</v>
      </c>
      <c r="W26" s="112">
        <v>0</v>
      </c>
      <c r="X26" s="112">
        <v>0</v>
      </c>
      <c r="Y26" s="112">
        <v>0</v>
      </c>
      <c r="Z26" s="112">
        <v>0.8</v>
      </c>
      <c r="AA26" s="112">
        <v>0</v>
      </c>
      <c r="AB26" s="112">
        <v>0</v>
      </c>
      <c r="AC26" s="112">
        <v>0</v>
      </c>
      <c r="AD26" s="112">
        <v>0</v>
      </c>
      <c r="AE26" s="112">
        <v>0</v>
      </c>
      <c r="AF26" s="112">
        <v>0</v>
      </c>
      <c r="AG26" s="112">
        <v>0</v>
      </c>
      <c r="AH26" s="112">
        <v>0</v>
      </c>
      <c r="AI26" s="112">
        <v>0</v>
      </c>
      <c r="AJ26" s="112">
        <v>0</v>
      </c>
      <c r="AK26" s="112">
        <v>0</v>
      </c>
      <c r="AL26" s="112">
        <v>0</v>
      </c>
      <c r="AM26" s="112">
        <v>0</v>
      </c>
      <c r="AN26" s="112">
        <v>0</v>
      </c>
      <c r="AO26" s="112">
        <v>0</v>
      </c>
    </row>
    <row r="27" spans="1:41" customFormat="1" x14ac:dyDescent="0.15">
      <c r="A27" s="189" t="s">
        <v>217</v>
      </c>
      <c r="B27" s="112">
        <v>0.8</v>
      </c>
      <c r="C27" s="112">
        <v>0.8</v>
      </c>
      <c r="D27" s="112">
        <v>0.8</v>
      </c>
      <c r="E27" s="112">
        <v>0.8</v>
      </c>
      <c r="F27" s="112">
        <v>0.8</v>
      </c>
      <c r="G27" s="112">
        <v>0.8</v>
      </c>
      <c r="H27" s="112">
        <v>0.8</v>
      </c>
      <c r="I27" s="112">
        <v>0.8</v>
      </c>
      <c r="J27" s="112">
        <v>0.8</v>
      </c>
      <c r="K27" s="112">
        <v>0.8</v>
      </c>
      <c r="L27" s="112">
        <v>0.8</v>
      </c>
      <c r="M27" s="112">
        <v>0</v>
      </c>
      <c r="N27" s="112">
        <v>0.8</v>
      </c>
      <c r="O27" s="112">
        <v>0.8</v>
      </c>
      <c r="P27" s="112">
        <v>0</v>
      </c>
      <c r="Q27" s="112">
        <v>0.8</v>
      </c>
      <c r="R27" s="112">
        <v>0.8</v>
      </c>
      <c r="S27" s="112">
        <v>0.8</v>
      </c>
      <c r="T27" s="112">
        <v>0.8</v>
      </c>
      <c r="U27" s="112">
        <v>0.8</v>
      </c>
      <c r="V27" s="112">
        <v>0</v>
      </c>
      <c r="W27" s="112">
        <v>0.8</v>
      </c>
      <c r="X27" s="112">
        <v>0</v>
      </c>
      <c r="Y27" s="112">
        <v>0</v>
      </c>
      <c r="Z27" s="112">
        <v>0.8</v>
      </c>
      <c r="AA27" s="112">
        <v>0</v>
      </c>
      <c r="AB27" s="112">
        <v>0</v>
      </c>
      <c r="AC27" s="112">
        <v>0</v>
      </c>
      <c r="AD27" s="112">
        <v>0</v>
      </c>
      <c r="AE27" s="112">
        <v>0</v>
      </c>
      <c r="AF27" s="112">
        <v>0</v>
      </c>
      <c r="AG27" s="112">
        <v>0</v>
      </c>
      <c r="AH27" s="112">
        <v>0</v>
      </c>
      <c r="AI27" s="112">
        <v>0</v>
      </c>
      <c r="AJ27" s="112">
        <v>0</v>
      </c>
      <c r="AK27" s="112">
        <v>0</v>
      </c>
      <c r="AL27" s="112">
        <v>0</v>
      </c>
      <c r="AM27" s="112">
        <v>0</v>
      </c>
      <c r="AN27" s="112">
        <v>0</v>
      </c>
      <c r="AO27" s="112">
        <v>0</v>
      </c>
    </row>
    <row r="28" spans="1:41" customFormat="1" x14ac:dyDescent="0.15">
      <c r="A28" s="189" t="s">
        <v>218</v>
      </c>
      <c r="B28" s="112">
        <v>0</v>
      </c>
      <c r="C28" s="112">
        <v>0</v>
      </c>
      <c r="D28" s="112">
        <v>0.8</v>
      </c>
      <c r="E28" s="112">
        <v>0</v>
      </c>
      <c r="F28" s="112">
        <v>0</v>
      </c>
      <c r="G28" s="112">
        <v>0.8</v>
      </c>
      <c r="H28" s="112">
        <v>0.8</v>
      </c>
      <c r="I28" s="112">
        <v>0.8</v>
      </c>
      <c r="J28" s="112">
        <v>0</v>
      </c>
      <c r="K28" s="112">
        <v>0</v>
      </c>
      <c r="L28" s="112">
        <v>0</v>
      </c>
      <c r="M28" s="112">
        <v>0</v>
      </c>
      <c r="N28" s="112">
        <v>0</v>
      </c>
      <c r="O28" s="112">
        <v>0.8</v>
      </c>
      <c r="P28" s="112">
        <v>0</v>
      </c>
      <c r="Q28" s="112">
        <v>0.8</v>
      </c>
      <c r="R28" s="112">
        <v>0</v>
      </c>
      <c r="S28" s="112">
        <v>0</v>
      </c>
      <c r="T28" s="112">
        <v>0</v>
      </c>
      <c r="U28" s="112">
        <v>0</v>
      </c>
      <c r="V28" s="112">
        <v>0</v>
      </c>
      <c r="W28" s="112">
        <v>0</v>
      </c>
      <c r="X28" s="112">
        <v>0</v>
      </c>
      <c r="Y28" s="112">
        <v>0</v>
      </c>
      <c r="Z28" s="112">
        <v>0.8</v>
      </c>
      <c r="AA28" s="112">
        <v>0</v>
      </c>
      <c r="AB28" s="112">
        <v>0.8</v>
      </c>
      <c r="AC28" s="112">
        <v>0.8</v>
      </c>
      <c r="AD28" s="112">
        <v>0</v>
      </c>
      <c r="AE28" s="112">
        <v>0</v>
      </c>
      <c r="AF28" s="112">
        <v>0</v>
      </c>
      <c r="AG28" s="112">
        <v>0</v>
      </c>
      <c r="AH28" s="112">
        <v>0</v>
      </c>
      <c r="AI28" s="112">
        <v>0</v>
      </c>
      <c r="AJ28" s="112">
        <v>0</v>
      </c>
      <c r="AK28" s="112">
        <v>0</v>
      </c>
      <c r="AL28" s="112">
        <v>0</v>
      </c>
      <c r="AM28" s="112">
        <v>0</v>
      </c>
      <c r="AN28" s="112">
        <v>0</v>
      </c>
      <c r="AO28" s="112">
        <v>0</v>
      </c>
    </row>
    <row r="29" spans="1:41" customFormat="1" x14ac:dyDescent="0.15">
      <c r="A29" s="189" t="s">
        <v>219</v>
      </c>
      <c r="B29" s="112">
        <v>0.8</v>
      </c>
      <c r="C29" s="112">
        <v>0.8</v>
      </c>
      <c r="D29" s="112">
        <v>0.8</v>
      </c>
      <c r="E29" s="112">
        <v>0.8</v>
      </c>
      <c r="F29" s="112">
        <v>0.8</v>
      </c>
      <c r="G29" s="112">
        <v>0.8</v>
      </c>
      <c r="H29" s="112">
        <v>0.8</v>
      </c>
      <c r="I29" s="112">
        <v>0.8</v>
      </c>
      <c r="J29" s="112">
        <v>0.8</v>
      </c>
      <c r="K29" s="112">
        <v>0.8</v>
      </c>
      <c r="L29" s="112">
        <v>0.8</v>
      </c>
      <c r="M29" s="112">
        <v>0</v>
      </c>
      <c r="N29" s="112">
        <v>0.8</v>
      </c>
      <c r="O29" s="112">
        <v>0.8</v>
      </c>
      <c r="P29" s="112">
        <v>0</v>
      </c>
      <c r="Q29" s="112">
        <v>0.8</v>
      </c>
      <c r="R29" s="112">
        <v>0</v>
      </c>
      <c r="S29" s="112">
        <v>0.8</v>
      </c>
      <c r="T29" s="112">
        <v>0.8</v>
      </c>
      <c r="U29" s="112">
        <v>0.8</v>
      </c>
      <c r="V29" s="112">
        <v>0</v>
      </c>
      <c r="W29" s="112">
        <v>0.8</v>
      </c>
      <c r="X29" s="112">
        <v>0</v>
      </c>
      <c r="Y29" s="112">
        <v>0</v>
      </c>
      <c r="Z29" s="112">
        <v>0</v>
      </c>
      <c r="AA29" s="112">
        <v>0</v>
      </c>
      <c r="AB29" s="112">
        <v>0.8</v>
      </c>
      <c r="AC29" s="112">
        <v>0</v>
      </c>
      <c r="AD29" s="112">
        <v>0</v>
      </c>
      <c r="AE29" s="112">
        <v>0</v>
      </c>
      <c r="AF29" s="112">
        <v>0</v>
      </c>
      <c r="AG29" s="112">
        <v>0</v>
      </c>
      <c r="AH29" s="112">
        <v>0</v>
      </c>
      <c r="AI29" s="112">
        <v>0</v>
      </c>
      <c r="AJ29" s="112">
        <v>0</v>
      </c>
      <c r="AK29" s="112">
        <v>0</v>
      </c>
      <c r="AL29" s="112">
        <v>0</v>
      </c>
      <c r="AM29" s="112">
        <v>0</v>
      </c>
      <c r="AN29" s="112">
        <v>0</v>
      </c>
      <c r="AO29" s="112">
        <v>0</v>
      </c>
    </row>
    <row r="30" spans="1:41" customFormat="1" x14ac:dyDescent="0.15">
      <c r="A30" s="189" t="s">
        <v>220</v>
      </c>
      <c r="B30" s="112">
        <v>0</v>
      </c>
      <c r="C30" s="112">
        <v>0</v>
      </c>
      <c r="D30" s="112">
        <v>0</v>
      </c>
      <c r="E30" s="112">
        <v>0.8</v>
      </c>
      <c r="F30" s="112">
        <v>0.8</v>
      </c>
      <c r="G30" s="112">
        <v>0</v>
      </c>
      <c r="H30" s="112">
        <v>0</v>
      </c>
      <c r="I30" s="112">
        <v>0.8</v>
      </c>
      <c r="J30" s="112">
        <v>0</v>
      </c>
      <c r="K30" s="112">
        <v>0</v>
      </c>
      <c r="L30" s="112">
        <v>0</v>
      </c>
      <c r="M30" s="112">
        <v>0</v>
      </c>
      <c r="N30" s="112">
        <v>0.8</v>
      </c>
      <c r="O30" s="112">
        <v>0</v>
      </c>
      <c r="P30" s="112">
        <v>0</v>
      </c>
      <c r="Q30" s="112">
        <v>0</v>
      </c>
      <c r="R30" s="112">
        <v>0</v>
      </c>
      <c r="S30" s="112">
        <v>0.8</v>
      </c>
      <c r="T30" s="112">
        <v>0.8</v>
      </c>
      <c r="U30" s="112">
        <v>0.8</v>
      </c>
      <c r="V30" s="112">
        <v>0</v>
      </c>
      <c r="W30" s="112">
        <v>0.8</v>
      </c>
      <c r="X30" s="112">
        <v>0</v>
      </c>
      <c r="Y30" s="112">
        <v>0</v>
      </c>
      <c r="Z30" s="112">
        <v>0.8</v>
      </c>
      <c r="AA30" s="112">
        <v>0</v>
      </c>
      <c r="AB30" s="112">
        <v>0</v>
      </c>
      <c r="AC30" s="112">
        <v>0</v>
      </c>
      <c r="AD30" s="112">
        <v>0</v>
      </c>
      <c r="AE30" s="112">
        <v>0</v>
      </c>
      <c r="AF30" s="112">
        <v>0</v>
      </c>
      <c r="AG30" s="112">
        <v>0</v>
      </c>
      <c r="AH30" s="112">
        <v>0</v>
      </c>
      <c r="AI30" s="112">
        <v>0</v>
      </c>
      <c r="AJ30" s="112">
        <v>0</v>
      </c>
      <c r="AK30" s="112">
        <v>0</v>
      </c>
      <c r="AL30" s="112">
        <v>0</v>
      </c>
      <c r="AM30" s="112">
        <v>0</v>
      </c>
      <c r="AN30" s="112">
        <v>0</v>
      </c>
      <c r="AO30" s="112">
        <v>0</v>
      </c>
    </row>
    <row r="31" spans="1:41" customFormat="1" x14ac:dyDescent="0.15">
      <c r="A31" s="189" t="s">
        <v>221</v>
      </c>
      <c r="B31" s="112">
        <v>0</v>
      </c>
      <c r="C31" s="112">
        <v>0.8</v>
      </c>
      <c r="D31" s="112">
        <v>0.8</v>
      </c>
      <c r="E31" s="112">
        <v>0.8</v>
      </c>
      <c r="F31" s="112">
        <v>0.8</v>
      </c>
      <c r="G31" s="112">
        <v>0</v>
      </c>
      <c r="H31" s="112">
        <v>0.8</v>
      </c>
      <c r="I31" s="112">
        <v>0.8</v>
      </c>
      <c r="J31" s="112">
        <v>0.8</v>
      </c>
      <c r="K31" s="112">
        <v>0.8</v>
      </c>
      <c r="L31" s="112">
        <v>0.8</v>
      </c>
      <c r="M31" s="112">
        <v>0.8</v>
      </c>
      <c r="N31" s="112">
        <v>0.8</v>
      </c>
      <c r="O31" s="112">
        <v>0.8</v>
      </c>
      <c r="P31" s="112">
        <v>0</v>
      </c>
      <c r="Q31" s="112">
        <v>0.8</v>
      </c>
      <c r="R31" s="112">
        <v>0</v>
      </c>
      <c r="S31" s="112">
        <v>0.8</v>
      </c>
      <c r="T31" s="112">
        <v>0.8</v>
      </c>
      <c r="U31" s="112">
        <v>0.8</v>
      </c>
      <c r="V31" s="112">
        <v>0.8</v>
      </c>
      <c r="W31" s="112">
        <v>0.8</v>
      </c>
      <c r="X31" s="112">
        <v>0</v>
      </c>
      <c r="Y31" s="112">
        <v>0</v>
      </c>
      <c r="Z31" s="112">
        <v>0</v>
      </c>
      <c r="AA31" s="112">
        <v>0</v>
      </c>
      <c r="AB31" s="112">
        <v>0</v>
      </c>
      <c r="AC31" s="112">
        <v>0.8</v>
      </c>
      <c r="AD31" s="112">
        <v>0.8</v>
      </c>
      <c r="AE31" s="112">
        <v>0</v>
      </c>
      <c r="AF31" s="112">
        <v>0</v>
      </c>
      <c r="AG31" s="112">
        <v>0</v>
      </c>
      <c r="AH31" s="112">
        <v>0</v>
      </c>
      <c r="AI31" s="112">
        <v>0</v>
      </c>
      <c r="AJ31" s="112">
        <v>0</v>
      </c>
      <c r="AK31" s="112">
        <v>0</v>
      </c>
      <c r="AL31" s="112">
        <v>0</v>
      </c>
      <c r="AM31" s="112">
        <v>0</v>
      </c>
      <c r="AN31" s="112">
        <v>0</v>
      </c>
      <c r="AO31" s="112">
        <v>0</v>
      </c>
    </row>
    <row r="32" spans="1:41" customFormat="1" x14ac:dyDescent="0.15">
      <c r="A32" s="189" t="s">
        <v>222</v>
      </c>
      <c r="B32" s="112">
        <v>0</v>
      </c>
      <c r="C32" s="112">
        <v>0.8</v>
      </c>
      <c r="D32" s="112">
        <v>0.8</v>
      </c>
      <c r="E32" s="112">
        <v>0.8</v>
      </c>
      <c r="F32" s="112">
        <v>0.8</v>
      </c>
      <c r="G32" s="112">
        <v>0.8</v>
      </c>
      <c r="H32" s="112">
        <v>0.8</v>
      </c>
      <c r="I32" s="112">
        <v>0.8</v>
      </c>
      <c r="J32" s="112">
        <v>0.8</v>
      </c>
      <c r="K32" s="112">
        <v>0.8</v>
      </c>
      <c r="L32" s="112">
        <v>0.8</v>
      </c>
      <c r="M32" s="112">
        <v>0.8</v>
      </c>
      <c r="N32" s="112">
        <v>0.8</v>
      </c>
      <c r="O32" s="112">
        <v>0.8</v>
      </c>
      <c r="P32" s="112">
        <v>0.8</v>
      </c>
      <c r="Q32" s="112">
        <v>0.8</v>
      </c>
      <c r="R32" s="112">
        <v>0.8</v>
      </c>
      <c r="S32" s="112">
        <v>0.8</v>
      </c>
      <c r="T32" s="112">
        <v>0.8</v>
      </c>
      <c r="U32" s="112">
        <v>0.8</v>
      </c>
      <c r="V32" s="112">
        <v>0.8</v>
      </c>
      <c r="W32" s="112">
        <v>0.8</v>
      </c>
      <c r="X32" s="112">
        <v>0.8</v>
      </c>
      <c r="Y32" s="112">
        <v>0.8</v>
      </c>
      <c r="Z32" s="112">
        <v>0</v>
      </c>
      <c r="AA32" s="112">
        <v>0.8</v>
      </c>
      <c r="AB32" s="112">
        <v>0</v>
      </c>
      <c r="AC32" s="112">
        <v>0</v>
      </c>
      <c r="AD32" s="112">
        <v>0.8</v>
      </c>
      <c r="AE32" s="112">
        <v>0</v>
      </c>
      <c r="AF32" s="112">
        <v>0</v>
      </c>
      <c r="AG32" s="112">
        <v>0</v>
      </c>
      <c r="AH32" s="112">
        <v>0</v>
      </c>
      <c r="AI32" s="112">
        <v>0</v>
      </c>
      <c r="AJ32" s="112">
        <v>0</v>
      </c>
      <c r="AK32" s="112">
        <v>0</v>
      </c>
      <c r="AL32" s="112">
        <v>0</v>
      </c>
      <c r="AM32" s="112">
        <v>0</v>
      </c>
      <c r="AN32" s="112">
        <v>0</v>
      </c>
      <c r="AO32" s="112">
        <v>0</v>
      </c>
    </row>
    <row r="33" spans="1:41" x14ac:dyDescent="0.15">
      <c r="A33" s="189" t="s">
        <v>223</v>
      </c>
      <c r="B33" s="112">
        <v>0</v>
      </c>
      <c r="C33" s="112">
        <v>0</v>
      </c>
      <c r="D33" s="112">
        <v>0.8</v>
      </c>
      <c r="E33" s="112">
        <v>0.8</v>
      </c>
      <c r="F33" s="112">
        <v>0.8</v>
      </c>
      <c r="G33" s="112">
        <v>0</v>
      </c>
      <c r="H33" s="112">
        <v>0</v>
      </c>
      <c r="I33" s="112">
        <v>0.8</v>
      </c>
      <c r="J33" s="112">
        <v>0.8</v>
      </c>
      <c r="K33" s="112">
        <v>0.8</v>
      </c>
      <c r="L33" s="112">
        <v>0.8</v>
      </c>
      <c r="M33" s="112">
        <v>0.8</v>
      </c>
      <c r="N33" s="112">
        <v>0.8</v>
      </c>
      <c r="O33" s="112">
        <v>0</v>
      </c>
      <c r="P33" s="112">
        <v>0</v>
      </c>
      <c r="Q33" s="112">
        <v>0</v>
      </c>
      <c r="R33" s="112">
        <v>0</v>
      </c>
      <c r="S33" s="112">
        <v>0</v>
      </c>
      <c r="T33" s="112">
        <v>0.8</v>
      </c>
      <c r="U33" s="112">
        <v>0.8</v>
      </c>
      <c r="V33" s="112">
        <v>0.8</v>
      </c>
      <c r="W33" s="112">
        <v>0.8</v>
      </c>
      <c r="X33" s="112">
        <v>0</v>
      </c>
      <c r="Y33" s="112">
        <v>0.8</v>
      </c>
      <c r="Z33" s="112">
        <v>0</v>
      </c>
      <c r="AA33" s="112">
        <v>0</v>
      </c>
      <c r="AB33" s="112">
        <v>0</v>
      </c>
      <c r="AC33" s="112">
        <v>0</v>
      </c>
      <c r="AD33" s="112">
        <v>0.8</v>
      </c>
      <c r="AE33" s="112">
        <v>0.8</v>
      </c>
      <c r="AF33" s="112">
        <v>0</v>
      </c>
      <c r="AG33" s="112">
        <v>0</v>
      </c>
      <c r="AH33" s="112">
        <v>0</v>
      </c>
      <c r="AI33" s="112">
        <v>0</v>
      </c>
      <c r="AJ33" s="112">
        <v>0</v>
      </c>
      <c r="AK33" s="112">
        <v>0</v>
      </c>
      <c r="AL33" s="112">
        <v>0</v>
      </c>
      <c r="AM33" s="112">
        <v>0</v>
      </c>
      <c r="AN33" s="112">
        <v>0</v>
      </c>
      <c r="AO33" s="112">
        <v>0</v>
      </c>
    </row>
    <row r="34" spans="1:41" x14ac:dyDescent="0.15">
      <c r="A34" s="189" t="s">
        <v>224</v>
      </c>
      <c r="B34" s="112">
        <v>0</v>
      </c>
      <c r="C34" s="112">
        <v>0.8</v>
      </c>
      <c r="D34" s="112">
        <v>0.8</v>
      </c>
      <c r="E34" s="112">
        <v>0.8</v>
      </c>
      <c r="F34" s="112">
        <v>0.8</v>
      </c>
      <c r="G34" s="112">
        <v>0</v>
      </c>
      <c r="H34" s="112">
        <v>0</v>
      </c>
      <c r="I34" s="112">
        <v>0.8</v>
      </c>
      <c r="J34" s="112">
        <v>0.8</v>
      </c>
      <c r="K34" s="112">
        <v>0</v>
      </c>
      <c r="L34" s="112">
        <v>0.8</v>
      </c>
      <c r="M34" s="112">
        <v>0.8</v>
      </c>
      <c r="N34" s="112">
        <v>0.8</v>
      </c>
      <c r="O34" s="112">
        <v>0.8</v>
      </c>
      <c r="P34" s="112">
        <v>0</v>
      </c>
      <c r="Q34" s="112">
        <v>0.8</v>
      </c>
      <c r="R34" s="112">
        <v>0</v>
      </c>
      <c r="S34" s="112">
        <v>0</v>
      </c>
      <c r="T34" s="112">
        <v>0.8</v>
      </c>
      <c r="U34" s="112">
        <v>0.8</v>
      </c>
      <c r="V34" s="112">
        <v>0.8</v>
      </c>
      <c r="W34" s="112">
        <v>0.8</v>
      </c>
      <c r="X34" s="112">
        <v>0.8</v>
      </c>
      <c r="Y34" s="112">
        <v>0</v>
      </c>
      <c r="Z34" s="112">
        <v>0</v>
      </c>
      <c r="AA34" s="112">
        <v>0</v>
      </c>
      <c r="AB34" s="112">
        <v>0</v>
      </c>
      <c r="AC34" s="112">
        <v>0</v>
      </c>
      <c r="AD34" s="112">
        <v>0.8</v>
      </c>
      <c r="AE34" s="112">
        <v>0.8</v>
      </c>
      <c r="AF34" s="112">
        <v>0.8</v>
      </c>
      <c r="AG34" s="112">
        <v>0</v>
      </c>
      <c r="AH34" s="112">
        <v>0</v>
      </c>
      <c r="AI34" s="112">
        <v>0</v>
      </c>
      <c r="AJ34" s="112">
        <v>0</v>
      </c>
      <c r="AK34" s="112">
        <v>0</v>
      </c>
      <c r="AL34" s="112">
        <v>0</v>
      </c>
      <c r="AM34" s="112">
        <v>0</v>
      </c>
      <c r="AN34" s="112">
        <v>0</v>
      </c>
      <c r="AO34" s="112">
        <v>0</v>
      </c>
    </row>
    <row r="35" spans="1:41" x14ac:dyDescent="0.15">
      <c r="A35" s="189" t="s">
        <v>225</v>
      </c>
      <c r="B35" s="112">
        <v>0</v>
      </c>
      <c r="C35" s="112">
        <v>0.8</v>
      </c>
      <c r="D35" s="112">
        <v>0.8</v>
      </c>
      <c r="E35" s="112">
        <v>0.8</v>
      </c>
      <c r="F35" s="112">
        <v>0.8</v>
      </c>
      <c r="G35" s="112">
        <v>0</v>
      </c>
      <c r="H35" s="112">
        <v>0</v>
      </c>
      <c r="I35" s="112">
        <v>0.8</v>
      </c>
      <c r="J35" s="112">
        <v>0.8</v>
      </c>
      <c r="K35" s="112">
        <v>0</v>
      </c>
      <c r="L35" s="112">
        <v>0.8</v>
      </c>
      <c r="M35" s="112">
        <v>0.8</v>
      </c>
      <c r="N35" s="112">
        <v>0.8</v>
      </c>
      <c r="O35" s="112">
        <v>0.8</v>
      </c>
      <c r="P35" s="112">
        <v>0</v>
      </c>
      <c r="Q35" s="112">
        <v>0</v>
      </c>
      <c r="R35" s="112">
        <v>0</v>
      </c>
      <c r="S35" s="112">
        <v>0</v>
      </c>
      <c r="T35" s="112">
        <v>0.8</v>
      </c>
      <c r="U35" s="112">
        <v>0.8</v>
      </c>
      <c r="V35" s="112">
        <v>0.8</v>
      </c>
      <c r="W35" s="112">
        <v>0.8</v>
      </c>
      <c r="X35" s="112">
        <v>0</v>
      </c>
      <c r="Y35" s="112">
        <v>0</v>
      </c>
      <c r="Z35" s="112">
        <v>0</v>
      </c>
      <c r="AA35" s="112">
        <v>0</v>
      </c>
      <c r="AB35" s="112">
        <v>0</v>
      </c>
      <c r="AC35" s="112">
        <v>0</v>
      </c>
      <c r="AD35" s="112">
        <v>0.8</v>
      </c>
      <c r="AE35" s="112">
        <v>0.8</v>
      </c>
      <c r="AF35" s="112">
        <v>0</v>
      </c>
      <c r="AG35" s="112">
        <v>0</v>
      </c>
      <c r="AH35" s="112">
        <v>0</v>
      </c>
      <c r="AI35" s="112">
        <v>0</v>
      </c>
      <c r="AJ35" s="112">
        <v>0</v>
      </c>
      <c r="AK35" s="112">
        <v>0</v>
      </c>
      <c r="AL35" s="112">
        <v>0</v>
      </c>
      <c r="AM35" s="112">
        <v>0</v>
      </c>
      <c r="AN35" s="112">
        <v>0</v>
      </c>
      <c r="AO35" s="112">
        <v>0</v>
      </c>
    </row>
    <row r="36" spans="1:41" x14ac:dyDescent="0.15">
      <c r="A36" s="189" t="s">
        <v>226</v>
      </c>
      <c r="B36" s="112">
        <v>0</v>
      </c>
      <c r="C36" s="112">
        <v>0.8</v>
      </c>
      <c r="D36" s="112">
        <v>0.8</v>
      </c>
      <c r="E36" s="112">
        <v>0.8</v>
      </c>
      <c r="F36" s="112">
        <v>0.8</v>
      </c>
      <c r="G36" s="112">
        <v>0.8</v>
      </c>
      <c r="H36" s="112">
        <v>0.8</v>
      </c>
      <c r="I36" s="112">
        <v>0.8</v>
      </c>
      <c r="J36" s="112">
        <v>0.8</v>
      </c>
      <c r="K36" s="112">
        <v>0</v>
      </c>
      <c r="L36" s="112">
        <v>0</v>
      </c>
      <c r="M36" s="112">
        <v>0.8</v>
      </c>
      <c r="N36" s="112">
        <v>0.8</v>
      </c>
      <c r="O36" s="112">
        <v>0.8</v>
      </c>
      <c r="P36" s="112">
        <v>0.8</v>
      </c>
      <c r="Q36" s="112">
        <v>0.8</v>
      </c>
      <c r="R36" s="112">
        <v>0</v>
      </c>
      <c r="S36" s="112">
        <v>0.8</v>
      </c>
      <c r="T36" s="112">
        <v>0.8</v>
      </c>
      <c r="U36" s="112">
        <v>0.8</v>
      </c>
      <c r="V36" s="112">
        <v>0.8</v>
      </c>
      <c r="W36" s="112">
        <v>0.8</v>
      </c>
      <c r="X36" s="112">
        <v>0</v>
      </c>
      <c r="Y36" s="112">
        <v>0.8</v>
      </c>
      <c r="Z36" s="112">
        <v>0.8</v>
      </c>
      <c r="AA36" s="112">
        <v>0.8</v>
      </c>
      <c r="AB36" s="112">
        <v>0</v>
      </c>
      <c r="AC36" s="112">
        <v>0</v>
      </c>
      <c r="AD36" s="112">
        <v>0.8</v>
      </c>
      <c r="AE36" s="112">
        <v>0.8</v>
      </c>
      <c r="AF36" s="112">
        <v>0.8</v>
      </c>
      <c r="AG36" s="112">
        <v>0</v>
      </c>
      <c r="AH36" s="112">
        <v>0</v>
      </c>
      <c r="AI36" s="112">
        <v>0</v>
      </c>
      <c r="AJ36" s="112">
        <v>0</v>
      </c>
      <c r="AK36" s="112">
        <v>0</v>
      </c>
      <c r="AL36" s="112">
        <v>0</v>
      </c>
      <c r="AM36" s="112">
        <v>0</v>
      </c>
      <c r="AN36" s="112">
        <v>0</v>
      </c>
      <c r="AO36" s="112">
        <v>0</v>
      </c>
    </row>
    <row r="37" spans="1:41" x14ac:dyDescent="0.15">
      <c r="A37" s="189" t="s">
        <v>227</v>
      </c>
      <c r="B37" s="112">
        <v>0.8</v>
      </c>
      <c r="C37" s="112">
        <v>0</v>
      </c>
      <c r="D37" s="112">
        <v>0.8</v>
      </c>
      <c r="E37" s="112">
        <v>0.8</v>
      </c>
      <c r="F37" s="112">
        <v>0.8</v>
      </c>
      <c r="G37" s="112">
        <v>0.8</v>
      </c>
      <c r="H37" s="112">
        <v>0.8</v>
      </c>
      <c r="I37" s="112">
        <v>0.8</v>
      </c>
      <c r="J37" s="112">
        <v>0.8</v>
      </c>
      <c r="K37" s="112">
        <v>0</v>
      </c>
      <c r="L37" s="112">
        <v>0.8</v>
      </c>
      <c r="M37" s="112">
        <v>0.8</v>
      </c>
      <c r="N37" s="112">
        <v>0.8</v>
      </c>
      <c r="O37" s="112">
        <v>0.8</v>
      </c>
      <c r="P37" s="112">
        <v>0.8</v>
      </c>
      <c r="Q37" s="112">
        <v>0.8</v>
      </c>
      <c r="R37" s="112">
        <v>0.8</v>
      </c>
      <c r="S37" s="112">
        <v>0.8</v>
      </c>
      <c r="T37" s="112">
        <v>0.8</v>
      </c>
      <c r="U37" s="112">
        <v>0.8</v>
      </c>
      <c r="V37" s="112">
        <v>0.8</v>
      </c>
      <c r="W37" s="112">
        <v>0.8</v>
      </c>
      <c r="X37" s="112">
        <v>0.8</v>
      </c>
      <c r="Y37" s="112">
        <v>0.8</v>
      </c>
      <c r="Z37" s="112">
        <v>0.8</v>
      </c>
      <c r="AA37" s="112">
        <v>0.8</v>
      </c>
      <c r="AB37" s="112">
        <v>0.8</v>
      </c>
      <c r="AC37" s="112">
        <v>0.8</v>
      </c>
      <c r="AD37" s="112">
        <v>0.8</v>
      </c>
      <c r="AE37" s="112">
        <v>0.8</v>
      </c>
      <c r="AF37" s="112">
        <v>0.8</v>
      </c>
      <c r="AG37" s="112">
        <v>0</v>
      </c>
      <c r="AH37" s="112">
        <v>0</v>
      </c>
      <c r="AI37" s="112">
        <v>0</v>
      </c>
      <c r="AJ37" s="112">
        <v>0</v>
      </c>
      <c r="AK37" s="112">
        <v>0.8</v>
      </c>
      <c r="AL37" s="112">
        <v>0</v>
      </c>
      <c r="AM37" s="112">
        <v>0</v>
      </c>
      <c r="AN37" s="112">
        <v>0</v>
      </c>
      <c r="AO37" s="112">
        <v>0</v>
      </c>
    </row>
    <row r="38" spans="1:41" x14ac:dyDescent="0.15">
      <c r="A38" s="189" t="s">
        <v>228</v>
      </c>
      <c r="B38" s="112">
        <v>0.8</v>
      </c>
      <c r="C38" s="112">
        <v>0</v>
      </c>
      <c r="D38" s="112">
        <v>0</v>
      </c>
      <c r="E38" s="112">
        <v>0.8</v>
      </c>
      <c r="F38" s="112">
        <v>0.8</v>
      </c>
      <c r="G38" s="112">
        <v>0.8</v>
      </c>
      <c r="H38" s="112">
        <v>0.8</v>
      </c>
      <c r="I38" s="112">
        <v>0.8</v>
      </c>
      <c r="J38" s="112">
        <v>0</v>
      </c>
      <c r="K38" s="112">
        <v>0</v>
      </c>
      <c r="L38" s="112">
        <v>0</v>
      </c>
      <c r="M38" s="112">
        <v>0</v>
      </c>
      <c r="N38" s="112">
        <v>0.8</v>
      </c>
      <c r="O38" s="112">
        <v>0.8</v>
      </c>
      <c r="P38" s="112">
        <v>0.8</v>
      </c>
      <c r="Q38" s="112">
        <v>0.8</v>
      </c>
      <c r="R38" s="112">
        <v>0.8</v>
      </c>
      <c r="S38" s="112">
        <v>0</v>
      </c>
      <c r="T38" s="112">
        <v>0</v>
      </c>
      <c r="U38" s="112">
        <v>0.8</v>
      </c>
      <c r="V38" s="112">
        <v>0</v>
      </c>
      <c r="W38" s="112">
        <v>0.8</v>
      </c>
      <c r="X38" s="112">
        <v>0.8</v>
      </c>
      <c r="Y38" s="112">
        <v>0.8</v>
      </c>
      <c r="Z38" s="112">
        <v>0</v>
      </c>
      <c r="AA38" s="112">
        <v>0.8</v>
      </c>
      <c r="AB38" s="112">
        <v>0.8</v>
      </c>
      <c r="AC38" s="112">
        <v>0.8</v>
      </c>
      <c r="AD38" s="112">
        <v>0</v>
      </c>
      <c r="AE38" s="112">
        <v>0</v>
      </c>
      <c r="AF38" s="112">
        <v>0.8</v>
      </c>
      <c r="AG38" s="112">
        <v>0</v>
      </c>
      <c r="AH38" s="112">
        <v>0</v>
      </c>
      <c r="AI38" s="112">
        <v>0</v>
      </c>
      <c r="AJ38" s="112">
        <v>0</v>
      </c>
      <c r="AK38" s="112">
        <v>0.8</v>
      </c>
      <c r="AL38" s="112">
        <v>0</v>
      </c>
      <c r="AM38" s="112">
        <v>0</v>
      </c>
      <c r="AN38" s="112">
        <v>0</v>
      </c>
      <c r="AO38" s="112">
        <v>0</v>
      </c>
    </row>
    <row r="39" spans="1:41" x14ac:dyDescent="0.15">
      <c r="A39" s="189" t="s">
        <v>229</v>
      </c>
      <c r="B39" s="112">
        <v>0</v>
      </c>
      <c r="C39" s="112">
        <v>0</v>
      </c>
      <c r="D39" s="112">
        <v>0</v>
      </c>
      <c r="E39" s="112">
        <v>0</v>
      </c>
      <c r="F39" s="112">
        <v>0</v>
      </c>
      <c r="G39" s="112">
        <v>0</v>
      </c>
      <c r="H39" s="112">
        <v>0</v>
      </c>
      <c r="I39" s="112">
        <v>0</v>
      </c>
      <c r="J39" s="112">
        <v>0</v>
      </c>
      <c r="K39" s="112">
        <v>0</v>
      </c>
      <c r="L39" s="112">
        <v>0</v>
      </c>
      <c r="M39" s="112">
        <v>0</v>
      </c>
      <c r="N39" s="112">
        <v>0</v>
      </c>
      <c r="O39" s="112">
        <v>0</v>
      </c>
      <c r="P39" s="112">
        <v>0</v>
      </c>
      <c r="Q39" s="112">
        <v>0</v>
      </c>
      <c r="R39" s="112">
        <v>0</v>
      </c>
      <c r="S39" s="112">
        <v>0</v>
      </c>
      <c r="T39" s="112">
        <v>0</v>
      </c>
      <c r="U39" s="112">
        <v>0</v>
      </c>
      <c r="V39" s="112">
        <v>0</v>
      </c>
      <c r="W39" s="112">
        <v>0.8</v>
      </c>
      <c r="X39" s="112">
        <v>0</v>
      </c>
      <c r="Y39" s="112">
        <v>0</v>
      </c>
      <c r="Z39" s="112">
        <v>0</v>
      </c>
      <c r="AA39" s="112">
        <v>0</v>
      </c>
      <c r="AB39" s="112">
        <v>0</v>
      </c>
      <c r="AC39" s="112">
        <v>0</v>
      </c>
      <c r="AD39" s="112">
        <v>0</v>
      </c>
      <c r="AE39" s="112">
        <v>0</v>
      </c>
      <c r="AF39" s="112">
        <v>0.8</v>
      </c>
      <c r="AG39" s="112">
        <v>0</v>
      </c>
      <c r="AH39" s="112">
        <v>0</v>
      </c>
      <c r="AI39" s="112">
        <v>0.8</v>
      </c>
      <c r="AJ39" s="112">
        <v>0</v>
      </c>
      <c r="AK39" s="112">
        <v>0.8</v>
      </c>
      <c r="AL39" s="112">
        <v>0.8</v>
      </c>
      <c r="AM39" s="112">
        <v>0</v>
      </c>
      <c r="AN39" s="112">
        <v>0</v>
      </c>
      <c r="AO39" s="112">
        <v>0</v>
      </c>
    </row>
    <row r="40" spans="1:41" x14ac:dyDescent="0.15">
      <c r="A40" s="189" t="s">
        <v>230</v>
      </c>
      <c r="B40" s="112">
        <v>0</v>
      </c>
      <c r="C40" s="112">
        <v>0</v>
      </c>
      <c r="D40" s="112">
        <v>0.8</v>
      </c>
      <c r="E40" s="112">
        <v>0</v>
      </c>
      <c r="F40" s="112">
        <v>0</v>
      </c>
      <c r="G40" s="112">
        <v>0</v>
      </c>
      <c r="H40" s="112">
        <v>0</v>
      </c>
      <c r="I40" s="112">
        <v>0</v>
      </c>
      <c r="J40" s="112">
        <v>0</v>
      </c>
      <c r="K40" s="112">
        <v>0</v>
      </c>
      <c r="L40" s="112">
        <v>0</v>
      </c>
      <c r="M40" s="112">
        <v>0</v>
      </c>
      <c r="N40" s="112">
        <v>0</v>
      </c>
      <c r="O40" s="112">
        <v>0</v>
      </c>
      <c r="P40" s="112">
        <v>0</v>
      </c>
      <c r="Q40" s="112">
        <v>0</v>
      </c>
      <c r="R40" s="112">
        <v>0</v>
      </c>
      <c r="S40" s="112">
        <v>0</v>
      </c>
      <c r="T40" s="112">
        <v>0</v>
      </c>
      <c r="U40" s="112">
        <v>0.8</v>
      </c>
      <c r="V40" s="112">
        <v>0</v>
      </c>
      <c r="W40" s="112">
        <v>0</v>
      </c>
      <c r="X40" s="112">
        <v>0</v>
      </c>
      <c r="Y40" s="112">
        <v>0.8</v>
      </c>
      <c r="Z40" s="112">
        <v>0</v>
      </c>
      <c r="AA40" s="112">
        <v>0</v>
      </c>
      <c r="AB40" s="112">
        <v>0</v>
      </c>
      <c r="AC40" s="112">
        <v>0</v>
      </c>
      <c r="AD40" s="112">
        <v>0.8</v>
      </c>
      <c r="AE40" s="112">
        <v>0.8</v>
      </c>
      <c r="AF40" s="112">
        <v>0.8</v>
      </c>
      <c r="AG40" s="112">
        <v>0.8</v>
      </c>
      <c r="AH40" s="112">
        <v>0.8</v>
      </c>
      <c r="AI40" s="112">
        <v>0.8</v>
      </c>
      <c r="AJ40" s="112">
        <v>0.8</v>
      </c>
      <c r="AK40" s="112">
        <v>0.8</v>
      </c>
      <c r="AL40" s="112">
        <v>0</v>
      </c>
      <c r="AM40" s="112">
        <v>0</v>
      </c>
      <c r="AN40" s="112">
        <v>0</v>
      </c>
      <c r="AO40" s="112">
        <v>0</v>
      </c>
    </row>
    <row r="41" spans="1:41" x14ac:dyDescent="0.15">
      <c r="A41" s="189" t="s">
        <v>231</v>
      </c>
      <c r="B41" s="112">
        <v>0</v>
      </c>
      <c r="C41" s="112">
        <v>0</v>
      </c>
      <c r="D41" s="112">
        <v>0</v>
      </c>
      <c r="E41" s="112">
        <v>0</v>
      </c>
      <c r="F41" s="112">
        <v>0</v>
      </c>
      <c r="G41" s="112">
        <v>0</v>
      </c>
      <c r="H41" s="112">
        <v>0</v>
      </c>
      <c r="I41" s="112">
        <v>0</v>
      </c>
      <c r="J41" s="112">
        <v>0</v>
      </c>
      <c r="K41" s="112">
        <v>0</v>
      </c>
      <c r="L41" s="112">
        <v>0</v>
      </c>
      <c r="M41" s="112">
        <v>0</v>
      </c>
      <c r="N41" s="112">
        <v>0</v>
      </c>
      <c r="O41" s="112">
        <v>0</v>
      </c>
      <c r="P41" s="112">
        <v>0</v>
      </c>
      <c r="Q41" s="112">
        <v>0</v>
      </c>
      <c r="R41" s="112">
        <v>0</v>
      </c>
      <c r="S41" s="112">
        <v>0</v>
      </c>
      <c r="T41" s="112">
        <v>0</v>
      </c>
      <c r="U41" s="112">
        <v>0</v>
      </c>
      <c r="V41" s="112">
        <v>0</v>
      </c>
      <c r="W41" s="112">
        <v>0</v>
      </c>
      <c r="X41" s="112">
        <v>0</v>
      </c>
      <c r="Y41" s="112">
        <v>0</v>
      </c>
      <c r="Z41" s="112">
        <v>0</v>
      </c>
      <c r="AA41" s="112">
        <v>0</v>
      </c>
      <c r="AB41" s="112">
        <v>0</v>
      </c>
      <c r="AC41" s="112">
        <v>0</v>
      </c>
      <c r="AD41" s="112">
        <v>0</v>
      </c>
      <c r="AE41" s="112">
        <v>0</v>
      </c>
      <c r="AF41" s="112">
        <v>0</v>
      </c>
      <c r="AG41" s="112">
        <v>0</v>
      </c>
      <c r="AH41" s="112">
        <v>0</v>
      </c>
      <c r="AI41" s="112">
        <v>0</v>
      </c>
      <c r="AJ41" s="112">
        <v>0</v>
      </c>
      <c r="AK41" s="112">
        <v>0</v>
      </c>
      <c r="AL41" s="112">
        <v>0</v>
      </c>
      <c r="AM41" s="112">
        <v>0</v>
      </c>
      <c r="AN41" s="112">
        <v>0</v>
      </c>
      <c r="AO41" s="112">
        <v>0</v>
      </c>
    </row>
    <row r="42" spans="1:41" x14ac:dyDescent="0.15">
      <c r="A42" s="189" t="s">
        <v>244</v>
      </c>
      <c r="B42" s="112">
        <v>0.8</v>
      </c>
      <c r="C42" s="112">
        <v>0</v>
      </c>
      <c r="D42" s="112">
        <v>0.8</v>
      </c>
      <c r="E42" s="112">
        <v>0</v>
      </c>
      <c r="F42" s="112">
        <v>0</v>
      </c>
      <c r="G42" s="112">
        <v>0.8</v>
      </c>
      <c r="H42" s="112">
        <v>0.8</v>
      </c>
      <c r="I42" s="112">
        <v>0</v>
      </c>
      <c r="J42" s="112">
        <v>0</v>
      </c>
      <c r="K42" s="112">
        <v>0</v>
      </c>
      <c r="L42" s="112">
        <v>0</v>
      </c>
      <c r="M42" s="112">
        <v>0</v>
      </c>
      <c r="N42" s="112">
        <v>0</v>
      </c>
      <c r="O42" s="112">
        <v>0</v>
      </c>
      <c r="P42" s="112">
        <v>0</v>
      </c>
      <c r="Q42" s="112">
        <v>0</v>
      </c>
      <c r="R42" s="112">
        <v>0</v>
      </c>
      <c r="S42" s="112">
        <v>0</v>
      </c>
      <c r="T42" s="112">
        <v>0</v>
      </c>
      <c r="U42" s="112">
        <v>0</v>
      </c>
      <c r="V42" s="112">
        <v>0</v>
      </c>
      <c r="W42" s="112">
        <v>0</v>
      </c>
      <c r="X42" s="112">
        <v>0</v>
      </c>
      <c r="Y42" s="112">
        <v>0</v>
      </c>
      <c r="Z42" s="112">
        <v>0.8</v>
      </c>
      <c r="AA42" s="112">
        <v>0</v>
      </c>
      <c r="AB42" s="112">
        <v>0</v>
      </c>
      <c r="AC42" s="112">
        <v>0.8</v>
      </c>
      <c r="AD42" s="112">
        <v>0</v>
      </c>
      <c r="AE42" s="112">
        <v>0</v>
      </c>
      <c r="AF42" s="112">
        <v>0</v>
      </c>
      <c r="AG42" s="112">
        <v>0</v>
      </c>
      <c r="AH42" s="112">
        <v>0</v>
      </c>
      <c r="AI42" s="112">
        <v>0</v>
      </c>
      <c r="AJ42" s="112">
        <v>0</v>
      </c>
      <c r="AK42" s="112">
        <v>0</v>
      </c>
      <c r="AL42" s="112">
        <v>0</v>
      </c>
      <c r="AM42" s="112">
        <v>0</v>
      </c>
      <c r="AN42" s="112">
        <v>0</v>
      </c>
      <c r="AO42" s="11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O42"/>
  <sheetViews>
    <sheetView workbookViewId="0">
      <selection activeCell="A3" sqref="A3"/>
    </sheetView>
  </sheetViews>
  <sheetFormatPr baseColWidth="10" defaultRowHeight="13" x14ac:dyDescent="0.15"/>
  <cols>
    <col min="1" max="1" width="21.6640625" style="112" bestFit="1" customWidth="1"/>
    <col min="2" max="41" width="2.33203125" style="112" customWidth="1"/>
    <col min="42" max="16384" width="10.83203125" style="112"/>
  </cols>
  <sheetData>
    <row r="1" spans="1:41" x14ac:dyDescent="0.15">
      <c r="A1" s="63" t="s">
        <v>139</v>
      </c>
      <c r="B1" s="192" t="s">
        <v>192</v>
      </c>
      <c r="C1" s="192" t="s">
        <v>193</v>
      </c>
      <c r="D1" s="192" t="s">
        <v>194</v>
      </c>
      <c r="E1" s="192" t="s">
        <v>195</v>
      </c>
      <c r="F1" s="192" t="s">
        <v>196</v>
      </c>
      <c r="G1" s="192" t="s">
        <v>197</v>
      </c>
      <c r="H1" s="192" t="s">
        <v>198</v>
      </c>
      <c r="I1" s="192" t="s">
        <v>199</v>
      </c>
      <c r="J1" s="192" t="s">
        <v>200</v>
      </c>
      <c r="K1" s="192" t="s">
        <v>201</v>
      </c>
      <c r="L1" s="192" t="s">
        <v>202</v>
      </c>
      <c r="M1" s="192" t="s">
        <v>203</v>
      </c>
      <c r="N1" s="192" t="s">
        <v>204</v>
      </c>
      <c r="O1" s="192" t="s">
        <v>205</v>
      </c>
      <c r="P1" s="192" t="s">
        <v>206</v>
      </c>
      <c r="Q1" s="192" t="s">
        <v>207</v>
      </c>
      <c r="R1" s="192" t="s">
        <v>208</v>
      </c>
      <c r="S1" s="192" t="s">
        <v>209</v>
      </c>
      <c r="T1" s="192" t="s">
        <v>210</v>
      </c>
      <c r="U1" s="192" t="s">
        <v>211</v>
      </c>
      <c r="V1" s="192" t="s">
        <v>212</v>
      </c>
      <c r="W1" s="192" t="s">
        <v>213</v>
      </c>
      <c r="X1" s="192" t="s">
        <v>214</v>
      </c>
      <c r="Y1" s="192" t="s">
        <v>215</v>
      </c>
      <c r="Z1" s="192" t="s">
        <v>216</v>
      </c>
      <c r="AA1" s="192" t="s">
        <v>217</v>
      </c>
      <c r="AB1" s="192" t="s">
        <v>218</v>
      </c>
      <c r="AC1" s="192" t="s">
        <v>219</v>
      </c>
      <c r="AD1" s="192" t="s">
        <v>220</v>
      </c>
      <c r="AE1" s="192" t="s">
        <v>221</v>
      </c>
      <c r="AF1" s="192" t="s">
        <v>222</v>
      </c>
      <c r="AG1" s="192" t="s">
        <v>223</v>
      </c>
      <c r="AH1" s="192" t="s">
        <v>224</v>
      </c>
      <c r="AI1" s="192" t="s">
        <v>225</v>
      </c>
      <c r="AJ1" s="192" t="s">
        <v>226</v>
      </c>
      <c r="AK1" s="192" t="s">
        <v>227</v>
      </c>
      <c r="AL1" s="192" t="s">
        <v>228</v>
      </c>
      <c r="AM1" s="192" t="s">
        <v>229</v>
      </c>
      <c r="AN1" s="192" t="s">
        <v>230</v>
      </c>
      <c r="AO1" s="192" t="s">
        <v>231</v>
      </c>
    </row>
    <row r="2" spans="1:41" customFormat="1" x14ac:dyDescent="0.15">
      <c r="A2" s="191" t="s">
        <v>192</v>
      </c>
      <c r="B2" s="112">
        <v>0</v>
      </c>
      <c r="C2" s="112">
        <v>0</v>
      </c>
      <c r="D2" s="112">
        <v>0</v>
      </c>
      <c r="E2" s="112">
        <v>0</v>
      </c>
      <c r="F2" s="112">
        <v>0</v>
      </c>
      <c r="G2" s="112">
        <v>0</v>
      </c>
      <c r="H2" s="112">
        <v>0</v>
      </c>
      <c r="I2" s="112">
        <v>0</v>
      </c>
      <c r="J2" s="112">
        <v>0</v>
      </c>
      <c r="K2" s="112">
        <v>0</v>
      </c>
      <c r="L2" s="112">
        <v>0</v>
      </c>
      <c r="M2" s="112">
        <v>0</v>
      </c>
      <c r="N2" s="112">
        <v>0</v>
      </c>
      <c r="O2" s="112">
        <v>0</v>
      </c>
      <c r="P2" s="112">
        <v>0</v>
      </c>
      <c r="Q2" s="112">
        <v>0</v>
      </c>
      <c r="R2" s="112">
        <v>0</v>
      </c>
      <c r="S2" s="112">
        <v>0</v>
      </c>
      <c r="T2" s="112">
        <v>0</v>
      </c>
      <c r="U2" s="112">
        <v>0</v>
      </c>
      <c r="V2" s="112">
        <v>0</v>
      </c>
      <c r="W2" s="112">
        <v>0</v>
      </c>
      <c r="X2" s="112">
        <v>0</v>
      </c>
      <c r="Y2" s="112">
        <v>0</v>
      </c>
      <c r="Z2" s="112">
        <v>0</v>
      </c>
      <c r="AA2" s="112">
        <v>0</v>
      </c>
      <c r="AB2" s="112">
        <v>0</v>
      </c>
      <c r="AC2" s="112">
        <v>0</v>
      </c>
      <c r="AD2" s="112">
        <v>0</v>
      </c>
      <c r="AE2" s="112">
        <v>0</v>
      </c>
      <c r="AF2" s="112">
        <v>0</v>
      </c>
      <c r="AG2" s="112">
        <v>0</v>
      </c>
      <c r="AH2" s="112">
        <v>0</v>
      </c>
      <c r="AI2" s="112">
        <v>0</v>
      </c>
      <c r="AJ2" s="112">
        <v>0</v>
      </c>
      <c r="AK2" s="112">
        <v>0</v>
      </c>
      <c r="AL2" s="112">
        <v>0</v>
      </c>
      <c r="AM2" s="112">
        <v>0</v>
      </c>
      <c r="AN2" s="112">
        <v>0</v>
      </c>
      <c r="AO2" s="112">
        <v>0</v>
      </c>
    </row>
    <row r="3" spans="1:41" customFormat="1" x14ac:dyDescent="0.15">
      <c r="A3" s="191" t="s">
        <v>193</v>
      </c>
      <c r="B3" s="112">
        <v>0</v>
      </c>
      <c r="C3" s="112">
        <v>0</v>
      </c>
      <c r="D3" s="112">
        <v>0</v>
      </c>
      <c r="E3" s="112">
        <v>0</v>
      </c>
      <c r="F3" s="112">
        <v>0</v>
      </c>
      <c r="G3" s="112">
        <v>0</v>
      </c>
      <c r="H3" s="112">
        <v>0</v>
      </c>
      <c r="I3" s="112">
        <v>0</v>
      </c>
      <c r="J3" s="112">
        <v>0</v>
      </c>
      <c r="K3" s="112">
        <v>0</v>
      </c>
      <c r="L3" s="112">
        <v>0</v>
      </c>
      <c r="M3" s="112">
        <v>0</v>
      </c>
      <c r="N3" s="112">
        <v>0</v>
      </c>
      <c r="O3" s="112">
        <v>0</v>
      </c>
      <c r="P3" s="112">
        <v>0</v>
      </c>
      <c r="Q3" s="112">
        <v>0</v>
      </c>
      <c r="R3" s="112">
        <v>0</v>
      </c>
      <c r="S3" s="112">
        <v>0</v>
      </c>
      <c r="T3" s="112">
        <v>0</v>
      </c>
      <c r="U3" s="112">
        <v>0</v>
      </c>
      <c r="V3" s="112">
        <v>0</v>
      </c>
      <c r="W3" s="112">
        <v>0</v>
      </c>
      <c r="X3" s="112">
        <v>0</v>
      </c>
      <c r="Y3" s="112">
        <v>0</v>
      </c>
      <c r="Z3" s="112">
        <v>0</v>
      </c>
      <c r="AA3" s="112">
        <v>0</v>
      </c>
      <c r="AB3" s="112">
        <v>0</v>
      </c>
      <c r="AC3" s="112">
        <v>0</v>
      </c>
      <c r="AD3" s="112">
        <v>0</v>
      </c>
      <c r="AE3" s="112">
        <v>0</v>
      </c>
      <c r="AF3" s="112">
        <v>0</v>
      </c>
      <c r="AG3" s="112">
        <v>0</v>
      </c>
      <c r="AH3" s="112">
        <v>0</v>
      </c>
      <c r="AI3" s="112">
        <v>0</v>
      </c>
      <c r="AJ3" s="112">
        <v>0</v>
      </c>
      <c r="AK3" s="112">
        <v>0</v>
      </c>
      <c r="AL3" s="112">
        <v>0</v>
      </c>
      <c r="AM3" s="112">
        <v>0</v>
      </c>
      <c r="AN3" s="112">
        <v>0</v>
      </c>
      <c r="AO3" s="112">
        <v>0</v>
      </c>
    </row>
    <row r="4" spans="1:41" customFormat="1" x14ac:dyDescent="0.15">
      <c r="A4" s="191" t="s">
        <v>194</v>
      </c>
      <c r="B4" s="112">
        <v>0</v>
      </c>
      <c r="C4" s="112">
        <v>0</v>
      </c>
      <c r="D4" s="112">
        <v>1</v>
      </c>
      <c r="E4" s="112">
        <v>0</v>
      </c>
      <c r="F4" s="112">
        <v>0</v>
      </c>
      <c r="G4" s="112">
        <v>0</v>
      </c>
      <c r="H4" s="112">
        <v>0</v>
      </c>
      <c r="I4" s="112">
        <v>0</v>
      </c>
      <c r="J4" s="112">
        <v>0</v>
      </c>
      <c r="K4" s="112">
        <v>0</v>
      </c>
      <c r="L4" s="112">
        <v>0</v>
      </c>
      <c r="M4" s="112">
        <v>0</v>
      </c>
      <c r="N4" s="112">
        <v>0</v>
      </c>
      <c r="O4" s="112">
        <v>0</v>
      </c>
      <c r="P4" s="112">
        <v>0</v>
      </c>
      <c r="Q4" s="112">
        <v>0</v>
      </c>
      <c r="R4" s="112">
        <v>0</v>
      </c>
      <c r="S4" s="112">
        <v>0</v>
      </c>
      <c r="T4" s="112">
        <v>0</v>
      </c>
      <c r="U4" s="112">
        <v>0</v>
      </c>
      <c r="V4" s="112">
        <v>0</v>
      </c>
      <c r="W4" s="112">
        <v>0</v>
      </c>
      <c r="X4" s="112">
        <v>0</v>
      </c>
      <c r="Y4" s="112">
        <v>0</v>
      </c>
      <c r="Z4" s="112">
        <v>1</v>
      </c>
      <c r="AA4" s="112">
        <v>0</v>
      </c>
      <c r="AB4" s="112">
        <v>0</v>
      </c>
      <c r="AC4" s="112">
        <v>0</v>
      </c>
      <c r="AD4" s="112">
        <v>0</v>
      </c>
      <c r="AE4" s="112">
        <v>0</v>
      </c>
      <c r="AF4" s="112">
        <v>0</v>
      </c>
      <c r="AG4" s="112">
        <v>0</v>
      </c>
      <c r="AH4" s="112">
        <v>0</v>
      </c>
      <c r="AI4" s="112">
        <v>0</v>
      </c>
      <c r="AJ4" s="112">
        <v>0</v>
      </c>
      <c r="AK4" s="112">
        <v>0</v>
      </c>
      <c r="AL4" s="112">
        <v>0</v>
      </c>
      <c r="AM4" s="112">
        <v>0</v>
      </c>
      <c r="AN4" s="112">
        <v>0</v>
      </c>
      <c r="AO4" s="112">
        <v>0</v>
      </c>
    </row>
    <row r="5" spans="1:41" customFormat="1" x14ac:dyDescent="0.15">
      <c r="A5" s="191" t="s">
        <v>195</v>
      </c>
      <c r="B5" s="112">
        <v>0</v>
      </c>
      <c r="C5" s="112">
        <v>1</v>
      </c>
      <c r="D5" s="112">
        <v>0</v>
      </c>
      <c r="E5" s="112">
        <v>0</v>
      </c>
      <c r="F5" s="112">
        <v>0</v>
      </c>
      <c r="G5" s="112">
        <v>0</v>
      </c>
      <c r="H5" s="112">
        <v>0</v>
      </c>
      <c r="I5" s="112">
        <v>0</v>
      </c>
      <c r="J5" s="112">
        <v>0</v>
      </c>
      <c r="K5" s="112">
        <v>0</v>
      </c>
      <c r="L5" s="112">
        <v>0</v>
      </c>
      <c r="M5" s="112">
        <v>0</v>
      </c>
      <c r="N5" s="112">
        <v>0</v>
      </c>
      <c r="O5" s="112">
        <v>1</v>
      </c>
      <c r="P5" s="112">
        <v>0</v>
      </c>
      <c r="Q5" s="112">
        <v>0</v>
      </c>
      <c r="R5" s="112">
        <v>0</v>
      </c>
      <c r="S5" s="112">
        <v>1</v>
      </c>
      <c r="T5" s="112">
        <v>0</v>
      </c>
      <c r="U5" s="112">
        <v>0</v>
      </c>
      <c r="V5" s="112">
        <v>0</v>
      </c>
      <c r="W5" s="112">
        <v>0</v>
      </c>
      <c r="X5" s="112">
        <v>0</v>
      </c>
      <c r="Y5" s="112">
        <v>0</v>
      </c>
      <c r="Z5" s="112">
        <v>0</v>
      </c>
      <c r="AA5" s="112">
        <v>0</v>
      </c>
      <c r="AB5" s="112">
        <v>0</v>
      </c>
      <c r="AC5" s="112">
        <v>0</v>
      </c>
      <c r="AD5" s="112">
        <v>0</v>
      </c>
      <c r="AE5" s="112">
        <v>0</v>
      </c>
      <c r="AF5" s="112">
        <v>0</v>
      </c>
      <c r="AG5" s="112">
        <v>0</v>
      </c>
      <c r="AH5" s="112">
        <v>0</v>
      </c>
      <c r="AI5" s="112">
        <v>0</v>
      </c>
      <c r="AJ5" s="112">
        <v>0</v>
      </c>
      <c r="AK5" s="112">
        <v>0</v>
      </c>
      <c r="AL5" s="112">
        <v>0</v>
      </c>
      <c r="AM5" s="112">
        <v>0</v>
      </c>
      <c r="AN5" s="112">
        <v>0</v>
      </c>
      <c r="AO5" s="112">
        <v>0</v>
      </c>
    </row>
    <row r="6" spans="1:41" customFormat="1" x14ac:dyDescent="0.15">
      <c r="A6" s="191" t="s">
        <v>196</v>
      </c>
      <c r="B6" s="112">
        <v>1</v>
      </c>
      <c r="C6" s="112">
        <v>1</v>
      </c>
      <c r="D6" s="112">
        <v>1</v>
      </c>
      <c r="E6" s="112">
        <v>1</v>
      </c>
      <c r="F6" s="112">
        <v>1</v>
      </c>
      <c r="G6" s="112">
        <v>1</v>
      </c>
      <c r="H6" s="112">
        <v>0</v>
      </c>
      <c r="I6" s="112">
        <v>1</v>
      </c>
      <c r="J6" s="112">
        <v>0</v>
      </c>
      <c r="K6" s="112">
        <v>1</v>
      </c>
      <c r="L6" s="112">
        <v>0</v>
      </c>
      <c r="M6" s="112">
        <v>0</v>
      </c>
      <c r="N6" s="112">
        <v>1</v>
      </c>
      <c r="O6" s="112">
        <v>1</v>
      </c>
      <c r="P6" s="112">
        <v>0</v>
      </c>
      <c r="Q6" s="112">
        <v>1</v>
      </c>
      <c r="R6" s="112">
        <v>0</v>
      </c>
      <c r="S6" s="112">
        <v>1</v>
      </c>
      <c r="T6" s="112">
        <v>1</v>
      </c>
      <c r="U6" s="112">
        <v>1</v>
      </c>
      <c r="V6" s="112">
        <v>1</v>
      </c>
      <c r="W6" s="112">
        <v>1</v>
      </c>
      <c r="X6" s="112">
        <v>0</v>
      </c>
      <c r="Y6" s="112">
        <v>0</v>
      </c>
      <c r="Z6" s="112">
        <v>0</v>
      </c>
      <c r="AA6" s="112">
        <v>0</v>
      </c>
      <c r="AB6" s="112">
        <v>0</v>
      </c>
      <c r="AC6" s="112">
        <v>1</v>
      </c>
      <c r="AD6" s="112">
        <v>0</v>
      </c>
      <c r="AE6" s="112">
        <v>0</v>
      </c>
      <c r="AF6" s="112">
        <v>0</v>
      </c>
      <c r="AG6" s="112">
        <v>0</v>
      </c>
      <c r="AH6" s="112">
        <v>0</v>
      </c>
      <c r="AI6" s="112">
        <v>0</v>
      </c>
      <c r="AJ6" s="112">
        <v>0</v>
      </c>
      <c r="AK6" s="112">
        <v>0</v>
      </c>
      <c r="AL6" s="112">
        <v>0</v>
      </c>
      <c r="AM6" s="112">
        <v>0</v>
      </c>
      <c r="AN6" s="112">
        <v>0</v>
      </c>
      <c r="AO6" s="112">
        <v>0</v>
      </c>
    </row>
    <row r="7" spans="1:41" customFormat="1" x14ac:dyDescent="0.15">
      <c r="A7" s="191" t="s">
        <v>197</v>
      </c>
      <c r="B7" s="112">
        <v>0</v>
      </c>
      <c r="C7" s="112">
        <v>1</v>
      </c>
      <c r="D7" s="112">
        <v>0</v>
      </c>
      <c r="E7" s="112">
        <v>0</v>
      </c>
      <c r="F7" s="112">
        <v>0</v>
      </c>
      <c r="G7" s="112">
        <v>1</v>
      </c>
      <c r="H7" s="112">
        <v>0</v>
      </c>
      <c r="I7" s="112">
        <v>0</v>
      </c>
      <c r="J7" s="112">
        <v>0</v>
      </c>
      <c r="K7" s="112">
        <v>0</v>
      </c>
      <c r="L7" s="112">
        <v>0</v>
      </c>
      <c r="M7" s="112">
        <v>0</v>
      </c>
      <c r="N7" s="112">
        <v>0</v>
      </c>
      <c r="O7" s="112">
        <v>1</v>
      </c>
      <c r="P7" s="112">
        <v>0</v>
      </c>
      <c r="Q7" s="112">
        <v>0</v>
      </c>
      <c r="R7" s="112">
        <v>0</v>
      </c>
      <c r="S7" s="112">
        <v>1</v>
      </c>
      <c r="T7" s="112">
        <v>0</v>
      </c>
      <c r="U7" s="112">
        <v>0</v>
      </c>
      <c r="V7" s="112">
        <v>0</v>
      </c>
      <c r="W7" s="112">
        <v>0</v>
      </c>
      <c r="X7" s="112">
        <v>0</v>
      </c>
      <c r="Y7" s="112">
        <v>0</v>
      </c>
      <c r="Z7" s="112">
        <v>1</v>
      </c>
      <c r="AA7" s="112">
        <v>0</v>
      </c>
      <c r="AB7" s="112">
        <v>0</v>
      </c>
      <c r="AC7" s="112">
        <v>0</v>
      </c>
      <c r="AD7" s="112">
        <v>0</v>
      </c>
      <c r="AE7" s="112">
        <v>0</v>
      </c>
      <c r="AF7" s="112">
        <v>0</v>
      </c>
      <c r="AG7" s="112">
        <v>0</v>
      </c>
      <c r="AH7" s="112">
        <v>0</v>
      </c>
      <c r="AI7" s="112">
        <v>0</v>
      </c>
      <c r="AJ7" s="112">
        <v>0</v>
      </c>
      <c r="AK7" s="112">
        <v>0</v>
      </c>
      <c r="AL7" s="112">
        <v>0</v>
      </c>
      <c r="AM7" s="112">
        <v>0</v>
      </c>
      <c r="AN7" s="112">
        <v>0</v>
      </c>
      <c r="AO7" s="112">
        <v>0</v>
      </c>
    </row>
    <row r="8" spans="1:41" customFormat="1" x14ac:dyDescent="0.15">
      <c r="A8" s="191" t="s">
        <v>198</v>
      </c>
      <c r="B8" s="112">
        <v>1</v>
      </c>
      <c r="C8" s="112">
        <v>1</v>
      </c>
      <c r="D8" s="112">
        <v>0</v>
      </c>
      <c r="E8" s="112">
        <v>1</v>
      </c>
      <c r="F8" s="112">
        <v>1</v>
      </c>
      <c r="G8" s="112">
        <v>1</v>
      </c>
      <c r="H8" s="112">
        <v>1</v>
      </c>
      <c r="I8" s="112">
        <v>1</v>
      </c>
      <c r="J8" s="112">
        <v>1</v>
      </c>
      <c r="K8" s="112">
        <v>1</v>
      </c>
      <c r="L8" s="112">
        <v>1</v>
      </c>
      <c r="M8" s="112">
        <v>0</v>
      </c>
      <c r="N8" s="112">
        <v>1</v>
      </c>
      <c r="O8" s="112">
        <v>1</v>
      </c>
      <c r="P8" s="112">
        <v>0</v>
      </c>
      <c r="Q8" s="112">
        <v>1</v>
      </c>
      <c r="R8" s="112">
        <v>0</v>
      </c>
      <c r="S8" s="112">
        <v>1</v>
      </c>
      <c r="T8" s="112">
        <v>1</v>
      </c>
      <c r="U8" s="112">
        <v>1</v>
      </c>
      <c r="V8" s="112">
        <v>0</v>
      </c>
      <c r="W8" s="112">
        <v>1</v>
      </c>
      <c r="X8" s="112">
        <v>0</v>
      </c>
      <c r="Y8" s="112">
        <v>0</v>
      </c>
      <c r="Z8" s="112">
        <v>1</v>
      </c>
      <c r="AA8" s="112">
        <v>0</v>
      </c>
      <c r="AB8" s="112">
        <v>0</v>
      </c>
      <c r="AC8" s="112">
        <v>1</v>
      </c>
      <c r="AD8" s="112">
        <v>0</v>
      </c>
      <c r="AE8" s="112">
        <v>0</v>
      </c>
      <c r="AF8" s="112">
        <v>0</v>
      </c>
      <c r="AG8" s="112">
        <v>0</v>
      </c>
      <c r="AH8" s="112">
        <v>0</v>
      </c>
      <c r="AI8" s="112">
        <v>0</v>
      </c>
      <c r="AJ8" s="112">
        <v>0</v>
      </c>
      <c r="AK8" s="112">
        <v>0</v>
      </c>
      <c r="AL8" s="112">
        <v>0</v>
      </c>
      <c r="AM8" s="112">
        <v>0</v>
      </c>
      <c r="AN8" s="112">
        <v>0</v>
      </c>
      <c r="AO8" s="112">
        <v>0</v>
      </c>
    </row>
    <row r="9" spans="1:41" customFormat="1" x14ac:dyDescent="0.15">
      <c r="A9" s="191" t="s">
        <v>199</v>
      </c>
      <c r="B9" s="112">
        <v>0</v>
      </c>
      <c r="C9" s="112">
        <v>1</v>
      </c>
      <c r="D9" s="112">
        <v>1</v>
      </c>
      <c r="E9" s="112">
        <v>1</v>
      </c>
      <c r="F9" s="112">
        <v>0</v>
      </c>
      <c r="G9" s="112">
        <v>1</v>
      </c>
      <c r="H9" s="112">
        <v>1</v>
      </c>
      <c r="I9" s="112">
        <v>1</v>
      </c>
      <c r="J9" s="112">
        <v>0</v>
      </c>
      <c r="K9" s="112">
        <v>1</v>
      </c>
      <c r="L9" s="112">
        <v>1</v>
      </c>
      <c r="M9" s="112">
        <v>0</v>
      </c>
      <c r="N9" s="112">
        <v>0</v>
      </c>
      <c r="O9" s="112">
        <v>0</v>
      </c>
      <c r="P9" s="112">
        <v>0</v>
      </c>
      <c r="Q9" s="112">
        <v>1</v>
      </c>
      <c r="R9" s="112">
        <v>0</v>
      </c>
      <c r="S9" s="112">
        <v>1</v>
      </c>
      <c r="T9" s="112">
        <v>1</v>
      </c>
      <c r="U9" s="112">
        <v>1</v>
      </c>
      <c r="V9" s="112">
        <v>0</v>
      </c>
      <c r="W9" s="112">
        <v>0</v>
      </c>
      <c r="X9" s="112">
        <v>0</v>
      </c>
      <c r="Y9" s="112">
        <v>0</v>
      </c>
      <c r="Z9" s="112">
        <v>0</v>
      </c>
      <c r="AA9" s="112">
        <v>0</v>
      </c>
      <c r="AB9" s="112">
        <v>0</v>
      </c>
      <c r="AC9" s="112">
        <v>1</v>
      </c>
      <c r="AD9" s="112">
        <v>0</v>
      </c>
      <c r="AE9" s="112">
        <v>0</v>
      </c>
      <c r="AF9" s="112">
        <v>0</v>
      </c>
      <c r="AG9" s="112">
        <v>0</v>
      </c>
      <c r="AH9" s="112">
        <v>0</v>
      </c>
      <c r="AI9" s="112">
        <v>0</v>
      </c>
      <c r="AJ9" s="112">
        <v>0</v>
      </c>
      <c r="AK9" s="112">
        <v>0</v>
      </c>
      <c r="AL9" s="112">
        <v>0</v>
      </c>
      <c r="AM9" s="112">
        <v>0</v>
      </c>
      <c r="AN9" s="112">
        <v>0</v>
      </c>
      <c r="AO9" s="112">
        <v>0</v>
      </c>
    </row>
    <row r="10" spans="1:41" customFormat="1" x14ac:dyDescent="0.15">
      <c r="A10" s="191" t="s">
        <v>200</v>
      </c>
      <c r="B10" s="112">
        <v>0</v>
      </c>
      <c r="C10" s="112">
        <v>1</v>
      </c>
      <c r="D10" s="112">
        <v>0</v>
      </c>
      <c r="E10" s="112">
        <v>1</v>
      </c>
      <c r="F10" s="112">
        <v>1</v>
      </c>
      <c r="G10" s="112">
        <v>0</v>
      </c>
      <c r="H10" s="112">
        <v>0</v>
      </c>
      <c r="I10" s="112">
        <v>1</v>
      </c>
      <c r="J10" s="112">
        <v>1</v>
      </c>
      <c r="K10" s="112">
        <v>1</v>
      </c>
      <c r="L10" s="112">
        <v>1</v>
      </c>
      <c r="M10" s="112">
        <v>0</v>
      </c>
      <c r="N10" s="112">
        <v>0</v>
      </c>
      <c r="O10" s="112">
        <v>1</v>
      </c>
      <c r="P10" s="112">
        <v>0</v>
      </c>
      <c r="Q10" s="112">
        <v>0</v>
      </c>
      <c r="R10" s="112">
        <v>0</v>
      </c>
      <c r="S10" s="112">
        <v>1</v>
      </c>
      <c r="T10" s="112">
        <v>1</v>
      </c>
      <c r="U10" s="112">
        <v>1</v>
      </c>
      <c r="V10" s="112">
        <v>1</v>
      </c>
      <c r="W10" s="112">
        <v>0</v>
      </c>
      <c r="X10" s="112">
        <v>0</v>
      </c>
      <c r="Y10" s="112">
        <v>0</v>
      </c>
      <c r="Z10" s="112">
        <v>0</v>
      </c>
      <c r="AA10" s="112">
        <v>0</v>
      </c>
      <c r="AB10" s="112">
        <v>0</v>
      </c>
      <c r="AC10" s="112">
        <v>0</v>
      </c>
      <c r="AD10" s="112">
        <v>0</v>
      </c>
      <c r="AE10" s="112">
        <v>0</v>
      </c>
      <c r="AF10" s="112">
        <v>0</v>
      </c>
      <c r="AG10" s="112">
        <v>0</v>
      </c>
      <c r="AH10" s="112">
        <v>0</v>
      </c>
      <c r="AI10" s="112">
        <v>0</v>
      </c>
      <c r="AJ10" s="112">
        <v>0</v>
      </c>
      <c r="AK10" s="112">
        <v>0</v>
      </c>
      <c r="AL10" s="112">
        <v>0</v>
      </c>
      <c r="AM10" s="112">
        <v>0</v>
      </c>
      <c r="AN10" s="112">
        <v>0</v>
      </c>
      <c r="AO10" s="112">
        <v>0</v>
      </c>
    </row>
    <row r="11" spans="1:41" customFormat="1" x14ac:dyDescent="0.15">
      <c r="A11" s="191" t="s">
        <v>201</v>
      </c>
      <c r="B11" s="112">
        <v>0</v>
      </c>
      <c r="C11" s="112">
        <v>0</v>
      </c>
      <c r="D11" s="112">
        <v>0</v>
      </c>
      <c r="E11" s="112">
        <v>0</v>
      </c>
      <c r="F11" s="112">
        <v>0</v>
      </c>
      <c r="G11" s="112">
        <v>0</v>
      </c>
      <c r="H11" s="112">
        <v>0</v>
      </c>
      <c r="I11" s="112">
        <v>0</v>
      </c>
      <c r="J11" s="112">
        <v>0</v>
      </c>
      <c r="K11" s="112">
        <v>0</v>
      </c>
      <c r="L11" s="112">
        <v>0</v>
      </c>
      <c r="M11" s="112">
        <v>0</v>
      </c>
      <c r="N11" s="112">
        <v>0</v>
      </c>
      <c r="O11" s="112">
        <v>0</v>
      </c>
      <c r="P11" s="112">
        <v>0</v>
      </c>
      <c r="Q11" s="112">
        <v>0</v>
      </c>
      <c r="R11" s="112">
        <v>0</v>
      </c>
      <c r="S11" s="112">
        <v>0</v>
      </c>
      <c r="T11" s="112">
        <v>0</v>
      </c>
      <c r="U11" s="112">
        <v>0</v>
      </c>
      <c r="V11" s="112">
        <v>0</v>
      </c>
      <c r="W11" s="112">
        <v>0</v>
      </c>
      <c r="X11" s="112">
        <v>0</v>
      </c>
      <c r="Y11" s="112">
        <v>0</v>
      </c>
      <c r="Z11" s="112">
        <v>0</v>
      </c>
      <c r="AA11" s="112">
        <v>0</v>
      </c>
      <c r="AB11" s="112">
        <v>0</v>
      </c>
      <c r="AC11" s="112">
        <v>0</v>
      </c>
      <c r="AD11" s="112">
        <v>0</v>
      </c>
      <c r="AE11" s="112">
        <v>0</v>
      </c>
      <c r="AF11" s="112">
        <v>0</v>
      </c>
      <c r="AG11" s="112">
        <v>0</v>
      </c>
      <c r="AH11" s="112">
        <v>0</v>
      </c>
      <c r="AI11" s="112">
        <v>0</v>
      </c>
      <c r="AJ11" s="112">
        <v>0</v>
      </c>
      <c r="AK11" s="112">
        <v>0</v>
      </c>
      <c r="AL11" s="112">
        <v>0</v>
      </c>
      <c r="AM11" s="112">
        <v>0</v>
      </c>
      <c r="AN11" s="112">
        <v>0</v>
      </c>
      <c r="AO11" s="112">
        <v>0</v>
      </c>
    </row>
    <row r="12" spans="1:41" customFormat="1" x14ac:dyDescent="0.15">
      <c r="A12" s="191" t="s">
        <v>202</v>
      </c>
      <c r="B12" s="112">
        <v>0</v>
      </c>
      <c r="C12" s="112">
        <v>1</v>
      </c>
      <c r="D12" s="112">
        <v>0</v>
      </c>
      <c r="E12" s="112">
        <v>1</v>
      </c>
      <c r="F12" s="112">
        <v>0</v>
      </c>
      <c r="G12" s="112">
        <v>0</v>
      </c>
      <c r="H12" s="112">
        <v>0</v>
      </c>
      <c r="I12" s="112">
        <v>0</v>
      </c>
      <c r="J12" s="112">
        <v>0</v>
      </c>
      <c r="K12" s="112">
        <v>0</v>
      </c>
      <c r="L12" s="112">
        <v>0</v>
      </c>
      <c r="M12" s="112">
        <v>0</v>
      </c>
      <c r="N12" s="112">
        <v>0</v>
      </c>
      <c r="O12" s="112">
        <v>0</v>
      </c>
      <c r="P12" s="112">
        <v>0</v>
      </c>
      <c r="Q12" s="112">
        <v>0</v>
      </c>
      <c r="R12" s="112">
        <v>0</v>
      </c>
      <c r="S12" s="112">
        <v>1</v>
      </c>
      <c r="T12" s="112">
        <v>0</v>
      </c>
      <c r="U12" s="112">
        <v>0</v>
      </c>
      <c r="V12" s="112">
        <v>0</v>
      </c>
      <c r="W12" s="112">
        <v>0</v>
      </c>
      <c r="X12" s="112">
        <v>0</v>
      </c>
      <c r="Y12" s="112">
        <v>0</v>
      </c>
      <c r="Z12" s="112">
        <v>0</v>
      </c>
      <c r="AA12" s="112">
        <v>0</v>
      </c>
      <c r="AB12" s="112">
        <v>0</v>
      </c>
      <c r="AC12" s="112">
        <v>0</v>
      </c>
      <c r="AD12" s="112">
        <v>0</v>
      </c>
      <c r="AE12" s="112">
        <v>0</v>
      </c>
      <c r="AF12" s="112">
        <v>0</v>
      </c>
      <c r="AG12" s="112">
        <v>0</v>
      </c>
      <c r="AH12" s="112">
        <v>0</v>
      </c>
      <c r="AI12" s="112">
        <v>0</v>
      </c>
      <c r="AJ12" s="112">
        <v>0</v>
      </c>
      <c r="AK12" s="112">
        <v>0</v>
      </c>
      <c r="AL12" s="112">
        <v>0</v>
      </c>
      <c r="AM12" s="112">
        <v>0</v>
      </c>
      <c r="AN12" s="112">
        <v>0</v>
      </c>
      <c r="AO12" s="112">
        <v>0</v>
      </c>
    </row>
    <row r="13" spans="1:41" customFormat="1" x14ac:dyDescent="0.15">
      <c r="A13" s="191" t="s">
        <v>203</v>
      </c>
      <c r="B13" s="112">
        <v>0</v>
      </c>
      <c r="C13" s="112">
        <v>1</v>
      </c>
      <c r="D13" s="112">
        <v>0</v>
      </c>
      <c r="E13" s="112">
        <v>1</v>
      </c>
      <c r="F13" s="112">
        <v>0</v>
      </c>
      <c r="G13" s="112">
        <v>0</v>
      </c>
      <c r="H13" s="112">
        <v>0</v>
      </c>
      <c r="I13" s="112">
        <v>1</v>
      </c>
      <c r="J13" s="112">
        <v>1</v>
      </c>
      <c r="K13" s="112">
        <v>1</v>
      </c>
      <c r="L13" s="112">
        <v>1</v>
      </c>
      <c r="M13" s="112">
        <v>0</v>
      </c>
      <c r="N13" s="112">
        <v>1</v>
      </c>
      <c r="O13" s="112">
        <v>1</v>
      </c>
      <c r="P13" s="112">
        <v>0</v>
      </c>
      <c r="Q13" s="112">
        <v>1</v>
      </c>
      <c r="R13" s="112">
        <v>0</v>
      </c>
      <c r="S13" s="112">
        <v>1</v>
      </c>
      <c r="T13" s="112">
        <v>1</v>
      </c>
      <c r="U13" s="112">
        <v>0</v>
      </c>
      <c r="V13" s="112">
        <v>0</v>
      </c>
      <c r="W13" s="112">
        <v>1</v>
      </c>
      <c r="X13" s="112">
        <v>0</v>
      </c>
      <c r="Y13" s="112">
        <v>0</v>
      </c>
      <c r="Z13" s="112">
        <v>1</v>
      </c>
      <c r="AA13" s="112">
        <v>0</v>
      </c>
      <c r="AB13" s="112">
        <v>0</v>
      </c>
      <c r="AC13" s="112">
        <v>0</v>
      </c>
      <c r="AD13" s="112">
        <v>0</v>
      </c>
      <c r="AE13" s="112">
        <v>0</v>
      </c>
      <c r="AF13" s="112">
        <v>0</v>
      </c>
      <c r="AG13" s="112">
        <v>0</v>
      </c>
      <c r="AH13" s="112">
        <v>0</v>
      </c>
      <c r="AI13" s="112">
        <v>0</v>
      </c>
      <c r="AJ13" s="112">
        <v>0</v>
      </c>
      <c r="AK13" s="112">
        <v>0</v>
      </c>
      <c r="AL13" s="112">
        <v>0</v>
      </c>
      <c r="AM13" s="112">
        <v>0</v>
      </c>
      <c r="AN13" s="112">
        <v>0</v>
      </c>
      <c r="AO13" s="112">
        <v>0</v>
      </c>
    </row>
    <row r="14" spans="1:41" customFormat="1" x14ac:dyDescent="0.15">
      <c r="A14" s="191" t="s">
        <v>204</v>
      </c>
      <c r="B14" s="112">
        <v>0</v>
      </c>
      <c r="C14" s="112">
        <v>1</v>
      </c>
      <c r="D14" s="112">
        <v>0</v>
      </c>
      <c r="E14" s="112">
        <v>0</v>
      </c>
      <c r="F14" s="112">
        <v>0</v>
      </c>
      <c r="G14" s="112">
        <v>0</v>
      </c>
      <c r="H14" s="112">
        <v>0</v>
      </c>
      <c r="I14" s="112">
        <v>0</v>
      </c>
      <c r="J14" s="112">
        <v>0</v>
      </c>
      <c r="K14" s="112">
        <v>1</v>
      </c>
      <c r="L14" s="112">
        <v>0</v>
      </c>
      <c r="M14" s="112">
        <v>0</v>
      </c>
      <c r="N14" s="112">
        <v>1</v>
      </c>
      <c r="O14" s="112">
        <v>0</v>
      </c>
      <c r="P14" s="112">
        <v>0</v>
      </c>
      <c r="Q14" s="112">
        <v>0</v>
      </c>
      <c r="R14" s="112">
        <v>0</v>
      </c>
      <c r="S14" s="112">
        <v>1</v>
      </c>
      <c r="T14" s="112">
        <v>0</v>
      </c>
      <c r="U14" s="112">
        <v>1</v>
      </c>
      <c r="V14" s="112">
        <v>0</v>
      </c>
      <c r="W14" s="112">
        <v>0</v>
      </c>
      <c r="X14" s="112">
        <v>0</v>
      </c>
      <c r="Y14" s="112">
        <v>0</v>
      </c>
      <c r="Z14" s="112">
        <v>1</v>
      </c>
      <c r="AA14" s="112">
        <v>0</v>
      </c>
      <c r="AB14" s="112">
        <v>0</v>
      </c>
      <c r="AC14" s="112">
        <v>0</v>
      </c>
      <c r="AD14" s="112">
        <v>0</v>
      </c>
      <c r="AE14" s="112">
        <v>0</v>
      </c>
      <c r="AF14" s="112">
        <v>0</v>
      </c>
      <c r="AG14" s="112">
        <v>0</v>
      </c>
      <c r="AH14" s="112">
        <v>0</v>
      </c>
      <c r="AI14" s="112">
        <v>0</v>
      </c>
      <c r="AJ14" s="112">
        <v>0</v>
      </c>
      <c r="AK14" s="112">
        <v>0</v>
      </c>
      <c r="AL14" s="112">
        <v>0</v>
      </c>
      <c r="AM14" s="112">
        <v>0</v>
      </c>
      <c r="AN14" s="112">
        <v>0</v>
      </c>
      <c r="AO14" s="112">
        <v>0</v>
      </c>
    </row>
    <row r="15" spans="1:41" customFormat="1" x14ac:dyDescent="0.15">
      <c r="A15" s="191" t="s">
        <v>205</v>
      </c>
      <c r="B15" s="112">
        <v>0</v>
      </c>
      <c r="C15" s="112">
        <v>0</v>
      </c>
      <c r="D15" s="112">
        <v>0</v>
      </c>
      <c r="E15" s="112">
        <v>0</v>
      </c>
      <c r="F15" s="112">
        <v>0</v>
      </c>
      <c r="G15" s="112">
        <v>0</v>
      </c>
      <c r="H15" s="112">
        <v>0</v>
      </c>
      <c r="I15" s="112">
        <v>0</v>
      </c>
      <c r="J15" s="112">
        <v>0</v>
      </c>
      <c r="K15" s="112">
        <v>0</v>
      </c>
      <c r="L15" s="112">
        <v>0</v>
      </c>
      <c r="M15" s="112">
        <v>0</v>
      </c>
      <c r="N15" s="112">
        <v>0</v>
      </c>
      <c r="O15" s="112">
        <v>0</v>
      </c>
      <c r="P15" s="112">
        <v>0</v>
      </c>
      <c r="Q15" s="112">
        <v>0</v>
      </c>
      <c r="R15" s="112">
        <v>0</v>
      </c>
      <c r="S15" s="112">
        <v>1</v>
      </c>
      <c r="T15" s="112">
        <v>0</v>
      </c>
      <c r="U15" s="112">
        <v>0</v>
      </c>
      <c r="V15" s="112">
        <v>0</v>
      </c>
      <c r="W15" s="112">
        <v>0</v>
      </c>
      <c r="X15" s="112">
        <v>0</v>
      </c>
      <c r="Y15" s="112">
        <v>0</v>
      </c>
      <c r="Z15" s="112">
        <v>1</v>
      </c>
      <c r="AA15" s="112">
        <v>0</v>
      </c>
      <c r="AB15" s="112">
        <v>0</v>
      </c>
      <c r="AC15" s="112">
        <v>0</v>
      </c>
      <c r="AD15" s="112">
        <v>0</v>
      </c>
      <c r="AE15" s="112">
        <v>0</v>
      </c>
      <c r="AF15" s="112">
        <v>0</v>
      </c>
      <c r="AG15" s="112">
        <v>0</v>
      </c>
      <c r="AH15" s="112">
        <v>0</v>
      </c>
      <c r="AI15" s="112">
        <v>0</v>
      </c>
      <c r="AJ15" s="112">
        <v>0</v>
      </c>
      <c r="AK15" s="112">
        <v>0</v>
      </c>
      <c r="AL15" s="112">
        <v>0</v>
      </c>
      <c r="AM15" s="112">
        <v>0</v>
      </c>
      <c r="AN15" s="112">
        <v>0</v>
      </c>
      <c r="AO15" s="112">
        <v>0</v>
      </c>
    </row>
    <row r="16" spans="1:41" customFormat="1" x14ac:dyDescent="0.15">
      <c r="A16" s="191" t="s">
        <v>206</v>
      </c>
      <c r="B16" s="112">
        <v>1</v>
      </c>
      <c r="C16" s="112">
        <v>1</v>
      </c>
      <c r="D16" s="112">
        <v>0</v>
      </c>
      <c r="E16" s="112">
        <v>1</v>
      </c>
      <c r="F16" s="112">
        <v>1</v>
      </c>
      <c r="G16" s="112">
        <v>1</v>
      </c>
      <c r="H16" s="112">
        <v>0</v>
      </c>
      <c r="I16" s="112">
        <v>1</v>
      </c>
      <c r="J16" s="112">
        <v>1</v>
      </c>
      <c r="K16" s="112">
        <v>0</v>
      </c>
      <c r="L16" s="112">
        <v>1</v>
      </c>
      <c r="M16" s="112">
        <v>1</v>
      </c>
      <c r="N16" s="112">
        <v>1</v>
      </c>
      <c r="O16" s="112">
        <v>0</v>
      </c>
      <c r="P16" s="112">
        <v>0</v>
      </c>
      <c r="Q16" s="112">
        <v>1</v>
      </c>
      <c r="R16" s="112">
        <v>0</v>
      </c>
      <c r="S16" s="112">
        <v>1</v>
      </c>
      <c r="T16" s="112">
        <v>1</v>
      </c>
      <c r="U16" s="112">
        <v>1</v>
      </c>
      <c r="V16" s="112">
        <v>1</v>
      </c>
      <c r="W16" s="112">
        <v>1</v>
      </c>
      <c r="X16" s="112">
        <v>0</v>
      </c>
      <c r="Y16" s="112">
        <v>1</v>
      </c>
      <c r="Z16" s="112">
        <v>1</v>
      </c>
      <c r="AA16" s="112">
        <v>0</v>
      </c>
      <c r="AB16" s="112">
        <v>0</v>
      </c>
      <c r="AC16" s="112">
        <v>0</v>
      </c>
      <c r="AD16" s="112">
        <v>0</v>
      </c>
      <c r="AE16" s="112">
        <v>0</v>
      </c>
      <c r="AF16" s="112">
        <v>0</v>
      </c>
      <c r="AG16" s="112">
        <v>0</v>
      </c>
      <c r="AH16" s="112">
        <v>0</v>
      </c>
      <c r="AI16" s="112">
        <v>0</v>
      </c>
      <c r="AJ16" s="112">
        <v>0</v>
      </c>
      <c r="AK16" s="112">
        <v>0</v>
      </c>
      <c r="AL16" s="112">
        <v>0</v>
      </c>
      <c r="AM16" s="112">
        <v>0</v>
      </c>
      <c r="AN16" s="112">
        <v>0</v>
      </c>
      <c r="AO16" s="112">
        <v>0</v>
      </c>
    </row>
    <row r="17" spans="1:41" customFormat="1" x14ac:dyDescent="0.15">
      <c r="A17" s="191" t="s">
        <v>207</v>
      </c>
      <c r="B17" s="112">
        <v>0</v>
      </c>
      <c r="C17" s="112">
        <v>1</v>
      </c>
      <c r="D17" s="112">
        <v>0</v>
      </c>
      <c r="E17" s="112">
        <v>1</v>
      </c>
      <c r="F17" s="112">
        <v>1</v>
      </c>
      <c r="G17" s="112">
        <v>1</v>
      </c>
      <c r="H17" s="112">
        <v>1</v>
      </c>
      <c r="I17" s="112">
        <v>0</v>
      </c>
      <c r="J17" s="112">
        <v>0</v>
      </c>
      <c r="K17" s="112">
        <v>0</v>
      </c>
      <c r="L17" s="112">
        <v>0</v>
      </c>
      <c r="M17" s="112">
        <v>0</v>
      </c>
      <c r="N17" s="112">
        <v>0</v>
      </c>
      <c r="O17" s="112">
        <v>0</v>
      </c>
      <c r="P17" s="112">
        <v>0</v>
      </c>
      <c r="Q17" s="112">
        <v>1</v>
      </c>
      <c r="R17" s="112">
        <v>0</v>
      </c>
      <c r="S17" s="112">
        <v>1</v>
      </c>
      <c r="T17" s="112">
        <v>1</v>
      </c>
      <c r="U17" s="112">
        <v>1</v>
      </c>
      <c r="V17" s="112">
        <v>1</v>
      </c>
      <c r="W17" s="112">
        <v>1</v>
      </c>
      <c r="X17" s="112">
        <v>0</v>
      </c>
      <c r="Y17" s="112">
        <v>0</v>
      </c>
      <c r="Z17" s="112">
        <v>1</v>
      </c>
      <c r="AA17" s="112">
        <v>0</v>
      </c>
      <c r="AB17" s="112">
        <v>0</v>
      </c>
      <c r="AC17" s="112">
        <v>1</v>
      </c>
      <c r="AD17" s="112">
        <v>0</v>
      </c>
      <c r="AE17" s="112">
        <v>0</v>
      </c>
      <c r="AF17" s="112">
        <v>0</v>
      </c>
      <c r="AG17" s="112">
        <v>0</v>
      </c>
      <c r="AH17" s="112">
        <v>0</v>
      </c>
      <c r="AI17" s="112">
        <v>0</v>
      </c>
      <c r="AJ17" s="112">
        <v>0</v>
      </c>
      <c r="AK17" s="112">
        <v>0</v>
      </c>
      <c r="AL17" s="112">
        <v>0</v>
      </c>
      <c r="AM17" s="112">
        <v>0</v>
      </c>
      <c r="AN17" s="112">
        <v>0</v>
      </c>
      <c r="AO17" s="112">
        <v>0</v>
      </c>
    </row>
    <row r="18" spans="1:41" customFormat="1" x14ac:dyDescent="0.15">
      <c r="A18" s="191" t="s">
        <v>208</v>
      </c>
      <c r="B18" s="112">
        <v>1</v>
      </c>
      <c r="C18" s="112">
        <v>1</v>
      </c>
      <c r="D18" s="112">
        <v>0</v>
      </c>
      <c r="E18" s="112">
        <v>0</v>
      </c>
      <c r="F18" s="112">
        <v>0</v>
      </c>
      <c r="G18" s="112">
        <v>0</v>
      </c>
      <c r="H18" s="112">
        <v>0</v>
      </c>
      <c r="I18" s="112">
        <v>0</v>
      </c>
      <c r="J18" s="112">
        <v>0</v>
      </c>
      <c r="K18" s="112">
        <v>0</v>
      </c>
      <c r="L18" s="112">
        <v>0</v>
      </c>
      <c r="M18" s="112">
        <v>0</v>
      </c>
      <c r="N18" s="112">
        <v>1</v>
      </c>
      <c r="O18" s="112">
        <v>1</v>
      </c>
      <c r="P18" s="112">
        <v>0</v>
      </c>
      <c r="Q18" s="112">
        <v>0</v>
      </c>
      <c r="R18" s="112">
        <v>0</v>
      </c>
      <c r="S18" s="112">
        <v>1</v>
      </c>
      <c r="T18" s="112">
        <v>0</v>
      </c>
      <c r="U18" s="112">
        <v>0</v>
      </c>
      <c r="V18" s="112">
        <v>0</v>
      </c>
      <c r="W18" s="112">
        <v>0</v>
      </c>
      <c r="X18" s="112">
        <v>0</v>
      </c>
      <c r="Y18" s="112">
        <v>0</v>
      </c>
      <c r="Z18" s="112">
        <v>1</v>
      </c>
      <c r="AA18" s="112">
        <v>0</v>
      </c>
      <c r="AB18" s="112">
        <v>0</v>
      </c>
      <c r="AC18" s="112">
        <v>0</v>
      </c>
      <c r="AD18" s="112">
        <v>0</v>
      </c>
      <c r="AE18" s="112">
        <v>0</v>
      </c>
      <c r="AF18" s="112">
        <v>0</v>
      </c>
      <c r="AG18" s="112">
        <v>0</v>
      </c>
      <c r="AH18" s="112">
        <v>0</v>
      </c>
      <c r="AI18" s="112">
        <v>0</v>
      </c>
      <c r="AJ18" s="112">
        <v>0</v>
      </c>
      <c r="AK18" s="112">
        <v>0</v>
      </c>
      <c r="AL18" s="112">
        <v>0</v>
      </c>
      <c r="AM18" s="112">
        <v>0</v>
      </c>
      <c r="AN18" s="112">
        <v>0</v>
      </c>
      <c r="AO18" s="112">
        <v>0</v>
      </c>
    </row>
    <row r="19" spans="1:41" customFormat="1" x14ac:dyDescent="0.15">
      <c r="A19" s="191" t="s">
        <v>209</v>
      </c>
      <c r="B19" s="112">
        <v>1</v>
      </c>
      <c r="C19" s="112">
        <v>1</v>
      </c>
      <c r="D19" s="112">
        <v>0</v>
      </c>
      <c r="E19" s="112">
        <v>1</v>
      </c>
      <c r="F19" s="112">
        <v>0</v>
      </c>
      <c r="G19" s="112">
        <v>0</v>
      </c>
      <c r="H19" s="112">
        <v>0</v>
      </c>
      <c r="I19" s="112">
        <v>0</v>
      </c>
      <c r="J19" s="112">
        <v>0</v>
      </c>
      <c r="K19" s="112">
        <v>0</v>
      </c>
      <c r="L19" s="112">
        <v>0</v>
      </c>
      <c r="M19" s="112">
        <v>0</v>
      </c>
      <c r="N19" s="112">
        <v>0</v>
      </c>
      <c r="O19" s="112">
        <v>1</v>
      </c>
      <c r="P19" s="112">
        <v>0</v>
      </c>
      <c r="Q19" s="112">
        <v>0</v>
      </c>
      <c r="R19" s="112">
        <v>0</v>
      </c>
      <c r="S19" s="112">
        <v>1</v>
      </c>
      <c r="T19" s="112">
        <v>0</v>
      </c>
      <c r="U19" s="112">
        <v>0</v>
      </c>
      <c r="V19" s="112">
        <v>0</v>
      </c>
      <c r="W19" s="112">
        <v>0</v>
      </c>
      <c r="X19" s="112">
        <v>0</v>
      </c>
      <c r="Y19" s="112">
        <v>0</v>
      </c>
      <c r="Z19" s="112">
        <v>1</v>
      </c>
      <c r="AA19" s="112">
        <v>0</v>
      </c>
      <c r="AB19" s="112">
        <v>0</v>
      </c>
      <c r="AC19" s="112">
        <v>0</v>
      </c>
      <c r="AD19" s="112">
        <v>0</v>
      </c>
      <c r="AE19" s="112">
        <v>0</v>
      </c>
      <c r="AF19" s="112">
        <v>0</v>
      </c>
      <c r="AG19" s="112">
        <v>0</v>
      </c>
      <c r="AH19" s="112">
        <v>0</v>
      </c>
      <c r="AI19" s="112">
        <v>0</v>
      </c>
      <c r="AJ19" s="112">
        <v>0</v>
      </c>
      <c r="AK19" s="112">
        <v>0</v>
      </c>
      <c r="AL19" s="112">
        <v>0</v>
      </c>
      <c r="AM19" s="112">
        <v>0</v>
      </c>
      <c r="AN19" s="112">
        <v>0</v>
      </c>
      <c r="AO19" s="112">
        <v>0</v>
      </c>
    </row>
    <row r="20" spans="1:41" customFormat="1" x14ac:dyDescent="0.15">
      <c r="A20" s="191" t="s">
        <v>210</v>
      </c>
      <c r="B20" s="112">
        <v>1</v>
      </c>
      <c r="C20" s="112">
        <v>1</v>
      </c>
      <c r="D20" s="112">
        <v>0</v>
      </c>
      <c r="E20" s="112">
        <v>1</v>
      </c>
      <c r="F20" s="112">
        <v>1</v>
      </c>
      <c r="G20" s="112">
        <v>0</v>
      </c>
      <c r="H20" s="112">
        <v>0</v>
      </c>
      <c r="I20" s="112">
        <v>0</v>
      </c>
      <c r="J20" s="112">
        <v>0</v>
      </c>
      <c r="K20" s="112">
        <v>1</v>
      </c>
      <c r="L20" s="112">
        <v>0</v>
      </c>
      <c r="M20" s="112">
        <v>0</v>
      </c>
      <c r="N20" s="112">
        <v>0</v>
      </c>
      <c r="O20" s="112">
        <v>1</v>
      </c>
      <c r="P20" s="112">
        <v>0</v>
      </c>
      <c r="Q20" s="112">
        <v>0</v>
      </c>
      <c r="R20" s="112">
        <v>0</v>
      </c>
      <c r="S20" s="112">
        <v>1</v>
      </c>
      <c r="T20" s="112">
        <v>0</v>
      </c>
      <c r="U20" s="112">
        <v>0</v>
      </c>
      <c r="V20" s="112">
        <v>0</v>
      </c>
      <c r="W20" s="112">
        <v>0</v>
      </c>
      <c r="X20" s="112">
        <v>0</v>
      </c>
      <c r="Y20" s="112">
        <v>0</v>
      </c>
      <c r="Z20" s="112">
        <v>1</v>
      </c>
      <c r="AA20" s="112">
        <v>0</v>
      </c>
      <c r="AB20" s="112">
        <v>0</v>
      </c>
      <c r="AC20" s="112">
        <v>1</v>
      </c>
      <c r="AD20" s="112">
        <v>0</v>
      </c>
      <c r="AE20" s="112">
        <v>0</v>
      </c>
      <c r="AF20" s="112">
        <v>0</v>
      </c>
      <c r="AG20" s="112">
        <v>0</v>
      </c>
      <c r="AH20" s="112">
        <v>0</v>
      </c>
      <c r="AI20" s="112">
        <v>0</v>
      </c>
      <c r="AJ20" s="112">
        <v>0</v>
      </c>
      <c r="AK20" s="112">
        <v>0</v>
      </c>
      <c r="AL20" s="112">
        <v>0</v>
      </c>
      <c r="AM20" s="112">
        <v>0</v>
      </c>
      <c r="AN20" s="112">
        <v>0</v>
      </c>
      <c r="AO20" s="112">
        <v>0</v>
      </c>
    </row>
    <row r="21" spans="1:41" customFormat="1" x14ac:dyDescent="0.15">
      <c r="A21" s="191" t="s">
        <v>211</v>
      </c>
      <c r="B21" s="112">
        <v>1</v>
      </c>
      <c r="C21" s="112">
        <v>1</v>
      </c>
      <c r="D21" s="112">
        <v>0</v>
      </c>
      <c r="E21" s="112">
        <v>1</v>
      </c>
      <c r="F21" s="112">
        <v>0</v>
      </c>
      <c r="G21" s="112">
        <v>0</v>
      </c>
      <c r="H21" s="112">
        <v>0</v>
      </c>
      <c r="I21" s="112">
        <v>0</v>
      </c>
      <c r="J21" s="112">
        <v>0</v>
      </c>
      <c r="K21" s="112">
        <v>0</v>
      </c>
      <c r="L21" s="112">
        <v>0</v>
      </c>
      <c r="M21" s="112">
        <v>0</v>
      </c>
      <c r="N21" s="112">
        <v>0</v>
      </c>
      <c r="O21" s="112">
        <v>1</v>
      </c>
      <c r="P21" s="112">
        <v>0</v>
      </c>
      <c r="Q21" s="112">
        <v>0</v>
      </c>
      <c r="R21" s="112">
        <v>0</v>
      </c>
      <c r="S21" s="112">
        <v>1</v>
      </c>
      <c r="T21" s="112">
        <v>1</v>
      </c>
      <c r="U21" s="112">
        <v>0</v>
      </c>
      <c r="V21" s="112">
        <v>0</v>
      </c>
      <c r="W21" s="112">
        <v>0</v>
      </c>
      <c r="X21" s="112">
        <v>0</v>
      </c>
      <c r="Y21" s="112">
        <v>0</v>
      </c>
      <c r="Z21" s="112">
        <v>1</v>
      </c>
      <c r="AA21" s="112">
        <v>0</v>
      </c>
      <c r="AB21" s="112">
        <v>0</v>
      </c>
      <c r="AC21" s="112">
        <v>0</v>
      </c>
      <c r="AD21" s="112">
        <v>0</v>
      </c>
      <c r="AE21" s="112">
        <v>0</v>
      </c>
      <c r="AF21" s="112">
        <v>0</v>
      </c>
      <c r="AG21" s="112">
        <v>0</v>
      </c>
      <c r="AH21" s="112">
        <v>0</v>
      </c>
      <c r="AI21" s="112">
        <v>0</v>
      </c>
      <c r="AJ21" s="112">
        <v>0</v>
      </c>
      <c r="AK21" s="112">
        <v>0</v>
      </c>
      <c r="AL21" s="112">
        <v>0</v>
      </c>
      <c r="AM21" s="112">
        <v>0</v>
      </c>
      <c r="AN21" s="112">
        <v>0</v>
      </c>
      <c r="AO21" s="112">
        <v>0</v>
      </c>
    </row>
    <row r="22" spans="1:41" customFormat="1" x14ac:dyDescent="0.15">
      <c r="A22" s="191" t="s">
        <v>212</v>
      </c>
      <c r="B22" s="112">
        <v>1</v>
      </c>
      <c r="C22" s="112">
        <v>1</v>
      </c>
      <c r="D22" s="112">
        <v>0</v>
      </c>
      <c r="E22" s="112">
        <v>1</v>
      </c>
      <c r="F22" s="112">
        <v>1</v>
      </c>
      <c r="G22" s="112">
        <v>0</v>
      </c>
      <c r="H22" s="112">
        <v>0</v>
      </c>
      <c r="I22" s="112">
        <v>1</v>
      </c>
      <c r="J22" s="112">
        <v>1</v>
      </c>
      <c r="K22" s="112">
        <v>1</v>
      </c>
      <c r="L22" s="112">
        <v>1</v>
      </c>
      <c r="M22" s="112">
        <v>0</v>
      </c>
      <c r="N22" s="112">
        <v>1</v>
      </c>
      <c r="O22" s="112">
        <v>1</v>
      </c>
      <c r="P22" s="112">
        <v>0</v>
      </c>
      <c r="Q22" s="112">
        <v>0</v>
      </c>
      <c r="R22" s="112">
        <v>0</v>
      </c>
      <c r="S22" s="112">
        <v>1</v>
      </c>
      <c r="T22" s="112">
        <v>1</v>
      </c>
      <c r="U22" s="112">
        <v>1</v>
      </c>
      <c r="V22" s="112">
        <v>0</v>
      </c>
      <c r="W22" s="112">
        <v>1</v>
      </c>
      <c r="X22" s="112">
        <v>0</v>
      </c>
      <c r="Y22" s="112">
        <v>0</v>
      </c>
      <c r="Z22" s="112">
        <v>1</v>
      </c>
      <c r="AA22" s="112">
        <v>0</v>
      </c>
      <c r="AB22" s="112">
        <v>0</v>
      </c>
      <c r="AC22" s="112">
        <v>1</v>
      </c>
      <c r="AD22" s="112">
        <v>0</v>
      </c>
      <c r="AE22" s="112">
        <v>0</v>
      </c>
      <c r="AF22" s="112">
        <v>0</v>
      </c>
      <c r="AG22" s="112">
        <v>0</v>
      </c>
      <c r="AH22" s="112">
        <v>0</v>
      </c>
      <c r="AI22" s="112">
        <v>0</v>
      </c>
      <c r="AJ22" s="112">
        <v>0</v>
      </c>
      <c r="AK22" s="112">
        <v>0</v>
      </c>
      <c r="AL22" s="112">
        <v>0</v>
      </c>
      <c r="AM22" s="112">
        <v>0</v>
      </c>
      <c r="AN22" s="112">
        <v>0</v>
      </c>
      <c r="AO22" s="112">
        <v>0</v>
      </c>
    </row>
    <row r="23" spans="1:41" customFormat="1" x14ac:dyDescent="0.15">
      <c r="A23" s="191" t="s">
        <v>213</v>
      </c>
      <c r="B23" s="112">
        <v>0</v>
      </c>
      <c r="C23" s="112">
        <v>1</v>
      </c>
      <c r="D23" s="112">
        <v>1</v>
      </c>
      <c r="E23" s="112">
        <v>1</v>
      </c>
      <c r="F23" s="112">
        <v>1</v>
      </c>
      <c r="G23" s="112">
        <v>1</v>
      </c>
      <c r="H23" s="112">
        <v>1</v>
      </c>
      <c r="I23" s="112">
        <v>1</v>
      </c>
      <c r="J23" s="112">
        <v>1</v>
      </c>
      <c r="K23" s="112">
        <v>0</v>
      </c>
      <c r="L23" s="112">
        <v>1</v>
      </c>
      <c r="M23" s="112">
        <v>1</v>
      </c>
      <c r="N23" s="112">
        <v>1</v>
      </c>
      <c r="O23" s="112">
        <v>1</v>
      </c>
      <c r="P23" s="112">
        <v>0</v>
      </c>
      <c r="Q23" s="112">
        <v>0</v>
      </c>
      <c r="R23" s="112">
        <v>0</v>
      </c>
      <c r="S23" s="112">
        <v>1</v>
      </c>
      <c r="T23" s="112">
        <v>1</v>
      </c>
      <c r="U23" s="112">
        <v>1</v>
      </c>
      <c r="V23" s="112">
        <v>1</v>
      </c>
      <c r="W23" s="112">
        <v>1</v>
      </c>
      <c r="X23" s="112">
        <v>0</v>
      </c>
      <c r="Y23" s="112">
        <v>0</v>
      </c>
      <c r="Z23" s="112">
        <v>0</v>
      </c>
      <c r="AA23" s="112">
        <v>0</v>
      </c>
      <c r="AB23" s="112">
        <v>0</v>
      </c>
      <c r="AC23" s="112">
        <v>0</v>
      </c>
      <c r="AD23" s="112">
        <v>0</v>
      </c>
      <c r="AE23" s="112">
        <v>0</v>
      </c>
      <c r="AF23" s="112">
        <v>0</v>
      </c>
      <c r="AG23" s="112">
        <v>0</v>
      </c>
      <c r="AH23" s="112">
        <v>0</v>
      </c>
      <c r="AI23" s="112">
        <v>0</v>
      </c>
      <c r="AJ23" s="112">
        <v>0</v>
      </c>
      <c r="AK23" s="112">
        <v>0</v>
      </c>
      <c r="AL23" s="112">
        <v>0</v>
      </c>
      <c r="AM23" s="112">
        <v>0</v>
      </c>
      <c r="AN23" s="112">
        <v>0</v>
      </c>
      <c r="AO23" s="112">
        <v>0</v>
      </c>
    </row>
    <row r="24" spans="1:41" customFormat="1" x14ac:dyDescent="0.15">
      <c r="A24" s="191" t="s">
        <v>214</v>
      </c>
      <c r="B24" s="112">
        <v>0</v>
      </c>
      <c r="C24" s="112">
        <v>1</v>
      </c>
      <c r="D24" s="112">
        <v>0</v>
      </c>
      <c r="E24" s="112">
        <v>1</v>
      </c>
      <c r="F24" s="112">
        <v>1</v>
      </c>
      <c r="G24" s="112">
        <v>1</v>
      </c>
      <c r="H24" s="112">
        <v>1</v>
      </c>
      <c r="I24" s="112">
        <v>0</v>
      </c>
      <c r="J24" s="112">
        <v>1</v>
      </c>
      <c r="K24" s="112">
        <v>0</v>
      </c>
      <c r="L24" s="112">
        <v>1</v>
      </c>
      <c r="M24" s="112">
        <v>1</v>
      </c>
      <c r="N24" s="112">
        <v>1</v>
      </c>
      <c r="O24" s="112">
        <v>0</v>
      </c>
      <c r="P24" s="112">
        <v>0</v>
      </c>
      <c r="Q24" s="112">
        <v>0</v>
      </c>
      <c r="R24" s="112">
        <v>0</v>
      </c>
      <c r="S24" s="112">
        <v>0</v>
      </c>
      <c r="T24" s="112">
        <v>0</v>
      </c>
      <c r="U24" s="112">
        <v>0</v>
      </c>
      <c r="V24" s="112">
        <v>0</v>
      </c>
      <c r="W24" s="112">
        <v>1</v>
      </c>
      <c r="X24" s="112">
        <v>1</v>
      </c>
      <c r="Y24" s="112">
        <v>0</v>
      </c>
      <c r="Z24" s="112">
        <v>1</v>
      </c>
      <c r="AA24" s="112">
        <v>0</v>
      </c>
      <c r="AB24" s="112">
        <v>1</v>
      </c>
      <c r="AC24" s="112">
        <v>0</v>
      </c>
      <c r="AD24" s="112">
        <v>0</v>
      </c>
      <c r="AE24" s="112">
        <v>0</v>
      </c>
      <c r="AF24" s="112">
        <v>0</v>
      </c>
      <c r="AG24" s="112">
        <v>0</v>
      </c>
      <c r="AH24" s="112">
        <v>0</v>
      </c>
      <c r="AI24" s="112">
        <v>0</v>
      </c>
      <c r="AJ24" s="112">
        <v>0</v>
      </c>
      <c r="AK24" s="112">
        <v>0</v>
      </c>
      <c r="AL24" s="112">
        <v>0</v>
      </c>
      <c r="AM24" s="112">
        <v>0</v>
      </c>
      <c r="AN24" s="112">
        <v>0</v>
      </c>
      <c r="AO24" s="112">
        <v>0</v>
      </c>
    </row>
    <row r="25" spans="1:41" customFormat="1" x14ac:dyDescent="0.15">
      <c r="A25" s="191" t="s">
        <v>215</v>
      </c>
      <c r="B25" s="112">
        <v>1</v>
      </c>
      <c r="C25" s="112">
        <v>1</v>
      </c>
      <c r="D25" s="112">
        <v>1</v>
      </c>
      <c r="E25" s="112">
        <v>1</v>
      </c>
      <c r="F25" s="112">
        <v>1</v>
      </c>
      <c r="G25" s="112">
        <v>1</v>
      </c>
      <c r="H25" s="112">
        <v>1</v>
      </c>
      <c r="I25" s="112">
        <v>1</v>
      </c>
      <c r="J25" s="112">
        <v>1</v>
      </c>
      <c r="K25" s="112">
        <v>1</v>
      </c>
      <c r="L25" s="112">
        <v>1</v>
      </c>
      <c r="M25" s="112">
        <v>1</v>
      </c>
      <c r="N25" s="112">
        <v>1</v>
      </c>
      <c r="O25" s="112">
        <v>1</v>
      </c>
      <c r="P25" s="112">
        <v>0</v>
      </c>
      <c r="Q25" s="112">
        <v>1</v>
      </c>
      <c r="R25" s="112">
        <v>0</v>
      </c>
      <c r="S25" s="112">
        <v>1</v>
      </c>
      <c r="T25" s="112">
        <v>1</v>
      </c>
      <c r="U25" s="112">
        <v>1</v>
      </c>
      <c r="V25" s="112">
        <v>0</v>
      </c>
      <c r="W25" s="112">
        <v>1</v>
      </c>
      <c r="X25" s="112">
        <v>1</v>
      </c>
      <c r="Y25" s="112">
        <v>0</v>
      </c>
      <c r="Z25" s="112">
        <v>1</v>
      </c>
      <c r="AA25" s="112">
        <v>0</v>
      </c>
      <c r="AB25" s="112">
        <v>0</v>
      </c>
      <c r="AC25" s="112">
        <v>0</v>
      </c>
      <c r="AD25" s="112">
        <v>0</v>
      </c>
      <c r="AE25" s="112">
        <v>0</v>
      </c>
      <c r="AF25" s="112">
        <v>0</v>
      </c>
      <c r="AG25" s="112">
        <v>0</v>
      </c>
      <c r="AH25" s="112">
        <v>0</v>
      </c>
      <c r="AI25" s="112">
        <v>0</v>
      </c>
      <c r="AJ25" s="112">
        <v>0</v>
      </c>
      <c r="AK25" s="112">
        <v>0</v>
      </c>
      <c r="AL25" s="112">
        <v>0</v>
      </c>
      <c r="AM25" s="112">
        <v>0</v>
      </c>
      <c r="AN25" s="112">
        <v>0</v>
      </c>
      <c r="AO25" s="112">
        <v>0</v>
      </c>
    </row>
    <row r="26" spans="1:41" customFormat="1" x14ac:dyDescent="0.15">
      <c r="A26" s="191" t="s">
        <v>216</v>
      </c>
      <c r="B26" s="112">
        <v>0</v>
      </c>
      <c r="C26" s="112">
        <v>0</v>
      </c>
      <c r="D26" s="112">
        <v>0</v>
      </c>
      <c r="E26" s="112">
        <v>0</v>
      </c>
      <c r="F26" s="112">
        <v>0</v>
      </c>
      <c r="G26" s="112">
        <v>0</v>
      </c>
      <c r="H26" s="112">
        <v>0</v>
      </c>
      <c r="I26" s="112">
        <v>0</v>
      </c>
      <c r="J26" s="112">
        <v>0</v>
      </c>
      <c r="K26" s="112">
        <v>0</v>
      </c>
      <c r="L26" s="112">
        <v>0</v>
      </c>
      <c r="M26" s="112">
        <v>0</v>
      </c>
      <c r="N26" s="112">
        <v>0</v>
      </c>
      <c r="O26" s="112">
        <v>0</v>
      </c>
      <c r="P26" s="112">
        <v>0</v>
      </c>
      <c r="Q26" s="112">
        <v>0</v>
      </c>
      <c r="R26" s="112">
        <v>0</v>
      </c>
      <c r="S26" s="112">
        <v>0</v>
      </c>
      <c r="T26" s="112">
        <v>0</v>
      </c>
      <c r="U26" s="112">
        <v>0</v>
      </c>
      <c r="V26" s="112">
        <v>0</v>
      </c>
      <c r="W26" s="112">
        <v>0</v>
      </c>
      <c r="X26" s="112">
        <v>0</v>
      </c>
      <c r="Y26" s="112">
        <v>0</v>
      </c>
      <c r="Z26" s="112">
        <v>1</v>
      </c>
      <c r="AA26" s="112">
        <v>0</v>
      </c>
      <c r="AB26" s="112">
        <v>0</v>
      </c>
      <c r="AC26" s="112">
        <v>0</v>
      </c>
      <c r="AD26" s="112">
        <v>0</v>
      </c>
      <c r="AE26" s="112">
        <v>0</v>
      </c>
      <c r="AF26" s="112">
        <v>0</v>
      </c>
      <c r="AG26" s="112">
        <v>0</v>
      </c>
      <c r="AH26" s="112">
        <v>0</v>
      </c>
      <c r="AI26" s="112">
        <v>0</v>
      </c>
      <c r="AJ26" s="112">
        <v>0</v>
      </c>
      <c r="AK26" s="112">
        <v>0</v>
      </c>
      <c r="AL26" s="112">
        <v>0</v>
      </c>
      <c r="AM26" s="112">
        <v>0</v>
      </c>
      <c r="AN26" s="112">
        <v>0</v>
      </c>
      <c r="AO26" s="112">
        <v>0</v>
      </c>
    </row>
    <row r="27" spans="1:41" customFormat="1" x14ac:dyDescent="0.15">
      <c r="A27" s="191" t="s">
        <v>217</v>
      </c>
      <c r="B27" s="112">
        <v>1</v>
      </c>
      <c r="C27" s="112">
        <v>1</v>
      </c>
      <c r="D27" s="112">
        <v>1</v>
      </c>
      <c r="E27" s="112">
        <v>1</v>
      </c>
      <c r="F27" s="112">
        <v>1</v>
      </c>
      <c r="G27" s="112">
        <v>1</v>
      </c>
      <c r="H27" s="112">
        <v>1</v>
      </c>
      <c r="I27" s="112">
        <v>1</v>
      </c>
      <c r="J27" s="112">
        <v>1</v>
      </c>
      <c r="K27" s="112">
        <v>1</v>
      </c>
      <c r="L27" s="112">
        <v>1</v>
      </c>
      <c r="M27" s="112">
        <v>0</v>
      </c>
      <c r="N27" s="112">
        <v>1</v>
      </c>
      <c r="O27" s="112">
        <v>1</v>
      </c>
      <c r="P27" s="112">
        <v>0</v>
      </c>
      <c r="Q27" s="112">
        <v>1</v>
      </c>
      <c r="R27" s="112">
        <v>1</v>
      </c>
      <c r="S27" s="112">
        <v>1</v>
      </c>
      <c r="T27" s="112">
        <v>1</v>
      </c>
      <c r="U27" s="112">
        <v>1</v>
      </c>
      <c r="V27" s="112">
        <v>0</v>
      </c>
      <c r="W27" s="112">
        <v>1</v>
      </c>
      <c r="X27" s="112">
        <v>0</v>
      </c>
      <c r="Y27" s="112">
        <v>0</v>
      </c>
      <c r="Z27" s="112">
        <v>1</v>
      </c>
      <c r="AA27" s="112">
        <v>0</v>
      </c>
      <c r="AB27" s="112">
        <v>0</v>
      </c>
      <c r="AC27" s="112">
        <v>0</v>
      </c>
      <c r="AD27" s="112">
        <v>0</v>
      </c>
      <c r="AE27" s="112">
        <v>0</v>
      </c>
      <c r="AF27" s="112">
        <v>0</v>
      </c>
      <c r="AG27" s="112">
        <v>0</v>
      </c>
      <c r="AH27" s="112">
        <v>0</v>
      </c>
      <c r="AI27" s="112">
        <v>0</v>
      </c>
      <c r="AJ27" s="112">
        <v>0</v>
      </c>
      <c r="AK27" s="112">
        <v>0</v>
      </c>
      <c r="AL27" s="112">
        <v>0</v>
      </c>
      <c r="AM27" s="112">
        <v>0</v>
      </c>
      <c r="AN27" s="112">
        <v>0</v>
      </c>
      <c r="AO27" s="112">
        <v>0</v>
      </c>
    </row>
    <row r="28" spans="1:41" customFormat="1" x14ac:dyDescent="0.15">
      <c r="A28" s="191" t="s">
        <v>218</v>
      </c>
      <c r="B28" s="112">
        <v>0</v>
      </c>
      <c r="C28" s="112">
        <v>0</v>
      </c>
      <c r="D28" s="112">
        <v>1</v>
      </c>
      <c r="E28" s="112">
        <v>0</v>
      </c>
      <c r="F28" s="112">
        <v>0</v>
      </c>
      <c r="G28" s="112">
        <v>1</v>
      </c>
      <c r="H28" s="112">
        <v>1</v>
      </c>
      <c r="I28" s="112">
        <v>1</v>
      </c>
      <c r="J28" s="112">
        <v>0</v>
      </c>
      <c r="K28" s="112">
        <v>0</v>
      </c>
      <c r="L28" s="112">
        <v>0</v>
      </c>
      <c r="M28" s="112">
        <v>0</v>
      </c>
      <c r="N28" s="112">
        <v>0</v>
      </c>
      <c r="O28" s="112">
        <v>1</v>
      </c>
      <c r="P28" s="112">
        <v>0</v>
      </c>
      <c r="Q28" s="112">
        <v>1</v>
      </c>
      <c r="R28" s="112">
        <v>0</v>
      </c>
      <c r="S28" s="112">
        <v>0</v>
      </c>
      <c r="T28" s="112">
        <v>0</v>
      </c>
      <c r="U28" s="112">
        <v>0</v>
      </c>
      <c r="V28" s="112">
        <v>0</v>
      </c>
      <c r="W28" s="112">
        <v>0</v>
      </c>
      <c r="X28" s="112">
        <v>0</v>
      </c>
      <c r="Y28" s="112">
        <v>0</v>
      </c>
      <c r="Z28" s="112">
        <v>1</v>
      </c>
      <c r="AA28" s="112">
        <v>0</v>
      </c>
      <c r="AB28" s="112">
        <v>1</v>
      </c>
      <c r="AC28" s="112">
        <v>1</v>
      </c>
      <c r="AD28" s="112">
        <v>0</v>
      </c>
      <c r="AE28" s="112">
        <v>0</v>
      </c>
      <c r="AF28" s="112">
        <v>0</v>
      </c>
      <c r="AG28" s="112">
        <v>0</v>
      </c>
      <c r="AH28" s="112">
        <v>0</v>
      </c>
      <c r="AI28" s="112">
        <v>0</v>
      </c>
      <c r="AJ28" s="112">
        <v>0</v>
      </c>
      <c r="AK28" s="112">
        <v>0</v>
      </c>
      <c r="AL28" s="112">
        <v>0</v>
      </c>
      <c r="AM28" s="112">
        <v>0</v>
      </c>
      <c r="AN28" s="112">
        <v>0</v>
      </c>
      <c r="AO28" s="112">
        <v>0</v>
      </c>
    </row>
    <row r="29" spans="1:41" customFormat="1" x14ac:dyDescent="0.15">
      <c r="A29" s="191" t="s">
        <v>219</v>
      </c>
      <c r="B29" s="112">
        <v>1</v>
      </c>
      <c r="C29" s="112">
        <v>1</v>
      </c>
      <c r="D29" s="112">
        <v>1</v>
      </c>
      <c r="E29" s="112">
        <v>1</v>
      </c>
      <c r="F29" s="112">
        <v>1</v>
      </c>
      <c r="G29" s="112">
        <v>1</v>
      </c>
      <c r="H29" s="112">
        <v>1</v>
      </c>
      <c r="I29" s="112">
        <v>1</v>
      </c>
      <c r="J29" s="112">
        <v>1</v>
      </c>
      <c r="K29" s="112">
        <v>1</v>
      </c>
      <c r="L29" s="112">
        <v>1</v>
      </c>
      <c r="M29" s="112">
        <v>0</v>
      </c>
      <c r="N29" s="112">
        <v>1</v>
      </c>
      <c r="O29" s="112">
        <v>1</v>
      </c>
      <c r="P29" s="112">
        <v>0</v>
      </c>
      <c r="Q29" s="112">
        <v>1</v>
      </c>
      <c r="R29" s="112">
        <v>0</v>
      </c>
      <c r="S29" s="112">
        <v>1</v>
      </c>
      <c r="T29" s="112">
        <v>1</v>
      </c>
      <c r="U29" s="112">
        <v>1</v>
      </c>
      <c r="V29" s="112">
        <v>0</v>
      </c>
      <c r="W29" s="112">
        <v>1</v>
      </c>
      <c r="X29" s="112">
        <v>0</v>
      </c>
      <c r="Y29" s="112">
        <v>0</v>
      </c>
      <c r="Z29" s="112">
        <v>0</v>
      </c>
      <c r="AA29" s="112">
        <v>0</v>
      </c>
      <c r="AB29" s="112">
        <v>1</v>
      </c>
      <c r="AC29" s="112">
        <v>0</v>
      </c>
      <c r="AD29" s="112">
        <v>0</v>
      </c>
      <c r="AE29" s="112">
        <v>0</v>
      </c>
      <c r="AF29" s="112">
        <v>0</v>
      </c>
      <c r="AG29" s="112">
        <v>0</v>
      </c>
      <c r="AH29" s="112">
        <v>0</v>
      </c>
      <c r="AI29" s="112">
        <v>0</v>
      </c>
      <c r="AJ29" s="112">
        <v>0</v>
      </c>
      <c r="AK29" s="112">
        <v>0</v>
      </c>
      <c r="AL29" s="112">
        <v>0</v>
      </c>
      <c r="AM29" s="112">
        <v>0</v>
      </c>
      <c r="AN29" s="112">
        <v>0</v>
      </c>
      <c r="AO29" s="112">
        <v>0</v>
      </c>
    </row>
    <row r="30" spans="1:41" customFormat="1" x14ac:dyDescent="0.15">
      <c r="A30" s="191" t="s">
        <v>220</v>
      </c>
      <c r="B30" s="112">
        <v>0</v>
      </c>
      <c r="C30" s="112">
        <v>0</v>
      </c>
      <c r="D30" s="112">
        <v>0</v>
      </c>
      <c r="E30" s="112">
        <v>1</v>
      </c>
      <c r="F30" s="112">
        <v>1</v>
      </c>
      <c r="G30" s="112">
        <v>0</v>
      </c>
      <c r="H30" s="112">
        <v>0</v>
      </c>
      <c r="I30" s="112">
        <v>1</v>
      </c>
      <c r="J30" s="112">
        <v>0</v>
      </c>
      <c r="K30" s="112">
        <v>0</v>
      </c>
      <c r="L30" s="112">
        <v>0</v>
      </c>
      <c r="M30" s="112">
        <v>0</v>
      </c>
      <c r="N30" s="112">
        <v>1</v>
      </c>
      <c r="O30" s="112">
        <v>0</v>
      </c>
      <c r="P30" s="112">
        <v>0</v>
      </c>
      <c r="Q30" s="112">
        <v>0</v>
      </c>
      <c r="R30" s="112">
        <v>0</v>
      </c>
      <c r="S30" s="112">
        <v>1</v>
      </c>
      <c r="T30" s="112">
        <v>1</v>
      </c>
      <c r="U30" s="112">
        <v>1</v>
      </c>
      <c r="V30" s="112">
        <v>0</v>
      </c>
      <c r="W30" s="112">
        <v>1</v>
      </c>
      <c r="X30" s="112">
        <v>0</v>
      </c>
      <c r="Y30" s="112">
        <v>0</v>
      </c>
      <c r="Z30" s="112">
        <v>1</v>
      </c>
      <c r="AA30" s="112">
        <v>0</v>
      </c>
      <c r="AB30" s="112">
        <v>0</v>
      </c>
      <c r="AC30" s="112">
        <v>0</v>
      </c>
      <c r="AD30" s="112">
        <v>0</v>
      </c>
      <c r="AE30" s="112">
        <v>0</v>
      </c>
      <c r="AF30" s="112">
        <v>0</v>
      </c>
      <c r="AG30" s="112">
        <v>0</v>
      </c>
      <c r="AH30" s="112">
        <v>0</v>
      </c>
      <c r="AI30" s="112">
        <v>0</v>
      </c>
      <c r="AJ30" s="112">
        <v>0</v>
      </c>
      <c r="AK30" s="112">
        <v>0</v>
      </c>
      <c r="AL30" s="112">
        <v>0</v>
      </c>
      <c r="AM30" s="112">
        <v>0</v>
      </c>
      <c r="AN30" s="112">
        <v>0</v>
      </c>
      <c r="AO30" s="112">
        <v>0</v>
      </c>
    </row>
    <row r="31" spans="1:41" customFormat="1" x14ac:dyDescent="0.15">
      <c r="A31" s="191" t="s">
        <v>221</v>
      </c>
      <c r="B31" s="112">
        <v>0</v>
      </c>
      <c r="C31" s="112">
        <v>1</v>
      </c>
      <c r="D31" s="112">
        <v>1</v>
      </c>
      <c r="E31" s="112">
        <v>1</v>
      </c>
      <c r="F31" s="112">
        <v>1</v>
      </c>
      <c r="G31" s="112">
        <v>0</v>
      </c>
      <c r="H31" s="112">
        <v>1</v>
      </c>
      <c r="I31" s="112">
        <v>1</v>
      </c>
      <c r="J31" s="112">
        <v>1</v>
      </c>
      <c r="K31" s="112">
        <v>1</v>
      </c>
      <c r="L31" s="112">
        <v>1</v>
      </c>
      <c r="M31" s="112">
        <v>1</v>
      </c>
      <c r="N31" s="112">
        <v>1</v>
      </c>
      <c r="O31" s="112">
        <v>1</v>
      </c>
      <c r="P31" s="112">
        <v>0</v>
      </c>
      <c r="Q31" s="112">
        <v>1</v>
      </c>
      <c r="R31" s="112">
        <v>0</v>
      </c>
      <c r="S31" s="112">
        <v>1</v>
      </c>
      <c r="T31" s="112">
        <v>1</v>
      </c>
      <c r="U31" s="112">
        <v>1</v>
      </c>
      <c r="V31" s="112">
        <v>1</v>
      </c>
      <c r="W31" s="112">
        <v>1</v>
      </c>
      <c r="X31" s="112">
        <v>0</v>
      </c>
      <c r="Y31" s="112">
        <v>0</v>
      </c>
      <c r="Z31" s="112">
        <v>0</v>
      </c>
      <c r="AA31" s="112">
        <v>0</v>
      </c>
      <c r="AB31" s="112">
        <v>0</v>
      </c>
      <c r="AC31" s="112">
        <v>1</v>
      </c>
      <c r="AD31" s="112">
        <v>1</v>
      </c>
      <c r="AE31" s="112">
        <v>0</v>
      </c>
      <c r="AF31" s="112">
        <v>0</v>
      </c>
      <c r="AG31" s="112">
        <v>0</v>
      </c>
      <c r="AH31" s="112">
        <v>0</v>
      </c>
      <c r="AI31" s="112">
        <v>0</v>
      </c>
      <c r="AJ31" s="112">
        <v>0</v>
      </c>
      <c r="AK31" s="112">
        <v>0</v>
      </c>
      <c r="AL31" s="112">
        <v>0</v>
      </c>
      <c r="AM31" s="112">
        <v>0</v>
      </c>
      <c r="AN31" s="112">
        <v>0</v>
      </c>
      <c r="AO31" s="112">
        <v>0</v>
      </c>
    </row>
    <row r="32" spans="1:41" x14ac:dyDescent="0.15">
      <c r="A32" s="191" t="s">
        <v>222</v>
      </c>
      <c r="B32" s="112">
        <v>0</v>
      </c>
      <c r="C32" s="112">
        <v>1</v>
      </c>
      <c r="D32" s="112">
        <v>1</v>
      </c>
      <c r="E32" s="112">
        <v>1</v>
      </c>
      <c r="F32" s="112">
        <v>1</v>
      </c>
      <c r="G32" s="112">
        <v>1</v>
      </c>
      <c r="H32" s="112">
        <v>1</v>
      </c>
      <c r="I32" s="112">
        <v>1</v>
      </c>
      <c r="J32" s="112">
        <v>1</v>
      </c>
      <c r="K32" s="112">
        <v>1</v>
      </c>
      <c r="L32" s="112">
        <v>1</v>
      </c>
      <c r="M32" s="112">
        <v>1</v>
      </c>
      <c r="N32" s="112">
        <v>1</v>
      </c>
      <c r="O32" s="112">
        <v>1</v>
      </c>
      <c r="P32" s="112">
        <v>1</v>
      </c>
      <c r="Q32" s="112">
        <v>1</v>
      </c>
      <c r="R32" s="112">
        <v>1</v>
      </c>
      <c r="S32" s="112">
        <v>1</v>
      </c>
      <c r="T32" s="112">
        <v>1</v>
      </c>
      <c r="U32" s="112">
        <v>1</v>
      </c>
      <c r="V32" s="112">
        <v>1</v>
      </c>
      <c r="W32" s="112">
        <v>1</v>
      </c>
      <c r="X32" s="112">
        <v>1</v>
      </c>
      <c r="Y32" s="112">
        <v>1</v>
      </c>
      <c r="Z32" s="112">
        <v>0</v>
      </c>
      <c r="AA32" s="112">
        <v>1</v>
      </c>
      <c r="AB32" s="112">
        <v>0</v>
      </c>
      <c r="AC32" s="112">
        <v>0</v>
      </c>
      <c r="AD32" s="112">
        <v>1</v>
      </c>
      <c r="AE32" s="112">
        <v>0</v>
      </c>
      <c r="AF32" s="112">
        <v>0</v>
      </c>
      <c r="AG32" s="112">
        <v>0</v>
      </c>
      <c r="AH32" s="112">
        <v>0</v>
      </c>
      <c r="AI32" s="112">
        <v>0</v>
      </c>
      <c r="AJ32" s="112">
        <v>0</v>
      </c>
      <c r="AK32" s="112">
        <v>0</v>
      </c>
      <c r="AL32" s="112">
        <v>0</v>
      </c>
      <c r="AM32" s="112">
        <v>0</v>
      </c>
      <c r="AN32" s="112">
        <v>0</v>
      </c>
      <c r="AO32" s="112">
        <v>0</v>
      </c>
    </row>
    <row r="33" spans="1:41" x14ac:dyDescent="0.15">
      <c r="A33" s="191" t="s">
        <v>223</v>
      </c>
      <c r="B33" s="112">
        <v>0</v>
      </c>
      <c r="C33" s="112">
        <v>0</v>
      </c>
      <c r="D33" s="112">
        <v>1</v>
      </c>
      <c r="E33" s="112">
        <v>1</v>
      </c>
      <c r="F33" s="112">
        <v>1</v>
      </c>
      <c r="G33" s="112">
        <v>0</v>
      </c>
      <c r="H33" s="112">
        <v>0</v>
      </c>
      <c r="I33" s="112">
        <v>1</v>
      </c>
      <c r="J33" s="112">
        <v>1</v>
      </c>
      <c r="K33" s="112">
        <v>1</v>
      </c>
      <c r="L33" s="112">
        <v>1</v>
      </c>
      <c r="M33" s="112">
        <v>1</v>
      </c>
      <c r="N33" s="112">
        <v>1</v>
      </c>
      <c r="O33" s="112">
        <v>0</v>
      </c>
      <c r="P33" s="112">
        <v>0</v>
      </c>
      <c r="Q33" s="112">
        <v>0</v>
      </c>
      <c r="R33" s="112">
        <v>0</v>
      </c>
      <c r="S33" s="112">
        <v>0</v>
      </c>
      <c r="T33" s="112">
        <v>1</v>
      </c>
      <c r="U33" s="112">
        <v>1</v>
      </c>
      <c r="V33" s="112">
        <v>1</v>
      </c>
      <c r="W33" s="112">
        <v>1</v>
      </c>
      <c r="X33" s="112">
        <v>0</v>
      </c>
      <c r="Y33" s="112">
        <v>1</v>
      </c>
      <c r="Z33" s="112">
        <v>0</v>
      </c>
      <c r="AA33" s="112">
        <v>0</v>
      </c>
      <c r="AB33" s="112">
        <v>0</v>
      </c>
      <c r="AC33" s="112">
        <v>0</v>
      </c>
      <c r="AD33" s="112">
        <v>1</v>
      </c>
      <c r="AE33" s="112">
        <v>1</v>
      </c>
      <c r="AF33" s="112">
        <v>0</v>
      </c>
      <c r="AG33" s="112">
        <v>0</v>
      </c>
      <c r="AH33" s="112">
        <v>0</v>
      </c>
      <c r="AI33" s="112">
        <v>0</v>
      </c>
      <c r="AJ33" s="112">
        <v>0</v>
      </c>
      <c r="AK33" s="112">
        <v>0</v>
      </c>
      <c r="AL33" s="112">
        <v>0</v>
      </c>
      <c r="AM33" s="112">
        <v>0</v>
      </c>
      <c r="AN33" s="112">
        <v>0</v>
      </c>
      <c r="AO33" s="112">
        <v>0</v>
      </c>
    </row>
    <row r="34" spans="1:41" x14ac:dyDescent="0.15">
      <c r="A34" s="191" t="s">
        <v>224</v>
      </c>
      <c r="B34" s="112">
        <v>0</v>
      </c>
      <c r="C34" s="112">
        <v>1</v>
      </c>
      <c r="D34" s="112">
        <v>1</v>
      </c>
      <c r="E34" s="112">
        <v>1</v>
      </c>
      <c r="F34" s="112">
        <v>1</v>
      </c>
      <c r="G34" s="112">
        <v>0</v>
      </c>
      <c r="H34" s="112">
        <v>0</v>
      </c>
      <c r="I34" s="112">
        <v>1</v>
      </c>
      <c r="J34" s="112">
        <v>1</v>
      </c>
      <c r="K34" s="112">
        <v>0</v>
      </c>
      <c r="L34" s="112">
        <v>1</v>
      </c>
      <c r="M34" s="112">
        <v>1</v>
      </c>
      <c r="N34" s="112">
        <v>1</v>
      </c>
      <c r="O34" s="112">
        <v>1</v>
      </c>
      <c r="P34" s="112">
        <v>0</v>
      </c>
      <c r="Q34" s="112">
        <v>1</v>
      </c>
      <c r="R34" s="112">
        <v>0</v>
      </c>
      <c r="S34" s="112">
        <v>0</v>
      </c>
      <c r="T34" s="112">
        <v>1</v>
      </c>
      <c r="U34" s="112">
        <v>1</v>
      </c>
      <c r="V34" s="112">
        <v>1</v>
      </c>
      <c r="W34" s="112">
        <v>1</v>
      </c>
      <c r="X34" s="112">
        <v>1</v>
      </c>
      <c r="Y34" s="112">
        <v>0</v>
      </c>
      <c r="Z34" s="112">
        <v>0</v>
      </c>
      <c r="AA34" s="112">
        <v>0</v>
      </c>
      <c r="AB34" s="112">
        <v>0</v>
      </c>
      <c r="AC34" s="112">
        <v>0</v>
      </c>
      <c r="AD34" s="112">
        <v>1</v>
      </c>
      <c r="AE34" s="112">
        <v>1</v>
      </c>
      <c r="AF34" s="112">
        <v>1</v>
      </c>
      <c r="AG34" s="112">
        <v>0</v>
      </c>
      <c r="AH34" s="112">
        <v>0</v>
      </c>
      <c r="AI34" s="112">
        <v>0</v>
      </c>
      <c r="AJ34" s="112">
        <v>0</v>
      </c>
      <c r="AK34" s="112">
        <v>0</v>
      </c>
      <c r="AL34" s="112">
        <v>0</v>
      </c>
      <c r="AM34" s="112">
        <v>0</v>
      </c>
      <c r="AN34" s="112">
        <v>0</v>
      </c>
      <c r="AO34" s="112">
        <v>0</v>
      </c>
    </row>
    <row r="35" spans="1:41" x14ac:dyDescent="0.15">
      <c r="A35" s="191" t="s">
        <v>225</v>
      </c>
      <c r="B35" s="112">
        <v>0</v>
      </c>
      <c r="C35" s="112">
        <v>1</v>
      </c>
      <c r="D35" s="112">
        <v>1</v>
      </c>
      <c r="E35" s="112">
        <v>1</v>
      </c>
      <c r="F35" s="112">
        <v>1</v>
      </c>
      <c r="G35" s="112">
        <v>0</v>
      </c>
      <c r="H35" s="112">
        <v>0</v>
      </c>
      <c r="I35" s="112">
        <v>1</v>
      </c>
      <c r="J35" s="112">
        <v>1</v>
      </c>
      <c r="K35" s="112">
        <v>0</v>
      </c>
      <c r="L35" s="112">
        <v>1</v>
      </c>
      <c r="M35" s="112">
        <v>1</v>
      </c>
      <c r="N35" s="112">
        <v>1</v>
      </c>
      <c r="O35" s="112">
        <v>1</v>
      </c>
      <c r="P35" s="112">
        <v>0</v>
      </c>
      <c r="Q35" s="112">
        <v>0</v>
      </c>
      <c r="R35" s="112">
        <v>0</v>
      </c>
      <c r="S35" s="112">
        <v>0</v>
      </c>
      <c r="T35" s="112">
        <v>1</v>
      </c>
      <c r="U35" s="112">
        <v>1</v>
      </c>
      <c r="V35" s="112">
        <v>1</v>
      </c>
      <c r="W35" s="112">
        <v>1</v>
      </c>
      <c r="X35" s="112">
        <v>0</v>
      </c>
      <c r="Y35" s="112">
        <v>0</v>
      </c>
      <c r="Z35" s="112">
        <v>0</v>
      </c>
      <c r="AA35" s="112">
        <v>0</v>
      </c>
      <c r="AB35" s="112">
        <v>0</v>
      </c>
      <c r="AC35" s="112">
        <v>0</v>
      </c>
      <c r="AD35" s="112">
        <v>1</v>
      </c>
      <c r="AE35" s="112">
        <v>1</v>
      </c>
      <c r="AF35" s="112">
        <v>0</v>
      </c>
      <c r="AG35" s="112">
        <v>0</v>
      </c>
      <c r="AH35" s="112">
        <v>0</v>
      </c>
      <c r="AI35" s="112">
        <v>0</v>
      </c>
      <c r="AJ35" s="112">
        <v>0</v>
      </c>
      <c r="AK35" s="112">
        <v>0</v>
      </c>
      <c r="AL35" s="112">
        <v>0</v>
      </c>
      <c r="AM35" s="112">
        <v>0</v>
      </c>
      <c r="AN35" s="112">
        <v>0</v>
      </c>
      <c r="AO35" s="112">
        <v>0</v>
      </c>
    </row>
    <row r="36" spans="1:41" x14ac:dyDescent="0.15">
      <c r="A36" s="191" t="s">
        <v>226</v>
      </c>
      <c r="B36" s="112">
        <v>0</v>
      </c>
      <c r="C36" s="112">
        <v>1</v>
      </c>
      <c r="D36" s="112">
        <v>1</v>
      </c>
      <c r="E36" s="112">
        <v>1</v>
      </c>
      <c r="F36" s="112">
        <v>1</v>
      </c>
      <c r="G36" s="112">
        <v>1</v>
      </c>
      <c r="H36" s="112">
        <v>1</v>
      </c>
      <c r="I36" s="112">
        <v>1</v>
      </c>
      <c r="J36" s="112">
        <v>1</v>
      </c>
      <c r="K36" s="112">
        <v>0</v>
      </c>
      <c r="L36" s="112">
        <v>0</v>
      </c>
      <c r="M36" s="112">
        <v>1</v>
      </c>
      <c r="N36" s="112">
        <v>1</v>
      </c>
      <c r="O36" s="112">
        <v>1</v>
      </c>
      <c r="P36" s="112">
        <v>1</v>
      </c>
      <c r="Q36" s="112">
        <v>1</v>
      </c>
      <c r="R36" s="112">
        <v>0</v>
      </c>
      <c r="S36" s="112">
        <v>1</v>
      </c>
      <c r="T36" s="112">
        <v>1</v>
      </c>
      <c r="U36" s="112">
        <v>1</v>
      </c>
      <c r="V36" s="112">
        <v>1</v>
      </c>
      <c r="W36" s="112">
        <v>1</v>
      </c>
      <c r="X36" s="112">
        <v>0</v>
      </c>
      <c r="Y36" s="112">
        <v>1</v>
      </c>
      <c r="Z36" s="112">
        <v>1</v>
      </c>
      <c r="AA36" s="112">
        <v>1</v>
      </c>
      <c r="AB36" s="112">
        <v>0</v>
      </c>
      <c r="AC36" s="112">
        <v>0</v>
      </c>
      <c r="AD36" s="112">
        <v>1</v>
      </c>
      <c r="AE36" s="112">
        <v>1</v>
      </c>
      <c r="AF36" s="112">
        <v>1</v>
      </c>
      <c r="AG36" s="112">
        <v>0</v>
      </c>
      <c r="AH36" s="112">
        <v>0</v>
      </c>
      <c r="AI36" s="112">
        <v>0</v>
      </c>
      <c r="AJ36" s="112">
        <v>0</v>
      </c>
      <c r="AK36" s="112">
        <v>0</v>
      </c>
      <c r="AL36" s="112">
        <v>0</v>
      </c>
      <c r="AM36" s="112">
        <v>0</v>
      </c>
      <c r="AN36" s="112">
        <v>0</v>
      </c>
      <c r="AO36" s="112">
        <v>0</v>
      </c>
    </row>
    <row r="37" spans="1:41" x14ac:dyDescent="0.15">
      <c r="A37" s="191" t="s">
        <v>227</v>
      </c>
      <c r="B37" s="112">
        <v>1</v>
      </c>
      <c r="C37" s="112">
        <v>0</v>
      </c>
      <c r="D37" s="112">
        <v>1</v>
      </c>
      <c r="E37" s="112">
        <v>1</v>
      </c>
      <c r="F37" s="112">
        <v>1</v>
      </c>
      <c r="G37" s="112">
        <v>1</v>
      </c>
      <c r="H37" s="112">
        <v>1</v>
      </c>
      <c r="I37" s="112">
        <v>1</v>
      </c>
      <c r="J37" s="112">
        <v>1</v>
      </c>
      <c r="K37" s="112">
        <v>0</v>
      </c>
      <c r="L37" s="112">
        <v>1</v>
      </c>
      <c r="M37" s="112">
        <v>1</v>
      </c>
      <c r="N37" s="112">
        <v>1</v>
      </c>
      <c r="O37" s="112">
        <v>1</v>
      </c>
      <c r="P37" s="112">
        <v>1</v>
      </c>
      <c r="Q37" s="112">
        <v>1</v>
      </c>
      <c r="R37" s="112">
        <v>1</v>
      </c>
      <c r="S37" s="112">
        <v>1</v>
      </c>
      <c r="T37" s="112">
        <v>1</v>
      </c>
      <c r="U37" s="112">
        <v>1</v>
      </c>
      <c r="V37" s="112">
        <v>1</v>
      </c>
      <c r="W37" s="112">
        <v>1</v>
      </c>
      <c r="X37" s="112">
        <v>1</v>
      </c>
      <c r="Y37" s="112">
        <v>1</v>
      </c>
      <c r="Z37" s="112">
        <v>1</v>
      </c>
      <c r="AA37" s="112">
        <v>1</v>
      </c>
      <c r="AB37" s="112">
        <v>1</v>
      </c>
      <c r="AC37" s="112">
        <v>1</v>
      </c>
      <c r="AD37" s="112">
        <v>1</v>
      </c>
      <c r="AE37" s="112">
        <v>1</v>
      </c>
      <c r="AF37" s="112">
        <v>1</v>
      </c>
      <c r="AG37" s="112">
        <v>0</v>
      </c>
      <c r="AH37" s="112">
        <v>0</v>
      </c>
      <c r="AI37" s="112">
        <v>0</v>
      </c>
      <c r="AJ37" s="112">
        <v>0</v>
      </c>
      <c r="AK37" s="112">
        <v>1</v>
      </c>
      <c r="AL37" s="112">
        <v>0</v>
      </c>
      <c r="AM37" s="112">
        <v>0</v>
      </c>
      <c r="AN37" s="112">
        <v>0</v>
      </c>
      <c r="AO37" s="112">
        <v>0</v>
      </c>
    </row>
    <row r="38" spans="1:41" x14ac:dyDescent="0.15">
      <c r="A38" s="191" t="s">
        <v>228</v>
      </c>
      <c r="B38" s="112">
        <v>1</v>
      </c>
      <c r="C38" s="112">
        <v>0</v>
      </c>
      <c r="D38" s="112">
        <v>0</v>
      </c>
      <c r="E38" s="112">
        <v>1</v>
      </c>
      <c r="F38" s="112">
        <v>1</v>
      </c>
      <c r="G38" s="112">
        <v>1</v>
      </c>
      <c r="H38" s="112">
        <v>1</v>
      </c>
      <c r="I38" s="112">
        <v>1</v>
      </c>
      <c r="J38" s="112">
        <v>0</v>
      </c>
      <c r="K38" s="112">
        <v>0</v>
      </c>
      <c r="L38" s="112">
        <v>0</v>
      </c>
      <c r="M38" s="112">
        <v>0</v>
      </c>
      <c r="N38" s="112">
        <v>1</v>
      </c>
      <c r="O38" s="112">
        <v>1</v>
      </c>
      <c r="P38" s="112">
        <v>1</v>
      </c>
      <c r="Q38" s="112">
        <v>1</v>
      </c>
      <c r="R38" s="112">
        <v>1</v>
      </c>
      <c r="S38" s="112">
        <v>0</v>
      </c>
      <c r="T38" s="112">
        <v>0</v>
      </c>
      <c r="U38" s="112">
        <v>1</v>
      </c>
      <c r="V38" s="112">
        <v>0</v>
      </c>
      <c r="W38" s="112">
        <v>1</v>
      </c>
      <c r="X38" s="112">
        <v>1</v>
      </c>
      <c r="Y38" s="112">
        <v>1</v>
      </c>
      <c r="Z38" s="112">
        <v>0</v>
      </c>
      <c r="AA38" s="112">
        <v>1</v>
      </c>
      <c r="AB38" s="112">
        <v>1</v>
      </c>
      <c r="AC38" s="112">
        <v>1</v>
      </c>
      <c r="AD38" s="112">
        <v>0</v>
      </c>
      <c r="AE38" s="112">
        <v>0</v>
      </c>
      <c r="AF38" s="112">
        <v>1</v>
      </c>
      <c r="AG38" s="112">
        <v>0</v>
      </c>
      <c r="AH38" s="112">
        <v>0</v>
      </c>
      <c r="AI38" s="112">
        <v>0</v>
      </c>
      <c r="AJ38" s="112">
        <v>0</v>
      </c>
      <c r="AK38" s="112">
        <v>1</v>
      </c>
      <c r="AL38" s="112">
        <v>0</v>
      </c>
      <c r="AM38" s="112">
        <v>0</v>
      </c>
      <c r="AN38" s="112">
        <v>0</v>
      </c>
      <c r="AO38" s="112">
        <v>0</v>
      </c>
    </row>
    <row r="39" spans="1:41" x14ac:dyDescent="0.15">
      <c r="A39" s="191" t="s">
        <v>229</v>
      </c>
      <c r="B39" s="112">
        <v>0</v>
      </c>
      <c r="C39" s="112">
        <v>0</v>
      </c>
      <c r="D39" s="112">
        <v>0</v>
      </c>
      <c r="E39" s="112">
        <v>0</v>
      </c>
      <c r="F39" s="112">
        <v>0</v>
      </c>
      <c r="G39" s="112">
        <v>0</v>
      </c>
      <c r="H39" s="112">
        <v>0</v>
      </c>
      <c r="I39" s="112">
        <v>0</v>
      </c>
      <c r="J39" s="112">
        <v>0</v>
      </c>
      <c r="K39" s="112">
        <v>0</v>
      </c>
      <c r="L39" s="112">
        <v>0</v>
      </c>
      <c r="M39" s="112">
        <v>0</v>
      </c>
      <c r="N39" s="112">
        <v>0</v>
      </c>
      <c r="O39" s="112">
        <v>0</v>
      </c>
      <c r="P39" s="112">
        <v>0</v>
      </c>
      <c r="Q39" s="112">
        <v>0</v>
      </c>
      <c r="R39" s="112">
        <v>0</v>
      </c>
      <c r="S39" s="112">
        <v>0</v>
      </c>
      <c r="T39" s="112">
        <v>0</v>
      </c>
      <c r="U39" s="112">
        <v>0</v>
      </c>
      <c r="V39" s="112">
        <v>0</v>
      </c>
      <c r="W39" s="112">
        <v>1</v>
      </c>
      <c r="X39" s="112">
        <v>0</v>
      </c>
      <c r="Y39" s="112">
        <v>0</v>
      </c>
      <c r="Z39" s="112">
        <v>0</v>
      </c>
      <c r="AA39" s="112">
        <v>0</v>
      </c>
      <c r="AB39" s="112">
        <v>0</v>
      </c>
      <c r="AC39" s="112">
        <v>0</v>
      </c>
      <c r="AD39" s="112">
        <v>0</v>
      </c>
      <c r="AE39" s="112">
        <v>0</v>
      </c>
      <c r="AF39" s="112">
        <v>1</v>
      </c>
      <c r="AG39" s="112">
        <v>0</v>
      </c>
      <c r="AH39" s="112">
        <v>0</v>
      </c>
      <c r="AI39" s="112">
        <v>1</v>
      </c>
      <c r="AJ39" s="112">
        <v>0</v>
      </c>
      <c r="AK39" s="112">
        <v>1</v>
      </c>
      <c r="AL39" s="112">
        <v>1</v>
      </c>
      <c r="AM39" s="112">
        <v>0</v>
      </c>
      <c r="AN39" s="112">
        <v>0</v>
      </c>
      <c r="AO39" s="112">
        <v>0</v>
      </c>
    </row>
    <row r="40" spans="1:41" x14ac:dyDescent="0.15">
      <c r="A40" s="191" t="s">
        <v>230</v>
      </c>
      <c r="B40" s="112">
        <v>0</v>
      </c>
      <c r="C40" s="112">
        <v>0</v>
      </c>
      <c r="D40" s="112">
        <v>1</v>
      </c>
      <c r="E40" s="112">
        <v>0</v>
      </c>
      <c r="F40" s="112">
        <v>0</v>
      </c>
      <c r="G40" s="112">
        <v>0</v>
      </c>
      <c r="H40" s="112">
        <v>0</v>
      </c>
      <c r="I40" s="112">
        <v>0</v>
      </c>
      <c r="J40" s="112">
        <v>0</v>
      </c>
      <c r="K40" s="112">
        <v>0</v>
      </c>
      <c r="L40" s="112">
        <v>0</v>
      </c>
      <c r="M40" s="112">
        <v>0</v>
      </c>
      <c r="N40" s="112">
        <v>0</v>
      </c>
      <c r="O40" s="112">
        <v>0</v>
      </c>
      <c r="P40" s="112">
        <v>0</v>
      </c>
      <c r="Q40" s="112">
        <v>0</v>
      </c>
      <c r="R40" s="112">
        <v>0</v>
      </c>
      <c r="S40" s="112">
        <v>0</v>
      </c>
      <c r="T40" s="112">
        <v>0</v>
      </c>
      <c r="U40" s="112">
        <v>1</v>
      </c>
      <c r="V40" s="112">
        <v>0</v>
      </c>
      <c r="W40" s="112">
        <v>0</v>
      </c>
      <c r="X40" s="112">
        <v>0</v>
      </c>
      <c r="Y40" s="112">
        <v>1</v>
      </c>
      <c r="Z40" s="112">
        <v>0</v>
      </c>
      <c r="AA40" s="112">
        <v>0</v>
      </c>
      <c r="AB40" s="112">
        <v>0</v>
      </c>
      <c r="AC40" s="112">
        <v>0</v>
      </c>
      <c r="AD40" s="112">
        <v>1</v>
      </c>
      <c r="AE40" s="112">
        <v>1</v>
      </c>
      <c r="AF40" s="112">
        <v>1</v>
      </c>
      <c r="AG40" s="112">
        <v>1</v>
      </c>
      <c r="AH40" s="112">
        <v>1</v>
      </c>
      <c r="AI40" s="112">
        <v>1</v>
      </c>
      <c r="AJ40" s="112">
        <v>1</v>
      </c>
      <c r="AK40" s="112">
        <v>1</v>
      </c>
      <c r="AL40" s="112">
        <v>0</v>
      </c>
      <c r="AM40" s="112">
        <v>0</v>
      </c>
      <c r="AN40" s="112">
        <v>0</v>
      </c>
      <c r="AO40" s="112">
        <v>0</v>
      </c>
    </row>
    <row r="41" spans="1:41" x14ac:dyDescent="0.15">
      <c r="A41" s="191" t="s">
        <v>231</v>
      </c>
      <c r="B41" s="112">
        <v>0</v>
      </c>
      <c r="C41" s="112">
        <v>0</v>
      </c>
      <c r="D41" s="112">
        <v>0</v>
      </c>
      <c r="E41" s="112">
        <v>0</v>
      </c>
      <c r="F41" s="112">
        <v>0</v>
      </c>
      <c r="G41" s="112">
        <v>0</v>
      </c>
      <c r="H41" s="112">
        <v>0</v>
      </c>
      <c r="I41" s="112">
        <v>0</v>
      </c>
      <c r="J41" s="112">
        <v>0</v>
      </c>
      <c r="K41" s="112">
        <v>0</v>
      </c>
      <c r="L41" s="112">
        <v>0</v>
      </c>
      <c r="M41" s="112">
        <v>0</v>
      </c>
      <c r="N41" s="112">
        <v>0</v>
      </c>
      <c r="O41" s="112">
        <v>0</v>
      </c>
      <c r="P41" s="112">
        <v>0</v>
      </c>
      <c r="Q41" s="112">
        <v>0</v>
      </c>
      <c r="R41" s="112">
        <v>0</v>
      </c>
      <c r="S41" s="112">
        <v>0</v>
      </c>
      <c r="T41" s="112">
        <v>0</v>
      </c>
      <c r="U41" s="112">
        <v>0</v>
      </c>
      <c r="V41" s="112">
        <v>0</v>
      </c>
      <c r="W41" s="112">
        <v>0</v>
      </c>
      <c r="X41" s="112">
        <v>0</v>
      </c>
      <c r="Y41" s="112">
        <v>0</v>
      </c>
      <c r="Z41" s="112">
        <v>0</v>
      </c>
      <c r="AA41" s="112">
        <v>0</v>
      </c>
      <c r="AB41" s="112">
        <v>0</v>
      </c>
      <c r="AC41" s="112">
        <v>0</v>
      </c>
      <c r="AD41" s="112">
        <v>0</v>
      </c>
      <c r="AE41" s="112">
        <v>0</v>
      </c>
      <c r="AF41" s="112">
        <v>0</v>
      </c>
      <c r="AG41" s="112">
        <v>0</v>
      </c>
      <c r="AH41" s="112">
        <v>0</v>
      </c>
      <c r="AI41" s="112">
        <v>0</v>
      </c>
      <c r="AJ41" s="112">
        <v>0</v>
      </c>
      <c r="AK41" s="112">
        <v>0</v>
      </c>
      <c r="AL41" s="112">
        <v>0</v>
      </c>
      <c r="AM41" s="112">
        <v>0</v>
      </c>
      <c r="AN41" s="112">
        <v>0</v>
      </c>
      <c r="AO41" s="112">
        <v>0</v>
      </c>
    </row>
    <row r="42" spans="1:41" x14ac:dyDescent="0.15">
      <c r="A42" s="191" t="s">
        <v>244</v>
      </c>
      <c r="B42" s="112">
        <v>1</v>
      </c>
      <c r="C42" s="112">
        <v>0</v>
      </c>
      <c r="D42" s="112">
        <v>1</v>
      </c>
      <c r="E42" s="112">
        <v>0</v>
      </c>
      <c r="F42" s="112">
        <v>0</v>
      </c>
      <c r="G42" s="112">
        <v>1</v>
      </c>
      <c r="H42" s="112">
        <v>1</v>
      </c>
      <c r="I42" s="112">
        <v>0</v>
      </c>
      <c r="J42" s="112">
        <v>0</v>
      </c>
      <c r="K42" s="112">
        <v>0</v>
      </c>
      <c r="L42" s="112">
        <v>0</v>
      </c>
      <c r="M42" s="112">
        <v>0</v>
      </c>
      <c r="N42" s="112">
        <v>0</v>
      </c>
      <c r="O42" s="112">
        <v>0</v>
      </c>
      <c r="P42" s="112">
        <v>0</v>
      </c>
      <c r="Q42" s="112">
        <v>0</v>
      </c>
      <c r="R42" s="112">
        <v>0</v>
      </c>
      <c r="S42" s="112">
        <v>0</v>
      </c>
      <c r="T42" s="112">
        <v>0</v>
      </c>
      <c r="U42" s="112">
        <v>0</v>
      </c>
      <c r="V42" s="112">
        <v>0</v>
      </c>
      <c r="W42" s="112">
        <v>0</v>
      </c>
      <c r="X42" s="112">
        <v>0</v>
      </c>
      <c r="Y42" s="112">
        <v>0</v>
      </c>
      <c r="Z42" s="112">
        <v>1</v>
      </c>
      <c r="AA42" s="112">
        <v>0</v>
      </c>
      <c r="AB42" s="112">
        <v>0</v>
      </c>
      <c r="AC42" s="112">
        <v>1</v>
      </c>
      <c r="AD42" s="112">
        <v>0</v>
      </c>
      <c r="AE42" s="112">
        <v>0</v>
      </c>
      <c r="AF42" s="112">
        <v>0</v>
      </c>
      <c r="AG42" s="112">
        <v>0</v>
      </c>
      <c r="AH42" s="112">
        <v>0</v>
      </c>
      <c r="AI42" s="112">
        <v>0</v>
      </c>
      <c r="AJ42" s="112">
        <v>0</v>
      </c>
      <c r="AK42" s="112">
        <v>0</v>
      </c>
      <c r="AL42" s="112">
        <v>0</v>
      </c>
      <c r="AM42" s="112">
        <v>0</v>
      </c>
      <c r="AN42" s="112">
        <v>0</v>
      </c>
      <c r="AO42" s="11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N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6.6640625" bestFit="1" customWidth="1"/>
    <col min="3" max="4" width="3.83203125" bestFit="1" customWidth="1"/>
    <col min="5" max="14" width="3.83203125" customWidth="1"/>
  </cols>
  <sheetData>
    <row r="1" spans="1:14" ht="112" x14ac:dyDescent="0.15">
      <c r="A1" s="5" t="s">
        <v>83</v>
      </c>
      <c r="B1" s="3" t="s">
        <v>0</v>
      </c>
      <c r="C1" s="194" t="s">
        <v>232</v>
      </c>
      <c r="D1" s="194" t="s">
        <v>233</v>
      </c>
      <c r="E1" s="194" t="s">
        <v>234</v>
      </c>
      <c r="F1" s="194" t="s">
        <v>235</v>
      </c>
      <c r="G1" s="194" t="s">
        <v>236</v>
      </c>
      <c r="H1" s="194" t="s">
        <v>237</v>
      </c>
      <c r="I1" s="194" t="s">
        <v>238</v>
      </c>
      <c r="J1" s="194" t="s">
        <v>239</v>
      </c>
      <c r="K1" s="194" t="s">
        <v>240</v>
      </c>
      <c r="L1" s="194" t="s">
        <v>241</v>
      </c>
      <c r="M1" s="194" t="s">
        <v>242</v>
      </c>
      <c r="N1" s="194" t="s">
        <v>243</v>
      </c>
    </row>
    <row r="2" spans="1:14" x14ac:dyDescent="0.15">
      <c r="A2">
        <v>1</v>
      </c>
      <c r="B2" s="193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</row>
    <row r="3" spans="1:14" x14ac:dyDescent="0.15">
      <c r="A3">
        <v>2</v>
      </c>
      <c r="B3" s="193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0.8</v>
      </c>
    </row>
    <row r="4" spans="1:14" x14ac:dyDescent="0.15">
      <c r="A4">
        <v>3</v>
      </c>
      <c r="B4" s="193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</row>
    <row r="5" spans="1:14" x14ac:dyDescent="0.15">
      <c r="A5">
        <v>4</v>
      </c>
      <c r="B5" s="193" t="s">
        <v>195</v>
      </c>
      <c r="C5">
        <v>0.8</v>
      </c>
      <c r="D5">
        <v>0.8</v>
      </c>
      <c r="E5">
        <v>0.8</v>
      </c>
      <c r="F5">
        <v>0.8</v>
      </c>
      <c r="G5">
        <v>0.8</v>
      </c>
      <c r="H5">
        <v>0.8</v>
      </c>
      <c r="I5">
        <v>0.8</v>
      </c>
      <c r="J5">
        <v>0.8</v>
      </c>
      <c r="K5">
        <v>0</v>
      </c>
      <c r="L5">
        <v>0</v>
      </c>
      <c r="M5">
        <v>0</v>
      </c>
      <c r="N5">
        <v>0</v>
      </c>
    </row>
    <row r="6" spans="1:14" x14ac:dyDescent="0.15">
      <c r="A6">
        <v>5</v>
      </c>
      <c r="B6" s="193" t="s">
        <v>196</v>
      </c>
      <c r="C6">
        <v>0.8</v>
      </c>
      <c r="D6">
        <v>0.8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</row>
    <row r="7" spans="1:14" x14ac:dyDescent="0.15">
      <c r="A7">
        <v>6</v>
      </c>
      <c r="B7" s="193" t="s">
        <v>197</v>
      </c>
      <c r="C7">
        <v>0.8</v>
      </c>
      <c r="D7">
        <v>0.8</v>
      </c>
      <c r="E7">
        <v>0.8</v>
      </c>
      <c r="F7">
        <v>0.8</v>
      </c>
      <c r="G7">
        <v>0.8</v>
      </c>
      <c r="H7">
        <v>0</v>
      </c>
      <c r="I7">
        <v>0.8</v>
      </c>
      <c r="J7">
        <v>0</v>
      </c>
      <c r="K7">
        <v>0</v>
      </c>
      <c r="L7">
        <v>0</v>
      </c>
      <c r="M7">
        <v>0</v>
      </c>
      <c r="N7">
        <v>0</v>
      </c>
    </row>
    <row r="8" spans="1:14" x14ac:dyDescent="0.15">
      <c r="A8">
        <v>7</v>
      </c>
      <c r="B8" s="193" t="s">
        <v>198</v>
      </c>
      <c r="C8">
        <v>0</v>
      </c>
      <c r="D8">
        <v>0</v>
      </c>
      <c r="E8">
        <v>0.8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</row>
    <row r="9" spans="1:14" x14ac:dyDescent="0.15">
      <c r="A9">
        <v>8</v>
      </c>
      <c r="B9" s="193" t="s">
        <v>199</v>
      </c>
      <c r="C9">
        <v>0.8</v>
      </c>
      <c r="D9">
        <v>0.8</v>
      </c>
      <c r="E9">
        <v>0.8</v>
      </c>
      <c r="F9">
        <v>0.8</v>
      </c>
      <c r="G9">
        <v>0.8</v>
      </c>
      <c r="H9">
        <v>0.8</v>
      </c>
      <c r="I9">
        <v>0.8</v>
      </c>
      <c r="J9">
        <v>0.8</v>
      </c>
      <c r="K9">
        <v>0</v>
      </c>
      <c r="L9">
        <v>0</v>
      </c>
      <c r="M9">
        <v>0</v>
      </c>
      <c r="N9">
        <v>0</v>
      </c>
    </row>
    <row r="10" spans="1:14" x14ac:dyDescent="0.15">
      <c r="A10">
        <v>9</v>
      </c>
      <c r="B10" s="193" t="s">
        <v>200</v>
      </c>
      <c r="C10">
        <v>0.8</v>
      </c>
      <c r="D10">
        <v>0.8</v>
      </c>
      <c r="E10">
        <v>0.8</v>
      </c>
      <c r="F10">
        <v>0.8</v>
      </c>
      <c r="G10">
        <v>0.8</v>
      </c>
      <c r="H10">
        <v>0.8</v>
      </c>
      <c r="I10">
        <v>0.8</v>
      </c>
      <c r="J10">
        <v>0.8</v>
      </c>
      <c r="K10">
        <v>0</v>
      </c>
      <c r="L10">
        <v>0</v>
      </c>
      <c r="M10">
        <v>0</v>
      </c>
      <c r="N10">
        <v>0</v>
      </c>
    </row>
    <row r="11" spans="1:14" x14ac:dyDescent="0.15">
      <c r="A11">
        <v>10</v>
      </c>
      <c r="B11" s="193" t="s">
        <v>201</v>
      </c>
      <c r="C11">
        <v>0.8</v>
      </c>
      <c r="D11">
        <v>0.8</v>
      </c>
      <c r="E11">
        <v>0.8</v>
      </c>
      <c r="F11">
        <v>0.8</v>
      </c>
      <c r="G11">
        <v>0.8</v>
      </c>
      <c r="H11">
        <v>0.8</v>
      </c>
      <c r="I11">
        <v>0.8</v>
      </c>
      <c r="J11">
        <v>0.8</v>
      </c>
      <c r="K11">
        <v>0</v>
      </c>
      <c r="L11">
        <v>0</v>
      </c>
      <c r="M11">
        <v>0</v>
      </c>
      <c r="N11">
        <v>0</v>
      </c>
    </row>
    <row r="12" spans="1:14" x14ac:dyDescent="0.15">
      <c r="A12">
        <v>11</v>
      </c>
      <c r="B12" s="193" t="s">
        <v>202</v>
      </c>
      <c r="C12">
        <v>0.8</v>
      </c>
      <c r="D12">
        <v>0.8</v>
      </c>
      <c r="E12">
        <v>0.8</v>
      </c>
      <c r="F12">
        <v>0.8</v>
      </c>
      <c r="G12">
        <v>0.8</v>
      </c>
      <c r="H12">
        <v>0.8</v>
      </c>
      <c r="I12">
        <v>0.8</v>
      </c>
      <c r="J12">
        <v>0</v>
      </c>
      <c r="K12">
        <v>0</v>
      </c>
      <c r="L12">
        <v>0</v>
      </c>
      <c r="M12">
        <v>0</v>
      </c>
      <c r="N12">
        <v>0</v>
      </c>
    </row>
    <row r="13" spans="1:14" x14ac:dyDescent="0.15">
      <c r="A13">
        <v>12</v>
      </c>
      <c r="B13" s="193" t="s">
        <v>203</v>
      </c>
      <c r="C13">
        <v>0.8</v>
      </c>
      <c r="D13">
        <v>0.8</v>
      </c>
      <c r="E13">
        <v>0.8</v>
      </c>
      <c r="F13">
        <v>0.8</v>
      </c>
      <c r="G13">
        <v>0.8</v>
      </c>
      <c r="H13">
        <v>0.8</v>
      </c>
      <c r="I13">
        <v>0.8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15">
      <c r="A14">
        <v>13</v>
      </c>
      <c r="B14" s="193" t="s">
        <v>204</v>
      </c>
      <c r="C14">
        <v>0.8</v>
      </c>
      <c r="D14">
        <v>0.8</v>
      </c>
      <c r="E14">
        <v>0.8</v>
      </c>
      <c r="F14">
        <v>0.8</v>
      </c>
      <c r="G14">
        <v>0.8</v>
      </c>
      <c r="H14">
        <v>0</v>
      </c>
      <c r="I14">
        <v>0.8</v>
      </c>
      <c r="J14">
        <v>0.8</v>
      </c>
      <c r="K14">
        <v>0</v>
      </c>
      <c r="L14">
        <v>0</v>
      </c>
      <c r="M14">
        <v>0</v>
      </c>
      <c r="N14">
        <v>0</v>
      </c>
    </row>
    <row r="15" spans="1:14" x14ac:dyDescent="0.15">
      <c r="A15">
        <v>14</v>
      </c>
      <c r="B15" s="193" t="s">
        <v>205</v>
      </c>
      <c r="C15">
        <v>0.8</v>
      </c>
      <c r="D15">
        <v>0.8</v>
      </c>
      <c r="E15">
        <v>0.8</v>
      </c>
      <c r="F15">
        <v>0.8</v>
      </c>
      <c r="G15">
        <v>0.8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</row>
    <row r="16" spans="1:14" x14ac:dyDescent="0.15">
      <c r="A16">
        <v>15</v>
      </c>
      <c r="B16" s="193" t="s">
        <v>206</v>
      </c>
      <c r="C16">
        <v>0.8</v>
      </c>
      <c r="D16">
        <v>0.8</v>
      </c>
      <c r="E16">
        <v>0.8</v>
      </c>
      <c r="F16">
        <v>0.8</v>
      </c>
      <c r="G16">
        <v>0.8</v>
      </c>
      <c r="H16">
        <v>0</v>
      </c>
      <c r="I16">
        <v>0.8</v>
      </c>
      <c r="J16">
        <v>0.8</v>
      </c>
      <c r="K16">
        <v>0</v>
      </c>
      <c r="L16">
        <v>0</v>
      </c>
      <c r="M16">
        <v>0</v>
      </c>
      <c r="N16">
        <v>0</v>
      </c>
    </row>
    <row r="17" spans="1:14" x14ac:dyDescent="0.15">
      <c r="A17">
        <v>16</v>
      </c>
      <c r="B17" s="193" t="s">
        <v>207</v>
      </c>
      <c r="C17">
        <v>0.8</v>
      </c>
      <c r="D17">
        <v>0.8</v>
      </c>
      <c r="E17">
        <v>0.8</v>
      </c>
      <c r="F17">
        <v>0.8</v>
      </c>
      <c r="G17">
        <v>0.8</v>
      </c>
      <c r="H17">
        <v>0.8</v>
      </c>
      <c r="I17">
        <v>0.8</v>
      </c>
      <c r="J17">
        <v>0</v>
      </c>
      <c r="K17">
        <v>0</v>
      </c>
      <c r="L17">
        <v>0</v>
      </c>
      <c r="M17">
        <v>0</v>
      </c>
      <c r="N17">
        <v>0</v>
      </c>
    </row>
    <row r="18" spans="1:14" x14ac:dyDescent="0.15">
      <c r="A18">
        <v>17</v>
      </c>
      <c r="B18" s="193" t="s">
        <v>208</v>
      </c>
      <c r="C18">
        <v>0.8</v>
      </c>
      <c r="D18">
        <v>0.8</v>
      </c>
      <c r="E18">
        <v>0.8</v>
      </c>
      <c r="F18">
        <v>0.8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15">
      <c r="A19">
        <v>18</v>
      </c>
      <c r="B19" s="193" t="s">
        <v>209</v>
      </c>
      <c r="C19">
        <v>0.8</v>
      </c>
      <c r="D19">
        <v>0.8</v>
      </c>
      <c r="E19">
        <v>0.8</v>
      </c>
      <c r="F19">
        <v>0.8</v>
      </c>
      <c r="G19">
        <v>0.8</v>
      </c>
      <c r="H19">
        <v>0.8</v>
      </c>
      <c r="I19">
        <v>0.8</v>
      </c>
      <c r="J19">
        <v>0</v>
      </c>
      <c r="K19">
        <v>0</v>
      </c>
      <c r="L19">
        <v>0</v>
      </c>
      <c r="M19">
        <v>0</v>
      </c>
      <c r="N19">
        <v>0</v>
      </c>
    </row>
    <row r="20" spans="1:14" x14ac:dyDescent="0.15">
      <c r="A20">
        <v>19</v>
      </c>
      <c r="B20" s="193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</row>
    <row r="21" spans="1:14" x14ac:dyDescent="0.15">
      <c r="A21">
        <v>20</v>
      </c>
      <c r="B21" s="193" t="s">
        <v>211</v>
      </c>
      <c r="C21">
        <v>0.8</v>
      </c>
      <c r="D21">
        <v>0.8</v>
      </c>
      <c r="E21">
        <v>0.8</v>
      </c>
      <c r="F21">
        <v>0.8</v>
      </c>
      <c r="G21">
        <v>0.8</v>
      </c>
      <c r="H21">
        <v>0.8</v>
      </c>
      <c r="I21">
        <v>0.8</v>
      </c>
      <c r="J21">
        <v>0.8</v>
      </c>
      <c r="K21">
        <v>0</v>
      </c>
      <c r="L21">
        <v>0</v>
      </c>
      <c r="M21">
        <v>0</v>
      </c>
      <c r="N21">
        <v>0</v>
      </c>
    </row>
    <row r="22" spans="1:14" x14ac:dyDescent="0.15">
      <c r="A22">
        <v>21</v>
      </c>
      <c r="B22" s="193" t="s">
        <v>212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</row>
    <row r="23" spans="1:14" x14ac:dyDescent="0.15">
      <c r="A23">
        <v>22</v>
      </c>
      <c r="B23" s="193" t="s">
        <v>213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</row>
    <row r="24" spans="1:14" x14ac:dyDescent="0.15">
      <c r="A24">
        <v>23</v>
      </c>
      <c r="B24" s="193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</row>
    <row r="25" spans="1:14" x14ac:dyDescent="0.15">
      <c r="A25">
        <v>24</v>
      </c>
      <c r="B25" s="193" t="s">
        <v>215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</row>
    <row r="26" spans="1:14" x14ac:dyDescent="0.15">
      <c r="A26">
        <v>25</v>
      </c>
      <c r="B26" s="193" t="s">
        <v>216</v>
      </c>
      <c r="C26">
        <v>0</v>
      </c>
      <c r="D26">
        <v>0</v>
      </c>
      <c r="E26">
        <v>0.8</v>
      </c>
      <c r="F26">
        <v>0.8</v>
      </c>
      <c r="G26">
        <v>0.8</v>
      </c>
      <c r="H26">
        <v>0.8</v>
      </c>
      <c r="I26">
        <v>0.8</v>
      </c>
      <c r="J26">
        <v>0</v>
      </c>
      <c r="K26">
        <v>0</v>
      </c>
      <c r="L26">
        <v>0</v>
      </c>
      <c r="M26">
        <v>0</v>
      </c>
      <c r="N26">
        <v>0</v>
      </c>
    </row>
    <row r="27" spans="1:14" x14ac:dyDescent="0.15">
      <c r="A27">
        <v>26</v>
      </c>
      <c r="B27" s="193" t="s">
        <v>217</v>
      </c>
      <c r="C27">
        <v>0.8</v>
      </c>
      <c r="D27">
        <v>0</v>
      </c>
      <c r="E27">
        <v>0.8</v>
      </c>
      <c r="F27">
        <v>0.8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0.8</v>
      </c>
      <c r="N27">
        <v>0</v>
      </c>
    </row>
    <row r="28" spans="1:14" x14ac:dyDescent="0.15">
      <c r="A28">
        <v>27</v>
      </c>
      <c r="B28" s="193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</row>
    <row r="29" spans="1:14" x14ac:dyDescent="0.15">
      <c r="A29">
        <v>28</v>
      </c>
      <c r="B29" s="193" t="s">
        <v>219</v>
      </c>
      <c r="C29">
        <v>0.8</v>
      </c>
      <c r="D29">
        <v>0</v>
      </c>
      <c r="E29">
        <v>0.8</v>
      </c>
      <c r="F29">
        <v>0</v>
      </c>
      <c r="G29">
        <v>0.8</v>
      </c>
      <c r="H29">
        <v>0</v>
      </c>
      <c r="I29">
        <v>0.8</v>
      </c>
      <c r="J29">
        <v>0</v>
      </c>
      <c r="K29">
        <v>0</v>
      </c>
      <c r="L29">
        <v>0</v>
      </c>
      <c r="M29">
        <v>0.8</v>
      </c>
      <c r="N29">
        <v>0</v>
      </c>
    </row>
    <row r="30" spans="1:14" x14ac:dyDescent="0.15">
      <c r="A30">
        <v>29</v>
      </c>
      <c r="B30" s="193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0.8</v>
      </c>
      <c r="L30">
        <v>0</v>
      </c>
      <c r="M30">
        <v>0</v>
      </c>
      <c r="N30">
        <v>0</v>
      </c>
    </row>
    <row r="31" spans="1:14" x14ac:dyDescent="0.15">
      <c r="A31">
        <v>30</v>
      </c>
      <c r="B31" s="193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</row>
    <row r="32" spans="1:14" x14ac:dyDescent="0.15">
      <c r="A32">
        <v>31</v>
      </c>
      <c r="B32" s="193" t="s">
        <v>222</v>
      </c>
      <c r="C32">
        <v>0</v>
      </c>
      <c r="D32">
        <v>0.8</v>
      </c>
      <c r="E32">
        <v>0</v>
      </c>
      <c r="F32">
        <v>0</v>
      </c>
      <c r="G32">
        <v>0</v>
      </c>
      <c r="H32">
        <v>0</v>
      </c>
      <c r="I32">
        <v>0</v>
      </c>
      <c r="J32">
        <v>0.8</v>
      </c>
      <c r="K32">
        <v>0</v>
      </c>
      <c r="L32">
        <v>0</v>
      </c>
      <c r="M32">
        <v>0</v>
      </c>
      <c r="N32">
        <v>0</v>
      </c>
    </row>
    <row r="33" spans="1:14" x14ac:dyDescent="0.15">
      <c r="A33">
        <v>32</v>
      </c>
      <c r="B33" s="193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</row>
    <row r="34" spans="1:14" x14ac:dyDescent="0.15">
      <c r="A34">
        <v>33</v>
      </c>
      <c r="B34" s="193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</row>
    <row r="35" spans="1:14" x14ac:dyDescent="0.15">
      <c r="A35">
        <v>34</v>
      </c>
      <c r="B35" s="193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0.8</v>
      </c>
      <c r="M35">
        <v>0</v>
      </c>
      <c r="N35">
        <v>0</v>
      </c>
    </row>
    <row r="36" spans="1:14" x14ac:dyDescent="0.15">
      <c r="A36">
        <v>35</v>
      </c>
      <c r="B36" s="193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0.8</v>
      </c>
      <c r="M36">
        <v>0</v>
      </c>
      <c r="N36">
        <v>0</v>
      </c>
    </row>
    <row r="37" spans="1:14" x14ac:dyDescent="0.15">
      <c r="A37">
        <v>36</v>
      </c>
      <c r="B37" s="193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</row>
    <row r="38" spans="1:14" x14ac:dyDescent="0.15">
      <c r="A38">
        <v>37</v>
      </c>
      <c r="B38" s="193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</row>
    <row r="39" spans="1:14" x14ac:dyDescent="0.15">
      <c r="A39">
        <v>38</v>
      </c>
      <c r="B39" s="193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</row>
    <row r="40" spans="1:14" x14ac:dyDescent="0.15">
      <c r="A40">
        <v>39</v>
      </c>
      <c r="B40" s="193" t="s">
        <v>230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</row>
    <row r="41" spans="1:14" x14ac:dyDescent="0.15">
      <c r="A41">
        <v>40</v>
      </c>
      <c r="B41" s="193" t="s">
        <v>231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N41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6.6640625" bestFit="1" customWidth="1"/>
    <col min="3" max="4" width="3.83203125" bestFit="1" customWidth="1"/>
    <col min="5" max="14" width="3.83203125" customWidth="1"/>
  </cols>
  <sheetData>
    <row r="1" spans="1:14" ht="112" x14ac:dyDescent="0.15">
      <c r="A1" s="5" t="s">
        <v>82</v>
      </c>
      <c r="B1" s="3" t="s">
        <v>0</v>
      </c>
      <c r="C1" s="196" t="s">
        <v>232</v>
      </c>
      <c r="D1" s="196" t="s">
        <v>233</v>
      </c>
      <c r="E1" s="196" t="s">
        <v>234</v>
      </c>
      <c r="F1" s="196" t="s">
        <v>235</v>
      </c>
      <c r="G1" s="196" t="s">
        <v>236</v>
      </c>
      <c r="H1" s="196" t="s">
        <v>237</v>
      </c>
      <c r="I1" s="196" t="s">
        <v>238</v>
      </c>
      <c r="J1" s="196" t="s">
        <v>239</v>
      </c>
      <c r="K1" s="196" t="s">
        <v>240</v>
      </c>
      <c r="L1" s="196" t="s">
        <v>241</v>
      </c>
      <c r="M1" s="196" t="s">
        <v>242</v>
      </c>
      <c r="N1" s="196" t="s">
        <v>243</v>
      </c>
    </row>
    <row r="2" spans="1:14" x14ac:dyDescent="0.15">
      <c r="A2">
        <v>1</v>
      </c>
      <c r="B2" s="195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</row>
    <row r="3" spans="1:14" x14ac:dyDescent="0.15">
      <c r="A3">
        <v>2</v>
      </c>
      <c r="B3" s="195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0.8</v>
      </c>
    </row>
    <row r="4" spans="1:14" x14ac:dyDescent="0.15">
      <c r="A4">
        <v>3</v>
      </c>
      <c r="B4" s="195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</row>
    <row r="5" spans="1:14" x14ac:dyDescent="0.15">
      <c r="A5">
        <v>4</v>
      </c>
      <c r="B5" s="195" t="s">
        <v>195</v>
      </c>
      <c r="C5">
        <v>0.8</v>
      </c>
      <c r="D5">
        <v>0.8</v>
      </c>
      <c r="E5">
        <v>0.8</v>
      </c>
      <c r="F5">
        <v>0.8</v>
      </c>
      <c r="G5">
        <v>0.8</v>
      </c>
      <c r="H5">
        <v>0.8</v>
      </c>
      <c r="I5">
        <v>0.8</v>
      </c>
      <c r="J5">
        <v>0.8</v>
      </c>
      <c r="K5">
        <v>0</v>
      </c>
      <c r="L5">
        <v>0</v>
      </c>
      <c r="M5">
        <v>0</v>
      </c>
      <c r="N5">
        <v>0</v>
      </c>
    </row>
    <row r="6" spans="1:14" x14ac:dyDescent="0.15">
      <c r="A6">
        <v>5</v>
      </c>
      <c r="B6" s="195" t="s">
        <v>196</v>
      </c>
      <c r="C6">
        <v>0.8</v>
      </c>
      <c r="D6">
        <v>0.8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</row>
    <row r="7" spans="1:14" x14ac:dyDescent="0.15">
      <c r="A7">
        <v>6</v>
      </c>
      <c r="B7" s="195" t="s">
        <v>197</v>
      </c>
      <c r="C7">
        <v>0.8</v>
      </c>
      <c r="D7">
        <v>0.8</v>
      </c>
      <c r="E7">
        <v>0.8</v>
      </c>
      <c r="F7">
        <v>0.8</v>
      </c>
      <c r="G7">
        <v>0.8</v>
      </c>
      <c r="H7">
        <v>0</v>
      </c>
      <c r="I7">
        <v>0.8</v>
      </c>
      <c r="J7">
        <v>0</v>
      </c>
      <c r="K7">
        <v>0</v>
      </c>
      <c r="L7">
        <v>0</v>
      </c>
      <c r="M7">
        <v>0</v>
      </c>
      <c r="N7">
        <v>0</v>
      </c>
    </row>
    <row r="8" spans="1:14" x14ac:dyDescent="0.15">
      <c r="A8">
        <v>7</v>
      </c>
      <c r="B8" s="195" t="s">
        <v>198</v>
      </c>
      <c r="C8">
        <v>0</v>
      </c>
      <c r="D8">
        <v>0</v>
      </c>
      <c r="E8">
        <v>0.8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</row>
    <row r="9" spans="1:14" x14ac:dyDescent="0.15">
      <c r="A9">
        <v>8</v>
      </c>
      <c r="B9" s="195" t="s">
        <v>199</v>
      </c>
      <c r="C9">
        <v>0.8</v>
      </c>
      <c r="D9">
        <v>0.8</v>
      </c>
      <c r="E9">
        <v>0.8</v>
      </c>
      <c r="F9">
        <v>0.8</v>
      </c>
      <c r="G9">
        <v>0.8</v>
      </c>
      <c r="H9">
        <v>0.8</v>
      </c>
      <c r="I9">
        <v>0.8</v>
      </c>
      <c r="J9">
        <v>0.8</v>
      </c>
      <c r="K9">
        <v>0</v>
      </c>
      <c r="L9">
        <v>0</v>
      </c>
      <c r="M9">
        <v>0</v>
      </c>
      <c r="N9">
        <v>0</v>
      </c>
    </row>
    <row r="10" spans="1:14" x14ac:dyDescent="0.15">
      <c r="A10">
        <v>9</v>
      </c>
      <c r="B10" s="195" t="s">
        <v>200</v>
      </c>
      <c r="C10">
        <v>0.8</v>
      </c>
      <c r="D10">
        <v>0.8</v>
      </c>
      <c r="E10">
        <v>0.8</v>
      </c>
      <c r="F10">
        <v>0.8</v>
      </c>
      <c r="G10">
        <v>0.8</v>
      </c>
      <c r="H10">
        <v>0.8</v>
      </c>
      <c r="I10">
        <v>0.8</v>
      </c>
      <c r="J10">
        <v>0.8</v>
      </c>
      <c r="K10">
        <v>0</v>
      </c>
      <c r="L10">
        <v>0</v>
      </c>
      <c r="M10">
        <v>0</v>
      </c>
      <c r="N10">
        <v>0</v>
      </c>
    </row>
    <row r="11" spans="1:14" x14ac:dyDescent="0.15">
      <c r="A11">
        <v>10</v>
      </c>
      <c r="B11" s="195" t="s">
        <v>201</v>
      </c>
      <c r="C11">
        <v>0.8</v>
      </c>
      <c r="D11">
        <v>0.8</v>
      </c>
      <c r="E11">
        <v>0.8</v>
      </c>
      <c r="F11">
        <v>0.8</v>
      </c>
      <c r="G11">
        <v>0.8</v>
      </c>
      <c r="H11">
        <v>0.8</v>
      </c>
      <c r="I11">
        <v>0.8</v>
      </c>
      <c r="J11">
        <v>0.8</v>
      </c>
      <c r="K11">
        <v>0</v>
      </c>
      <c r="L11">
        <v>0</v>
      </c>
      <c r="M11">
        <v>0</v>
      </c>
      <c r="N11">
        <v>0</v>
      </c>
    </row>
    <row r="12" spans="1:14" x14ac:dyDescent="0.15">
      <c r="A12">
        <v>11</v>
      </c>
      <c r="B12" s="195" t="s">
        <v>202</v>
      </c>
      <c r="C12">
        <v>0.8</v>
      </c>
      <c r="D12">
        <v>0.8</v>
      </c>
      <c r="E12">
        <v>0.8</v>
      </c>
      <c r="F12">
        <v>0.8</v>
      </c>
      <c r="G12">
        <v>0.8</v>
      </c>
      <c r="H12">
        <v>0.8</v>
      </c>
      <c r="I12">
        <v>0.8</v>
      </c>
      <c r="J12">
        <v>0</v>
      </c>
      <c r="K12">
        <v>0</v>
      </c>
      <c r="L12">
        <v>0</v>
      </c>
      <c r="M12">
        <v>0</v>
      </c>
      <c r="N12">
        <v>0</v>
      </c>
    </row>
    <row r="13" spans="1:14" x14ac:dyDescent="0.15">
      <c r="A13">
        <v>12</v>
      </c>
      <c r="B13" s="195" t="s">
        <v>203</v>
      </c>
      <c r="C13">
        <v>0.8</v>
      </c>
      <c r="D13">
        <v>0.8</v>
      </c>
      <c r="E13">
        <v>0.8</v>
      </c>
      <c r="F13">
        <v>0.8</v>
      </c>
      <c r="G13">
        <v>0.8</v>
      </c>
      <c r="H13">
        <v>0.8</v>
      </c>
      <c r="I13">
        <v>0.8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15">
      <c r="A14">
        <v>13</v>
      </c>
      <c r="B14" s="195" t="s">
        <v>204</v>
      </c>
      <c r="C14">
        <v>0.8</v>
      </c>
      <c r="D14">
        <v>0.8</v>
      </c>
      <c r="E14">
        <v>0.8</v>
      </c>
      <c r="F14">
        <v>0.8</v>
      </c>
      <c r="G14">
        <v>0.8</v>
      </c>
      <c r="H14">
        <v>0</v>
      </c>
      <c r="I14">
        <v>0.8</v>
      </c>
      <c r="J14">
        <v>0.8</v>
      </c>
      <c r="K14">
        <v>0</v>
      </c>
      <c r="L14">
        <v>0</v>
      </c>
      <c r="M14">
        <v>0</v>
      </c>
      <c r="N14">
        <v>0</v>
      </c>
    </row>
    <row r="15" spans="1:14" x14ac:dyDescent="0.15">
      <c r="A15">
        <v>14</v>
      </c>
      <c r="B15" s="195" t="s">
        <v>205</v>
      </c>
      <c r="C15">
        <v>0.8</v>
      </c>
      <c r="D15">
        <v>0.8</v>
      </c>
      <c r="E15">
        <v>0.8</v>
      </c>
      <c r="F15">
        <v>0.8</v>
      </c>
      <c r="G15">
        <v>0.8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</row>
    <row r="16" spans="1:14" x14ac:dyDescent="0.15">
      <c r="A16">
        <v>15</v>
      </c>
      <c r="B16" s="195" t="s">
        <v>206</v>
      </c>
      <c r="C16">
        <v>0.8</v>
      </c>
      <c r="D16">
        <v>0.8</v>
      </c>
      <c r="E16">
        <v>0.8</v>
      </c>
      <c r="F16">
        <v>0.8</v>
      </c>
      <c r="G16">
        <v>0.8</v>
      </c>
      <c r="H16">
        <v>0</v>
      </c>
      <c r="I16">
        <v>0.8</v>
      </c>
      <c r="J16">
        <v>0.8</v>
      </c>
      <c r="K16">
        <v>0</v>
      </c>
      <c r="L16">
        <v>0</v>
      </c>
      <c r="M16">
        <v>0</v>
      </c>
      <c r="N16">
        <v>0</v>
      </c>
    </row>
    <row r="17" spans="1:14" x14ac:dyDescent="0.15">
      <c r="A17">
        <v>16</v>
      </c>
      <c r="B17" s="195" t="s">
        <v>207</v>
      </c>
      <c r="C17">
        <v>0.8</v>
      </c>
      <c r="D17">
        <v>0.8</v>
      </c>
      <c r="E17">
        <v>0.8</v>
      </c>
      <c r="F17">
        <v>0.8</v>
      </c>
      <c r="G17">
        <v>0.8</v>
      </c>
      <c r="H17">
        <v>0.8</v>
      </c>
      <c r="I17">
        <v>0.8</v>
      </c>
      <c r="J17">
        <v>0</v>
      </c>
      <c r="K17">
        <v>0</v>
      </c>
      <c r="L17">
        <v>0</v>
      </c>
      <c r="M17">
        <v>0</v>
      </c>
      <c r="N17">
        <v>0</v>
      </c>
    </row>
    <row r="18" spans="1:14" x14ac:dyDescent="0.15">
      <c r="A18">
        <v>17</v>
      </c>
      <c r="B18" s="195" t="s">
        <v>208</v>
      </c>
      <c r="C18">
        <v>0.8</v>
      </c>
      <c r="D18">
        <v>0.8</v>
      </c>
      <c r="E18">
        <v>0.8</v>
      </c>
      <c r="F18">
        <v>0.8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15">
      <c r="A19">
        <v>18</v>
      </c>
      <c r="B19" s="195" t="s">
        <v>209</v>
      </c>
      <c r="C19">
        <v>0.8</v>
      </c>
      <c r="D19">
        <v>0.8</v>
      </c>
      <c r="E19">
        <v>0.8</v>
      </c>
      <c r="F19">
        <v>0.8</v>
      </c>
      <c r="G19">
        <v>0.8</v>
      </c>
      <c r="H19">
        <v>0.8</v>
      </c>
      <c r="I19">
        <v>0.8</v>
      </c>
      <c r="J19">
        <v>0</v>
      </c>
      <c r="K19">
        <v>0</v>
      </c>
      <c r="L19">
        <v>0</v>
      </c>
      <c r="M19">
        <v>0</v>
      </c>
      <c r="N19">
        <v>0</v>
      </c>
    </row>
    <row r="20" spans="1:14" x14ac:dyDescent="0.15">
      <c r="A20">
        <v>19</v>
      </c>
      <c r="B20" s="195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</row>
    <row r="21" spans="1:14" x14ac:dyDescent="0.15">
      <c r="A21">
        <v>20</v>
      </c>
      <c r="B21" s="195" t="s">
        <v>211</v>
      </c>
      <c r="C21">
        <v>0.8</v>
      </c>
      <c r="D21">
        <v>0.8</v>
      </c>
      <c r="E21">
        <v>0.8</v>
      </c>
      <c r="F21">
        <v>0.8</v>
      </c>
      <c r="G21">
        <v>0.8</v>
      </c>
      <c r="H21">
        <v>0.8</v>
      </c>
      <c r="I21">
        <v>0.8</v>
      </c>
      <c r="J21">
        <v>0.8</v>
      </c>
      <c r="K21">
        <v>0</v>
      </c>
      <c r="L21">
        <v>0</v>
      </c>
      <c r="M21">
        <v>0</v>
      </c>
      <c r="N21">
        <v>0</v>
      </c>
    </row>
    <row r="22" spans="1:14" x14ac:dyDescent="0.15">
      <c r="A22">
        <v>21</v>
      </c>
      <c r="B22" s="195" t="s">
        <v>212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</row>
    <row r="23" spans="1:14" x14ac:dyDescent="0.15">
      <c r="A23">
        <v>22</v>
      </c>
      <c r="B23" s="195" t="s">
        <v>213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</row>
    <row r="24" spans="1:14" x14ac:dyDescent="0.15">
      <c r="A24">
        <v>23</v>
      </c>
      <c r="B24" s="195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</row>
    <row r="25" spans="1:14" x14ac:dyDescent="0.15">
      <c r="A25">
        <v>24</v>
      </c>
      <c r="B25" s="195" t="s">
        <v>215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</row>
    <row r="26" spans="1:14" x14ac:dyDescent="0.15">
      <c r="A26">
        <v>25</v>
      </c>
      <c r="B26" s="195" t="s">
        <v>216</v>
      </c>
      <c r="C26">
        <v>0</v>
      </c>
      <c r="D26">
        <v>0</v>
      </c>
      <c r="E26">
        <v>0.8</v>
      </c>
      <c r="F26">
        <v>0.8</v>
      </c>
      <c r="G26">
        <v>0.8</v>
      </c>
      <c r="H26">
        <v>0.8</v>
      </c>
      <c r="I26">
        <v>0.8</v>
      </c>
      <c r="J26">
        <v>0</v>
      </c>
      <c r="K26">
        <v>0</v>
      </c>
      <c r="L26">
        <v>0</v>
      </c>
      <c r="M26">
        <v>0</v>
      </c>
      <c r="N26">
        <v>0</v>
      </c>
    </row>
    <row r="27" spans="1:14" x14ac:dyDescent="0.15">
      <c r="A27">
        <v>26</v>
      </c>
      <c r="B27" s="195" t="s">
        <v>217</v>
      </c>
      <c r="C27">
        <v>0.8</v>
      </c>
      <c r="D27">
        <v>0</v>
      </c>
      <c r="E27">
        <v>0.8</v>
      </c>
      <c r="F27">
        <v>0.8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0.8</v>
      </c>
      <c r="N27">
        <v>0</v>
      </c>
    </row>
    <row r="28" spans="1:14" x14ac:dyDescent="0.15">
      <c r="A28">
        <v>27</v>
      </c>
      <c r="B28" s="195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</row>
    <row r="29" spans="1:14" x14ac:dyDescent="0.15">
      <c r="A29">
        <v>28</v>
      </c>
      <c r="B29" s="195" t="s">
        <v>219</v>
      </c>
      <c r="C29">
        <v>0.8</v>
      </c>
      <c r="D29">
        <v>0</v>
      </c>
      <c r="E29">
        <v>0.8</v>
      </c>
      <c r="F29">
        <v>0</v>
      </c>
      <c r="G29">
        <v>0.8</v>
      </c>
      <c r="H29">
        <v>0</v>
      </c>
      <c r="I29">
        <v>0.8</v>
      </c>
      <c r="J29">
        <v>0</v>
      </c>
      <c r="K29">
        <v>0</v>
      </c>
      <c r="L29">
        <v>0</v>
      </c>
      <c r="M29">
        <v>0.8</v>
      </c>
      <c r="N29">
        <v>0</v>
      </c>
    </row>
    <row r="30" spans="1:14" x14ac:dyDescent="0.15">
      <c r="A30">
        <v>29</v>
      </c>
      <c r="B30" s="195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0.8</v>
      </c>
      <c r="L30">
        <v>0</v>
      </c>
      <c r="M30">
        <v>0</v>
      </c>
      <c r="N30">
        <v>0</v>
      </c>
    </row>
    <row r="31" spans="1:14" x14ac:dyDescent="0.15">
      <c r="A31">
        <v>30</v>
      </c>
      <c r="B31" s="195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</row>
    <row r="32" spans="1:14" x14ac:dyDescent="0.15">
      <c r="A32">
        <v>31</v>
      </c>
      <c r="B32" s="195" t="s">
        <v>222</v>
      </c>
      <c r="C32">
        <v>0</v>
      </c>
      <c r="D32">
        <v>0.8</v>
      </c>
      <c r="E32">
        <v>0</v>
      </c>
      <c r="F32">
        <v>0</v>
      </c>
      <c r="G32">
        <v>0</v>
      </c>
      <c r="H32">
        <v>0</v>
      </c>
      <c r="I32">
        <v>0</v>
      </c>
      <c r="J32">
        <v>0.8</v>
      </c>
      <c r="K32">
        <v>0</v>
      </c>
      <c r="L32">
        <v>0</v>
      </c>
      <c r="M32">
        <v>0</v>
      </c>
      <c r="N32">
        <v>0</v>
      </c>
    </row>
    <row r="33" spans="1:14" x14ac:dyDescent="0.15">
      <c r="A33">
        <v>32</v>
      </c>
      <c r="B33" s="195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</row>
    <row r="34" spans="1:14" x14ac:dyDescent="0.15">
      <c r="A34">
        <v>33</v>
      </c>
      <c r="B34" s="195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</row>
    <row r="35" spans="1:14" x14ac:dyDescent="0.15">
      <c r="A35">
        <v>34</v>
      </c>
      <c r="B35" s="195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0.8</v>
      </c>
      <c r="M35">
        <v>0</v>
      </c>
      <c r="N35">
        <v>0</v>
      </c>
    </row>
    <row r="36" spans="1:14" x14ac:dyDescent="0.15">
      <c r="A36">
        <v>35</v>
      </c>
      <c r="B36" s="195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0.8</v>
      </c>
      <c r="M36">
        <v>0</v>
      </c>
      <c r="N36">
        <v>0</v>
      </c>
    </row>
    <row r="37" spans="1:14" x14ac:dyDescent="0.15">
      <c r="A37">
        <v>36</v>
      </c>
      <c r="B37" s="195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</row>
    <row r="38" spans="1:14" x14ac:dyDescent="0.15">
      <c r="A38">
        <v>37</v>
      </c>
      <c r="B38" s="195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</row>
    <row r="39" spans="1:14" x14ac:dyDescent="0.15">
      <c r="A39">
        <v>38</v>
      </c>
      <c r="B39" s="195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</row>
    <row r="40" spans="1:14" x14ac:dyDescent="0.15">
      <c r="A40">
        <v>39</v>
      </c>
      <c r="B40" s="195" t="s">
        <v>230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</row>
    <row r="41" spans="1:14" x14ac:dyDescent="0.15">
      <c r="A41">
        <v>40</v>
      </c>
      <c r="B41" s="195" t="s">
        <v>231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4" sqref="K4"/>
    </sheetView>
  </sheetViews>
  <sheetFormatPr baseColWidth="10" defaultColWidth="8.83203125" defaultRowHeight="15" customHeight="1" x14ac:dyDescent="0.15"/>
  <cols>
    <col min="1" max="1" width="8.83203125" style="84"/>
    <col min="2" max="2" width="41.83203125" style="84" bestFit="1" customWidth="1"/>
    <col min="3" max="3" width="9.33203125" style="84" bestFit="1" customWidth="1"/>
    <col min="4" max="4" width="13" style="84" bestFit="1" customWidth="1"/>
    <col min="5" max="6" width="9.33203125" style="84" bestFit="1" customWidth="1"/>
    <col min="7" max="7" width="9.33203125" style="100" bestFit="1" customWidth="1"/>
    <col min="8" max="8" width="9.33203125" style="84" bestFit="1" customWidth="1"/>
    <col min="9" max="9" width="11" style="84" customWidth="1"/>
    <col min="10" max="10" width="8.83203125" style="84"/>
    <col min="15" max="16384" width="8.83203125" style="84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5" t="s">
        <v>14</v>
      </c>
      <c r="H1" s="1" t="s">
        <v>26</v>
      </c>
      <c r="I1" s="1" t="s">
        <v>24</v>
      </c>
    </row>
    <row r="2" spans="1:10" ht="15" customHeight="1" x14ac:dyDescent="0.15">
      <c r="A2" s="148">
        <v>1</v>
      </c>
      <c r="B2" s="148" t="s">
        <v>192</v>
      </c>
      <c r="C2" s="8">
        <v>3.5904407501220703</v>
      </c>
      <c r="D2" s="9">
        <v>0.22949999570846558</v>
      </c>
      <c r="E2" s="9">
        <v>3.9999999105930328E-2</v>
      </c>
      <c r="F2" s="9">
        <v>10.170000076293945</v>
      </c>
      <c r="G2" s="7">
        <v>0</v>
      </c>
      <c r="H2" s="9">
        <v>3.9331363514065742E-3</v>
      </c>
      <c r="I2">
        <v>0</v>
      </c>
      <c r="J2"/>
    </row>
    <row r="3" spans="1:10" ht="15" customHeight="1" x14ac:dyDescent="0.15">
      <c r="A3" s="149">
        <v>2</v>
      </c>
      <c r="B3" s="149" t="s">
        <v>193</v>
      </c>
      <c r="C3" s="8">
        <v>4.1602292060852051</v>
      </c>
      <c r="D3" s="9">
        <v>2.500000037252903E-2</v>
      </c>
      <c r="E3" s="9">
        <v>0.12399999797344208</v>
      </c>
      <c r="F3" s="9">
        <v>11.800000190734863</v>
      </c>
      <c r="G3" s="9">
        <v>6.4516127109527588E-2</v>
      </c>
      <c r="H3" s="9">
        <v>1.0508473962545395E-2</v>
      </c>
      <c r="I3">
        <v>1.9999999494757503E-4</v>
      </c>
      <c r="J3"/>
    </row>
    <row r="4" spans="1:10" ht="15" customHeight="1" x14ac:dyDescent="0.15">
      <c r="A4" s="150">
        <v>3</v>
      </c>
      <c r="B4" s="150" t="s">
        <v>194</v>
      </c>
      <c r="C4" s="8">
        <v>3.2731761932373047</v>
      </c>
      <c r="D4" s="9">
        <v>1.2000000104308128E-2</v>
      </c>
      <c r="E4" s="9">
        <v>0.25</v>
      </c>
      <c r="F4" s="9">
        <v>55</v>
      </c>
      <c r="G4" s="9">
        <v>0.24436153471469879</v>
      </c>
      <c r="H4" s="9">
        <v>4.5454544015228748E-3</v>
      </c>
      <c r="I4">
        <v>0</v>
      </c>
      <c r="J4"/>
    </row>
    <row r="5" spans="1:10" ht="15" customHeight="1" x14ac:dyDescent="0.15">
      <c r="A5" s="151">
        <v>4</v>
      </c>
      <c r="B5" s="151" t="s">
        <v>195</v>
      </c>
      <c r="C5" s="8">
        <v>3.6826648712158203</v>
      </c>
      <c r="D5" s="9">
        <v>1.218000054359436</v>
      </c>
      <c r="E5" s="9">
        <v>0.63099998235702515</v>
      </c>
      <c r="F5" s="9">
        <v>2.0999999046325684</v>
      </c>
      <c r="G5" s="9">
        <v>0.67506992816925049</v>
      </c>
      <c r="H5" s="9">
        <v>0.30047619342803955</v>
      </c>
      <c r="I5">
        <v>0.5057380199432373</v>
      </c>
      <c r="J5"/>
    </row>
    <row r="6" spans="1:10" ht="15" customHeight="1" x14ac:dyDescent="0.15">
      <c r="A6" s="152">
        <v>5</v>
      </c>
      <c r="B6" s="152" t="s">
        <v>196</v>
      </c>
      <c r="C6" s="8">
        <v>3.3597414493560791</v>
      </c>
      <c r="D6" s="9">
        <v>0.75599998235702515</v>
      </c>
      <c r="E6" s="9">
        <v>0.75</v>
      </c>
      <c r="F6" s="9">
        <v>5.0199999809265137</v>
      </c>
      <c r="G6" s="9">
        <v>0.98131591081619263</v>
      </c>
      <c r="H6" s="9">
        <v>0.14940239489078522</v>
      </c>
      <c r="I6">
        <v>0.21507899463176727</v>
      </c>
      <c r="J6"/>
    </row>
    <row r="7" spans="1:10" ht="15" customHeight="1" x14ac:dyDescent="0.15">
      <c r="A7" s="153">
        <v>6</v>
      </c>
      <c r="B7" s="153" t="s">
        <v>197</v>
      </c>
      <c r="C7" s="8">
        <v>3.6268172264099121</v>
      </c>
      <c r="D7" s="9">
        <v>0.79850000143051147</v>
      </c>
      <c r="E7" s="9">
        <v>1.1529999971389771</v>
      </c>
      <c r="F7" s="9">
        <v>7.4197001457214355</v>
      </c>
      <c r="G7" s="9">
        <v>0.55788105726242065</v>
      </c>
      <c r="H7" s="9">
        <v>0.15539711713790894</v>
      </c>
      <c r="I7">
        <v>0.41050401329994202</v>
      </c>
      <c r="J7"/>
    </row>
    <row r="8" spans="1:10" ht="15" customHeight="1" x14ac:dyDescent="0.15">
      <c r="A8" s="154">
        <v>7</v>
      </c>
      <c r="B8" s="154" t="s">
        <v>198</v>
      </c>
      <c r="C8" s="8">
        <v>3.4948163032531738</v>
      </c>
      <c r="D8" s="9">
        <v>2.1318552494049072</v>
      </c>
      <c r="E8" s="9">
        <v>1.0169999599456787</v>
      </c>
      <c r="F8" s="9">
        <v>7.7729997634887695</v>
      </c>
      <c r="G8" s="9">
        <v>0.95000070333480835</v>
      </c>
      <c r="H8" s="9">
        <v>0.13083751499652863</v>
      </c>
      <c r="I8">
        <v>0.11501599848270416</v>
      </c>
      <c r="J8"/>
    </row>
    <row r="9" spans="1:10" ht="15" customHeight="1" x14ac:dyDescent="0.15">
      <c r="A9" s="155">
        <v>8</v>
      </c>
      <c r="B9" s="155" t="s">
        <v>199</v>
      </c>
      <c r="C9" s="8">
        <v>3.2223105430603027</v>
      </c>
      <c r="D9" s="9">
        <v>0.8399999737739563</v>
      </c>
      <c r="E9" s="9">
        <v>0.44999998807907104</v>
      </c>
      <c r="F9" s="9">
        <v>4</v>
      </c>
      <c r="G9" s="9">
        <v>0.88589644432067871</v>
      </c>
      <c r="H9" s="9">
        <v>0.11249999701976776</v>
      </c>
      <c r="I9">
        <v>0.12420701235532761</v>
      </c>
      <c r="J9"/>
    </row>
    <row r="10" spans="1:10" ht="15" customHeight="1" x14ac:dyDescent="0.15">
      <c r="A10" s="156">
        <v>9</v>
      </c>
      <c r="B10" s="156" t="s">
        <v>200</v>
      </c>
      <c r="C10" s="8">
        <v>3.0750095844268799</v>
      </c>
      <c r="D10" s="9">
        <v>1.0770000219345093</v>
      </c>
      <c r="E10" s="9">
        <v>0.25</v>
      </c>
      <c r="F10" s="9">
        <v>1.2000000476837158</v>
      </c>
      <c r="G10" s="9">
        <v>0.5764622688293457</v>
      </c>
      <c r="H10" s="9">
        <v>0.2083333283662796</v>
      </c>
      <c r="I10">
        <v>4.2138997465372086E-2</v>
      </c>
      <c r="J10"/>
    </row>
    <row r="11" spans="1:10" ht="15" customHeight="1" x14ac:dyDescent="0.15">
      <c r="A11" s="157">
        <v>10</v>
      </c>
      <c r="B11" s="157" t="s">
        <v>201</v>
      </c>
      <c r="C11" s="8">
        <v>4.1517858505249023</v>
      </c>
      <c r="D11" s="9">
        <v>5.4000001400709152E-2</v>
      </c>
      <c r="E11" s="9">
        <v>0.23000000417232513</v>
      </c>
      <c r="F11" s="9">
        <v>1.5333333015441895</v>
      </c>
      <c r="G11" s="9">
        <v>0.6811593770980835</v>
      </c>
      <c r="H11" s="9">
        <v>0.15000000596046448</v>
      </c>
      <c r="I11">
        <v>8.4600001573562622E-3</v>
      </c>
      <c r="J11"/>
    </row>
    <row r="12" spans="1:10" ht="15" customHeight="1" x14ac:dyDescent="0.15">
      <c r="A12" s="158">
        <v>11</v>
      </c>
      <c r="B12" s="158" t="s">
        <v>202</v>
      </c>
      <c r="C12" s="8">
        <v>3.7513589859008789</v>
      </c>
      <c r="D12" s="9">
        <v>1.6000000759959221E-2</v>
      </c>
      <c r="E12" s="9">
        <v>0.46000000834465027</v>
      </c>
      <c r="F12" s="9">
        <v>2.75</v>
      </c>
      <c r="G12" s="9">
        <v>0.63994961977005005</v>
      </c>
      <c r="H12" s="9">
        <v>0.16727273166179657</v>
      </c>
      <c r="I12">
        <v>3.5899999784305692E-4</v>
      </c>
      <c r="J12"/>
    </row>
    <row r="13" spans="1:10" ht="15" customHeight="1" x14ac:dyDescent="0.15">
      <c r="A13" s="159">
        <v>12</v>
      </c>
      <c r="B13" s="159" t="s">
        <v>203</v>
      </c>
      <c r="C13" s="8">
        <v>3.1300144195556641</v>
      </c>
      <c r="D13" s="9">
        <v>0.65200001001358032</v>
      </c>
      <c r="E13" s="9">
        <v>0.34099999070167542</v>
      </c>
      <c r="F13" s="9">
        <v>2.7000000476837158</v>
      </c>
      <c r="G13" s="9">
        <v>0.56256121397018433</v>
      </c>
      <c r="H13" s="9">
        <v>0.12629629671573639</v>
      </c>
      <c r="I13">
        <v>2.5569003075361252E-2</v>
      </c>
      <c r="J13"/>
    </row>
    <row r="14" spans="1:10" ht="15" customHeight="1" x14ac:dyDescent="0.15">
      <c r="A14" s="160">
        <v>13</v>
      </c>
      <c r="B14" s="160" t="s">
        <v>204</v>
      </c>
      <c r="C14" s="8">
        <v>3.4638164043426514</v>
      </c>
      <c r="D14" s="9">
        <v>0.27399998903274536</v>
      </c>
      <c r="E14" s="9">
        <v>0.20000000298023224</v>
      </c>
      <c r="F14" s="9">
        <v>1.8799999952316284</v>
      </c>
      <c r="G14" s="10"/>
      <c r="H14" s="9">
        <v>0.10638298094272614</v>
      </c>
      <c r="I14">
        <v>2.4666167795658112E-2</v>
      </c>
      <c r="J14"/>
    </row>
    <row r="15" spans="1:10" ht="15" customHeight="1" x14ac:dyDescent="0.15">
      <c r="A15" s="161">
        <v>14</v>
      </c>
      <c r="B15" s="161" t="s">
        <v>205</v>
      </c>
      <c r="C15" s="8">
        <v>3.8337397575378418</v>
      </c>
      <c r="D15" s="9">
        <v>0.24099999666213989</v>
      </c>
      <c r="E15" s="9">
        <v>0.23000000417232513</v>
      </c>
      <c r="F15" s="9">
        <v>2</v>
      </c>
      <c r="G15" s="9">
        <v>0.1348220556974411</v>
      </c>
      <c r="H15" s="9">
        <v>0.11500000208616257</v>
      </c>
      <c r="I15">
        <v>3.0259999912232161E-3</v>
      </c>
      <c r="J15"/>
    </row>
    <row r="16" spans="1:10" ht="15" customHeight="1" x14ac:dyDescent="0.15">
      <c r="A16" s="162">
        <v>15</v>
      </c>
      <c r="B16" s="162" t="s">
        <v>206</v>
      </c>
      <c r="C16" s="8">
        <v>3.4332141876220703</v>
      </c>
      <c r="D16" s="9">
        <v>3.4000000953674316</v>
      </c>
      <c r="E16" s="9">
        <v>0.24199999868869781</v>
      </c>
      <c r="F16" s="9">
        <v>2</v>
      </c>
      <c r="G16" s="9">
        <v>0.39357724785804749</v>
      </c>
      <c r="H16" s="9">
        <v>0.12099999934434891</v>
      </c>
      <c r="I16">
        <v>6.2793001532554626E-2</v>
      </c>
      <c r="J16"/>
    </row>
    <row r="17" spans="1:10" ht="15" customHeight="1" x14ac:dyDescent="0.15">
      <c r="A17" s="163">
        <v>16</v>
      </c>
      <c r="B17" s="163" t="s">
        <v>207</v>
      </c>
      <c r="C17" s="8">
        <v>3.6373391151428223</v>
      </c>
      <c r="D17" s="9">
        <v>0.97600001096725464</v>
      </c>
      <c r="E17" s="9">
        <v>0.34999999403953552</v>
      </c>
      <c r="F17" s="9">
        <v>3</v>
      </c>
      <c r="G17" s="9">
        <v>0.93712592124938965</v>
      </c>
      <c r="H17" s="9">
        <v>0.11666666716337204</v>
      </c>
      <c r="I17">
        <v>0.12480899691581726</v>
      </c>
      <c r="J17"/>
    </row>
    <row r="18" spans="1:10" ht="15" customHeight="1" x14ac:dyDescent="0.15">
      <c r="A18" s="164">
        <v>17</v>
      </c>
      <c r="B18" s="164" t="s">
        <v>208</v>
      </c>
      <c r="C18" s="8">
        <v>3.38533616065979</v>
      </c>
      <c r="D18" s="9">
        <v>0.59200000762939453</v>
      </c>
      <c r="E18" s="9">
        <v>0.28999999165534973</v>
      </c>
      <c r="F18" s="9">
        <v>2.2000000476837158</v>
      </c>
      <c r="G18" s="9">
        <v>0.85189300775527954</v>
      </c>
      <c r="H18" s="9">
        <v>0.13181817531585693</v>
      </c>
      <c r="I18">
        <v>3.580999793484807E-3</v>
      </c>
      <c r="J18"/>
    </row>
    <row r="19" spans="1:10" ht="15" customHeight="1" x14ac:dyDescent="0.15">
      <c r="A19" s="165">
        <v>18</v>
      </c>
      <c r="B19" s="165" t="s">
        <v>209</v>
      </c>
      <c r="C19" s="8">
        <v>4.3725605010986328</v>
      </c>
      <c r="D19" s="9">
        <v>0.19900000095367432</v>
      </c>
      <c r="E19" s="9">
        <v>0.30099999904632568</v>
      </c>
      <c r="F19" s="9">
        <v>3</v>
      </c>
      <c r="G19" s="9">
        <v>0.55355405807495117</v>
      </c>
      <c r="H19" s="9">
        <v>0.10033333301544189</v>
      </c>
      <c r="I19">
        <v>1.4413999393582344E-2</v>
      </c>
      <c r="J19"/>
    </row>
    <row r="20" spans="1:10" ht="15" customHeight="1" x14ac:dyDescent="0.15">
      <c r="A20" s="166">
        <v>19</v>
      </c>
      <c r="B20" s="166" t="s">
        <v>210</v>
      </c>
      <c r="C20" s="8">
        <v>3.9461207389831543</v>
      </c>
      <c r="D20" s="9">
        <v>0.1125587597489357</v>
      </c>
      <c r="E20" s="9">
        <v>0.78000003099441528</v>
      </c>
      <c r="F20" s="9">
        <v>5.1999998092651367</v>
      </c>
      <c r="G20" s="9">
        <v>0.95000284910202026</v>
      </c>
      <c r="H20" s="9">
        <v>0.15000000596046448</v>
      </c>
      <c r="I20">
        <v>0</v>
      </c>
      <c r="J20"/>
    </row>
    <row r="21" spans="1:10" ht="15" customHeight="1" x14ac:dyDescent="0.15">
      <c r="A21" s="167">
        <v>20</v>
      </c>
      <c r="B21" s="167" t="s">
        <v>211</v>
      </c>
      <c r="C21" s="8">
        <v>3.4650194644927979</v>
      </c>
      <c r="D21" s="9">
        <v>0.103819340467453</v>
      </c>
      <c r="E21" s="9">
        <v>0.34400001168251038</v>
      </c>
      <c r="F21" s="9">
        <v>2.2933332920074463</v>
      </c>
      <c r="G21" s="9">
        <v>0.95000314712524414</v>
      </c>
      <c r="H21" s="9">
        <v>0.15000000596046448</v>
      </c>
      <c r="I21">
        <v>6.6559994593262672E-3</v>
      </c>
      <c r="J21"/>
    </row>
    <row r="22" spans="1:10" ht="15" customHeight="1" x14ac:dyDescent="0.15">
      <c r="A22" s="168">
        <v>21</v>
      </c>
      <c r="B22" s="168" t="s">
        <v>212</v>
      </c>
      <c r="C22" s="8">
        <v>3.2677574157714844</v>
      </c>
      <c r="D22" s="9">
        <v>0.22343108057975769</v>
      </c>
      <c r="E22" s="9">
        <v>0.69999998807907104</v>
      </c>
      <c r="F22" s="9">
        <v>4.6666665077209473</v>
      </c>
      <c r="G22" s="9">
        <v>0.95000189542770386</v>
      </c>
      <c r="H22" s="9">
        <v>0.15000000596046448</v>
      </c>
      <c r="I22">
        <v>0</v>
      </c>
      <c r="J22"/>
    </row>
    <row r="23" spans="1:10" ht="15" customHeight="1" x14ac:dyDescent="0.15">
      <c r="A23" s="169">
        <v>22</v>
      </c>
      <c r="B23" s="169" t="s">
        <v>213</v>
      </c>
      <c r="C23" s="8">
        <v>3.1200590133666992</v>
      </c>
      <c r="D23" s="9">
        <v>0.25997057557106018</v>
      </c>
      <c r="E23" s="9">
        <v>0.64999997615814209</v>
      </c>
      <c r="F23" s="9">
        <v>4.2699999809265137</v>
      </c>
      <c r="G23" s="9">
        <v>0.95000189542770386</v>
      </c>
      <c r="H23" s="9">
        <v>0.1522248238325119</v>
      </c>
      <c r="I23">
        <v>0</v>
      </c>
      <c r="J23"/>
    </row>
    <row r="24" spans="1:10" ht="15" customHeight="1" x14ac:dyDescent="0.15">
      <c r="A24" s="170">
        <v>23</v>
      </c>
      <c r="B24" s="170" t="s">
        <v>214</v>
      </c>
      <c r="C24" s="8">
        <v>3.2225272655487061</v>
      </c>
      <c r="D24" s="9">
        <v>2.8000000864267349E-2</v>
      </c>
      <c r="E24" s="9">
        <v>0.69999998807907104</v>
      </c>
      <c r="F24" s="9">
        <v>4.6666665077209473</v>
      </c>
      <c r="G24" s="9">
        <v>0.91685295104980469</v>
      </c>
      <c r="H24" s="9">
        <v>0.15000000596046448</v>
      </c>
      <c r="I24">
        <v>0</v>
      </c>
      <c r="J24"/>
    </row>
    <row r="25" spans="1:10" ht="15" customHeight="1" x14ac:dyDescent="0.15">
      <c r="A25" s="171">
        <v>24</v>
      </c>
      <c r="B25" s="171" t="s">
        <v>215</v>
      </c>
      <c r="C25" s="8">
        <v>3.0571167469024658</v>
      </c>
      <c r="D25" s="9">
        <v>1.1039396524429321</v>
      </c>
      <c r="E25" s="9">
        <v>1.1499999761581421</v>
      </c>
      <c r="F25" s="9">
        <v>7.6666660308837891</v>
      </c>
      <c r="G25" s="9">
        <v>0.95000231266021729</v>
      </c>
      <c r="H25" s="9">
        <v>0.15000000596046448</v>
      </c>
      <c r="I25">
        <v>0</v>
      </c>
      <c r="J25"/>
    </row>
    <row r="26" spans="1:10" ht="15" customHeight="1" x14ac:dyDescent="0.15">
      <c r="A26" s="172">
        <v>25</v>
      </c>
      <c r="B26" s="172" t="s">
        <v>216</v>
      </c>
      <c r="C26" s="8">
        <v>4.3833413124084473</v>
      </c>
      <c r="D26" s="9">
        <v>4.6009000390768051E-2</v>
      </c>
      <c r="E26" s="9">
        <v>0.23999999463558197</v>
      </c>
      <c r="F26" s="9">
        <v>2</v>
      </c>
      <c r="G26" s="9">
        <v>0.38961207866668701</v>
      </c>
      <c r="H26" s="9">
        <v>0.11999999731779099</v>
      </c>
      <c r="I26">
        <v>3.827839158475399E-3</v>
      </c>
      <c r="J26"/>
    </row>
    <row r="27" spans="1:10" ht="15" customHeight="1" x14ac:dyDescent="0.15">
      <c r="A27" s="173">
        <v>26</v>
      </c>
      <c r="B27" s="173" t="s">
        <v>217</v>
      </c>
      <c r="C27" s="8">
        <v>3.2560358047485352</v>
      </c>
      <c r="D27" s="9">
        <v>1.2153943777084351</v>
      </c>
      <c r="E27" s="9">
        <v>0.50999999046325684</v>
      </c>
      <c r="F27" s="9">
        <v>4.5900001525878906</v>
      </c>
      <c r="G27" s="9">
        <v>0.95000094175338745</v>
      </c>
      <c r="H27" s="9">
        <v>0.1111111044883728</v>
      </c>
      <c r="I27">
        <v>3.877999959513545E-3</v>
      </c>
      <c r="J27"/>
    </row>
    <row r="28" spans="1:10" ht="15" customHeight="1" x14ac:dyDescent="0.15">
      <c r="A28" s="174">
        <v>27</v>
      </c>
      <c r="B28" s="174" t="s">
        <v>218</v>
      </c>
      <c r="C28" s="8">
        <v>3.3374590873718262</v>
      </c>
      <c r="D28" s="9">
        <v>0.63034307956695557</v>
      </c>
      <c r="E28" s="9">
        <v>1.3999999761581421</v>
      </c>
      <c r="F28" s="9">
        <v>5</v>
      </c>
      <c r="G28" s="9">
        <v>0.94999963045120239</v>
      </c>
      <c r="H28" s="9">
        <v>0.2800000011920929</v>
      </c>
      <c r="I28">
        <v>0</v>
      </c>
      <c r="J28"/>
    </row>
    <row r="29" spans="1:10" ht="15" customHeight="1" x14ac:dyDescent="0.15">
      <c r="A29" s="175">
        <v>28</v>
      </c>
      <c r="B29" s="175" t="s">
        <v>219</v>
      </c>
      <c r="C29" s="8">
        <v>3.4649620056152344</v>
      </c>
      <c r="D29" s="9">
        <v>0.65562957525253296</v>
      </c>
      <c r="E29" s="9">
        <v>0.66750001907348633</v>
      </c>
      <c r="F29" s="9">
        <v>4.4499998092651367</v>
      </c>
      <c r="G29" s="9">
        <v>0.9500005841255188</v>
      </c>
      <c r="H29" s="9">
        <v>0.15000000596046448</v>
      </c>
      <c r="I29">
        <v>2.4026401340961456E-2</v>
      </c>
      <c r="J29"/>
    </row>
    <row r="30" spans="1:10" ht="15" customHeight="1" x14ac:dyDescent="0.15">
      <c r="A30" s="176">
        <v>29</v>
      </c>
      <c r="B30" s="176" t="s">
        <v>220</v>
      </c>
      <c r="C30" s="8">
        <v>3.0303537845611572</v>
      </c>
      <c r="D30" s="9">
        <v>0.15000000596046448</v>
      </c>
      <c r="E30" s="9">
        <v>0.15999999642372131</v>
      </c>
      <c r="F30" s="9">
        <v>1.2000000476837158</v>
      </c>
      <c r="G30" s="9">
        <v>0.51140236854553223</v>
      </c>
      <c r="H30" s="9">
        <v>0.13333332538604736</v>
      </c>
      <c r="I30">
        <v>1.0000000474974513E-3</v>
      </c>
      <c r="J30"/>
    </row>
    <row r="31" spans="1:10" ht="15" customHeight="1" x14ac:dyDescent="0.15">
      <c r="A31" s="177">
        <v>30</v>
      </c>
      <c r="B31" s="177" t="s">
        <v>221</v>
      </c>
      <c r="C31" s="8">
        <v>2.9721195697784424</v>
      </c>
      <c r="D31" s="9">
        <v>1.6868537664413452</v>
      </c>
      <c r="E31" s="9">
        <v>0.30000001192092896</v>
      </c>
      <c r="F31" s="9">
        <v>1.5</v>
      </c>
      <c r="G31" s="9">
        <v>0.95000290870666504</v>
      </c>
      <c r="H31" s="9">
        <v>0.20000000298023224</v>
      </c>
      <c r="I31">
        <v>0</v>
      </c>
      <c r="J31"/>
    </row>
    <row r="32" spans="1:10" ht="15" customHeight="1" x14ac:dyDescent="0.15">
      <c r="A32" s="205">
        <v>31</v>
      </c>
      <c r="B32" s="205" t="s">
        <v>222</v>
      </c>
      <c r="C32" s="8">
        <v>2.4451019763946533</v>
      </c>
      <c r="D32" s="9">
        <v>2.7667229175567627</v>
      </c>
      <c r="E32" s="9">
        <v>1.7000000476837158</v>
      </c>
      <c r="F32" s="9">
        <v>11.300000190734863</v>
      </c>
      <c r="G32" s="9">
        <v>0.95000052452087402</v>
      </c>
      <c r="H32" s="9">
        <v>0.15044248104095459</v>
      </c>
      <c r="I32">
        <v>2.7030000928789377E-3</v>
      </c>
      <c r="J32"/>
    </row>
    <row r="33" spans="1:10" ht="15" customHeight="1" x14ac:dyDescent="0.15">
      <c r="A33" s="206">
        <v>32</v>
      </c>
      <c r="B33" s="206" t="s">
        <v>223</v>
      </c>
      <c r="C33" s="8">
        <v>2</v>
      </c>
      <c r="D33" s="9">
        <v>63.700000762939453</v>
      </c>
      <c r="E33" s="9">
        <v>0.60000002384185791</v>
      </c>
      <c r="F33" s="9">
        <v>6.6999998092651367</v>
      </c>
      <c r="G33" s="9">
        <v>8.8314928114414215E-2</v>
      </c>
      <c r="H33" s="9">
        <v>8.9552246034145355E-2</v>
      </c>
      <c r="I33">
        <v>0</v>
      </c>
      <c r="J33"/>
    </row>
    <row r="34" spans="1:10" ht="15" customHeight="1" x14ac:dyDescent="0.15">
      <c r="A34" s="207">
        <v>33</v>
      </c>
      <c r="B34" s="207" t="s">
        <v>224</v>
      </c>
      <c r="C34" s="8">
        <v>2</v>
      </c>
      <c r="D34" s="9">
        <v>11.899999618530273</v>
      </c>
      <c r="E34" s="9">
        <v>2</v>
      </c>
      <c r="F34" s="9">
        <v>27.799999237060547</v>
      </c>
      <c r="G34" s="9">
        <v>0.14615006744861603</v>
      </c>
      <c r="H34" s="9">
        <v>7.1942448616027832E-2</v>
      </c>
      <c r="I34">
        <v>0</v>
      </c>
      <c r="J34"/>
    </row>
    <row r="35" spans="1:10" ht="15" customHeight="1" x14ac:dyDescent="0.15">
      <c r="A35" s="208">
        <v>34</v>
      </c>
      <c r="B35" s="208" t="s">
        <v>225</v>
      </c>
      <c r="C35" s="8">
        <v>2</v>
      </c>
      <c r="D35" s="9">
        <v>57.400001525878906</v>
      </c>
      <c r="E35" s="9">
        <v>0.69999998807907104</v>
      </c>
      <c r="F35" s="9">
        <v>7.7777771949768066</v>
      </c>
      <c r="G35" s="9">
        <v>2.0357050001621246E-2</v>
      </c>
      <c r="H35" s="9">
        <v>9.0000003576278687E-2</v>
      </c>
      <c r="I35">
        <v>1.4509999891743064E-3</v>
      </c>
      <c r="J35"/>
    </row>
    <row r="36" spans="1:10" ht="15" customHeight="1" x14ac:dyDescent="0.15">
      <c r="A36" s="209">
        <v>35</v>
      </c>
      <c r="B36" s="209" t="s">
        <v>226</v>
      </c>
      <c r="C36" s="8">
        <v>2</v>
      </c>
      <c r="D36" s="9">
        <v>4.9000000953674316</v>
      </c>
      <c r="E36" s="9">
        <v>2.5</v>
      </c>
      <c r="F36" s="9">
        <v>12.5</v>
      </c>
      <c r="G36" s="9">
        <v>0.4334867000579834</v>
      </c>
      <c r="H36" s="9">
        <v>0.20000000298023224</v>
      </c>
      <c r="I36">
        <v>1.0000000474974513E-3</v>
      </c>
      <c r="J36"/>
    </row>
    <row r="37" spans="1:10" ht="15" customHeight="1" x14ac:dyDescent="0.15">
      <c r="A37" s="210">
        <v>36</v>
      </c>
      <c r="B37" s="210" t="s">
        <v>227</v>
      </c>
      <c r="C37" s="8">
        <v>2.4591834545135498</v>
      </c>
      <c r="D37" s="9">
        <v>16.130617141723633</v>
      </c>
      <c r="E37" s="9">
        <v>3.0399999618530273</v>
      </c>
      <c r="F37" s="9">
        <v>19.5</v>
      </c>
      <c r="G37" s="9">
        <v>0.94999986886978149</v>
      </c>
      <c r="H37" s="9">
        <v>0.15589743852615356</v>
      </c>
      <c r="I37">
        <v>0</v>
      </c>
      <c r="J37"/>
    </row>
    <row r="38" spans="1:10" ht="15" customHeight="1" x14ac:dyDescent="0.15">
      <c r="A38" s="211">
        <v>37</v>
      </c>
      <c r="B38" s="211" t="s">
        <v>228</v>
      </c>
      <c r="C38" s="8">
        <v>2</v>
      </c>
      <c r="D38" s="9">
        <v>34</v>
      </c>
      <c r="E38" s="9">
        <v>8.3999996185302734</v>
      </c>
      <c r="F38" s="9">
        <v>27.999998092651367</v>
      </c>
      <c r="G38" s="9">
        <v>0.5391240119934082</v>
      </c>
      <c r="H38" s="9">
        <v>0.30000001192092896</v>
      </c>
      <c r="I38">
        <v>0</v>
      </c>
      <c r="J38"/>
    </row>
    <row r="39" spans="1:10" ht="15" customHeight="1" x14ac:dyDescent="0.15">
      <c r="A39" s="212">
        <v>38</v>
      </c>
      <c r="B39" s="212" t="s">
        <v>229</v>
      </c>
      <c r="C39" s="8">
        <v>1</v>
      </c>
      <c r="D39" s="9">
        <v>34.383998870849609</v>
      </c>
      <c r="E39" s="9">
        <v>80.731002807617188</v>
      </c>
      <c r="F39" s="10"/>
      <c r="G39" s="9">
        <v>0.46625709533691406</v>
      </c>
      <c r="H39" s="10"/>
      <c r="I39">
        <v>0</v>
      </c>
      <c r="J39"/>
    </row>
    <row r="40" spans="1:10" ht="15" customHeight="1" x14ac:dyDescent="0.15">
      <c r="A40" s="213">
        <v>39</v>
      </c>
      <c r="B40" s="213" t="s">
        <v>230</v>
      </c>
      <c r="C40" s="8">
        <v>1</v>
      </c>
      <c r="D40" s="9">
        <v>187</v>
      </c>
      <c r="E40" s="10"/>
      <c r="F40" s="10"/>
      <c r="G40" s="9">
        <v>0.49650701880455017</v>
      </c>
      <c r="H40" s="10"/>
      <c r="I40">
        <v>0</v>
      </c>
      <c r="J40"/>
    </row>
    <row r="41" spans="1:10" ht="15" customHeight="1" x14ac:dyDescent="0.15">
      <c r="A41" s="214">
        <v>40</v>
      </c>
      <c r="B41" s="214" t="s">
        <v>231</v>
      </c>
      <c r="C41" s="8">
        <v>1</v>
      </c>
      <c r="D41" s="9">
        <v>5</v>
      </c>
      <c r="E41" s="10"/>
      <c r="F41" s="10"/>
      <c r="G41" s="7">
        <v>0</v>
      </c>
      <c r="H41" s="10"/>
      <c r="I41">
        <v>0</v>
      </c>
      <c r="J41"/>
    </row>
    <row r="42" spans="1:10" ht="15" customHeight="1" x14ac:dyDescent="0.15">
      <c r="A42" s="215">
        <v>41</v>
      </c>
      <c r="B42" s="215" t="s">
        <v>232</v>
      </c>
      <c r="C42" s="8">
        <v>4.5036206245422363</v>
      </c>
      <c r="D42" s="10"/>
      <c r="E42" s="10"/>
      <c r="F42" s="10"/>
      <c r="G42" s="10"/>
      <c r="H42" s="10"/>
      <c r="I42">
        <v>0.76436823606491089</v>
      </c>
      <c r="J42"/>
    </row>
    <row r="43" spans="1:10" ht="15" customHeight="1" x14ac:dyDescent="0.15">
      <c r="A43" s="216">
        <v>42</v>
      </c>
      <c r="B43" s="216" t="s">
        <v>233</v>
      </c>
      <c r="C43" s="8">
        <v>4.4839272499084473</v>
      </c>
      <c r="D43" s="10"/>
      <c r="E43" s="10"/>
      <c r="F43" s="10"/>
      <c r="G43" s="10"/>
      <c r="H43" s="10"/>
      <c r="I43">
        <v>0.12527699768543243</v>
      </c>
      <c r="J43"/>
    </row>
    <row r="44" spans="1:10" ht="15" customHeight="1" x14ac:dyDescent="0.15">
      <c r="A44" s="217">
        <v>43</v>
      </c>
      <c r="B44" s="217" t="s">
        <v>234</v>
      </c>
      <c r="C44" s="8">
        <v>4.5872082710266113</v>
      </c>
      <c r="D44" s="10"/>
      <c r="E44" s="10"/>
      <c r="F44" s="10"/>
      <c r="G44" s="10"/>
      <c r="H44" s="10"/>
      <c r="I44">
        <v>0.58743202686309814</v>
      </c>
      <c r="J44"/>
    </row>
    <row r="45" spans="1:10" ht="15" customHeight="1" x14ac:dyDescent="0.15">
      <c r="A45" s="218">
        <v>44</v>
      </c>
      <c r="B45" s="218" t="s">
        <v>235</v>
      </c>
      <c r="C45" s="8">
        <v>4.4808311462402344</v>
      </c>
      <c r="D45" s="10"/>
      <c r="E45" s="10"/>
      <c r="F45" s="10"/>
      <c r="G45" s="10"/>
      <c r="H45" s="10"/>
      <c r="I45">
        <v>6.9313511252403259E-2</v>
      </c>
      <c r="J45"/>
    </row>
    <row r="46" spans="1:10" ht="15" customHeight="1" x14ac:dyDescent="0.15">
      <c r="A46" s="219">
        <v>45</v>
      </c>
      <c r="B46" s="219" t="s">
        <v>236</v>
      </c>
      <c r="C46" s="8">
        <v>4.7093381881713867</v>
      </c>
      <c r="D46" s="10"/>
      <c r="E46" s="10"/>
      <c r="F46" s="10"/>
      <c r="G46" s="10"/>
      <c r="H46" s="10"/>
      <c r="I46">
        <v>0.13254217803478241</v>
      </c>
      <c r="J46"/>
    </row>
    <row r="47" spans="1:10" ht="15" customHeight="1" x14ac:dyDescent="0.15">
      <c r="A47" s="220">
        <v>46</v>
      </c>
      <c r="B47" s="220" t="s">
        <v>237</v>
      </c>
      <c r="C47" s="8">
        <v>4.8123292922973633</v>
      </c>
      <c r="D47" s="10"/>
      <c r="E47" s="10"/>
      <c r="F47" s="10"/>
      <c r="G47" s="10"/>
      <c r="H47" s="10"/>
      <c r="I47">
        <v>9.261629544198513E-3</v>
      </c>
      <c r="J47"/>
    </row>
    <row r="48" spans="1:10" ht="15" customHeight="1" x14ac:dyDescent="0.15">
      <c r="A48" s="221">
        <v>47</v>
      </c>
      <c r="B48" s="221" t="s">
        <v>238</v>
      </c>
      <c r="C48" s="8">
        <v>4.663724422454834</v>
      </c>
      <c r="D48" s="10"/>
      <c r="E48" s="10"/>
      <c r="F48" s="10"/>
      <c r="G48" s="10"/>
      <c r="H48" s="10"/>
      <c r="I48">
        <v>1.9175998866558075E-2</v>
      </c>
      <c r="J48"/>
    </row>
    <row r="49" spans="1:10" ht="15" customHeight="1" x14ac:dyDescent="0.15">
      <c r="A49" s="222">
        <v>48</v>
      </c>
      <c r="B49" s="222" t="s">
        <v>239</v>
      </c>
      <c r="C49" s="8">
        <v>3.6961536407470703</v>
      </c>
      <c r="D49" s="10"/>
      <c r="E49" s="10"/>
      <c r="F49" s="10"/>
      <c r="G49" s="10"/>
      <c r="H49" s="10"/>
      <c r="I49">
        <v>3.5069999285042286E-3</v>
      </c>
      <c r="J49"/>
    </row>
    <row r="50" spans="1:10" ht="15" customHeight="1" x14ac:dyDescent="0.15">
      <c r="A50" s="223">
        <v>49</v>
      </c>
      <c r="B50" s="223" t="s">
        <v>240</v>
      </c>
      <c r="C50" s="8">
        <v>4.0303535461425781</v>
      </c>
      <c r="D50" s="10"/>
      <c r="E50" s="10"/>
      <c r="F50" s="10"/>
      <c r="G50" s="10"/>
      <c r="H50" s="10"/>
      <c r="I50">
        <v>1.0000000474974513E-3</v>
      </c>
      <c r="J50"/>
    </row>
    <row r="51" spans="1:10" ht="15" customHeight="1" x14ac:dyDescent="0.15">
      <c r="A51" s="224">
        <v>50</v>
      </c>
      <c r="B51" s="224" t="s">
        <v>241</v>
      </c>
      <c r="C51" s="8">
        <v>3</v>
      </c>
      <c r="D51" s="10"/>
      <c r="E51" s="10"/>
      <c r="F51" s="10"/>
      <c r="G51" s="10"/>
      <c r="H51" s="10"/>
      <c r="I51">
        <v>2.4510000366717577E-3</v>
      </c>
      <c r="J51"/>
    </row>
    <row r="52" spans="1:10" ht="15" customHeight="1" x14ac:dyDescent="0.15">
      <c r="A52" s="225">
        <v>51</v>
      </c>
      <c r="B52" s="225" t="s">
        <v>242</v>
      </c>
      <c r="C52" s="8">
        <v>4.4572367668151855</v>
      </c>
      <c r="D52" s="10"/>
      <c r="E52" s="10"/>
      <c r="F52" s="10"/>
      <c r="G52" s="10"/>
      <c r="H52" s="10"/>
      <c r="I52">
        <v>1.0573999956250191E-2</v>
      </c>
      <c r="J52"/>
    </row>
    <row r="53" spans="1:10" ht="15" customHeight="1" x14ac:dyDescent="0.15">
      <c r="A53" s="226">
        <v>52</v>
      </c>
      <c r="B53" s="226" t="s">
        <v>243</v>
      </c>
      <c r="C53" s="8">
        <v>5.1602296829223633</v>
      </c>
      <c r="D53" s="10"/>
      <c r="E53" s="10"/>
      <c r="F53" s="10"/>
      <c r="G53" s="10"/>
      <c r="H53" s="10"/>
      <c r="I53">
        <v>1.9999999494757503E-4</v>
      </c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4" bestFit="1" customWidth="1"/>
    <col min="2" max="4" width="9.5" style="84" bestFit="1" customWidth="1"/>
    <col min="5" max="7" width="9" style="84" bestFit="1" customWidth="1"/>
    <col min="8" max="16" width="12.6640625" style="84" bestFit="1" customWidth="1"/>
    <col min="17" max="17" width="12.33203125" style="84" bestFit="1" customWidth="1"/>
    <col min="18" max="18" width="8.83203125" style="84"/>
    <col min="19" max="21" width="9.33203125" style="84" bestFit="1" customWidth="1"/>
    <col min="22" max="23" width="8.83203125" style="84"/>
    <col min="24" max="24" width="9.33203125" style="84" bestFit="1" customWidth="1"/>
    <col min="25" max="27" width="8.83203125" style="84"/>
    <col min="28" max="58" width="9" style="84" bestFit="1" customWidth="1"/>
    <col min="59" max="59" width="12.33203125" style="84" bestFit="1" customWidth="1"/>
    <col min="60" max="60" width="9" style="84" bestFit="1" customWidth="1"/>
    <col min="61" max="61" width="11.33203125" style="84" bestFit="1" customWidth="1"/>
    <col min="62" max="77" width="9" style="84" bestFit="1" customWidth="1"/>
    <col min="78" max="78" width="12.33203125" style="84" bestFit="1" customWidth="1"/>
    <col min="79" max="79" width="9" style="84" bestFit="1" customWidth="1"/>
    <col min="80" max="80" width="12.33203125" style="84" bestFit="1" customWidth="1"/>
    <col min="81" max="107" width="9" style="84" bestFit="1" customWidth="1"/>
    <col min="108" max="108" width="11.33203125" style="84" bestFit="1" customWidth="1"/>
    <col min="109" max="124" width="9" style="84" bestFit="1" customWidth="1"/>
    <col min="125" max="125" width="10.33203125" style="84" bestFit="1" customWidth="1"/>
    <col min="126" max="129" width="9.33203125" style="84" bestFit="1" customWidth="1"/>
    <col min="130" max="130" width="9" style="84" bestFit="1" customWidth="1"/>
    <col min="131" max="134" width="9.33203125" style="84" bestFit="1" customWidth="1"/>
    <col min="135" max="165" width="9" style="84" bestFit="1" customWidth="1"/>
    <col min="166" max="166" width="12.33203125" style="84" bestFit="1" customWidth="1"/>
    <col min="167" max="170" width="9" style="84" bestFit="1" customWidth="1"/>
    <col min="171" max="176" width="8.83203125" style="84"/>
    <col min="177" max="177" width="13.83203125" style="84" bestFit="1" customWidth="1"/>
    <col min="178" max="16384" width="8.83203125" style="84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248</v>
      </c>
      <c r="E1" t="s">
        <v>249</v>
      </c>
      <c r="F1" t="s">
        <v>250</v>
      </c>
      <c r="G1" t="s">
        <v>251</v>
      </c>
      <c r="H1" t="s">
        <v>252</v>
      </c>
      <c r="I1" t="s">
        <v>253</v>
      </c>
      <c r="J1" t="s">
        <v>254</v>
      </c>
      <c r="K1" t="s">
        <v>255</v>
      </c>
      <c r="L1" t="s">
        <v>256</v>
      </c>
      <c r="M1" t="s">
        <v>257</v>
      </c>
      <c r="N1" t="s">
        <v>258</v>
      </c>
      <c r="O1" t="s">
        <v>259</v>
      </c>
      <c r="P1" t="s">
        <v>192</v>
      </c>
      <c r="Q1" t="s">
        <v>193</v>
      </c>
      <c r="R1" t="s">
        <v>194</v>
      </c>
      <c r="S1" t="s">
        <v>195</v>
      </c>
      <c r="T1" t="s">
        <v>196</v>
      </c>
      <c r="U1" t="s">
        <v>197</v>
      </c>
      <c r="V1" t="s">
        <v>198</v>
      </c>
      <c r="W1" t="s">
        <v>199</v>
      </c>
      <c r="X1" t="s">
        <v>200</v>
      </c>
      <c r="Y1" t="s">
        <v>201</v>
      </c>
      <c r="Z1" t="s">
        <v>202</v>
      </c>
      <c r="AA1" t="s">
        <v>203</v>
      </c>
      <c r="AB1" t="s">
        <v>204</v>
      </c>
      <c r="AC1" t="s">
        <v>205</v>
      </c>
      <c r="AD1" t="s">
        <v>206</v>
      </c>
      <c r="AE1" t="s">
        <v>207</v>
      </c>
      <c r="AF1" t="s">
        <v>208</v>
      </c>
      <c r="AG1" t="s">
        <v>209</v>
      </c>
      <c r="AH1" t="s">
        <v>210</v>
      </c>
      <c r="AI1" t="s">
        <v>211</v>
      </c>
      <c r="AJ1" t="s">
        <v>212</v>
      </c>
      <c r="AK1" t="s">
        <v>213</v>
      </c>
      <c r="AL1" t="s">
        <v>214</v>
      </c>
      <c r="AM1" t="s">
        <v>215</v>
      </c>
      <c r="AN1" t="s">
        <v>216</v>
      </c>
      <c r="AO1" t="s">
        <v>217</v>
      </c>
      <c r="AP1" t="s">
        <v>218</v>
      </c>
      <c r="AQ1" t="s">
        <v>219</v>
      </c>
      <c r="AR1" t="s">
        <v>220</v>
      </c>
      <c r="AS1" t="s">
        <v>221</v>
      </c>
      <c r="AT1" t="s">
        <v>222</v>
      </c>
      <c r="AU1" t="s">
        <v>223</v>
      </c>
      <c r="AV1" t="s">
        <v>224</v>
      </c>
      <c r="AW1" t="s">
        <v>225</v>
      </c>
      <c r="AX1" t="s">
        <v>226</v>
      </c>
      <c r="AY1" t="s">
        <v>227</v>
      </c>
      <c r="AZ1" t="s">
        <v>228</v>
      </c>
      <c r="BA1" t="s">
        <v>229</v>
      </c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3.9999999105930328E-2</v>
      </c>
      <c r="C2">
        <v>3.9999999105930328E-2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0.12399999797344208</v>
      </c>
      <c r="C3">
        <v>0.11599999666213989</v>
      </c>
      <c r="D3"/>
      <c r="E3"/>
      <c r="F3"/>
      <c r="G3"/>
      <c r="H3"/>
      <c r="I3"/>
      <c r="J3"/>
      <c r="K3"/>
      <c r="L3"/>
      <c r="M3"/>
      <c r="N3"/>
      <c r="O3" s="78">
        <v>7.9999994486570358E-3</v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0.25</v>
      </c>
      <c r="C4">
        <v>0.1889096200466156</v>
      </c>
      <c r="D4"/>
      <c r="E4"/>
      <c r="F4"/>
      <c r="G4"/>
      <c r="H4"/>
      <c r="I4"/>
      <c r="J4"/>
      <c r="K4"/>
      <c r="L4"/>
      <c r="M4"/>
      <c r="N4"/>
      <c r="O4"/>
      <c r="P4"/>
      <c r="Q4"/>
      <c r="R4" s="242">
        <v>5.3185056895017624E-2</v>
      </c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 s="25">
        <v>7.9053286463022232E-3</v>
      </c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0.63099998235702515</v>
      </c>
      <c r="C5">
        <v>0.20503087341785431</v>
      </c>
      <c r="D5" s="227">
        <v>0.2684047520160675</v>
      </c>
      <c r="E5" s="76">
        <v>4.9028731882572174E-2</v>
      </c>
      <c r="F5" s="12">
        <v>2.1059112623333931E-3</v>
      </c>
      <c r="G5" s="15">
        <v>6.2208538874983788E-3</v>
      </c>
      <c r="H5" s="108">
        <v>7.8384235501289368E-2</v>
      </c>
      <c r="I5" s="15">
        <v>5.7676518335938454E-3</v>
      </c>
      <c r="J5" s="22">
        <v>4.9573066644370556E-3</v>
      </c>
      <c r="K5" s="11">
        <v>3.5057470086030662E-4</v>
      </c>
      <c r="L5"/>
      <c r="M5"/>
      <c r="N5"/>
      <c r="O5"/>
      <c r="P5"/>
      <c r="Q5" s="22">
        <v>4.359610378742218E-3</v>
      </c>
      <c r="R5"/>
      <c r="S5"/>
      <c r="T5"/>
      <c r="U5"/>
      <c r="V5"/>
      <c r="W5"/>
      <c r="X5"/>
      <c r="Y5"/>
      <c r="Z5"/>
      <c r="AA5"/>
      <c r="AB5"/>
      <c r="AC5" s="12">
        <v>1.9786534830927849E-3</v>
      </c>
      <c r="AD5"/>
      <c r="AE5"/>
      <c r="AF5"/>
      <c r="AG5" s="22">
        <v>4.4108307920396328E-3</v>
      </c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0.75</v>
      </c>
      <c r="C6">
        <v>1.401306688785553E-2</v>
      </c>
      <c r="D6" s="228">
        <v>0.24041005969047546</v>
      </c>
      <c r="E6" s="67">
        <v>4.4085979461669922E-2</v>
      </c>
      <c r="F6"/>
      <c r="G6"/>
      <c r="H6"/>
      <c r="I6"/>
      <c r="J6"/>
      <c r="K6"/>
      <c r="L6"/>
      <c r="M6"/>
      <c r="N6"/>
      <c r="O6"/>
      <c r="P6" s="233">
        <v>4.0135178714990616E-2</v>
      </c>
      <c r="Q6" s="268">
        <v>6.4775198698043823E-2</v>
      </c>
      <c r="R6" s="23">
        <v>4.181751050055027E-3</v>
      </c>
      <c r="S6" s="256">
        <v>5.6468341499567032E-2</v>
      </c>
      <c r="T6" s="251">
        <v>3.0119651928544044E-2</v>
      </c>
      <c r="U6" s="15">
        <v>7.828976958990097E-3</v>
      </c>
      <c r="V6"/>
      <c r="W6" s="233">
        <v>4.0186751633882523E-2</v>
      </c>
      <c r="X6"/>
      <c r="Y6" s="12">
        <v>3.422619542106986E-3</v>
      </c>
      <c r="Z6"/>
      <c r="AA6"/>
      <c r="AB6" s="243">
        <v>3.3809956163167953E-2</v>
      </c>
      <c r="AC6" s="19">
        <v>1.3388887979090214E-2</v>
      </c>
      <c r="AD6"/>
      <c r="AE6" s="23">
        <v>4.8877461813390255E-3</v>
      </c>
      <c r="AF6"/>
      <c r="AG6" s="147">
        <v>4.5008659362792969E-2</v>
      </c>
      <c r="AH6" s="267">
        <v>6.2336407601833344E-2</v>
      </c>
      <c r="AI6" s="14">
        <v>1.5699624782428145E-3</v>
      </c>
      <c r="AJ6" s="65">
        <v>1.6787106171250343E-2</v>
      </c>
      <c r="AK6" s="11">
        <v>1.4683508197776973E-5</v>
      </c>
      <c r="AL6"/>
      <c r="AM6"/>
      <c r="AN6"/>
      <c r="AO6"/>
      <c r="AP6"/>
      <c r="AQ6" s="28">
        <v>2.6569046080112457E-2</v>
      </c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1.1529999971389771</v>
      </c>
      <c r="C7">
        <v>0.50976312160491943</v>
      </c>
      <c r="D7" s="11">
        <v>3.4940513432957232E-4</v>
      </c>
      <c r="E7" s="11">
        <v>2.5046963401109679E-6</v>
      </c>
      <c r="F7" s="235">
        <v>0.51363307237625122</v>
      </c>
      <c r="G7" s="11">
        <v>9.7683150670491159E-5</v>
      </c>
      <c r="H7" s="11">
        <v>2.5046963401109679E-6</v>
      </c>
      <c r="I7"/>
      <c r="J7" s="11">
        <v>8.7664375314489007E-6</v>
      </c>
      <c r="K7"/>
      <c r="L7"/>
      <c r="M7"/>
      <c r="N7"/>
      <c r="O7"/>
      <c r="P7"/>
      <c r="Q7" s="22">
        <v>9.9749630317091942E-3</v>
      </c>
      <c r="R7"/>
      <c r="S7"/>
      <c r="T7"/>
      <c r="U7" s="245">
        <v>9.6344813704490662E-2</v>
      </c>
      <c r="V7"/>
      <c r="W7"/>
      <c r="X7"/>
      <c r="Y7"/>
      <c r="Z7"/>
      <c r="AA7"/>
      <c r="AB7"/>
      <c r="AC7" s="23">
        <v>6.6399495117366314E-3</v>
      </c>
      <c r="AD7"/>
      <c r="AE7"/>
      <c r="AF7"/>
      <c r="AG7" s="22">
        <v>8.2234060391783714E-3</v>
      </c>
      <c r="AH7"/>
      <c r="AI7"/>
      <c r="AJ7"/>
      <c r="AK7"/>
      <c r="AL7"/>
      <c r="AM7"/>
      <c r="AN7" s="22">
        <v>7.9597784206271172E-3</v>
      </c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1.0169999599456787</v>
      </c>
      <c r="C8">
        <v>5.0849281251430511E-2</v>
      </c>
      <c r="D8"/>
      <c r="E8"/>
      <c r="F8" s="233">
        <v>5.395112931728363E-2</v>
      </c>
      <c r="G8"/>
      <c r="H8"/>
      <c r="I8"/>
      <c r="J8"/>
      <c r="K8"/>
      <c r="L8"/>
      <c r="M8"/>
      <c r="N8"/>
      <c r="O8"/>
      <c r="P8" s="22">
        <v>8.7586250156164169E-3</v>
      </c>
      <c r="Q8" s="21">
        <v>1.9372815266251564E-2</v>
      </c>
      <c r="R8"/>
      <c r="S8" s="279">
        <v>0.11807338148355484</v>
      </c>
      <c r="T8" s="22">
        <v>7.6987519860267639E-3</v>
      </c>
      <c r="U8" s="252">
        <v>0.20263224840164185</v>
      </c>
      <c r="V8" s="231">
        <v>0.11270838230848312</v>
      </c>
      <c r="W8" s="17">
        <v>1.4251053333282471E-2</v>
      </c>
      <c r="X8" s="12">
        <v>3.6373953334987164E-3</v>
      </c>
      <c r="Y8" s="14">
        <v>2.4274634197354317E-3</v>
      </c>
      <c r="Z8" s="11">
        <v>6.1917897255625576E-5</v>
      </c>
      <c r="AA8"/>
      <c r="AB8" s="14">
        <v>1.1989711783826351E-3</v>
      </c>
      <c r="AC8" s="15">
        <v>9.7220484167337418E-3</v>
      </c>
      <c r="AD8"/>
      <c r="AE8" s="283">
        <v>0.14905658364295959</v>
      </c>
      <c r="AF8"/>
      <c r="AG8" s="260">
        <v>0.1352476179599762</v>
      </c>
      <c r="AH8" s="64">
        <v>5.5185370147228241E-2</v>
      </c>
      <c r="AI8" s="23">
        <v>5.233478732407093E-3</v>
      </c>
      <c r="AJ8"/>
      <c r="AK8" s="14">
        <v>1.0424565989524126E-3</v>
      </c>
      <c r="AL8"/>
      <c r="AM8"/>
      <c r="AN8" s="11">
        <v>5.3397961892187595E-4</v>
      </c>
      <c r="AO8"/>
      <c r="AP8"/>
      <c r="AQ8" s="78">
        <v>6.5356992185115814E-2</v>
      </c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0.44999998807907104</v>
      </c>
      <c r="C9">
        <v>5.134660005569458E-2</v>
      </c>
      <c r="D9" s="229">
        <v>0.10746785998344421</v>
      </c>
      <c r="E9" s="29">
        <v>2.1064287051558495E-2</v>
      </c>
      <c r="F9" s="22">
        <v>3.1000000890344381E-3</v>
      </c>
      <c r="G9" s="23">
        <v>2.2690475452691317E-3</v>
      </c>
      <c r="H9" s="146">
        <v>1.2935714796185493E-2</v>
      </c>
      <c r="I9" s="11">
        <v>1.0119048238266259E-4</v>
      </c>
      <c r="J9" s="14">
        <v>9.0595235815271735E-4</v>
      </c>
      <c r="K9" s="11">
        <v>2.1428573745652102E-5</v>
      </c>
      <c r="L9"/>
      <c r="M9"/>
      <c r="N9"/>
      <c r="O9"/>
      <c r="P9"/>
      <c r="Q9" s="263">
        <v>3.2309558242559433E-2</v>
      </c>
      <c r="R9" s="22">
        <v>3.7635758053511381E-3</v>
      </c>
      <c r="S9" s="245">
        <v>3.7697438150644302E-2</v>
      </c>
      <c r="T9"/>
      <c r="U9" s="16">
        <v>7.0460797287523746E-3</v>
      </c>
      <c r="V9" s="21">
        <v>8.7589016184210777E-3</v>
      </c>
      <c r="W9" s="241">
        <v>3.616807609796524E-2</v>
      </c>
      <c r="X9"/>
      <c r="Y9" s="21">
        <v>9.2410724610090256E-3</v>
      </c>
      <c r="Z9" s="11">
        <v>2.8332858346402645E-4</v>
      </c>
      <c r="AA9"/>
      <c r="AB9"/>
      <c r="AC9"/>
      <c r="AD9"/>
      <c r="AE9" s="27">
        <v>3.4390058368444443E-2</v>
      </c>
      <c r="AF9"/>
      <c r="AG9" s="110">
        <v>2.9847808182239532E-2</v>
      </c>
      <c r="AH9" s="20">
        <v>1.9739851355552673E-2</v>
      </c>
      <c r="AI9" s="19">
        <v>7.6300180517137051E-3</v>
      </c>
      <c r="AJ9"/>
      <c r="AK9"/>
      <c r="AL9"/>
      <c r="AM9"/>
      <c r="AN9"/>
      <c r="AO9"/>
      <c r="AP9"/>
      <c r="AQ9" s="233">
        <v>2.3912142962217331E-2</v>
      </c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0.25</v>
      </c>
      <c r="C10">
        <v>0.10588443279266357</v>
      </c>
      <c r="D10" s="230">
        <v>2.8625812381505966E-2</v>
      </c>
      <c r="E10" s="234">
        <v>5.697307176887989E-3</v>
      </c>
      <c r="F10" s="14">
        <v>3.6861651460640132E-4</v>
      </c>
      <c r="G10" s="14">
        <v>7.3351903120055795E-4</v>
      </c>
      <c r="H10" s="17">
        <v>3.5589600447565317E-3</v>
      </c>
      <c r="I10" s="11">
        <v>2.8783657398889773E-5</v>
      </c>
      <c r="J10" s="11">
        <v>3.6211698898114264E-5</v>
      </c>
      <c r="K10" s="11">
        <v>7.7065924415364861E-5</v>
      </c>
      <c r="L10"/>
      <c r="M10"/>
      <c r="N10"/>
      <c r="O10"/>
      <c r="P10"/>
      <c r="Q10" s="251">
        <v>9.5868241041898727E-3</v>
      </c>
      <c r="R10"/>
      <c r="S10" s="234">
        <v>5.9373793192207813E-3</v>
      </c>
      <c r="T10" s="12">
        <v>7.4591190787032247E-4</v>
      </c>
      <c r="U10"/>
      <c r="V10"/>
      <c r="W10" s="18">
        <v>3.1353826634585857E-3</v>
      </c>
      <c r="X10" s="12">
        <v>8.5200002649798989E-4</v>
      </c>
      <c r="Y10" s="66">
        <v>1.0090529918670654E-2</v>
      </c>
      <c r="Z10" s="14">
        <v>6.6294154385104775E-4</v>
      </c>
      <c r="AA10"/>
      <c r="AB10"/>
      <c r="AC10" s="269">
        <v>4.7886721789836884E-2</v>
      </c>
      <c r="AD10"/>
      <c r="AE10"/>
      <c r="AF10"/>
      <c r="AG10" s="66">
        <v>1.053145807236433E-2</v>
      </c>
      <c r="AH10" s="233">
        <v>1.3293996453285217E-2</v>
      </c>
      <c r="AI10" s="12">
        <v>1.1020348174497485E-3</v>
      </c>
      <c r="AJ10" s="76">
        <v>1.9699724391102791E-2</v>
      </c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0.23000000417232513</v>
      </c>
      <c r="C11">
        <v>7.3333345353603363E-2</v>
      </c>
      <c r="D11" s="231">
        <v>2.5722220540046692E-2</v>
      </c>
      <c r="E11" s="12">
        <v>8.333332953043282E-4</v>
      </c>
      <c r="F11" s="14">
        <v>5.9259257977828383E-4</v>
      </c>
      <c r="G11" s="28">
        <v>7.9259257763624191E-3</v>
      </c>
      <c r="H11" s="237">
        <v>0.10981481522321701</v>
      </c>
      <c r="I11" s="29">
        <v>1.1037036776542664E-2</v>
      </c>
      <c r="J11" s="14">
        <v>5.9259257977828383E-4</v>
      </c>
      <c r="K11" s="11">
        <v>1.4814814494457096E-4</v>
      </c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0.46000000834465027</v>
      </c>
      <c r="C12">
        <v>0.16562317311763763</v>
      </c>
      <c r="D12" s="22">
        <v>3.6875000223517418E-3</v>
      </c>
      <c r="E12" s="11">
        <v>1.2499999138526618E-4</v>
      </c>
      <c r="F12" s="11">
        <v>6.2499995692633092E-5</v>
      </c>
      <c r="G12" s="14">
        <v>1.1249999515712261E-3</v>
      </c>
      <c r="H12" s="28">
        <v>1.5812499448657036E-2</v>
      </c>
      <c r="I12" s="12">
        <v>1.5624999068677425E-3</v>
      </c>
      <c r="J12" s="11">
        <v>6.2499995692633092E-5</v>
      </c>
      <c r="K12"/>
      <c r="L12"/>
      <c r="M12"/>
      <c r="N12"/>
      <c r="O12"/>
      <c r="P12"/>
      <c r="Q12" s="21">
        <v>9.2187589034438133E-3</v>
      </c>
      <c r="R12"/>
      <c r="S12" s="247">
        <v>0.2254081517457962</v>
      </c>
      <c r="T12"/>
      <c r="U12"/>
      <c r="V12"/>
      <c r="W12"/>
      <c r="X12"/>
      <c r="Y12"/>
      <c r="Z12"/>
      <c r="AA12"/>
      <c r="AB12"/>
      <c r="AC12"/>
      <c r="AD12"/>
      <c r="AE12"/>
      <c r="AF12"/>
      <c r="AG12" s="241">
        <v>3.7312421947717667E-2</v>
      </c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0.34099999070167542</v>
      </c>
      <c r="C13">
        <v>0.14916662871837616</v>
      </c>
      <c r="D13" s="69">
        <v>3.174079954624176E-2</v>
      </c>
      <c r="E13" s="19">
        <v>5.8634970337152481E-3</v>
      </c>
      <c r="F13" s="14">
        <v>3.941717732232064E-4</v>
      </c>
      <c r="G13" s="14">
        <v>8.374233148060739E-4</v>
      </c>
      <c r="H13" s="11">
        <v>2.8987729456275702E-4</v>
      </c>
      <c r="I13" s="11">
        <v>4.2944786400767043E-5</v>
      </c>
      <c r="J13" s="11">
        <v>4.7546011046506464E-5</v>
      </c>
      <c r="K13"/>
      <c r="L13"/>
      <c r="M13"/>
      <c r="N13"/>
      <c r="O13"/>
      <c r="P13"/>
      <c r="Q13" s="24">
        <v>9.0490896254777908E-3</v>
      </c>
      <c r="R13"/>
      <c r="S13" s="67">
        <v>2.0125202834606171E-2</v>
      </c>
      <c r="T13"/>
      <c r="U13"/>
      <c r="V13"/>
      <c r="W13" s="16">
        <v>5.1791523583233356E-3</v>
      </c>
      <c r="X13" s="11">
        <v>2.0020308147650212E-4</v>
      </c>
      <c r="Y13" s="18">
        <v>3.9685587398707867E-3</v>
      </c>
      <c r="Z13" s="14">
        <v>4.5626383507624269E-4</v>
      </c>
      <c r="AA13"/>
      <c r="AB13" s="14">
        <v>7.8374322038143873E-4</v>
      </c>
      <c r="AC13" s="75">
        <v>3.178834542632103E-2</v>
      </c>
      <c r="AD13"/>
      <c r="AE13" s="11">
        <v>2.5597546482458711E-4</v>
      </c>
      <c r="AF13"/>
      <c r="AG13" s="20">
        <v>1.4649362303316593E-2</v>
      </c>
      <c r="AH13" s="229">
        <v>8.1495583057403564E-2</v>
      </c>
      <c r="AI13"/>
      <c r="AJ13"/>
      <c r="AK13" s="11">
        <v>1.7025662600644864E-5</v>
      </c>
      <c r="AL13"/>
      <c r="AM13"/>
      <c r="AN13" s="19">
        <v>5.8198724873363972E-3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0.20000000298023224</v>
      </c>
      <c r="C14">
        <v>0.2140234112739563</v>
      </c>
      <c r="D14" s="25">
        <v>6.3290768302977085E-3</v>
      </c>
      <c r="E14" s="11">
        <v>2.5547446057316847E-5</v>
      </c>
      <c r="F14" s="236">
        <v>8.3532847464084625E-2</v>
      </c>
      <c r="G14" s="11">
        <v>1.0948905583063606E-5</v>
      </c>
      <c r="H14" s="11">
        <v>8.7591244664508849E-5</v>
      </c>
      <c r="I14"/>
      <c r="J14" s="11">
        <v>7.2992702371266205E-6</v>
      </c>
      <c r="K14" s="11">
        <v>2.9197080948506482E-5</v>
      </c>
      <c r="L14"/>
      <c r="M14"/>
      <c r="N14"/>
      <c r="O14"/>
      <c r="P14"/>
      <c r="Q14" s="252">
        <v>3.983580693602562E-2</v>
      </c>
      <c r="R14"/>
      <c r="S14"/>
      <c r="T14"/>
      <c r="U14"/>
      <c r="V14"/>
      <c r="W14"/>
      <c r="X14"/>
      <c r="Y14" s="20">
        <v>8.4990886971354485E-3</v>
      </c>
      <c r="Z14"/>
      <c r="AA14"/>
      <c r="AB14" s="15">
        <v>1.8649656558409333E-3</v>
      </c>
      <c r="AC14"/>
      <c r="AD14"/>
      <c r="AE14"/>
      <c r="AF14"/>
      <c r="AG14" s="254">
        <v>4.1395548731088638E-2</v>
      </c>
      <c r="AH14"/>
      <c r="AI14" s="22">
        <v>1.7326883971691132E-3</v>
      </c>
      <c r="AJ14"/>
      <c r="AK14"/>
      <c r="AL14"/>
      <c r="AM14"/>
      <c r="AN14" s="18">
        <v>2.4235313758254051E-3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0.23000000417232513</v>
      </c>
      <c r="C15">
        <v>0.19899092614650726</v>
      </c>
      <c r="D15" s="11">
        <v>8.298755346913822E-6</v>
      </c>
      <c r="E15" s="11">
        <v>8.298755346913822E-6</v>
      </c>
      <c r="F15" s="64">
        <v>1.2435684911906719E-2</v>
      </c>
      <c r="G15" s="11">
        <v>2.0746887457789853E-5</v>
      </c>
      <c r="H15" s="11">
        <v>8.2987549831159413E-5</v>
      </c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 s="25">
        <v>7.431520614773035E-3</v>
      </c>
      <c r="AH15"/>
      <c r="AI15"/>
      <c r="AJ15"/>
      <c r="AK15"/>
      <c r="AL15"/>
      <c r="AM15"/>
      <c r="AN15" s="29">
        <v>1.1021534912288189E-2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0.24199999868869781</v>
      </c>
      <c r="C16">
        <v>0.14675430953502655</v>
      </c>
      <c r="D16" s="15">
        <v>2.5870588142424822E-3</v>
      </c>
      <c r="E16" s="11">
        <v>5.8529411035124213E-5</v>
      </c>
      <c r="F16" s="14">
        <v>4.4176471419632435E-4</v>
      </c>
      <c r="G16" s="68">
        <v>1.5280588530004025E-2</v>
      </c>
      <c r="H16" s="11">
        <v>1.7647058484726585E-5</v>
      </c>
      <c r="I16"/>
      <c r="J16" s="11">
        <v>5.294117727316916E-6</v>
      </c>
      <c r="K16" s="11">
        <v>7.7647055150009692E-5</v>
      </c>
      <c r="L16"/>
      <c r="M16"/>
      <c r="N16"/>
      <c r="O16"/>
      <c r="P16" s="17">
        <v>3.4323746804147959E-3</v>
      </c>
      <c r="Q16" s="21">
        <v>4.5117693953216076E-3</v>
      </c>
      <c r="R16"/>
      <c r="S16" s="13">
        <v>8.7793515995144844E-3</v>
      </c>
      <c r="T16" s="18">
        <v>3.0245361849665642E-3</v>
      </c>
      <c r="U16" s="22">
        <v>1.7407960258424282E-3</v>
      </c>
      <c r="V16"/>
      <c r="W16" s="16">
        <v>3.9717257022857666E-3</v>
      </c>
      <c r="X16" s="11">
        <v>1.482458901591599E-4</v>
      </c>
      <c r="Y16"/>
      <c r="Z16" s="11">
        <v>3.4035292628686875E-5</v>
      </c>
      <c r="AA16" s="17">
        <v>3.493879921734333E-3</v>
      </c>
      <c r="AB16" s="23">
        <v>1.6538430936634541E-3</v>
      </c>
      <c r="AC16"/>
      <c r="AD16"/>
      <c r="AE16" s="233">
        <v>1.2744549661874771E-2</v>
      </c>
      <c r="AF16"/>
      <c r="AG16" s="72">
        <v>1.7030619084835052E-2</v>
      </c>
      <c r="AH16" s="24">
        <v>6.8453620187938213E-3</v>
      </c>
      <c r="AI16" s="21">
        <v>4.9570873379707336E-3</v>
      </c>
      <c r="AJ16" s="14">
        <v>3.1311690690927207E-4</v>
      </c>
      <c r="AK16" s="11">
        <v>3.264921133450116E-6</v>
      </c>
      <c r="AL16"/>
      <c r="AM16" s="15">
        <v>2.4743424728512764E-3</v>
      </c>
      <c r="AN16" s="23">
        <v>1.6182670369744301E-3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0.34999999403953552</v>
      </c>
      <c r="C17">
        <v>2.2005926817655563E-2</v>
      </c>
      <c r="D17" s="232">
        <v>0.10104098170995712</v>
      </c>
      <c r="E17" s="18">
        <v>4.1219261474907398E-3</v>
      </c>
      <c r="F17" s="17">
        <v>4.5276638120412827E-3</v>
      </c>
      <c r="G17" s="17">
        <v>4.8995902761816978E-3</v>
      </c>
      <c r="H17" s="12">
        <v>1.6270491760224104E-3</v>
      </c>
      <c r="I17" s="11">
        <v>1.0245901648886502E-5</v>
      </c>
      <c r="J17" s="240">
        <v>1.1650614440441132E-2</v>
      </c>
      <c r="K17"/>
      <c r="L17"/>
      <c r="M17"/>
      <c r="N17"/>
      <c r="O17"/>
      <c r="P17"/>
      <c r="Q17" s="14">
        <v>9.0676324907690287E-4</v>
      </c>
      <c r="R17"/>
      <c r="S17" s="265">
        <v>4.3739821761846542E-2</v>
      </c>
      <c r="T17" s="70">
        <v>1.7622996121644974E-2</v>
      </c>
      <c r="U17" s="274">
        <v>7.475598156452179E-2</v>
      </c>
      <c r="V17" s="258">
        <v>1.9677935168147087E-2</v>
      </c>
      <c r="W17"/>
      <c r="X17"/>
      <c r="Y17"/>
      <c r="Z17"/>
      <c r="AA17"/>
      <c r="AB17"/>
      <c r="AC17"/>
      <c r="AD17"/>
      <c r="AE17" s="15">
        <v>3.6569996736943722E-3</v>
      </c>
      <c r="AF17"/>
      <c r="AG17" s="20">
        <v>1.5290753915905952E-2</v>
      </c>
      <c r="AH17" s="14">
        <v>6.8020838079974055E-4</v>
      </c>
      <c r="AI17" s="14">
        <v>4.849672841373831E-4</v>
      </c>
      <c r="AJ17" s="23">
        <v>2.1540592424571514E-3</v>
      </c>
      <c r="AK17" s="11">
        <v>1.1373700544936582E-5</v>
      </c>
      <c r="AL17"/>
      <c r="AM17"/>
      <c r="AN17" s="14">
        <v>5.5402098223567009E-4</v>
      </c>
      <c r="AO17"/>
      <c r="AP17"/>
      <c r="AQ17" s="67">
        <v>2.0580122247338295E-2</v>
      </c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0.28999999165534973</v>
      </c>
      <c r="C18">
        <v>4.2951025068759918E-2</v>
      </c>
      <c r="D18" s="11">
        <v>3.378378096385859E-5</v>
      </c>
      <c r="E18" s="11">
        <v>1.3513513295038138E-5</v>
      </c>
      <c r="F18" s="21">
        <v>5.9679052792489529E-3</v>
      </c>
      <c r="G18" s="11">
        <v>3.378378096385859E-5</v>
      </c>
      <c r="H18"/>
      <c r="I18"/>
      <c r="J18"/>
      <c r="K18"/>
      <c r="L18"/>
      <c r="M18"/>
      <c r="N18"/>
      <c r="O18"/>
      <c r="P18" s="276">
        <v>0.1537611335515976</v>
      </c>
      <c r="Q18" s="24">
        <v>7.9729808494448662E-3</v>
      </c>
      <c r="R18"/>
      <c r="S18"/>
      <c r="T18"/>
      <c r="U18"/>
      <c r="V18"/>
      <c r="W18"/>
      <c r="X18"/>
      <c r="Y18"/>
      <c r="Z18"/>
      <c r="AA18"/>
      <c r="AB18" s="12">
        <v>8.6317665409296751E-4</v>
      </c>
      <c r="AC18" s="238">
        <v>5.1293917000293732E-2</v>
      </c>
      <c r="AD18"/>
      <c r="AE18"/>
      <c r="AF18"/>
      <c r="AG18" s="17">
        <v>4.0337755344808102E-3</v>
      </c>
      <c r="AH18"/>
      <c r="AI18"/>
      <c r="AJ18"/>
      <c r="AK18"/>
      <c r="AL18"/>
      <c r="AM18"/>
      <c r="AN18" s="241">
        <v>2.3075008764863014E-2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0.30099999904632568</v>
      </c>
      <c r="C19">
        <v>0.13438022136688232</v>
      </c>
      <c r="D19" s="18">
        <v>3.4874370321631432E-3</v>
      </c>
      <c r="E19" s="14">
        <v>7.5879396172240376E-4</v>
      </c>
      <c r="F19" s="16">
        <v>4.9597988836467266E-3</v>
      </c>
      <c r="G19" s="23">
        <v>1.8090452067553997E-3</v>
      </c>
      <c r="H19" s="238">
        <v>5.2979897707700729E-2</v>
      </c>
      <c r="I19" s="16">
        <v>4.4371858239173889E-3</v>
      </c>
      <c r="J19" s="17">
        <v>4.0000001899898052E-3</v>
      </c>
      <c r="K19"/>
      <c r="L19"/>
      <c r="M19"/>
      <c r="N19"/>
      <c r="O19"/>
      <c r="P19" s="76">
        <v>2.3457437753677368E-2</v>
      </c>
      <c r="Q19" s="11">
        <v>2.8165857656858861E-4</v>
      </c>
      <c r="R19"/>
      <c r="S19" s="253">
        <v>5.5269543081521988E-2</v>
      </c>
      <c r="T19"/>
      <c r="U19"/>
      <c r="V19"/>
      <c r="W19"/>
      <c r="X19"/>
      <c r="Y19"/>
      <c r="Z19"/>
      <c r="AA19"/>
      <c r="AB19"/>
      <c r="AC19" s="16">
        <v>4.8442212864756584E-3</v>
      </c>
      <c r="AD19"/>
      <c r="AE19"/>
      <c r="AF19"/>
      <c r="AG19" s="146">
        <v>8.9999819174408913E-3</v>
      </c>
      <c r="AH19"/>
      <c r="AI19"/>
      <c r="AJ19"/>
      <c r="AK19"/>
      <c r="AL19"/>
      <c r="AM19"/>
      <c r="AN19" s="12">
        <v>1.3347688363865018E-3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0.78000003099441528</v>
      </c>
      <c r="C20">
        <v>3.8997780531644821E-2</v>
      </c>
      <c r="D20"/>
      <c r="E20"/>
      <c r="F20"/>
      <c r="G20"/>
      <c r="H20"/>
      <c r="I20"/>
      <c r="J20"/>
      <c r="K20"/>
      <c r="L20"/>
      <c r="M20"/>
      <c r="N20"/>
      <c r="O20"/>
      <c r="P20" s="233">
        <v>4.1471939533948898E-2</v>
      </c>
      <c r="Q20" s="23">
        <v>5.2417120896279812E-3</v>
      </c>
      <c r="R20"/>
      <c r="S20" s="264">
        <v>0.28746283054351807</v>
      </c>
      <c r="T20" s="15">
        <v>7.1371356025338173E-3</v>
      </c>
      <c r="U20"/>
      <c r="V20"/>
      <c r="W20"/>
      <c r="X20"/>
      <c r="Y20" s="67">
        <v>4.597599059343338E-2</v>
      </c>
      <c r="Z20"/>
      <c r="AA20"/>
      <c r="AB20"/>
      <c r="AC20" s="244">
        <v>3.8539871573448181E-2</v>
      </c>
      <c r="AD20"/>
      <c r="AE20"/>
      <c r="AF20"/>
      <c r="AG20" s="257">
        <v>0.12728264927864075</v>
      </c>
      <c r="AH20"/>
      <c r="AI20"/>
      <c r="AJ20"/>
      <c r="AK20"/>
      <c r="AL20"/>
      <c r="AM20"/>
      <c r="AN20" s="18">
        <v>9.4393007457256317E-3</v>
      </c>
      <c r="AO20"/>
      <c r="AP20"/>
      <c r="AQ20" s="259">
        <v>0.17845077812671661</v>
      </c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0.34400001168251038</v>
      </c>
      <c r="C21">
        <v>1.7198918387293816E-2</v>
      </c>
      <c r="D21" s="233">
        <v>1.8368445336818695E-2</v>
      </c>
      <c r="E21" s="12">
        <v>1.2714393669739366E-3</v>
      </c>
      <c r="F21" s="76">
        <v>2.7124039828777313E-2</v>
      </c>
      <c r="G21" s="12">
        <v>1.5026101609691978E-3</v>
      </c>
      <c r="H21" s="20">
        <v>1.4920148998498917E-2</v>
      </c>
      <c r="I21" s="11">
        <v>2.215386921307072E-4</v>
      </c>
      <c r="J21" s="14">
        <v>6.7424820736050606E-4</v>
      </c>
      <c r="K21" s="11">
        <v>2.8896351068397053E-5</v>
      </c>
      <c r="L21"/>
      <c r="M21"/>
      <c r="N21"/>
      <c r="O21"/>
      <c r="P21" s="248">
        <v>4.4963009655475616E-2</v>
      </c>
      <c r="Q21" s="22">
        <v>2.6994035579264164E-3</v>
      </c>
      <c r="R21"/>
      <c r="S21" s="255">
        <v>0.11899790912866592</v>
      </c>
      <c r="T21"/>
      <c r="U21"/>
      <c r="V21"/>
      <c r="W21"/>
      <c r="X21"/>
      <c r="Y21"/>
      <c r="Z21"/>
      <c r="AA21"/>
      <c r="AB21"/>
      <c r="AC21" s="250">
        <v>5.1069479435682297E-2</v>
      </c>
      <c r="AD21"/>
      <c r="AE21"/>
      <c r="AF21"/>
      <c r="AG21" s="19">
        <v>5.750361829996109E-3</v>
      </c>
      <c r="AH21" s="245">
        <v>2.879292331635952E-2</v>
      </c>
      <c r="AI21"/>
      <c r="AJ21"/>
      <c r="AK21"/>
      <c r="AL21"/>
      <c r="AM21"/>
      <c r="AN21" s="146">
        <v>1.0416640900075436E-2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0.69999998807907104</v>
      </c>
      <c r="C22">
        <v>3.4998673945665359E-2</v>
      </c>
      <c r="D22"/>
      <c r="E22"/>
      <c r="F22"/>
      <c r="G22"/>
      <c r="H22"/>
      <c r="I22"/>
      <c r="J22"/>
      <c r="K22"/>
      <c r="L22"/>
      <c r="M22"/>
      <c r="N22"/>
      <c r="O22"/>
      <c r="P22" s="146">
        <v>2.0892482250928879E-2</v>
      </c>
      <c r="Q22" s="19">
        <v>1.1882871389389038E-2</v>
      </c>
      <c r="R22"/>
      <c r="S22" s="111">
        <v>0.13600139319896698</v>
      </c>
      <c r="T22" s="19">
        <v>1.2731603346765041E-2</v>
      </c>
      <c r="U22"/>
      <c r="V22"/>
      <c r="W22" s="14">
        <v>1.5038225101307034E-3</v>
      </c>
      <c r="X22" s="14">
        <v>8.0402247840538621E-4</v>
      </c>
      <c r="Y22" s="16">
        <v>1.1580753140151501E-2</v>
      </c>
      <c r="Z22" s="23">
        <v>3.595131216570735E-3</v>
      </c>
      <c r="AA22"/>
      <c r="AB22" s="261">
        <v>9.6093453466892242E-2</v>
      </c>
      <c r="AC22" s="260">
        <v>9.2762388288974762E-2</v>
      </c>
      <c r="AD22"/>
      <c r="AE22"/>
      <c r="AF22"/>
      <c r="AG22" s="262">
        <v>0.10152644664049149</v>
      </c>
      <c r="AH22" s="143">
        <v>6.9662436842918396E-2</v>
      </c>
      <c r="AI22" s="24">
        <v>1.9123613834381104E-2</v>
      </c>
      <c r="AJ22"/>
      <c r="AK22" s="22">
        <v>4.9732709303498268E-3</v>
      </c>
      <c r="AL22"/>
      <c r="AM22"/>
      <c r="AN22" s="234">
        <v>1.6940662637352943E-2</v>
      </c>
      <c r="AO22"/>
      <c r="AP22"/>
      <c r="AQ22" s="69">
        <v>6.4926952123641968E-2</v>
      </c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0.64999997615814209</v>
      </c>
      <c r="C23">
        <v>3.2498765736818314E-2</v>
      </c>
      <c r="D23"/>
      <c r="E23"/>
      <c r="F23"/>
      <c r="G23"/>
      <c r="H23"/>
      <c r="I23"/>
      <c r="J23"/>
      <c r="K23"/>
      <c r="L23"/>
      <c r="M23"/>
      <c r="N23"/>
      <c r="O23"/>
      <c r="P23"/>
      <c r="Q23" s="233">
        <v>3.4042350947856903E-2</v>
      </c>
      <c r="R23" s="25">
        <v>2.0025672391057014E-2</v>
      </c>
      <c r="S23" s="260">
        <v>8.727099746465683E-2</v>
      </c>
      <c r="T23" s="64">
        <v>3.5764295607805252E-2</v>
      </c>
      <c r="U23" s="66">
        <v>2.7051281183958054E-2</v>
      </c>
      <c r="V23" s="234">
        <v>1.4979233965277672E-2</v>
      </c>
      <c r="W23" s="143">
        <v>6.4933016896247864E-2</v>
      </c>
      <c r="X23" s="11">
        <v>3.2810794073157012E-4</v>
      </c>
      <c r="Y23"/>
      <c r="Z23" s="23">
        <v>3.4330657217651606E-3</v>
      </c>
      <c r="AA23" s="14">
        <v>1.3407653896138072E-3</v>
      </c>
      <c r="AB23" s="259">
        <v>0.14944574236869812</v>
      </c>
      <c r="AC23" s="256">
        <v>4.8205457627773285E-2</v>
      </c>
      <c r="AD23"/>
      <c r="AE23"/>
      <c r="AF23"/>
      <c r="AG23" s="147">
        <v>3.903665766119957E-2</v>
      </c>
      <c r="AH23" s="25">
        <v>2.0260430872440338E-2</v>
      </c>
      <c r="AI23" s="14">
        <v>9.1309682466089725E-4</v>
      </c>
      <c r="AJ23" s="146">
        <v>1.9184175878763199E-2</v>
      </c>
      <c r="AK23" s="76">
        <v>5.1286917179822922E-2</v>
      </c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0.69999998807907104</v>
      </c>
      <c r="C24">
        <v>5.8202933520078659E-2</v>
      </c>
      <c r="D24"/>
      <c r="E24"/>
      <c r="F24"/>
      <c r="G24"/>
      <c r="H24"/>
      <c r="I24"/>
      <c r="J24"/>
      <c r="K24"/>
      <c r="L24"/>
      <c r="M24"/>
      <c r="N24"/>
      <c r="O24"/>
      <c r="P24"/>
      <c r="Q24" s="14">
        <v>1.0535725159570575E-3</v>
      </c>
      <c r="R24"/>
      <c r="S24" s="11">
        <v>9.1350811999291182E-5</v>
      </c>
      <c r="T24" s="142">
        <v>0.32041057944297791</v>
      </c>
      <c r="U24" s="12">
        <v>2.1159395109862089E-3</v>
      </c>
      <c r="V24" s="17">
        <v>1.0060898959636688E-2</v>
      </c>
      <c r="W24"/>
      <c r="X24" s="243">
        <v>3.1340699642896652E-2</v>
      </c>
      <c r="Y24"/>
      <c r="Z24" s="23">
        <v>3.8688569329679012E-3</v>
      </c>
      <c r="AA24" s="17">
        <v>9.367852471768856E-3</v>
      </c>
      <c r="AB24" s="143">
        <v>6.9982938468456268E-2</v>
      </c>
      <c r="AC24"/>
      <c r="AD24"/>
      <c r="AE24"/>
      <c r="AF24"/>
      <c r="AG24"/>
      <c r="AH24"/>
      <c r="AI24"/>
      <c r="AJ24"/>
      <c r="AK24" s="11">
        <v>3.9645470678806305E-4</v>
      </c>
      <c r="AL24" s="110">
        <v>4.6666663140058517E-2</v>
      </c>
      <c r="AM24"/>
      <c r="AN24" s="244">
        <v>3.3879972994327545E-2</v>
      </c>
      <c r="AO24"/>
      <c r="AP24" s="246">
        <v>0.11256126314401627</v>
      </c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1.1499999761581421</v>
      </c>
      <c r="C25">
        <v>5.7497337460517883E-2</v>
      </c>
      <c r="D25"/>
      <c r="E25"/>
      <c r="F25"/>
      <c r="G25"/>
      <c r="H25"/>
      <c r="I25"/>
      <c r="J25"/>
      <c r="K25"/>
      <c r="L25"/>
      <c r="M25"/>
      <c r="N25"/>
      <c r="O25"/>
      <c r="P25" s="261">
        <v>0.15856947004795074</v>
      </c>
      <c r="Q25" s="26">
        <v>2.9661977663636208E-2</v>
      </c>
      <c r="R25" s="240">
        <v>3.8467474281787872E-2</v>
      </c>
      <c r="S25" s="282">
        <v>0.24984161555767059</v>
      </c>
      <c r="T25" s="263">
        <v>8.3084538578987122E-2</v>
      </c>
      <c r="U25" s="76">
        <v>9.1128379106521606E-2</v>
      </c>
      <c r="V25" s="233">
        <v>6.004275381565094E-2</v>
      </c>
      <c r="W25" s="280">
        <v>0.1834803968667984</v>
      </c>
      <c r="X25" s="14">
        <v>1.2760807294398546E-3</v>
      </c>
      <c r="Y25" s="16">
        <v>1.8751027062535286E-2</v>
      </c>
      <c r="Z25" s="15">
        <v>1.0887328535318375E-2</v>
      </c>
      <c r="AA25" s="11">
        <v>8.2124682376161218E-4</v>
      </c>
      <c r="AB25" s="14">
        <v>2.3153738584369421E-3</v>
      </c>
      <c r="AC25" s="12">
        <v>4.3661803938448429E-3</v>
      </c>
      <c r="AD25"/>
      <c r="AE25" s="279">
        <v>0.13345673680305481</v>
      </c>
      <c r="AF25"/>
      <c r="AG25" s="11">
        <v>5.4078933317214251E-4</v>
      </c>
      <c r="AH25" s="14">
        <v>2.2110394202172756E-3</v>
      </c>
      <c r="AI25" s="22">
        <v>9.2464340850710869E-3</v>
      </c>
      <c r="AJ25"/>
      <c r="AK25" s="18">
        <v>1.3084296137094498E-2</v>
      </c>
      <c r="AL25" s="14">
        <v>1.1836395133286715E-3</v>
      </c>
      <c r="AM25"/>
      <c r="AN25" s="11">
        <v>8.5932180809322745E-5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0.23999999463558197</v>
      </c>
      <c r="C26">
        <v>0.1464930921792984</v>
      </c>
      <c r="D26"/>
      <c r="E26"/>
      <c r="F26" s="67">
        <v>1.4160685241222382E-2</v>
      </c>
      <c r="G26" s="67">
        <v>1.4160685241222382E-2</v>
      </c>
      <c r="H26" s="239">
        <v>4.2756222188472748E-2</v>
      </c>
      <c r="I26" s="70">
        <v>1.2076550163328648E-2</v>
      </c>
      <c r="J26" s="11">
        <v>4.3469754018587992E-5</v>
      </c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 s="20">
        <v>1.0309278964996338E-2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0.50999999046325684</v>
      </c>
      <c r="C27">
        <v>2.549951896071434E-2</v>
      </c>
      <c r="D27" s="11">
        <v>6.5822255237435456E-6</v>
      </c>
      <c r="E27"/>
      <c r="F27" s="23">
        <v>2.8303568251430988E-3</v>
      </c>
      <c r="G27" s="11">
        <v>3.2088348234537989E-5</v>
      </c>
      <c r="H27"/>
      <c r="I27"/>
      <c r="J27"/>
      <c r="K27"/>
      <c r="L27"/>
      <c r="M27"/>
      <c r="N27" s="11">
        <v>3.2170629128813744E-4</v>
      </c>
      <c r="O27"/>
      <c r="P27" s="277">
        <v>7.6815061271190643E-2</v>
      </c>
      <c r="Q27" s="24">
        <v>1.4077750034630299E-2</v>
      </c>
      <c r="R27" s="244">
        <v>2.5021929293870926E-2</v>
      </c>
      <c r="S27" s="273">
        <v>5.276034027338028E-2</v>
      </c>
      <c r="T27" s="16">
        <v>8.3283400163054466E-3</v>
      </c>
      <c r="U27" s="275">
        <v>6.0031410306692123E-2</v>
      </c>
      <c r="V27" s="75">
        <v>4.7719597816467285E-2</v>
      </c>
      <c r="W27" s="23">
        <v>2.7783634141087532E-3</v>
      </c>
      <c r="X27" s="11">
        <v>4.1470985161140561E-4</v>
      </c>
      <c r="Y27" s="18">
        <v>5.9610283933579922E-3</v>
      </c>
      <c r="Z27" s="11">
        <v>5.4303360229823738E-5</v>
      </c>
      <c r="AA27"/>
      <c r="AB27" s="14">
        <v>1.2617440661415458E-3</v>
      </c>
      <c r="AC27" s="234">
        <v>1.2293951585888863E-2</v>
      </c>
      <c r="AD27"/>
      <c r="AE27" s="75">
        <v>4.7536253929138184E-2</v>
      </c>
      <c r="AF27" s="278">
        <v>8.8941663503646851E-2</v>
      </c>
      <c r="AG27" s="29">
        <v>2.3575520142912865E-2</v>
      </c>
      <c r="AH27" s="23">
        <v>2.6254930999130011E-3</v>
      </c>
      <c r="AI27" s="14">
        <v>1.3671679189428687E-3</v>
      </c>
      <c r="AJ27"/>
      <c r="AK27" s="22">
        <v>3.6570297088474035E-3</v>
      </c>
      <c r="AL27"/>
      <c r="AM27"/>
      <c r="AN27" s="18">
        <v>6.0880538076162338E-3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1.3999999761581421</v>
      </c>
      <c r="C28">
        <v>7.0000514388084412E-2</v>
      </c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 s="23">
        <v>8.7177380919456482E-3</v>
      </c>
      <c r="S28"/>
      <c r="T28"/>
      <c r="U28" s="281">
        <v>0.39429047703742981</v>
      </c>
      <c r="V28" s="284">
        <v>0.5520625114440918</v>
      </c>
      <c r="W28" s="11">
        <v>5.3304416360333562E-4</v>
      </c>
      <c r="X28"/>
      <c r="Y28"/>
      <c r="Z28"/>
      <c r="AA28"/>
      <c r="AB28"/>
      <c r="AC28" s="11">
        <v>7.6466298196464777E-4</v>
      </c>
      <c r="AD28"/>
      <c r="AE28" s="68">
        <v>8.7076850235462189E-2</v>
      </c>
      <c r="AF28"/>
      <c r="AG28"/>
      <c r="AH28"/>
      <c r="AI28"/>
      <c r="AJ28"/>
      <c r="AK28"/>
      <c r="AL28"/>
      <c r="AM28"/>
      <c r="AN28" s="12">
        <v>4.2138798162341118E-3</v>
      </c>
      <c r="AO28"/>
      <c r="AP28" s="239">
        <v>0.25</v>
      </c>
      <c r="AQ28" s="234">
        <v>3.2340224832296371E-2</v>
      </c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0.66750001907348633</v>
      </c>
      <c r="C29">
        <v>3.3374611288309097E-2</v>
      </c>
      <c r="D29" s="11">
        <v>6.0857535572722554E-4</v>
      </c>
      <c r="E29"/>
      <c r="F29" s="146">
        <v>2.0118677988648415E-2</v>
      </c>
      <c r="G29"/>
      <c r="H29" s="11">
        <v>3.7521187914535403E-4</v>
      </c>
      <c r="I29"/>
      <c r="J29" s="11">
        <v>1.2202011930639856E-5</v>
      </c>
      <c r="K29"/>
      <c r="L29"/>
      <c r="M29"/>
      <c r="N29" s="234">
        <v>1.5531635843217373E-2</v>
      </c>
      <c r="O29"/>
      <c r="P29" s="24">
        <v>1.7799798399209976E-2</v>
      </c>
      <c r="Q29" s="65">
        <v>1.484833937138319E-2</v>
      </c>
      <c r="R29" s="16">
        <v>1.0063651017844677E-2</v>
      </c>
      <c r="S29" s="233">
        <v>3.5424016416072845E-2</v>
      </c>
      <c r="T29" s="12">
        <v>3.0779195949435234E-3</v>
      </c>
      <c r="U29" s="271">
        <v>9.0257085859775543E-2</v>
      </c>
      <c r="V29" s="13">
        <v>2.5274781510233879E-2</v>
      </c>
      <c r="W29" s="16">
        <v>1.0295835323631763E-2</v>
      </c>
      <c r="X29" s="11">
        <v>2.3260575835593045E-4</v>
      </c>
      <c r="Y29" s="23">
        <v>3.9465888403356075E-3</v>
      </c>
      <c r="Z29" s="14">
        <v>1.2705468107014894E-3</v>
      </c>
      <c r="AA29"/>
      <c r="AB29" s="243">
        <v>3.0408557504415512E-2</v>
      </c>
      <c r="AC29" s="266">
        <v>6.8370923399925232E-2</v>
      </c>
      <c r="AD29"/>
      <c r="AE29" s="29">
        <v>3.0841756612062454E-2</v>
      </c>
      <c r="AF29"/>
      <c r="AG29" s="16">
        <v>1.0925969108939171E-2</v>
      </c>
      <c r="AH29" s="110">
        <v>4.4172115623950958E-2</v>
      </c>
      <c r="AI29" s="18">
        <v>7.9653561115264893E-3</v>
      </c>
      <c r="AJ29"/>
      <c r="AK29" s="11">
        <v>1.6931408026721328E-5</v>
      </c>
      <c r="AL29"/>
      <c r="AM29"/>
      <c r="AN29"/>
      <c r="AO29"/>
      <c r="AP29" s="232">
        <v>0.19228632748126984</v>
      </c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0.15999999642372131</v>
      </c>
      <c r="C30">
        <v>7.81756192445755E-2</v>
      </c>
      <c r="D30"/>
      <c r="E30"/>
      <c r="F30"/>
      <c r="G30"/>
      <c r="H30"/>
      <c r="I30"/>
      <c r="J30"/>
      <c r="K30"/>
      <c r="L30" s="66">
        <v>6.6666668280959129E-3</v>
      </c>
      <c r="M30"/>
      <c r="N30"/>
      <c r="O30"/>
      <c r="P30"/>
      <c r="Q30"/>
      <c r="R30"/>
      <c r="S30" s="109">
        <v>2.5066664442420006E-2</v>
      </c>
      <c r="T30" s="22">
        <v>1.2650399003177881E-3</v>
      </c>
      <c r="U30"/>
      <c r="V30"/>
      <c r="W30" s="17">
        <v>2.2400044836103916E-3</v>
      </c>
      <c r="X30"/>
      <c r="Y30"/>
      <c r="Z30"/>
      <c r="AA30"/>
      <c r="AB30" s="233">
        <v>8.4651634097099304E-3</v>
      </c>
      <c r="AC30"/>
      <c r="AD30"/>
      <c r="AE30"/>
      <c r="AF30"/>
      <c r="AG30" s="14">
        <v>3.5023927921429276E-4</v>
      </c>
      <c r="AH30" s="249">
        <v>3.1369421631097794E-2</v>
      </c>
      <c r="AI30" s="21">
        <v>3.1650438904762268E-3</v>
      </c>
      <c r="AJ30"/>
      <c r="AK30" s="11">
        <v>7.4004878115374595E-5</v>
      </c>
      <c r="AL30"/>
      <c r="AM30"/>
      <c r="AN30" s="21">
        <v>3.1621307134628296E-3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0.30000001192092896</v>
      </c>
      <c r="C31">
        <v>1.4999127946794033E-2</v>
      </c>
      <c r="D31"/>
      <c r="E31"/>
      <c r="F31"/>
      <c r="G31"/>
      <c r="H31"/>
      <c r="I31"/>
      <c r="J31"/>
      <c r="K31"/>
      <c r="L31"/>
      <c r="M31"/>
      <c r="N31"/>
      <c r="O31"/>
      <c r="P31"/>
      <c r="Q31" s="21">
        <v>5.7711051777005196E-3</v>
      </c>
      <c r="R31" s="21">
        <v>5.8916141279041767E-3</v>
      </c>
      <c r="S31" s="232">
        <v>8.671877533197403E-2</v>
      </c>
      <c r="T31" s="270">
        <v>3.1619343906641006E-2</v>
      </c>
      <c r="U31"/>
      <c r="V31" s="12">
        <v>9.0376666048541665E-4</v>
      </c>
      <c r="W31" s="29">
        <v>1.4008877798914909E-2</v>
      </c>
      <c r="X31" s="72">
        <v>2.1452482789754868E-2</v>
      </c>
      <c r="Y31" s="15">
        <v>3.0678417533636093E-3</v>
      </c>
      <c r="Z31" s="18">
        <v>3.7212567403912544E-3</v>
      </c>
      <c r="AA31" s="19">
        <v>5.1783467642962933E-3</v>
      </c>
      <c r="AB31" s="272">
        <v>3.6366090178489685E-2</v>
      </c>
      <c r="AC31" s="19">
        <v>5.4290415719151497E-3</v>
      </c>
      <c r="AD31"/>
      <c r="AE31" s="23">
        <v>1.713210716843605E-3</v>
      </c>
      <c r="AF31"/>
      <c r="AG31" s="11">
        <v>1.029885679599829E-4</v>
      </c>
      <c r="AH31" s="16">
        <v>4.4815703295171261E-3</v>
      </c>
      <c r="AI31" s="21">
        <v>6.0512092895805836E-3</v>
      </c>
      <c r="AJ31" s="251">
        <v>1.1855593882501125E-2</v>
      </c>
      <c r="AK31" s="67">
        <v>1.7784427851438522E-2</v>
      </c>
      <c r="AL31"/>
      <c r="AM31"/>
      <c r="AN31"/>
      <c r="AO31"/>
      <c r="AP31"/>
      <c r="AQ31" s="110">
        <v>2.0178433507680893E-2</v>
      </c>
      <c r="AR31" s="15">
        <v>2.7049318887293339E-3</v>
      </c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>
        <v>1.7000000476837158</v>
      </c>
      <c r="C32">
        <v>8.4999114274978638E-2</v>
      </c>
      <c r="D32"/>
      <c r="E32" s="11">
        <v>2.5300689685536781E-6</v>
      </c>
      <c r="F32"/>
      <c r="G32"/>
      <c r="H32"/>
      <c r="I32"/>
      <c r="J32"/>
      <c r="K32" s="11">
        <v>9.7443803679198027E-4</v>
      </c>
      <c r="L32"/>
      <c r="M32"/>
      <c r="N32"/>
      <c r="O32"/>
      <c r="P32"/>
      <c r="Q32" s="11">
        <v>5.3312222007662058E-5</v>
      </c>
      <c r="R32" s="14">
        <v>3.5920804366469383E-3</v>
      </c>
      <c r="S32" s="243">
        <v>7.8138358891010284E-2</v>
      </c>
      <c r="T32" s="285">
        <v>0.15492746233940125</v>
      </c>
      <c r="U32" s="18">
        <v>1.9248949363827705E-2</v>
      </c>
      <c r="V32" s="79">
        <v>0.23957432806491852</v>
      </c>
      <c r="W32" s="21">
        <v>3.4775365144014359E-2</v>
      </c>
      <c r="X32" s="22">
        <v>1.3546568341553211E-2</v>
      </c>
      <c r="Y32" s="14">
        <v>2.8056660667061806E-3</v>
      </c>
      <c r="Z32" s="14">
        <v>4.9099666066467762E-3</v>
      </c>
      <c r="AA32" s="25">
        <v>5.3040675818920135E-2</v>
      </c>
      <c r="AB32" s="23">
        <v>1.0901301167905331E-2</v>
      </c>
      <c r="AC32" s="14">
        <v>2.9616267420351505E-3</v>
      </c>
      <c r="AD32" s="286">
        <v>0.68572103977203369</v>
      </c>
      <c r="AE32" s="21">
        <v>3.2367851585149765E-2</v>
      </c>
      <c r="AF32" s="22">
        <v>1.3180647976696491E-2</v>
      </c>
      <c r="AG32" s="22">
        <v>1.3377176597714424E-2</v>
      </c>
      <c r="AH32" s="251">
        <v>6.5585300326347351E-2</v>
      </c>
      <c r="AI32" s="12">
        <v>7.1212910115718842E-3</v>
      </c>
      <c r="AJ32" s="28">
        <v>5.947602167725563E-2</v>
      </c>
      <c r="AK32" s="18">
        <v>2.0079612731933594E-2</v>
      </c>
      <c r="AL32" s="11">
        <v>4.7227957111317664E-5</v>
      </c>
      <c r="AM32" s="11">
        <v>3.0284596141427755E-4</v>
      </c>
      <c r="AN32"/>
      <c r="AO32" s="64">
        <v>9.2751748859882355E-2</v>
      </c>
      <c r="AP32"/>
      <c r="AQ32"/>
      <c r="AR32" s="12">
        <v>5.5373008362948895E-3</v>
      </c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>
        <v>0.60000002384185791</v>
      </c>
      <c r="C33">
        <v>0.54701107740402222</v>
      </c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 s="11">
        <v>1.5601713676005602E-4</v>
      </c>
      <c r="S33" s="14">
        <v>1.0729203931987286E-3</v>
      </c>
      <c r="T33" s="14">
        <v>1.2176173040643334E-3</v>
      </c>
      <c r="U33"/>
      <c r="V33"/>
      <c r="W33" s="13">
        <v>2.2285021841526031E-2</v>
      </c>
      <c r="X33" s="24">
        <v>1.613607257604599E-2</v>
      </c>
      <c r="Y33" s="11">
        <v>4.0620097934152E-6</v>
      </c>
      <c r="Z33" s="11">
        <v>4.6700788516318426E-6</v>
      </c>
      <c r="AA33" s="14">
        <v>1.4261188916862011E-3</v>
      </c>
      <c r="AB33" s="11">
        <v>2.806078100547893E-6</v>
      </c>
      <c r="AC33"/>
      <c r="AD33"/>
      <c r="AE33"/>
      <c r="AF33"/>
      <c r="AG33"/>
      <c r="AH33" s="11">
        <v>1.8436298887536395E-7</v>
      </c>
      <c r="AI33" s="14">
        <v>1.0024445364251733E-3</v>
      </c>
      <c r="AJ33" s="14">
        <v>7.3653692379593849E-4</v>
      </c>
      <c r="AK33" s="14">
        <v>1.5698388451710343E-3</v>
      </c>
      <c r="AL33"/>
      <c r="AM33" s="14">
        <v>6.1662972439080477E-4</v>
      </c>
      <c r="AN33"/>
      <c r="AO33"/>
      <c r="AP33"/>
      <c r="AQ33"/>
      <c r="AR33" s="14">
        <v>6.8665691651403904E-4</v>
      </c>
      <c r="AS33" s="15">
        <v>6.0713686980307102E-3</v>
      </c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224</v>
      </c>
      <c r="B34">
        <v>2</v>
      </c>
      <c r="C34">
        <v>1.7076998949050903</v>
      </c>
      <c r="D34"/>
      <c r="E34"/>
      <c r="F34"/>
      <c r="G34"/>
      <c r="H34"/>
      <c r="I34"/>
      <c r="J34"/>
      <c r="K34"/>
      <c r="L34"/>
      <c r="M34"/>
      <c r="N34"/>
      <c r="O34"/>
      <c r="P34"/>
      <c r="Q34" s="11">
        <v>5.2319170208647847E-4</v>
      </c>
      <c r="R34" s="11">
        <v>8.3515053847804666E-4</v>
      </c>
      <c r="S34" s="12">
        <v>6.8824789486825466E-3</v>
      </c>
      <c r="T34" s="15">
        <v>1.8172608688473701E-2</v>
      </c>
      <c r="U34"/>
      <c r="V34"/>
      <c r="W34" s="17">
        <v>2.7801375836133957E-2</v>
      </c>
      <c r="X34" s="14">
        <v>3.0409414321184158E-3</v>
      </c>
      <c r="Y34"/>
      <c r="Z34" s="11">
        <v>6.7501183366402984E-5</v>
      </c>
      <c r="AA34" s="243">
        <v>9.2048004269599915E-2</v>
      </c>
      <c r="AB34" s="15">
        <v>1.8600864335894585E-2</v>
      </c>
      <c r="AC34" s="11">
        <v>3.2403363729827106E-4</v>
      </c>
      <c r="AD34"/>
      <c r="AE34" s="14">
        <v>2.6703851763159037E-3</v>
      </c>
      <c r="AF34"/>
      <c r="AG34"/>
      <c r="AH34" s="11">
        <v>5.5238185450434685E-4</v>
      </c>
      <c r="AI34" s="11">
        <v>1.3963429955765605E-4</v>
      </c>
      <c r="AJ34" s="16">
        <v>3.1447209417819977E-2</v>
      </c>
      <c r="AK34" s="22">
        <v>1.7553430050611496E-2</v>
      </c>
      <c r="AL34" s="11">
        <v>1.0980392289638985E-5</v>
      </c>
      <c r="AM34"/>
      <c r="AN34"/>
      <c r="AO34"/>
      <c r="AP34"/>
      <c r="AQ34"/>
      <c r="AR34" s="11">
        <v>1.6336151165887713E-3</v>
      </c>
      <c r="AS34" s="16">
        <v>3.0587935820221901E-2</v>
      </c>
      <c r="AT34" s="21">
        <v>3.9408367127180099E-2</v>
      </c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225</v>
      </c>
      <c r="B35">
        <v>0.69999998807907104</v>
      </c>
      <c r="C35">
        <v>0.68575006723403931</v>
      </c>
      <c r="D35"/>
      <c r="E35"/>
      <c r="F35"/>
      <c r="G35"/>
      <c r="H35"/>
      <c r="I35"/>
      <c r="J35"/>
      <c r="K35"/>
      <c r="L35"/>
      <c r="M35" s="11">
        <v>2.5278744942625053E-5</v>
      </c>
      <c r="N35"/>
      <c r="O35"/>
      <c r="P35"/>
      <c r="Q35" s="11">
        <v>1.0846657096408308E-4</v>
      </c>
      <c r="R35" s="11">
        <v>1.7314095748588443E-4</v>
      </c>
      <c r="S35" s="12">
        <v>3.1357842963188887E-3</v>
      </c>
      <c r="T35" s="12">
        <v>3.154918784275651E-3</v>
      </c>
      <c r="U35"/>
      <c r="V35"/>
      <c r="W35" s="12">
        <v>2.7053907979279757E-3</v>
      </c>
      <c r="X35" s="14">
        <v>1.0357212740927935E-3</v>
      </c>
      <c r="Y35"/>
      <c r="Z35" s="11">
        <v>5.1826482376782224E-6</v>
      </c>
      <c r="AA35" s="11">
        <v>4.5653904089704156E-4</v>
      </c>
      <c r="AB35" s="11">
        <v>6.857577245682478E-4</v>
      </c>
      <c r="AC35" s="11">
        <v>2.7710801805369556E-4</v>
      </c>
      <c r="AD35"/>
      <c r="AE35"/>
      <c r="AF35"/>
      <c r="AG35"/>
      <c r="AH35" s="11">
        <v>4.8907272685028147E-6</v>
      </c>
      <c r="AI35" s="14">
        <v>6.9063855335116386E-4</v>
      </c>
      <c r="AJ35" s="14">
        <v>1.0863820789381862E-3</v>
      </c>
      <c r="AK35" s="11">
        <v>1.5484940377064049E-4</v>
      </c>
      <c r="AL35"/>
      <c r="AM35"/>
      <c r="AN35"/>
      <c r="AO35"/>
      <c r="AP35"/>
      <c r="AQ35"/>
      <c r="AR35" s="11">
        <v>2.1436953829834238E-5</v>
      </c>
      <c r="AS35" s="11">
        <v>5.2845006575807929E-4</v>
      </c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226</v>
      </c>
      <c r="B36">
        <v>2.5</v>
      </c>
      <c r="C36">
        <v>1.4162832498550415</v>
      </c>
      <c r="D36"/>
      <c r="E36"/>
      <c r="F36"/>
      <c r="G36"/>
      <c r="H36"/>
      <c r="I36"/>
      <c r="J36"/>
      <c r="K36"/>
      <c r="L36"/>
      <c r="M36" s="11">
        <v>2.0408163254614919E-4</v>
      </c>
      <c r="N36"/>
      <c r="O36"/>
      <c r="P36"/>
      <c r="Q36" s="14">
        <v>4.4279550202190876E-3</v>
      </c>
      <c r="R36" s="11">
        <v>2.0282226614654064E-3</v>
      </c>
      <c r="S36" s="65">
        <v>5.2273545414209366E-2</v>
      </c>
      <c r="T36" s="233">
        <v>0.13197571039199829</v>
      </c>
      <c r="U36" s="29">
        <v>0.11714445799589157</v>
      </c>
      <c r="V36" s="15">
        <v>2.5363612920045853E-2</v>
      </c>
      <c r="W36" s="65">
        <v>5.167141929268837E-2</v>
      </c>
      <c r="X36" s="14">
        <v>4.4838371686637402E-3</v>
      </c>
      <c r="Y36"/>
      <c r="Z36"/>
      <c r="AA36" s="23">
        <v>1.6756869852542877E-2</v>
      </c>
      <c r="AB36" s="14">
        <v>2.5038057938218117E-3</v>
      </c>
      <c r="AC36" s="12">
        <v>1.0918775573372841E-2</v>
      </c>
      <c r="AD36" s="12">
        <v>1.1102041229605675E-2</v>
      </c>
      <c r="AE36" s="23">
        <v>1.65073461830616E-2</v>
      </c>
      <c r="AF36"/>
      <c r="AG36" s="11">
        <v>8.5273355944082141E-4</v>
      </c>
      <c r="AH36" s="14">
        <v>5.7335034944117069E-3</v>
      </c>
      <c r="AI36" s="14">
        <v>2.6644987519830465E-3</v>
      </c>
      <c r="AJ36" s="12">
        <v>7.478770799934864E-3</v>
      </c>
      <c r="AK36" s="20">
        <v>0.10816190391778946</v>
      </c>
      <c r="AL36"/>
      <c r="AM36" s="24">
        <v>6.6976003348827362E-2</v>
      </c>
      <c r="AN36" s="11">
        <v>9.6799922175705433E-5</v>
      </c>
      <c r="AO36" s="243">
        <v>0.11385020613670349</v>
      </c>
      <c r="AP36"/>
      <c r="AQ36"/>
      <c r="AR36" s="12">
        <v>1.0432223789393902E-2</v>
      </c>
      <c r="AS36" s="285">
        <v>0.22440256178379059</v>
      </c>
      <c r="AT36" s="251">
        <v>9.5706023275852203E-2</v>
      </c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227</v>
      </c>
      <c r="B37">
        <v>3.0399999618530273</v>
      </c>
      <c r="C37">
        <v>0.15200039744377136</v>
      </c>
      <c r="D37"/>
      <c r="E37"/>
      <c r="F37"/>
      <c r="G37"/>
      <c r="H37"/>
      <c r="I37"/>
      <c r="J37"/>
      <c r="K37"/>
      <c r="L37"/>
      <c r="M37"/>
      <c r="N37"/>
      <c r="O37"/>
      <c r="P37" s="146">
        <v>8.7540298700332642E-2</v>
      </c>
      <c r="Q37"/>
      <c r="R37" s="23">
        <v>1.7674779519438744E-2</v>
      </c>
      <c r="S37" s="17">
        <v>4.2239729315042496E-2</v>
      </c>
      <c r="T37" s="251">
        <v>0.11934628337621689</v>
      </c>
      <c r="U37" s="244">
        <v>0.14710886776447296</v>
      </c>
      <c r="V37" s="288">
        <v>0.83005392551422119</v>
      </c>
      <c r="W37" s="18">
        <v>3.808952122926712E-2</v>
      </c>
      <c r="X37" s="14">
        <v>3.7656838539987803E-3</v>
      </c>
      <c r="Y37"/>
      <c r="Z37" s="11">
        <v>4.0424993494525552E-4</v>
      </c>
      <c r="AA37" s="23">
        <v>1.8411591649055481E-2</v>
      </c>
      <c r="AB37" s="11">
        <v>1.2042780872434378E-3</v>
      </c>
      <c r="AC37" s="14">
        <v>8.3666974678635597E-3</v>
      </c>
      <c r="AD37" s="75">
        <v>0.28370890021324158</v>
      </c>
      <c r="AE37" s="66">
        <v>0.12267488241195679</v>
      </c>
      <c r="AF37" s="16">
        <v>4.7233406454324722E-2</v>
      </c>
      <c r="AG37" s="11">
        <v>2.5870192985166796E-5</v>
      </c>
      <c r="AH37" s="11">
        <v>1.5786495059728622E-3</v>
      </c>
      <c r="AI37" s="11">
        <v>1.6923705115914345E-3</v>
      </c>
      <c r="AJ37" s="23">
        <v>1.8345274031162262E-2</v>
      </c>
      <c r="AK37" s="14">
        <v>5.2349683828651905E-3</v>
      </c>
      <c r="AL37" s="14">
        <v>3.5156330559402704E-3</v>
      </c>
      <c r="AM37" s="28">
        <v>0.10903073102235794</v>
      </c>
      <c r="AN37" s="11">
        <v>2.9404927772702649E-5</v>
      </c>
      <c r="AO37" s="67">
        <v>0.17741744220256805</v>
      </c>
      <c r="AP37" s="146">
        <v>8.9682705700397491E-2</v>
      </c>
      <c r="AQ37" s="65">
        <v>6.479133665561676E-2</v>
      </c>
      <c r="AR37" s="11">
        <v>1.6483281506225467E-3</v>
      </c>
      <c r="AS37" s="22">
        <v>2.4602729827165604E-2</v>
      </c>
      <c r="AT37" s="27">
        <v>0.23258107900619507</v>
      </c>
      <c r="AU37"/>
      <c r="AV37"/>
      <c r="AW37"/>
      <c r="AX37"/>
      <c r="AY37" s="287">
        <v>0.39000001549720764</v>
      </c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228</v>
      </c>
      <c r="B38">
        <v>8.3999996185302734</v>
      </c>
      <c r="C38">
        <v>3.8713581562042236</v>
      </c>
      <c r="D38"/>
      <c r="E38"/>
      <c r="F38"/>
      <c r="G38"/>
      <c r="H38"/>
      <c r="I38"/>
      <c r="J38"/>
      <c r="K38"/>
      <c r="L38"/>
      <c r="M38"/>
      <c r="N38"/>
      <c r="O38"/>
      <c r="P38" s="11">
        <v>5.6290952488780022E-3</v>
      </c>
      <c r="Q38"/>
      <c r="R38"/>
      <c r="S38" s="11">
        <v>8.8696274906396866E-4</v>
      </c>
      <c r="T38" s="11">
        <v>2.146625891327858E-3</v>
      </c>
      <c r="U38" s="11">
        <v>1.74079614225775E-4</v>
      </c>
      <c r="V38" s="11">
        <v>4.8737923498265445E-4</v>
      </c>
      <c r="W38" s="11">
        <v>3.6737723276019096E-3</v>
      </c>
      <c r="X38"/>
      <c r="Y38"/>
      <c r="Z38"/>
      <c r="AA38"/>
      <c r="AB38" s="11">
        <v>2.4056174152065068E-4</v>
      </c>
      <c r="AC38" s="11">
        <v>1.8429412739351392E-4</v>
      </c>
      <c r="AD38" s="11">
        <v>8.0000003799796104E-3</v>
      </c>
      <c r="AE38" s="11">
        <v>1.9541815854609013E-3</v>
      </c>
      <c r="AF38" s="14">
        <v>1.1644988320767879E-2</v>
      </c>
      <c r="AG38"/>
      <c r="AH38"/>
      <c r="AI38" s="11">
        <v>7.6798867667093873E-5</v>
      </c>
      <c r="AJ38"/>
      <c r="AK38" s="11">
        <v>1.6666443552821875E-3</v>
      </c>
      <c r="AL38" s="11">
        <v>2.0906669087707996E-3</v>
      </c>
      <c r="AM38" s="65">
        <v>0.17622022330760956</v>
      </c>
      <c r="AN38"/>
      <c r="AO38" s="23">
        <v>5.5950678884983063E-2</v>
      </c>
      <c r="AP38" s="23">
        <v>4.1713878512382507E-2</v>
      </c>
      <c r="AQ38" s="14">
        <v>1.7119146883487701E-2</v>
      </c>
      <c r="AR38"/>
      <c r="AS38"/>
      <c r="AT38" s="26">
        <v>0.22068683803081512</v>
      </c>
      <c r="AU38"/>
      <c r="AV38"/>
      <c r="AW38"/>
      <c r="AX38"/>
      <c r="AY38" s="289">
        <v>3.9780950546264648</v>
      </c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 t="s">
        <v>229</v>
      </c>
      <c r="B39">
        <v>80.731002807617188</v>
      </c>
      <c r="C39">
        <v>43.089599609375</v>
      </c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 s="11">
        <v>3.2284586382047564E-7</v>
      </c>
      <c r="AL39"/>
      <c r="AM39"/>
      <c r="AN39"/>
      <c r="AO39"/>
      <c r="AP39"/>
      <c r="AQ39"/>
      <c r="AR39"/>
      <c r="AS39"/>
      <c r="AT39" s="11">
        <v>7.7287033200263977E-2</v>
      </c>
      <c r="AU39"/>
      <c r="AV39"/>
      <c r="AW39" s="241">
        <v>6.4920377731323242</v>
      </c>
      <c r="AX39"/>
      <c r="AY39" s="66">
        <v>3.3847837448120117</v>
      </c>
      <c r="AZ39" s="290">
        <v>27.687295913696289</v>
      </c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 t="s">
        <v>230</v>
      </c>
      <c r="B40"/>
      <c r="C40">
        <v>0.49650701880455017</v>
      </c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 s="9">
        <v>0.10906380414962769</v>
      </c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 s="9">
        <v>2.3737830633763224E-4</v>
      </c>
      <c r="AJ40"/>
      <c r="AK40"/>
      <c r="AL40"/>
      <c r="AM40" s="9">
        <v>0.33660364151000977</v>
      </c>
      <c r="AN40"/>
      <c r="AO40"/>
      <c r="AP40"/>
      <c r="AQ40"/>
      <c r="AR40" s="9">
        <v>1.800001785159111E-2</v>
      </c>
      <c r="AS40" s="9">
        <v>0.25277528166770935</v>
      </c>
      <c r="AT40" s="9">
        <v>16.413583755493164</v>
      </c>
      <c r="AU40" s="9">
        <v>426.78997802734375</v>
      </c>
      <c r="AV40" s="9">
        <v>330.81997680664062</v>
      </c>
      <c r="AW40" s="9">
        <v>223.22221374511719</v>
      </c>
      <c r="AX40" s="9">
        <v>61.25</v>
      </c>
      <c r="AY40" s="9">
        <v>56.61846923828125</v>
      </c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 t="s">
        <v>231</v>
      </c>
      <c r="B41"/>
      <c r="C41">
        <v>0</v>
      </c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30"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4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2" t="s">
        <v>166</v>
      </c>
    </row>
    <row r="2" spans="1:12" x14ac:dyDescent="0.15">
      <c r="A2" s="1" t="s">
        <v>37</v>
      </c>
      <c r="B2" s="39">
        <v>3</v>
      </c>
      <c r="C2" s="37"/>
      <c r="D2" t="s">
        <v>38</v>
      </c>
      <c r="E2">
        <v>1</v>
      </c>
      <c r="F2">
        <v>1</v>
      </c>
      <c r="G2">
        <v>1</v>
      </c>
      <c r="H2" t="s">
        <v>38</v>
      </c>
      <c r="J2" s="55"/>
      <c r="K2" s="56"/>
      <c r="L2" s="62" t="s">
        <v>167</v>
      </c>
    </row>
    <row r="3" spans="1:12" ht="14" thickBot="1" x14ac:dyDescent="0.2">
      <c r="A3" s="1" t="s">
        <v>39</v>
      </c>
      <c r="B3" s="40">
        <v>0</v>
      </c>
      <c r="C3" s="37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7"/>
      <c r="K3" s="58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7"/>
      <c r="K4" s="58"/>
    </row>
    <row r="5" spans="1:12" x14ac:dyDescent="0.15">
      <c r="D5" s="197" t="s">
        <v>192</v>
      </c>
      <c r="E5">
        <v>4</v>
      </c>
      <c r="F5">
        <v>3.13</v>
      </c>
      <c r="G5">
        <v>4</v>
      </c>
      <c r="H5" s="198" t="s">
        <v>192</v>
      </c>
      <c r="J5" s="57"/>
      <c r="K5" s="58"/>
    </row>
    <row r="6" spans="1:12" ht="14" thickBot="1" x14ac:dyDescent="0.2">
      <c r="A6" s="41" t="s">
        <v>121</v>
      </c>
      <c r="D6" s="197" t="s">
        <v>193</v>
      </c>
      <c r="E6">
        <v>5</v>
      </c>
      <c r="F6">
        <v>3.13</v>
      </c>
      <c r="G6">
        <v>5</v>
      </c>
      <c r="H6" s="198" t="s">
        <v>193</v>
      </c>
      <c r="J6" s="57"/>
      <c r="K6" s="58"/>
    </row>
    <row r="7" spans="1:12" x14ac:dyDescent="0.15">
      <c r="A7" s="36" t="s">
        <v>126</v>
      </c>
      <c r="B7" s="43">
        <v>1</v>
      </c>
      <c r="C7" s="38"/>
      <c r="D7" s="197" t="s">
        <v>194</v>
      </c>
      <c r="E7">
        <v>6</v>
      </c>
      <c r="F7">
        <v>3.13</v>
      </c>
      <c r="G7">
        <v>6</v>
      </c>
      <c r="H7" s="198" t="s">
        <v>194</v>
      </c>
      <c r="J7" s="57"/>
      <c r="K7" s="58"/>
    </row>
    <row r="8" spans="1:12" x14ac:dyDescent="0.15">
      <c r="A8" s="36" t="s">
        <v>38</v>
      </c>
      <c r="B8" s="44">
        <v>1</v>
      </c>
      <c r="C8" s="38"/>
      <c r="D8" s="197" t="s">
        <v>195</v>
      </c>
      <c r="E8">
        <v>7</v>
      </c>
      <c r="F8">
        <v>3.22</v>
      </c>
      <c r="G8">
        <v>7</v>
      </c>
      <c r="H8" s="198" t="s">
        <v>195</v>
      </c>
      <c r="J8" s="57"/>
      <c r="K8" s="58"/>
    </row>
    <row r="9" spans="1:12" x14ac:dyDescent="0.15">
      <c r="A9" s="36" t="s">
        <v>40</v>
      </c>
      <c r="B9" s="44">
        <v>1.1000000000000001</v>
      </c>
      <c r="C9" s="38"/>
      <c r="D9" s="197" t="s">
        <v>196</v>
      </c>
      <c r="E9">
        <v>8</v>
      </c>
      <c r="F9">
        <v>3.22</v>
      </c>
      <c r="G9">
        <v>8</v>
      </c>
      <c r="H9" s="198" t="s">
        <v>196</v>
      </c>
      <c r="J9" s="57"/>
      <c r="K9" s="58"/>
    </row>
    <row r="10" spans="1:12" x14ac:dyDescent="0.15">
      <c r="A10" s="36" t="s">
        <v>41</v>
      </c>
      <c r="B10" s="44">
        <v>1.2</v>
      </c>
      <c r="C10" s="38"/>
      <c r="D10" s="197" t="s">
        <v>197</v>
      </c>
      <c r="E10">
        <v>9</v>
      </c>
      <c r="F10">
        <v>3.12</v>
      </c>
      <c r="G10">
        <v>9</v>
      </c>
      <c r="H10" s="198" t="s">
        <v>197</v>
      </c>
      <c r="J10" s="57"/>
      <c r="K10" s="58"/>
    </row>
    <row r="11" spans="1:12" ht="12" customHeight="1" x14ac:dyDescent="0.15">
      <c r="A11" s="42" t="s">
        <v>127</v>
      </c>
      <c r="B11" s="44">
        <v>2</v>
      </c>
      <c r="C11" s="38"/>
      <c r="D11" s="197" t="s">
        <v>198</v>
      </c>
      <c r="E11">
        <v>10</v>
      </c>
      <c r="F11">
        <v>3.12</v>
      </c>
      <c r="G11">
        <v>10</v>
      </c>
      <c r="H11" s="198" t="s">
        <v>198</v>
      </c>
      <c r="J11" s="57"/>
      <c r="K11" s="58"/>
    </row>
    <row r="12" spans="1:12" x14ac:dyDescent="0.15">
      <c r="A12" s="36" t="s">
        <v>42</v>
      </c>
      <c r="B12" s="44">
        <v>2.1</v>
      </c>
      <c r="C12" s="38"/>
      <c r="D12" s="197" t="s">
        <v>199</v>
      </c>
      <c r="E12">
        <v>11</v>
      </c>
      <c r="F12">
        <v>3.22</v>
      </c>
      <c r="G12">
        <v>11</v>
      </c>
      <c r="H12" s="198" t="s">
        <v>199</v>
      </c>
      <c r="J12" s="57"/>
      <c r="K12" s="58"/>
    </row>
    <row r="13" spans="1:12" x14ac:dyDescent="0.15">
      <c r="A13" s="36" t="s">
        <v>43</v>
      </c>
      <c r="B13" s="44">
        <v>2.2000000000000002</v>
      </c>
      <c r="C13" s="38"/>
      <c r="D13" s="197" t="s">
        <v>200</v>
      </c>
      <c r="E13">
        <v>12</v>
      </c>
      <c r="F13">
        <v>3.22</v>
      </c>
      <c r="G13">
        <v>12</v>
      </c>
      <c r="H13" s="198" t="s">
        <v>200</v>
      </c>
      <c r="J13" s="57"/>
      <c r="K13" s="58"/>
    </row>
    <row r="14" spans="1:12" x14ac:dyDescent="0.15">
      <c r="A14" s="36" t="s">
        <v>67</v>
      </c>
      <c r="B14" s="44">
        <v>2.2999999999999998</v>
      </c>
      <c r="C14" s="38"/>
      <c r="D14" s="197" t="s">
        <v>201</v>
      </c>
      <c r="E14">
        <v>13</v>
      </c>
      <c r="F14">
        <v>3.12</v>
      </c>
      <c r="G14">
        <v>13</v>
      </c>
      <c r="H14" s="198" t="s">
        <v>201</v>
      </c>
      <c r="J14" s="57"/>
      <c r="K14" s="58"/>
    </row>
    <row r="15" spans="1:12" x14ac:dyDescent="0.15">
      <c r="A15" s="42" t="s">
        <v>128</v>
      </c>
      <c r="B15" s="44">
        <v>3</v>
      </c>
      <c r="C15" s="38"/>
      <c r="D15" s="197" t="s">
        <v>202</v>
      </c>
      <c r="E15">
        <v>14</v>
      </c>
      <c r="F15">
        <v>3.22</v>
      </c>
      <c r="G15">
        <v>14</v>
      </c>
      <c r="H15" s="198" t="s">
        <v>202</v>
      </c>
      <c r="J15" s="57"/>
      <c r="K15" s="58"/>
    </row>
    <row r="16" spans="1:12" x14ac:dyDescent="0.15">
      <c r="A16" s="36" t="s">
        <v>62</v>
      </c>
      <c r="B16" s="44">
        <v>3.11</v>
      </c>
      <c r="C16" s="38"/>
      <c r="D16" s="197" t="s">
        <v>203</v>
      </c>
      <c r="E16">
        <v>15</v>
      </c>
      <c r="F16">
        <v>3.22</v>
      </c>
      <c r="G16">
        <v>15</v>
      </c>
      <c r="H16" s="198" t="s">
        <v>203</v>
      </c>
      <c r="J16" s="57"/>
      <c r="K16" s="58"/>
    </row>
    <row r="17" spans="1:12" x14ac:dyDescent="0.15">
      <c r="A17" s="36" t="s">
        <v>61</v>
      </c>
      <c r="B17" s="44">
        <v>3.12</v>
      </c>
      <c r="C17" s="38"/>
      <c r="D17" s="197" t="s">
        <v>204</v>
      </c>
      <c r="E17">
        <v>16</v>
      </c>
      <c r="F17">
        <v>3.22</v>
      </c>
      <c r="G17">
        <v>16</v>
      </c>
      <c r="H17" s="198" t="s">
        <v>204</v>
      </c>
      <c r="J17" s="57"/>
      <c r="K17" s="58"/>
    </row>
    <row r="18" spans="1:12" x14ac:dyDescent="0.15">
      <c r="A18" s="36" t="s">
        <v>68</v>
      </c>
      <c r="B18" s="44">
        <v>3.13</v>
      </c>
      <c r="C18" s="38"/>
      <c r="D18" s="197" t="s">
        <v>205</v>
      </c>
      <c r="E18">
        <v>17</v>
      </c>
      <c r="F18">
        <v>3.22</v>
      </c>
      <c r="G18">
        <v>17</v>
      </c>
      <c r="H18" s="198" t="s">
        <v>205</v>
      </c>
      <c r="J18" s="57"/>
      <c r="K18" s="58"/>
    </row>
    <row r="19" spans="1:12" x14ac:dyDescent="0.15">
      <c r="A19" s="36" t="s">
        <v>66</v>
      </c>
      <c r="B19" s="44">
        <v>3.21</v>
      </c>
      <c r="C19" s="38"/>
      <c r="D19" s="197" t="s">
        <v>206</v>
      </c>
      <c r="E19">
        <v>18</v>
      </c>
      <c r="F19">
        <v>3</v>
      </c>
      <c r="G19">
        <v>18</v>
      </c>
      <c r="H19" s="198" t="s">
        <v>206</v>
      </c>
      <c r="J19" s="57"/>
      <c r="K19" s="58"/>
    </row>
    <row r="20" spans="1:12" x14ac:dyDescent="0.15">
      <c r="A20" s="36" t="s">
        <v>63</v>
      </c>
      <c r="B20" s="44">
        <v>3.22</v>
      </c>
      <c r="C20" s="38"/>
      <c r="D20" s="197" t="s">
        <v>207</v>
      </c>
      <c r="E20">
        <v>19</v>
      </c>
      <c r="F20">
        <v>3.22</v>
      </c>
      <c r="G20">
        <v>19</v>
      </c>
      <c r="H20" s="198" t="s">
        <v>207</v>
      </c>
      <c r="J20" s="57"/>
      <c r="K20" s="58"/>
    </row>
    <row r="21" spans="1:12" ht="14" thickBot="1" x14ac:dyDescent="0.2">
      <c r="A21" s="36" t="s">
        <v>69</v>
      </c>
      <c r="B21" s="44">
        <v>3.23</v>
      </c>
      <c r="C21" s="38"/>
      <c r="D21" s="197" t="s">
        <v>208</v>
      </c>
      <c r="E21">
        <v>20</v>
      </c>
      <c r="F21">
        <v>3.12</v>
      </c>
      <c r="G21">
        <v>20</v>
      </c>
      <c r="H21" s="198" t="s">
        <v>208</v>
      </c>
      <c r="J21" s="59"/>
      <c r="K21" s="60"/>
      <c r="L21" s="62" t="s">
        <v>152</v>
      </c>
    </row>
    <row r="22" spans="1:12" x14ac:dyDescent="0.15">
      <c r="A22" s="36" t="s">
        <v>64</v>
      </c>
      <c r="B22" s="44">
        <v>8</v>
      </c>
      <c r="C22" s="38"/>
      <c r="D22" s="197" t="s">
        <v>209</v>
      </c>
      <c r="E22">
        <v>21</v>
      </c>
      <c r="F22">
        <v>3.2</v>
      </c>
      <c r="G22">
        <v>21</v>
      </c>
      <c r="H22" s="198" t="s">
        <v>209</v>
      </c>
    </row>
    <row r="23" spans="1:12" x14ac:dyDescent="0.15">
      <c r="A23" s="36" t="s">
        <v>129</v>
      </c>
      <c r="B23" s="44">
        <v>4</v>
      </c>
      <c r="C23" s="38"/>
      <c r="D23" s="197" t="s">
        <v>210</v>
      </c>
      <c r="E23">
        <v>22</v>
      </c>
      <c r="F23">
        <v>3.2</v>
      </c>
      <c r="G23">
        <v>22</v>
      </c>
      <c r="H23" s="198" t="s">
        <v>210</v>
      </c>
    </row>
    <row r="24" spans="1:12" x14ac:dyDescent="0.15">
      <c r="A24" s="36" t="s">
        <v>122</v>
      </c>
      <c r="B24" s="44">
        <v>4.0999999999999996</v>
      </c>
      <c r="C24" s="38"/>
      <c r="D24" s="197" t="s">
        <v>211</v>
      </c>
      <c r="E24">
        <v>23</v>
      </c>
      <c r="F24">
        <v>3.2</v>
      </c>
      <c r="G24">
        <v>23</v>
      </c>
      <c r="H24" s="198" t="s">
        <v>211</v>
      </c>
    </row>
    <row r="25" spans="1:12" x14ac:dyDescent="0.15">
      <c r="A25" s="36" t="s">
        <v>70</v>
      </c>
      <c r="B25" s="44">
        <v>4.2</v>
      </c>
      <c r="C25" s="38"/>
      <c r="D25" s="197" t="s">
        <v>212</v>
      </c>
      <c r="E25">
        <v>24</v>
      </c>
      <c r="F25">
        <v>3.22</v>
      </c>
      <c r="G25">
        <v>24</v>
      </c>
      <c r="H25" s="198" t="s">
        <v>212</v>
      </c>
    </row>
    <row r="26" spans="1:12" x14ac:dyDescent="0.15">
      <c r="A26" s="36" t="s">
        <v>123</v>
      </c>
      <c r="B26" s="44">
        <v>4.3</v>
      </c>
      <c r="C26" s="38"/>
      <c r="D26" s="197" t="s">
        <v>213</v>
      </c>
      <c r="E26">
        <v>25</v>
      </c>
      <c r="F26">
        <v>3.2</v>
      </c>
      <c r="G26">
        <v>25</v>
      </c>
      <c r="H26" s="198" t="s">
        <v>213</v>
      </c>
    </row>
    <row r="27" spans="1:12" x14ac:dyDescent="0.15">
      <c r="A27" s="36" t="s">
        <v>125</v>
      </c>
      <c r="B27" s="44">
        <v>6.1</v>
      </c>
      <c r="D27" s="197" t="s">
        <v>214</v>
      </c>
      <c r="E27">
        <v>26</v>
      </c>
      <c r="F27">
        <v>3.12</v>
      </c>
      <c r="G27">
        <v>26</v>
      </c>
      <c r="H27" s="198" t="s">
        <v>214</v>
      </c>
    </row>
    <row r="28" spans="1:12" x14ac:dyDescent="0.15">
      <c r="A28" s="36" t="s">
        <v>124</v>
      </c>
      <c r="B28" s="44">
        <v>6.2</v>
      </c>
      <c r="D28" s="197" t="s">
        <v>215</v>
      </c>
      <c r="E28">
        <v>27</v>
      </c>
      <c r="F28">
        <v>3.12</v>
      </c>
      <c r="G28">
        <v>27</v>
      </c>
      <c r="H28" s="198" t="s">
        <v>215</v>
      </c>
    </row>
    <row r="29" spans="1:12" x14ac:dyDescent="0.15">
      <c r="A29" s="36" t="s">
        <v>44</v>
      </c>
      <c r="B29" s="44">
        <v>5</v>
      </c>
      <c r="D29" s="197" t="s">
        <v>216</v>
      </c>
      <c r="E29">
        <v>28</v>
      </c>
      <c r="F29">
        <v>3.1</v>
      </c>
      <c r="G29">
        <v>28</v>
      </c>
      <c r="H29" s="198" t="s">
        <v>216</v>
      </c>
    </row>
    <row r="30" spans="1:12" x14ac:dyDescent="0.15">
      <c r="A30" s="36" t="s">
        <v>73</v>
      </c>
      <c r="B30" s="44">
        <v>7</v>
      </c>
      <c r="D30" s="197" t="s">
        <v>217</v>
      </c>
      <c r="E30">
        <v>29</v>
      </c>
      <c r="F30">
        <v>3.12</v>
      </c>
      <c r="G30">
        <v>29</v>
      </c>
      <c r="H30" s="198" t="s">
        <v>217</v>
      </c>
    </row>
    <row r="31" spans="1:12" x14ac:dyDescent="0.15">
      <c r="A31" s="36" t="s">
        <v>169</v>
      </c>
      <c r="B31" s="44">
        <v>3.14</v>
      </c>
      <c r="D31" s="197" t="s">
        <v>218</v>
      </c>
      <c r="E31">
        <v>30</v>
      </c>
      <c r="F31">
        <v>3.12</v>
      </c>
      <c r="G31">
        <v>30</v>
      </c>
      <c r="H31" s="198" t="s">
        <v>218</v>
      </c>
    </row>
    <row r="32" spans="1:12" ht="12" customHeight="1" thickBot="1" x14ac:dyDescent="0.2">
      <c r="A32" s="42" t="s">
        <v>170</v>
      </c>
      <c r="B32" s="45">
        <v>9</v>
      </c>
      <c r="D32" s="197" t="s">
        <v>219</v>
      </c>
      <c r="E32">
        <v>31</v>
      </c>
      <c r="F32">
        <v>3.12</v>
      </c>
      <c r="G32">
        <v>31</v>
      </c>
      <c r="H32" s="198" t="s">
        <v>219</v>
      </c>
    </row>
    <row r="33" spans="4:8" customFormat="1" ht="12" customHeight="1" x14ac:dyDescent="0.15">
      <c r="D33" s="197" t="s">
        <v>220</v>
      </c>
      <c r="E33">
        <v>32</v>
      </c>
      <c r="F33">
        <v>3.21</v>
      </c>
      <c r="G33">
        <v>32</v>
      </c>
      <c r="H33" s="198" t="s">
        <v>220</v>
      </c>
    </row>
    <row r="34" spans="4:8" customFormat="1" ht="12" customHeight="1" x14ac:dyDescent="0.15">
      <c r="D34" s="197" t="s">
        <v>221</v>
      </c>
      <c r="E34">
        <v>33</v>
      </c>
      <c r="F34">
        <v>3.21</v>
      </c>
      <c r="G34">
        <v>33</v>
      </c>
      <c r="H34" s="198" t="s">
        <v>221</v>
      </c>
    </row>
    <row r="35" spans="4:8" customFormat="1" x14ac:dyDescent="0.15">
      <c r="D35" s="197" t="s">
        <v>222</v>
      </c>
      <c r="E35">
        <v>34</v>
      </c>
      <c r="F35">
        <v>3</v>
      </c>
      <c r="G35">
        <v>34</v>
      </c>
      <c r="H35" s="198" t="s">
        <v>222</v>
      </c>
    </row>
    <row r="36" spans="4:8" customFormat="1" x14ac:dyDescent="0.15">
      <c r="D36" s="197" t="s">
        <v>223</v>
      </c>
      <c r="E36">
        <v>35</v>
      </c>
      <c r="F36">
        <v>3.21</v>
      </c>
      <c r="G36">
        <v>35</v>
      </c>
      <c r="H36" s="198" t="s">
        <v>223</v>
      </c>
    </row>
    <row r="37" spans="4:8" customFormat="1" ht="12" customHeight="1" x14ac:dyDescent="0.15">
      <c r="D37" s="197" t="s">
        <v>224</v>
      </c>
      <c r="E37">
        <v>36</v>
      </c>
      <c r="F37">
        <v>3.21</v>
      </c>
      <c r="G37">
        <v>36</v>
      </c>
      <c r="H37" s="198" t="s">
        <v>224</v>
      </c>
    </row>
    <row r="38" spans="4:8" customFormat="1" x14ac:dyDescent="0.15">
      <c r="D38" s="197" t="s">
        <v>225</v>
      </c>
      <c r="E38">
        <v>37</v>
      </c>
      <c r="F38">
        <v>3.21</v>
      </c>
      <c r="G38">
        <v>37</v>
      </c>
      <c r="H38" s="198" t="s">
        <v>225</v>
      </c>
    </row>
    <row r="39" spans="4:8" customFormat="1" x14ac:dyDescent="0.15">
      <c r="D39" s="197" t="s">
        <v>226</v>
      </c>
      <c r="E39">
        <v>38</v>
      </c>
      <c r="F39">
        <v>3</v>
      </c>
      <c r="G39">
        <v>38</v>
      </c>
      <c r="H39" s="198" t="s">
        <v>226</v>
      </c>
    </row>
    <row r="40" spans="4:8" customFormat="1" x14ac:dyDescent="0.15">
      <c r="D40" s="197" t="s">
        <v>227</v>
      </c>
      <c r="E40">
        <v>39</v>
      </c>
      <c r="F40">
        <v>3.11</v>
      </c>
      <c r="G40">
        <v>39</v>
      </c>
      <c r="H40" s="198" t="s">
        <v>227</v>
      </c>
    </row>
    <row r="41" spans="4:8" customFormat="1" x14ac:dyDescent="0.15">
      <c r="D41" s="197" t="s">
        <v>228</v>
      </c>
      <c r="E41">
        <v>40</v>
      </c>
      <c r="F41">
        <v>3.11</v>
      </c>
      <c r="G41">
        <v>40</v>
      </c>
      <c r="H41" s="198" t="s">
        <v>228</v>
      </c>
    </row>
    <row r="42" spans="4:8" customFormat="1" x14ac:dyDescent="0.15">
      <c r="D42" s="197" t="s">
        <v>229</v>
      </c>
      <c r="E42">
        <v>41</v>
      </c>
      <c r="F42">
        <v>2</v>
      </c>
      <c r="G42">
        <v>41</v>
      </c>
      <c r="H42" s="198" t="s">
        <v>229</v>
      </c>
    </row>
    <row r="43" spans="4:8" customFormat="1" x14ac:dyDescent="0.15">
      <c r="D43" s="197" t="s">
        <v>230</v>
      </c>
      <c r="E43">
        <v>42</v>
      </c>
      <c r="F43">
        <v>4.0999999999999996</v>
      </c>
      <c r="G43">
        <v>42</v>
      </c>
      <c r="H43" s="198" t="s">
        <v>230</v>
      </c>
    </row>
    <row r="44" spans="4:8" customFormat="1" x14ac:dyDescent="0.15">
      <c r="D44" s="197" t="s">
        <v>231</v>
      </c>
      <c r="E44">
        <v>43</v>
      </c>
      <c r="F44">
        <v>4.3</v>
      </c>
      <c r="G44">
        <v>43</v>
      </c>
      <c r="H44" s="198" t="s">
        <v>231</v>
      </c>
    </row>
    <row r="45" spans="4:8" customFormat="1" x14ac:dyDescent="0.15">
      <c r="D45" s="197" t="s">
        <v>232</v>
      </c>
      <c r="E45">
        <v>44</v>
      </c>
      <c r="F45">
        <v>5</v>
      </c>
      <c r="G45">
        <v>44</v>
      </c>
      <c r="H45" s="198" t="s">
        <v>232</v>
      </c>
    </row>
    <row r="46" spans="4:8" customFormat="1" x14ac:dyDescent="0.15">
      <c r="D46" s="197" t="s">
        <v>233</v>
      </c>
      <c r="E46">
        <v>45</v>
      </c>
      <c r="F46">
        <v>5</v>
      </c>
      <c r="G46">
        <v>45</v>
      </c>
      <c r="H46" s="198" t="s">
        <v>233</v>
      </c>
    </row>
    <row r="47" spans="4:8" customFormat="1" x14ac:dyDescent="0.15">
      <c r="D47" s="197" t="s">
        <v>234</v>
      </c>
      <c r="E47">
        <v>46</v>
      </c>
      <c r="F47">
        <v>5</v>
      </c>
      <c r="G47">
        <v>46</v>
      </c>
      <c r="H47" s="198" t="s">
        <v>234</v>
      </c>
    </row>
    <row r="48" spans="4:8" customFormat="1" x14ac:dyDescent="0.15">
      <c r="D48" s="197" t="s">
        <v>235</v>
      </c>
      <c r="E48">
        <v>47</v>
      </c>
      <c r="F48">
        <v>5</v>
      </c>
      <c r="G48">
        <v>47</v>
      </c>
      <c r="H48" s="198" t="s">
        <v>235</v>
      </c>
    </row>
    <row r="49" spans="4:8" customFormat="1" x14ac:dyDescent="0.15">
      <c r="D49" s="197" t="s">
        <v>236</v>
      </c>
      <c r="E49">
        <v>48</v>
      </c>
      <c r="F49">
        <v>5</v>
      </c>
      <c r="G49">
        <v>48</v>
      </c>
      <c r="H49" s="198" t="s">
        <v>236</v>
      </c>
    </row>
    <row r="50" spans="4:8" customFormat="1" ht="12" customHeight="1" x14ac:dyDescent="0.15">
      <c r="D50" s="197" t="s">
        <v>237</v>
      </c>
      <c r="E50">
        <v>49</v>
      </c>
      <c r="F50">
        <v>5</v>
      </c>
      <c r="G50">
        <v>49</v>
      </c>
      <c r="H50" s="198" t="s">
        <v>237</v>
      </c>
    </row>
    <row r="51" spans="4:8" customFormat="1" x14ac:dyDescent="0.15">
      <c r="D51" s="197" t="s">
        <v>238</v>
      </c>
      <c r="E51">
        <v>50</v>
      </c>
      <c r="F51">
        <v>5</v>
      </c>
      <c r="G51">
        <v>50</v>
      </c>
      <c r="H51" s="198" t="s">
        <v>238</v>
      </c>
    </row>
    <row r="52" spans="4:8" customFormat="1" ht="12" customHeight="1" x14ac:dyDescent="0.15">
      <c r="D52" s="197" t="s">
        <v>239</v>
      </c>
      <c r="E52">
        <v>51</v>
      </c>
      <c r="F52">
        <v>5</v>
      </c>
      <c r="G52">
        <v>51</v>
      </c>
      <c r="H52" s="198" t="s">
        <v>239</v>
      </c>
    </row>
    <row r="53" spans="4:8" customFormat="1" x14ac:dyDescent="0.15">
      <c r="D53" s="197" t="s">
        <v>240</v>
      </c>
      <c r="E53">
        <v>52</v>
      </c>
      <c r="F53">
        <v>5</v>
      </c>
      <c r="G53">
        <v>52</v>
      </c>
      <c r="H53" s="198" t="s">
        <v>240</v>
      </c>
    </row>
    <row r="54" spans="4:8" customFormat="1" ht="12" customHeight="1" x14ac:dyDescent="0.15">
      <c r="D54" s="197" t="s">
        <v>241</v>
      </c>
      <c r="E54">
        <v>53</v>
      </c>
      <c r="F54">
        <v>5</v>
      </c>
      <c r="G54">
        <v>53</v>
      </c>
      <c r="H54" s="198" t="s">
        <v>241</v>
      </c>
    </row>
    <row r="55" spans="4:8" customFormat="1" ht="12" customHeight="1" x14ac:dyDescent="0.15">
      <c r="D55" s="197" t="s">
        <v>242</v>
      </c>
      <c r="E55">
        <v>54</v>
      </c>
      <c r="F55">
        <v>5</v>
      </c>
      <c r="G55">
        <v>54</v>
      </c>
      <c r="H55" s="198" t="s">
        <v>242</v>
      </c>
    </row>
    <row r="56" spans="4:8" customFormat="1" x14ac:dyDescent="0.15">
      <c r="D56" s="197" t="s">
        <v>243</v>
      </c>
      <c r="E56">
        <v>55</v>
      </c>
      <c r="F56">
        <v>5</v>
      </c>
      <c r="G56">
        <v>55</v>
      </c>
      <c r="H56" s="198" t="s">
        <v>243</v>
      </c>
    </row>
    <row r="57" spans="4:8" customFormat="1" x14ac:dyDescent="0.15">
      <c r="D57" s="197" t="s">
        <v>138</v>
      </c>
      <c r="E57">
        <v>56</v>
      </c>
      <c r="F57">
        <v>6.1</v>
      </c>
      <c r="G57">
        <v>56</v>
      </c>
      <c r="H57" s="198" t="s">
        <v>138</v>
      </c>
    </row>
    <row r="58" spans="4:8" customFormat="1" x14ac:dyDescent="0.15">
      <c r="D58" s="197" t="s">
        <v>45</v>
      </c>
      <c r="E58">
        <v>57</v>
      </c>
      <c r="F58">
        <v>6.2</v>
      </c>
      <c r="G58">
        <v>57</v>
      </c>
      <c r="H58" s="198" t="s">
        <v>45</v>
      </c>
    </row>
    <row r="59" spans="4:8" customFormat="1" x14ac:dyDescent="0.15"/>
    <row r="60" spans="4:8" customFormat="1" x14ac:dyDescent="0.15"/>
    <row r="61" spans="4:8" customFormat="1" x14ac:dyDescent="0.15"/>
    <row r="62" spans="4:8" customFormat="1" x14ac:dyDescent="0.15"/>
    <row r="63" spans="4:8" customFormat="1" x14ac:dyDescent="0.15"/>
    <row r="64" spans="4:8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40.1640625" style="85" bestFit="1" customWidth="1"/>
    <col min="2" max="2" width="6.83203125" style="84" customWidth="1"/>
    <col min="3" max="3" width="13.1640625" style="84" customWidth="1"/>
    <col min="4" max="4" width="39.6640625" style="84" customWidth="1"/>
    <col min="5" max="5" width="8.1640625" style="84" customWidth="1"/>
    <col min="6" max="6" width="21.6640625" style="84" bestFit="1" customWidth="1"/>
    <col min="7" max="9" width="2.33203125" style="84" customWidth="1"/>
    <col min="10" max="10" width="2.33203125" style="84" bestFit="1" customWidth="1"/>
    <col min="11" max="15" width="2.33203125" style="84" customWidth="1"/>
    <col min="16" max="16" width="2.33203125" style="73" customWidth="1"/>
    <col min="17" max="17" width="2.33203125" style="84" customWidth="1"/>
    <col min="18" max="18" width="2.33203125" style="74" customWidth="1"/>
    <col min="19" max="16384" width="11.5" style="84"/>
  </cols>
  <sheetData>
    <row r="1" spans="1:23" ht="15" customHeight="1" thickBot="1" x14ac:dyDescent="0.2">
      <c r="F1" s="1"/>
      <c r="G1" s="71" t="s">
        <v>46</v>
      </c>
      <c r="H1" s="71" t="s">
        <v>47</v>
      </c>
      <c r="I1" s="71" t="s">
        <v>120</v>
      </c>
      <c r="J1" s="71" t="s">
        <v>132</v>
      </c>
      <c r="K1" s="86" t="s">
        <v>48</v>
      </c>
      <c r="L1" s="74"/>
      <c r="M1" s="86" t="s">
        <v>119</v>
      </c>
      <c r="N1" s="74"/>
      <c r="O1" s="86" t="s">
        <v>49</v>
      </c>
      <c r="P1" s="77"/>
      <c r="Q1" s="86" t="s">
        <v>50</v>
      </c>
      <c r="R1" s="71" t="s">
        <v>154</v>
      </c>
    </row>
    <row r="2" spans="1:23" ht="15" customHeight="1" x14ac:dyDescent="0.15">
      <c r="A2" s="86" t="s">
        <v>51</v>
      </c>
      <c r="B2" s="87">
        <v>0.5</v>
      </c>
      <c r="C2" s="85" t="s">
        <v>52</v>
      </c>
      <c r="D2" s="88"/>
      <c r="F2" s="1"/>
      <c r="G2" s="89"/>
      <c r="H2" s="89"/>
      <c r="I2" s="89" t="s">
        <v>133</v>
      </c>
      <c r="J2" s="89" t="s">
        <v>133</v>
      </c>
      <c r="K2" s="89" t="s">
        <v>52</v>
      </c>
      <c r="L2" s="89" t="s">
        <v>53</v>
      </c>
      <c r="M2" s="89" t="s">
        <v>52</v>
      </c>
      <c r="N2" s="89" t="s">
        <v>53</v>
      </c>
      <c r="O2" s="89" t="s">
        <v>52</v>
      </c>
      <c r="P2" s="90" t="s">
        <v>53</v>
      </c>
      <c r="Q2" s="89"/>
      <c r="R2" s="91" t="s">
        <v>155</v>
      </c>
    </row>
    <row r="3" spans="1:23" ht="15" customHeight="1" thickBot="1" x14ac:dyDescent="0.2">
      <c r="A3" s="86" t="s">
        <v>54</v>
      </c>
      <c r="B3" s="92">
        <v>0.5</v>
      </c>
      <c r="C3" s="85" t="s">
        <v>53</v>
      </c>
      <c r="D3" s="88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41">
        <v>0</v>
      </c>
      <c r="R3" s="38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41">
        <v>0</v>
      </c>
      <c r="R4" s="113">
        <v>0</v>
      </c>
    </row>
    <row r="5" spans="1:23" ht="15" customHeight="1" x14ac:dyDescent="0.15">
      <c r="A5" s="86" t="s">
        <v>55</v>
      </c>
      <c r="B5" s="93">
        <v>0.5</v>
      </c>
      <c r="C5" s="85" t="s">
        <v>52</v>
      </c>
      <c r="D5" s="88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41">
        <v>0</v>
      </c>
      <c r="R5" s="113">
        <v>0</v>
      </c>
    </row>
    <row r="6" spans="1:23" ht="15" customHeight="1" thickBot="1" x14ac:dyDescent="0.2">
      <c r="A6" s="86"/>
      <c r="B6" s="94">
        <v>0.5</v>
      </c>
      <c r="C6" s="85" t="s">
        <v>53</v>
      </c>
      <c r="D6" s="88"/>
      <c r="F6" s="199" t="s">
        <v>192</v>
      </c>
      <c r="G6" s="84">
        <v>0</v>
      </c>
      <c r="H6" s="84">
        <v>0</v>
      </c>
      <c r="I6" s="84">
        <v>0</v>
      </c>
      <c r="J6" s="84">
        <v>0</v>
      </c>
      <c r="K6" s="84">
        <v>1</v>
      </c>
      <c r="L6" s="84">
        <v>0</v>
      </c>
      <c r="M6" s="84">
        <v>1</v>
      </c>
      <c r="N6" s="84">
        <v>0</v>
      </c>
      <c r="O6" s="84">
        <v>1</v>
      </c>
      <c r="P6" s="73">
        <v>0</v>
      </c>
      <c r="Q6" s="84">
        <v>0</v>
      </c>
      <c r="R6" s="74">
        <v>1</v>
      </c>
      <c r="S6"/>
      <c r="T6"/>
    </row>
    <row r="7" spans="1:23" ht="15" customHeight="1" thickBot="1" x14ac:dyDescent="0.2">
      <c r="F7" s="199" t="s">
        <v>193</v>
      </c>
      <c r="G7" s="84">
        <v>0</v>
      </c>
      <c r="H7" s="84">
        <v>0</v>
      </c>
      <c r="I7" s="84">
        <v>0</v>
      </c>
      <c r="J7" s="84">
        <v>0</v>
      </c>
      <c r="K7" s="84">
        <v>1</v>
      </c>
      <c r="L7" s="84">
        <v>0</v>
      </c>
      <c r="M7" s="84">
        <v>1</v>
      </c>
      <c r="N7" s="84">
        <v>0</v>
      </c>
      <c r="O7" s="84">
        <v>1</v>
      </c>
      <c r="P7" s="73">
        <v>0</v>
      </c>
      <c r="Q7" s="84">
        <v>0</v>
      </c>
      <c r="R7" s="74">
        <v>1</v>
      </c>
      <c r="S7"/>
      <c r="T7"/>
    </row>
    <row r="8" spans="1:23" ht="15" customHeight="1" x14ac:dyDescent="0.15">
      <c r="A8" s="86" t="s">
        <v>56</v>
      </c>
      <c r="B8" s="93">
        <v>1</v>
      </c>
      <c r="C8" s="200" t="s">
        <v>229</v>
      </c>
      <c r="D8" s="88" t="s">
        <v>160</v>
      </c>
      <c r="F8" s="199" t="s">
        <v>194</v>
      </c>
      <c r="G8" s="84">
        <v>0</v>
      </c>
      <c r="H8" s="84">
        <v>0</v>
      </c>
      <c r="I8" s="84">
        <v>0</v>
      </c>
      <c r="J8" s="84">
        <v>0</v>
      </c>
      <c r="K8" s="84">
        <v>1</v>
      </c>
      <c r="L8" s="84">
        <v>0</v>
      </c>
      <c r="M8" s="84">
        <v>1</v>
      </c>
      <c r="N8" s="84">
        <v>0</v>
      </c>
      <c r="O8" s="84">
        <v>1</v>
      </c>
      <c r="P8" s="73">
        <v>0</v>
      </c>
      <c r="Q8" s="84">
        <v>0</v>
      </c>
      <c r="R8" s="74">
        <v>1</v>
      </c>
      <c r="S8"/>
      <c r="T8"/>
      <c r="W8"/>
    </row>
    <row r="9" spans="1:23" ht="15" customHeight="1" x14ac:dyDescent="0.15">
      <c r="A9" s="127" t="s">
        <v>168</v>
      </c>
      <c r="B9" s="95"/>
      <c r="C9" s="83"/>
      <c r="D9" s="88" t="s">
        <v>160</v>
      </c>
      <c r="F9" s="199" t="s">
        <v>195</v>
      </c>
      <c r="G9" s="84">
        <v>0</v>
      </c>
      <c r="H9" s="84">
        <v>0</v>
      </c>
      <c r="I9" s="84">
        <v>0</v>
      </c>
      <c r="J9" s="84">
        <v>0</v>
      </c>
      <c r="K9" s="84">
        <v>1</v>
      </c>
      <c r="L9" s="84">
        <v>0</v>
      </c>
      <c r="M9" s="84">
        <v>1</v>
      </c>
      <c r="N9" s="84">
        <v>0</v>
      </c>
      <c r="O9" s="84">
        <v>1</v>
      </c>
      <c r="P9" s="73">
        <v>0</v>
      </c>
      <c r="Q9" s="84">
        <v>0</v>
      </c>
      <c r="R9" s="74">
        <v>1</v>
      </c>
      <c r="S9"/>
      <c r="T9"/>
      <c r="W9"/>
    </row>
    <row r="10" spans="1:23" ht="15" customHeight="1" x14ac:dyDescent="0.15">
      <c r="B10" s="95"/>
      <c r="C10" s="83"/>
      <c r="D10" s="88" t="s">
        <v>160</v>
      </c>
      <c r="F10" s="199" t="s">
        <v>196</v>
      </c>
      <c r="G10" s="84">
        <v>0</v>
      </c>
      <c r="H10" s="84">
        <v>0</v>
      </c>
      <c r="I10" s="84">
        <v>0</v>
      </c>
      <c r="J10" s="84">
        <v>0</v>
      </c>
      <c r="K10" s="84">
        <v>1</v>
      </c>
      <c r="L10" s="84">
        <v>0</v>
      </c>
      <c r="M10" s="84">
        <v>1</v>
      </c>
      <c r="N10" s="84">
        <v>0</v>
      </c>
      <c r="O10" s="84">
        <v>1</v>
      </c>
      <c r="P10" s="73">
        <v>0</v>
      </c>
      <c r="Q10" s="84">
        <v>0</v>
      </c>
      <c r="R10" s="74">
        <v>1</v>
      </c>
      <c r="S10"/>
      <c r="T10"/>
      <c r="W10"/>
    </row>
    <row r="11" spans="1:23" ht="15" customHeight="1" x14ac:dyDescent="0.15">
      <c r="A11" s="86"/>
      <c r="B11" s="95"/>
      <c r="C11" s="98"/>
      <c r="D11" s="88" t="s">
        <v>160</v>
      </c>
      <c r="F11" s="199" t="s">
        <v>197</v>
      </c>
      <c r="G11" s="84">
        <v>0</v>
      </c>
      <c r="H11" s="84">
        <v>0</v>
      </c>
      <c r="I11" s="84">
        <v>0</v>
      </c>
      <c r="J11" s="84">
        <v>0</v>
      </c>
      <c r="K11" s="84">
        <v>1</v>
      </c>
      <c r="L11" s="84">
        <v>0</v>
      </c>
      <c r="M11" s="84">
        <v>1</v>
      </c>
      <c r="N11" s="84">
        <v>0</v>
      </c>
      <c r="O11" s="84">
        <v>1</v>
      </c>
      <c r="P11" s="73">
        <v>0</v>
      </c>
      <c r="Q11" s="84">
        <v>0</v>
      </c>
      <c r="R11" s="74">
        <v>1</v>
      </c>
      <c r="S11"/>
      <c r="T11"/>
      <c r="W11"/>
    </row>
    <row r="12" spans="1:23" ht="15" customHeight="1" x14ac:dyDescent="0.15">
      <c r="B12" s="95"/>
      <c r="C12" s="99"/>
      <c r="D12" s="88" t="s">
        <v>160</v>
      </c>
      <c r="F12" s="199" t="s">
        <v>198</v>
      </c>
      <c r="G12" s="84">
        <v>0</v>
      </c>
      <c r="H12" s="84">
        <v>0</v>
      </c>
      <c r="I12" s="84">
        <v>0</v>
      </c>
      <c r="J12" s="84">
        <v>0</v>
      </c>
      <c r="K12" s="84">
        <v>1</v>
      </c>
      <c r="L12" s="84">
        <v>0</v>
      </c>
      <c r="M12" s="84">
        <v>1</v>
      </c>
      <c r="N12" s="84">
        <v>0</v>
      </c>
      <c r="O12" s="84">
        <v>1</v>
      </c>
      <c r="P12" s="73">
        <v>0</v>
      </c>
      <c r="Q12" s="84">
        <v>0</v>
      </c>
      <c r="R12" s="74">
        <v>1</v>
      </c>
      <c r="S12"/>
      <c r="T12"/>
      <c r="W12"/>
    </row>
    <row r="13" spans="1:23" ht="15" customHeight="1" x14ac:dyDescent="0.15">
      <c r="B13" s="95"/>
      <c r="C13" s="99"/>
      <c r="D13" s="88" t="s">
        <v>160</v>
      </c>
      <c r="F13" s="199" t="s">
        <v>199</v>
      </c>
      <c r="G13" s="84">
        <v>0</v>
      </c>
      <c r="H13" s="84">
        <v>0</v>
      </c>
      <c r="I13" s="84">
        <v>0</v>
      </c>
      <c r="J13" s="84">
        <v>0</v>
      </c>
      <c r="K13" s="84">
        <v>1</v>
      </c>
      <c r="L13" s="84">
        <v>0</v>
      </c>
      <c r="M13" s="84">
        <v>1</v>
      </c>
      <c r="N13" s="84">
        <v>0</v>
      </c>
      <c r="O13" s="84">
        <v>1</v>
      </c>
      <c r="P13" s="73">
        <v>0</v>
      </c>
      <c r="Q13" s="84">
        <v>0</v>
      </c>
      <c r="R13" s="74">
        <v>1</v>
      </c>
      <c r="S13"/>
      <c r="T13"/>
      <c r="W13"/>
    </row>
    <row r="14" spans="1:23" ht="15" customHeight="1" x14ac:dyDescent="0.15">
      <c r="B14" s="95"/>
      <c r="C14" s="83"/>
      <c r="D14" s="88" t="s">
        <v>160</v>
      </c>
      <c r="F14" s="199" t="s">
        <v>200</v>
      </c>
      <c r="G14" s="84">
        <v>0</v>
      </c>
      <c r="H14" s="84">
        <v>0</v>
      </c>
      <c r="I14" s="84">
        <v>0</v>
      </c>
      <c r="J14" s="84">
        <v>0</v>
      </c>
      <c r="K14" s="84">
        <v>1</v>
      </c>
      <c r="L14" s="84">
        <v>0</v>
      </c>
      <c r="M14" s="84">
        <v>1</v>
      </c>
      <c r="N14" s="84">
        <v>0</v>
      </c>
      <c r="O14" s="84">
        <v>1</v>
      </c>
      <c r="P14" s="73">
        <v>0</v>
      </c>
      <c r="Q14" s="84">
        <v>0</v>
      </c>
      <c r="R14" s="74">
        <v>1</v>
      </c>
      <c r="S14"/>
      <c r="T14"/>
      <c r="W14"/>
    </row>
    <row r="15" spans="1:23" ht="15" customHeight="1" x14ac:dyDescent="0.15">
      <c r="B15" s="95"/>
      <c r="C15" s="83"/>
      <c r="D15" s="88" t="s">
        <v>160</v>
      </c>
      <c r="F15" s="199" t="s">
        <v>201</v>
      </c>
      <c r="G15" s="84">
        <v>0</v>
      </c>
      <c r="H15" s="84">
        <v>0</v>
      </c>
      <c r="I15" s="84">
        <v>0</v>
      </c>
      <c r="J15" s="84">
        <v>0</v>
      </c>
      <c r="K15" s="84">
        <v>1</v>
      </c>
      <c r="L15" s="84">
        <v>0</v>
      </c>
      <c r="M15" s="84">
        <v>1</v>
      </c>
      <c r="N15" s="84">
        <v>0</v>
      </c>
      <c r="O15" s="84">
        <v>1</v>
      </c>
      <c r="P15" s="73">
        <v>0</v>
      </c>
      <c r="Q15" s="84">
        <v>0</v>
      </c>
      <c r="R15" s="74">
        <v>1</v>
      </c>
      <c r="S15"/>
      <c r="T15"/>
      <c r="W15"/>
    </row>
    <row r="16" spans="1:23" ht="15" customHeight="1" x14ac:dyDescent="0.15">
      <c r="B16" s="95"/>
      <c r="C16" s="83"/>
      <c r="D16" s="88" t="s">
        <v>160</v>
      </c>
      <c r="F16" s="199" t="s">
        <v>202</v>
      </c>
      <c r="G16" s="84">
        <v>0</v>
      </c>
      <c r="H16" s="84">
        <v>0</v>
      </c>
      <c r="I16" s="84">
        <v>0</v>
      </c>
      <c r="J16" s="84">
        <v>0</v>
      </c>
      <c r="K16" s="84">
        <v>1</v>
      </c>
      <c r="L16" s="84">
        <v>0</v>
      </c>
      <c r="M16" s="84">
        <v>1</v>
      </c>
      <c r="N16" s="84">
        <v>0</v>
      </c>
      <c r="O16" s="84">
        <v>1</v>
      </c>
      <c r="P16" s="73">
        <v>0</v>
      </c>
      <c r="Q16" s="84">
        <v>0</v>
      </c>
      <c r="R16" s="74">
        <v>1</v>
      </c>
      <c r="S16"/>
      <c r="T16"/>
    </row>
    <row r="17" spans="1:20" ht="15" customHeight="1" thickBot="1" x14ac:dyDescent="0.2">
      <c r="B17" s="94"/>
      <c r="C17" s="83"/>
      <c r="D17" s="88" t="s">
        <v>160</v>
      </c>
      <c r="F17" s="199" t="s">
        <v>203</v>
      </c>
      <c r="G17" s="84">
        <v>0</v>
      </c>
      <c r="H17" s="84">
        <v>0</v>
      </c>
      <c r="I17" s="84">
        <v>0</v>
      </c>
      <c r="J17" s="84">
        <v>0</v>
      </c>
      <c r="K17" s="84">
        <v>1</v>
      </c>
      <c r="L17" s="84">
        <v>0</v>
      </c>
      <c r="M17" s="84">
        <v>1</v>
      </c>
      <c r="N17" s="84">
        <v>0</v>
      </c>
      <c r="O17" s="84">
        <v>1</v>
      </c>
      <c r="P17" s="73">
        <v>0</v>
      </c>
      <c r="Q17" s="84">
        <v>0</v>
      </c>
      <c r="R17" s="74">
        <v>1</v>
      </c>
      <c r="S17"/>
      <c r="T17"/>
    </row>
    <row r="18" spans="1:20" ht="15" customHeight="1" thickBot="1" x14ac:dyDescent="0.2">
      <c r="B18" s="96"/>
      <c r="F18" s="199" t="s">
        <v>204</v>
      </c>
      <c r="G18" s="84">
        <v>0</v>
      </c>
      <c r="H18" s="84">
        <v>0</v>
      </c>
      <c r="I18" s="84">
        <v>0</v>
      </c>
      <c r="J18" s="84">
        <v>0</v>
      </c>
      <c r="K18" s="84">
        <v>1</v>
      </c>
      <c r="L18" s="84">
        <v>0</v>
      </c>
      <c r="M18" s="84">
        <v>1</v>
      </c>
      <c r="N18" s="84">
        <v>0</v>
      </c>
      <c r="O18" s="84">
        <v>1</v>
      </c>
      <c r="P18" s="73">
        <v>0</v>
      </c>
      <c r="Q18" s="84">
        <v>0</v>
      </c>
      <c r="R18" s="74">
        <v>1</v>
      </c>
      <c r="S18"/>
      <c r="T18"/>
    </row>
    <row r="19" spans="1:20" ht="15" customHeight="1" x14ac:dyDescent="0.15">
      <c r="A19" s="86" t="s">
        <v>57</v>
      </c>
      <c r="B19" s="93">
        <v>1</v>
      </c>
      <c r="C19" s="201" t="s">
        <v>229</v>
      </c>
      <c r="D19" s="88" t="s">
        <v>160</v>
      </c>
      <c r="F19" s="199" t="s">
        <v>205</v>
      </c>
      <c r="G19" s="84">
        <v>0</v>
      </c>
      <c r="H19" s="84">
        <v>0</v>
      </c>
      <c r="I19" s="84">
        <v>0</v>
      </c>
      <c r="J19" s="84">
        <v>0</v>
      </c>
      <c r="K19" s="84">
        <v>1</v>
      </c>
      <c r="L19" s="84">
        <v>0</v>
      </c>
      <c r="M19" s="84">
        <v>1</v>
      </c>
      <c r="N19" s="84">
        <v>0</v>
      </c>
      <c r="O19" s="84">
        <v>1</v>
      </c>
      <c r="P19" s="73">
        <v>0</v>
      </c>
      <c r="Q19" s="84">
        <v>0</v>
      </c>
      <c r="R19" s="74">
        <v>1</v>
      </c>
      <c r="S19"/>
      <c r="T19"/>
    </row>
    <row r="20" spans="1:20" ht="15" customHeight="1" x14ac:dyDescent="0.15">
      <c r="A20" s="127" t="s">
        <v>168</v>
      </c>
      <c r="B20" s="95"/>
      <c r="C20" s="83"/>
      <c r="D20" s="88" t="s">
        <v>160</v>
      </c>
      <c r="F20" s="199" t="s">
        <v>206</v>
      </c>
      <c r="G20" s="84">
        <v>0</v>
      </c>
      <c r="H20" s="84">
        <v>0</v>
      </c>
      <c r="I20" s="84">
        <v>0</v>
      </c>
      <c r="J20" s="84">
        <v>0</v>
      </c>
      <c r="K20" s="84">
        <v>1</v>
      </c>
      <c r="L20" s="84">
        <v>0</v>
      </c>
      <c r="M20" s="84">
        <v>1</v>
      </c>
      <c r="N20" s="84">
        <v>0</v>
      </c>
      <c r="O20" s="84">
        <v>1</v>
      </c>
      <c r="P20" s="73">
        <v>0</v>
      </c>
      <c r="Q20" s="84">
        <v>0</v>
      </c>
      <c r="R20" s="74">
        <v>1</v>
      </c>
      <c r="S20"/>
      <c r="T20"/>
    </row>
    <row r="21" spans="1:20" ht="15" customHeight="1" x14ac:dyDescent="0.15">
      <c r="B21" s="95"/>
      <c r="C21" s="83"/>
      <c r="D21" s="88" t="s">
        <v>160</v>
      </c>
      <c r="F21" s="199" t="s">
        <v>207</v>
      </c>
      <c r="G21" s="84">
        <v>0</v>
      </c>
      <c r="H21" s="84">
        <v>0</v>
      </c>
      <c r="I21" s="84">
        <v>0</v>
      </c>
      <c r="J21" s="84">
        <v>0</v>
      </c>
      <c r="K21" s="84">
        <v>1</v>
      </c>
      <c r="L21" s="84">
        <v>0</v>
      </c>
      <c r="M21" s="84">
        <v>1</v>
      </c>
      <c r="N21" s="84">
        <v>0</v>
      </c>
      <c r="O21" s="84">
        <v>1</v>
      </c>
      <c r="P21" s="73">
        <v>0</v>
      </c>
      <c r="Q21" s="84">
        <v>0</v>
      </c>
      <c r="R21" s="74">
        <v>1</v>
      </c>
      <c r="S21"/>
      <c r="T21"/>
    </row>
    <row r="22" spans="1:20" ht="15" customHeight="1" x14ac:dyDescent="0.15">
      <c r="A22" s="84"/>
      <c r="B22" s="95"/>
      <c r="C22" s="98"/>
      <c r="D22" s="88" t="s">
        <v>160</v>
      </c>
      <c r="F22" s="199" t="s">
        <v>208</v>
      </c>
      <c r="G22" s="84">
        <v>0</v>
      </c>
      <c r="H22" s="84">
        <v>0</v>
      </c>
      <c r="I22" s="84">
        <v>0</v>
      </c>
      <c r="J22" s="84">
        <v>0</v>
      </c>
      <c r="K22" s="84">
        <v>1</v>
      </c>
      <c r="L22" s="84">
        <v>0</v>
      </c>
      <c r="M22" s="84">
        <v>1</v>
      </c>
      <c r="N22" s="84">
        <v>0</v>
      </c>
      <c r="O22" s="84">
        <v>1</v>
      </c>
      <c r="P22" s="73">
        <v>0</v>
      </c>
      <c r="Q22" s="84">
        <v>0</v>
      </c>
      <c r="R22" s="74">
        <v>1</v>
      </c>
      <c r="S22"/>
      <c r="T22"/>
    </row>
    <row r="23" spans="1:20" ht="15" customHeight="1" x14ac:dyDescent="0.15">
      <c r="A23" s="84"/>
      <c r="B23" s="95"/>
      <c r="C23" s="99"/>
      <c r="D23" s="88" t="s">
        <v>160</v>
      </c>
      <c r="F23" s="199" t="s">
        <v>209</v>
      </c>
      <c r="G23" s="84">
        <v>0</v>
      </c>
      <c r="H23" s="84">
        <v>0</v>
      </c>
      <c r="I23" s="84">
        <v>0</v>
      </c>
      <c r="J23" s="84">
        <v>0</v>
      </c>
      <c r="K23" s="84">
        <v>1</v>
      </c>
      <c r="L23" s="84">
        <v>0</v>
      </c>
      <c r="M23" s="84">
        <v>1</v>
      </c>
      <c r="N23" s="84">
        <v>0</v>
      </c>
      <c r="O23" s="84">
        <v>1</v>
      </c>
      <c r="P23" s="73">
        <v>0</v>
      </c>
      <c r="Q23" s="84">
        <v>0</v>
      </c>
      <c r="R23" s="74">
        <v>1</v>
      </c>
      <c r="S23"/>
      <c r="T23"/>
    </row>
    <row r="24" spans="1:20" ht="15" customHeight="1" x14ac:dyDescent="0.15">
      <c r="A24" s="84"/>
      <c r="B24" s="95"/>
      <c r="C24" s="99"/>
      <c r="D24" s="88" t="s">
        <v>160</v>
      </c>
      <c r="F24" s="199" t="s">
        <v>210</v>
      </c>
      <c r="G24" s="84">
        <v>0</v>
      </c>
      <c r="H24" s="84">
        <v>0</v>
      </c>
      <c r="I24" s="84">
        <v>0</v>
      </c>
      <c r="J24" s="84">
        <v>0</v>
      </c>
      <c r="K24" s="84">
        <v>1</v>
      </c>
      <c r="L24" s="84">
        <v>0</v>
      </c>
      <c r="M24" s="84">
        <v>1</v>
      </c>
      <c r="N24" s="84">
        <v>0</v>
      </c>
      <c r="O24" s="84">
        <v>1</v>
      </c>
      <c r="P24" s="73">
        <v>0</v>
      </c>
      <c r="Q24" s="84">
        <v>0</v>
      </c>
      <c r="R24" s="74">
        <v>1</v>
      </c>
      <c r="S24"/>
      <c r="T24"/>
    </row>
    <row r="25" spans="1:20" ht="15" customHeight="1" x14ac:dyDescent="0.15">
      <c r="A25" s="84"/>
      <c r="B25" s="95"/>
      <c r="C25" s="83"/>
      <c r="D25" s="88" t="s">
        <v>160</v>
      </c>
      <c r="F25" s="199" t="s">
        <v>211</v>
      </c>
      <c r="G25" s="84">
        <v>0</v>
      </c>
      <c r="H25" s="84">
        <v>0</v>
      </c>
      <c r="I25" s="84">
        <v>0</v>
      </c>
      <c r="J25" s="84">
        <v>0</v>
      </c>
      <c r="K25" s="84">
        <v>1</v>
      </c>
      <c r="L25" s="84">
        <v>0</v>
      </c>
      <c r="M25" s="84">
        <v>1</v>
      </c>
      <c r="N25" s="84">
        <v>0</v>
      </c>
      <c r="O25" s="84">
        <v>1</v>
      </c>
      <c r="P25" s="73">
        <v>0</v>
      </c>
      <c r="Q25" s="84">
        <v>0</v>
      </c>
      <c r="R25" s="74">
        <v>1</v>
      </c>
      <c r="S25"/>
      <c r="T25"/>
    </row>
    <row r="26" spans="1:20" ht="15" customHeight="1" x14ac:dyDescent="0.15">
      <c r="B26" s="95"/>
      <c r="C26" s="83"/>
      <c r="D26" s="88" t="s">
        <v>160</v>
      </c>
      <c r="F26" s="199" t="s">
        <v>212</v>
      </c>
      <c r="G26" s="84">
        <v>0</v>
      </c>
      <c r="H26" s="84">
        <v>0</v>
      </c>
      <c r="I26" s="84">
        <v>0</v>
      </c>
      <c r="J26" s="84">
        <v>0</v>
      </c>
      <c r="K26" s="84">
        <v>1</v>
      </c>
      <c r="L26" s="84">
        <v>0</v>
      </c>
      <c r="M26" s="84">
        <v>1</v>
      </c>
      <c r="N26" s="84">
        <v>0</v>
      </c>
      <c r="O26" s="84">
        <v>1</v>
      </c>
      <c r="P26" s="73">
        <v>0</v>
      </c>
      <c r="Q26" s="84">
        <v>0</v>
      </c>
      <c r="R26" s="74">
        <v>1</v>
      </c>
      <c r="S26"/>
      <c r="T26"/>
    </row>
    <row r="27" spans="1:20" ht="15" customHeight="1" x14ac:dyDescent="0.15">
      <c r="B27" s="95"/>
      <c r="C27" s="83"/>
      <c r="D27" s="88" t="s">
        <v>160</v>
      </c>
      <c r="F27" s="199" t="s">
        <v>213</v>
      </c>
      <c r="G27" s="84">
        <v>0</v>
      </c>
      <c r="H27" s="84">
        <v>0</v>
      </c>
      <c r="I27" s="84">
        <v>0</v>
      </c>
      <c r="J27" s="84">
        <v>0</v>
      </c>
      <c r="K27" s="84">
        <v>1</v>
      </c>
      <c r="L27" s="84">
        <v>0</v>
      </c>
      <c r="M27" s="84">
        <v>1</v>
      </c>
      <c r="N27" s="84">
        <v>0</v>
      </c>
      <c r="O27" s="84">
        <v>1</v>
      </c>
      <c r="P27" s="73">
        <v>0</v>
      </c>
      <c r="Q27" s="84">
        <v>0</v>
      </c>
      <c r="R27" s="74">
        <v>1</v>
      </c>
      <c r="S27"/>
      <c r="T27"/>
    </row>
    <row r="28" spans="1:20" ht="15" customHeight="1" thickBot="1" x14ac:dyDescent="0.2">
      <c r="B28" s="94"/>
      <c r="C28" s="83"/>
      <c r="D28" s="88" t="s">
        <v>160</v>
      </c>
      <c r="F28" s="199" t="s">
        <v>214</v>
      </c>
      <c r="G28" s="84">
        <v>0</v>
      </c>
      <c r="H28" s="84">
        <v>0</v>
      </c>
      <c r="I28" s="84">
        <v>0</v>
      </c>
      <c r="J28" s="84">
        <v>0</v>
      </c>
      <c r="K28" s="84">
        <v>1</v>
      </c>
      <c r="L28" s="84">
        <v>0</v>
      </c>
      <c r="M28" s="84">
        <v>1</v>
      </c>
      <c r="N28" s="84">
        <v>0</v>
      </c>
      <c r="O28" s="84">
        <v>1</v>
      </c>
      <c r="P28" s="73">
        <v>0</v>
      </c>
      <c r="Q28" s="84">
        <v>0</v>
      </c>
      <c r="R28" s="74">
        <v>1</v>
      </c>
      <c r="S28"/>
      <c r="T28"/>
    </row>
    <row r="29" spans="1:20" ht="15" customHeight="1" x14ac:dyDescent="0.15">
      <c r="F29" s="199" t="s">
        <v>215</v>
      </c>
      <c r="G29" s="84">
        <v>0</v>
      </c>
      <c r="H29" s="84">
        <v>0</v>
      </c>
      <c r="I29" s="84">
        <v>0</v>
      </c>
      <c r="J29" s="84">
        <v>0</v>
      </c>
      <c r="K29" s="84">
        <v>1</v>
      </c>
      <c r="L29" s="84">
        <v>0</v>
      </c>
      <c r="M29" s="84">
        <v>1</v>
      </c>
      <c r="N29" s="84">
        <v>0</v>
      </c>
      <c r="O29" s="84">
        <v>1</v>
      </c>
      <c r="P29" s="73">
        <v>0</v>
      </c>
      <c r="Q29" s="84">
        <v>0</v>
      </c>
      <c r="R29" s="74">
        <v>1</v>
      </c>
      <c r="S29"/>
      <c r="T29"/>
    </row>
    <row r="30" spans="1:20" ht="15" customHeight="1" x14ac:dyDescent="0.15">
      <c r="F30" s="199" t="s">
        <v>216</v>
      </c>
      <c r="G30" s="84">
        <v>0</v>
      </c>
      <c r="H30" s="84">
        <v>0</v>
      </c>
      <c r="I30" s="84">
        <v>0</v>
      </c>
      <c r="J30" s="84">
        <v>0</v>
      </c>
      <c r="K30" s="84">
        <v>1</v>
      </c>
      <c r="L30" s="84">
        <v>0</v>
      </c>
      <c r="M30" s="84">
        <v>1</v>
      </c>
      <c r="N30" s="84">
        <v>0</v>
      </c>
      <c r="O30" s="84">
        <v>1</v>
      </c>
      <c r="P30" s="73">
        <v>0</v>
      </c>
      <c r="Q30" s="84">
        <v>0</v>
      </c>
      <c r="R30" s="74">
        <v>1</v>
      </c>
      <c r="S30"/>
      <c r="T30"/>
    </row>
    <row r="31" spans="1:20" ht="15" customHeight="1" x14ac:dyDescent="0.15">
      <c r="A31" s="128"/>
      <c r="B31" s="139" t="s">
        <v>17</v>
      </c>
      <c r="C31" s="139" t="s">
        <v>1</v>
      </c>
      <c r="D31" s="139" t="s">
        <v>161</v>
      </c>
      <c r="E31" s="140" t="s">
        <v>163</v>
      </c>
      <c r="F31" s="199" t="s">
        <v>217</v>
      </c>
      <c r="G31" s="84">
        <v>0</v>
      </c>
      <c r="H31" s="84">
        <v>0</v>
      </c>
      <c r="I31" s="84">
        <v>0</v>
      </c>
      <c r="J31" s="84">
        <v>0</v>
      </c>
      <c r="K31" s="84">
        <v>1</v>
      </c>
      <c r="L31" s="84">
        <v>0</v>
      </c>
      <c r="M31" s="84">
        <v>1</v>
      </c>
      <c r="N31" s="84">
        <v>0</v>
      </c>
      <c r="O31" s="84">
        <v>1</v>
      </c>
      <c r="P31" s="73">
        <v>0</v>
      </c>
      <c r="Q31" s="84">
        <v>0</v>
      </c>
      <c r="R31" s="74">
        <v>1</v>
      </c>
      <c r="S31"/>
      <c r="T31"/>
    </row>
    <row r="32" spans="1:20" ht="15" customHeight="1" x14ac:dyDescent="0.15">
      <c r="A32" s="202" t="s">
        <v>229</v>
      </c>
      <c r="B32" s="96">
        <v>34.384</v>
      </c>
      <c r="C32" s="96">
        <v>80.730999999999995</v>
      </c>
      <c r="D32" s="96">
        <v>2775.8547039999999</v>
      </c>
      <c r="E32" s="130">
        <v>1</v>
      </c>
      <c r="F32" s="199" t="s">
        <v>218</v>
      </c>
      <c r="G32" s="84">
        <v>0</v>
      </c>
      <c r="H32" s="84">
        <v>0</v>
      </c>
      <c r="I32" s="84">
        <v>0</v>
      </c>
      <c r="J32" s="84">
        <v>0</v>
      </c>
      <c r="K32" s="84">
        <v>1</v>
      </c>
      <c r="L32" s="84">
        <v>0</v>
      </c>
      <c r="M32" s="84">
        <v>1</v>
      </c>
      <c r="N32" s="84">
        <v>0</v>
      </c>
      <c r="O32" s="84">
        <v>1</v>
      </c>
      <c r="P32" s="73">
        <v>0</v>
      </c>
      <c r="Q32" s="84">
        <v>0</v>
      </c>
      <c r="R32" s="74">
        <v>1</v>
      </c>
      <c r="S32"/>
      <c r="T32"/>
    </row>
    <row r="33" spans="1:20" ht="15" customHeight="1" x14ac:dyDescent="0.15">
      <c r="A33" s="129"/>
      <c r="B33" s="96"/>
      <c r="C33" s="96"/>
      <c r="D33" s="96"/>
      <c r="E33" s="130"/>
      <c r="F33" s="199" t="s">
        <v>219</v>
      </c>
      <c r="G33" s="84">
        <v>0</v>
      </c>
      <c r="H33" s="84">
        <v>0</v>
      </c>
      <c r="I33" s="84">
        <v>0</v>
      </c>
      <c r="J33" s="84">
        <v>0</v>
      </c>
      <c r="K33" s="84">
        <v>1</v>
      </c>
      <c r="L33" s="84">
        <v>0</v>
      </c>
      <c r="M33" s="84">
        <v>1</v>
      </c>
      <c r="N33" s="84">
        <v>0</v>
      </c>
      <c r="O33" s="84">
        <v>1</v>
      </c>
      <c r="P33" s="73">
        <v>0</v>
      </c>
      <c r="Q33" s="84">
        <v>0</v>
      </c>
      <c r="R33" s="74">
        <v>1</v>
      </c>
      <c r="S33"/>
      <c r="T33"/>
    </row>
    <row r="34" spans="1:20" ht="15" customHeight="1" x14ac:dyDescent="0.15">
      <c r="A34" s="131"/>
      <c r="B34" s="96"/>
      <c r="C34" s="96"/>
      <c r="D34" s="96"/>
      <c r="E34" s="130"/>
      <c r="F34" s="199" t="s">
        <v>220</v>
      </c>
      <c r="G34" s="84">
        <v>0</v>
      </c>
      <c r="H34" s="84">
        <v>0</v>
      </c>
      <c r="I34" s="84">
        <v>0</v>
      </c>
      <c r="J34" s="84">
        <v>0</v>
      </c>
      <c r="K34" s="84">
        <v>1</v>
      </c>
      <c r="L34" s="84">
        <v>0</v>
      </c>
      <c r="M34" s="84">
        <v>1</v>
      </c>
      <c r="N34" s="84">
        <v>0</v>
      </c>
      <c r="O34" s="84">
        <v>1</v>
      </c>
      <c r="P34" s="73">
        <v>0</v>
      </c>
      <c r="Q34" s="84">
        <v>0</v>
      </c>
      <c r="R34" s="74">
        <v>1</v>
      </c>
      <c r="S34"/>
      <c r="T34"/>
    </row>
    <row r="35" spans="1:20" ht="15" customHeight="1" x14ac:dyDescent="0.15">
      <c r="A35" s="132"/>
      <c r="B35" s="96"/>
      <c r="C35" s="96"/>
      <c r="D35" s="96"/>
      <c r="E35" s="130"/>
      <c r="F35" s="199" t="s">
        <v>221</v>
      </c>
      <c r="G35" s="84">
        <v>0</v>
      </c>
      <c r="H35" s="84">
        <v>0</v>
      </c>
      <c r="I35" s="84">
        <v>0</v>
      </c>
      <c r="J35" s="84">
        <v>0</v>
      </c>
      <c r="K35" s="84">
        <v>1</v>
      </c>
      <c r="L35" s="84">
        <v>0</v>
      </c>
      <c r="M35" s="84">
        <v>1</v>
      </c>
      <c r="N35" s="84">
        <v>0</v>
      </c>
      <c r="O35" s="84">
        <v>1</v>
      </c>
      <c r="P35" s="73">
        <v>0</v>
      </c>
      <c r="Q35" s="84">
        <v>0</v>
      </c>
      <c r="R35" s="74">
        <v>1</v>
      </c>
      <c r="S35"/>
      <c r="T35"/>
    </row>
    <row r="36" spans="1:20" ht="15" customHeight="1" x14ac:dyDescent="0.15">
      <c r="A36" s="133"/>
      <c r="B36" s="96"/>
      <c r="C36" s="96"/>
      <c r="D36" s="96"/>
      <c r="E36" s="130"/>
      <c r="F36" s="199" t="s">
        <v>222</v>
      </c>
      <c r="G36" s="84">
        <v>0</v>
      </c>
      <c r="H36" s="84">
        <v>0</v>
      </c>
      <c r="I36" s="84">
        <v>0</v>
      </c>
      <c r="J36" s="84">
        <v>0</v>
      </c>
      <c r="K36" s="84">
        <v>1</v>
      </c>
      <c r="L36" s="84">
        <v>0</v>
      </c>
      <c r="M36" s="84">
        <v>1</v>
      </c>
      <c r="N36" s="84">
        <v>0</v>
      </c>
      <c r="O36" s="84">
        <v>1</v>
      </c>
      <c r="P36" s="73">
        <v>0</v>
      </c>
      <c r="Q36" s="84">
        <v>0</v>
      </c>
      <c r="R36" s="74">
        <v>1</v>
      </c>
      <c r="S36"/>
      <c r="T36"/>
    </row>
    <row r="37" spans="1:20" ht="15" customHeight="1" x14ac:dyDescent="0.15">
      <c r="A37" s="133"/>
      <c r="B37" s="96"/>
      <c r="C37" s="96"/>
      <c r="D37" s="96"/>
      <c r="E37" s="130"/>
      <c r="F37" s="199" t="s">
        <v>223</v>
      </c>
      <c r="G37" s="84">
        <v>0</v>
      </c>
      <c r="H37" s="84">
        <v>0</v>
      </c>
      <c r="I37" s="84">
        <v>0</v>
      </c>
      <c r="J37" s="84">
        <v>0</v>
      </c>
      <c r="K37" s="84">
        <v>1</v>
      </c>
      <c r="L37" s="84">
        <v>0</v>
      </c>
      <c r="M37" s="84">
        <v>1</v>
      </c>
      <c r="N37" s="84">
        <v>0</v>
      </c>
      <c r="O37" s="84">
        <v>1</v>
      </c>
      <c r="P37" s="73">
        <v>0</v>
      </c>
      <c r="Q37" s="84">
        <v>0</v>
      </c>
      <c r="R37" s="74">
        <v>1</v>
      </c>
      <c r="S37"/>
      <c r="T37"/>
    </row>
    <row r="38" spans="1:20" ht="15" customHeight="1" x14ac:dyDescent="0.15">
      <c r="A38" s="134"/>
      <c r="B38" s="96"/>
      <c r="C38" s="96"/>
      <c r="D38" s="96"/>
      <c r="E38" s="130"/>
      <c r="F38" s="199" t="s">
        <v>224</v>
      </c>
      <c r="G38" s="84">
        <v>0</v>
      </c>
      <c r="H38" s="84">
        <v>0</v>
      </c>
      <c r="I38" s="84">
        <v>0</v>
      </c>
      <c r="J38" s="84">
        <v>0</v>
      </c>
      <c r="K38" s="84">
        <v>1</v>
      </c>
      <c r="L38" s="84">
        <v>0</v>
      </c>
      <c r="M38" s="84">
        <v>1</v>
      </c>
      <c r="N38" s="84">
        <v>0</v>
      </c>
      <c r="O38" s="84">
        <v>1</v>
      </c>
      <c r="P38" s="73">
        <v>0</v>
      </c>
      <c r="Q38" s="84">
        <v>0</v>
      </c>
      <c r="R38" s="74">
        <v>1</v>
      </c>
      <c r="S38"/>
      <c r="T38"/>
    </row>
    <row r="39" spans="1:20" ht="15" customHeight="1" x14ac:dyDescent="0.15">
      <c r="A39" s="134"/>
      <c r="B39" s="96"/>
      <c r="C39" s="96"/>
      <c r="D39" s="96"/>
      <c r="E39" s="130"/>
      <c r="F39" s="199" t="s">
        <v>225</v>
      </c>
      <c r="G39" s="84">
        <v>0</v>
      </c>
      <c r="H39" s="84">
        <v>0</v>
      </c>
      <c r="I39" s="84">
        <v>0</v>
      </c>
      <c r="J39" s="84">
        <v>0</v>
      </c>
      <c r="K39" s="84">
        <v>1</v>
      </c>
      <c r="L39" s="84">
        <v>0</v>
      </c>
      <c r="M39" s="84">
        <v>1</v>
      </c>
      <c r="N39" s="84">
        <v>0</v>
      </c>
      <c r="O39" s="84">
        <v>1</v>
      </c>
      <c r="P39" s="73">
        <v>0</v>
      </c>
      <c r="Q39" s="84">
        <v>0</v>
      </c>
      <c r="R39" s="74">
        <v>1</v>
      </c>
      <c r="S39"/>
      <c r="T39"/>
    </row>
    <row r="40" spans="1:20" ht="15" customHeight="1" x14ac:dyDescent="0.15">
      <c r="A40" s="134"/>
      <c r="B40" s="96"/>
      <c r="C40" s="96"/>
      <c r="D40" s="96"/>
      <c r="E40" s="130"/>
      <c r="F40" s="199" t="s">
        <v>226</v>
      </c>
      <c r="G40" s="84">
        <v>0</v>
      </c>
      <c r="H40" s="84">
        <v>0</v>
      </c>
      <c r="I40" s="84">
        <v>0</v>
      </c>
      <c r="J40" s="84">
        <v>0</v>
      </c>
      <c r="K40" s="84">
        <v>1</v>
      </c>
      <c r="L40" s="84">
        <v>0</v>
      </c>
      <c r="M40" s="84">
        <v>1</v>
      </c>
      <c r="N40" s="84">
        <v>0</v>
      </c>
      <c r="O40" s="84">
        <v>1</v>
      </c>
      <c r="P40" s="73">
        <v>0</v>
      </c>
      <c r="Q40" s="84">
        <v>0</v>
      </c>
      <c r="R40" s="74">
        <v>1</v>
      </c>
      <c r="S40"/>
      <c r="T40"/>
    </row>
    <row r="41" spans="1:20" ht="15" customHeight="1" thickBot="1" x14ac:dyDescent="0.2">
      <c r="A41" s="134"/>
      <c r="B41" s="96"/>
      <c r="C41" s="96"/>
      <c r="D41" s="97"/>
      <c r="E41" s="135"/>
      <c r="F41" s="199" t="s">
        <v>227</v>
      </c>
      <c r="G41" s="84">
        <v>0</v>
      </c>
      <c r="H41" s="84">
        <v>0</v>
      </c>
      <c r="I41" s="84">
        <v>0</v>
      </c>
      <c r="J41" s="84">
        <v>0</v>
      </c>
      <c r="K41" s="84">
        <v>1</v>
      </c>
      <c r="L41" s="84">
        <v>0</v>
      </c>
      <c r="M41" s="84">
        <v>1</v>
      </c>
      <c r="N41" s="84">
        <v>0</v>
      </c>
      <c r="O41" s="84">
        <v>1</v>
      </c>
      <c r="P41" s="73">
        <v>0</v>
      </c>
      <c r="Q41" s="84">
        <v>0</v>
      </c>
      <c r="R41" s="74">
        <v>1</v>
      </c>
      <c r="S41"/>
      <c r="T41"/>
    </row>
    <row r="42" spans="1:20" ht="15" customHeight="1" x14ac:dyDescent="0.15">
      <c r="A42" s="136"/>
      <c r="B42" s="137"/>
      <c r="C42" s="137" t="s">
        <v>162</v>
      </c>
      <c r="D42" s="137">
        <f>SUM(D32:D41)</f>
        <v>2775.8547039999999</v>
      </c>
      <c r="E42" s="138">
        <f>SUM(E32:E41)</f>
        <v>1</v>
      </c>
      <c r="F42" s="199" t="s">
        <v>228</v>
      </c>
      <c r="G42" s="84">
        <v>0</v>
      </c>
      <c r="H42" s="84">
        <v>0</v>
      </c>
      <c r="I42" s="84">
        <v>0</v>
      </c>
      <c r="J42" s="84">
        <v>0</v>
      </c>
      <c r="K42" s="84">
        <v>1</v>
      </c>
      <c r="L42" s="84">
        <v>0</v>
      </c>
      <c r="M42" s="84">
        <v>1</v>
      </c>
      <c r="N42" s="84">
        <v>0</v>
      </c>
      <c r="O42" s="84">
        <v>1</v>
      </c>
      <c r="P42" s="73">
        <v>0</v>
      </c>
      <c r="Q42" s="84">
        <v>0</v>
      </c>
      <c r="R42" s="74">
        <v>1</v>
      </c>
      <c r="S42"/>
      <c r="T42"/>
    </row>
    <row r="43" spans="1:20" ht="15" customHeight="1" x14ac:dyDescent="0.15">
      <c r="A43" s="84"/>
      <c r="F43" s="199" t="s">
        <v>229</v>
      </c>
      <c r="G43" s="84">
        <v>0</v>
      </c>
      <c r="H43" s="84">
        <v>0</v>
      </c>
      <c r="I43" s="84">
        <v>0</v>
      </c>
      <c r="J43" s="84">
        <v>0</v>
      </c>
      <c r="K43" s="84">
        <v>0</v>
      </c>
      <c r="L43" s="84">
        <v>0</v>
      </c>
      <c r="M43" s="84">
        <v>1</v>
      </c>
      <c r="N43" s="84">
        <v>0</v>
      </c>
      <c r="O43" s="84">
        <v>0</v>
      </c>
      <c r="P43" s="73">
        <v>0</v>
      </c>
      <c r="Q43" s="84">
        <v>0</v>
      </c>
      <c r="R43" s="74">
        <v>1</v>
      </c>
      <c r="S43"/>
      <c r="T43"/>
    </row>
    <row r="44" spans="1:20" ht="15" customHeight="1" x14ac:dyDescent="0.15">
      <c r="A44" s="84"/>
      <c r="F44" s="199" t="s">
        <v>230</v>
      </c>
      <c r="G44" s="84">
        <v>0</v>
      </c>
      <c r="H44" s="84">
        <v>0</v>
      </c>
      <c r="I44" s="84">
        <v>0</v>
      </c>
      <c r="J44" s="84">
        <v>0</v>
      </c>
      <c r="K44" s="84">
        <v>0</v>
      </c>
      <c r="L44" s="84">
        <v>1</v>
      </c>
      <c r="M44" s="84">
        <v>0</v>
      </c>
      <c r="N44" s="84">
        <v>1</v>
      </c>
      <c r="O44" s="84">
        <v>0</v>
      </c>
      <c r="P44" s="73">
        <v>1</v>
      </c>
      <c r="Q44" s="84">
        <v>0</v>
      </c>
      <c r="R44" s="74">
        <v>1</v>
      </c>
    </row>
    <row r="45" spans="1:20" ht="15" customHeight="1" x14ac:dyDescent="0.15">
      <c r="A45" s="84"/>
      <c r="F45" s="199" t="s">
        <v>231</v>
      </c>
      <c r="G45" s="84">
        <v>0</v>
      </c>
      <c r="H45" s="84">
        <v>0</v>
      </c>
      <c r="I45" s="84">
        <v>0</v>
      </c>
      <c r="J45" s="84">
        <v>0</v>
      </c>
      <c r="K45" s="84">
        <v>0</v>
      </c>
      <c r="L45" s="84">
        <v>1</v>
      </c>
      <c r="M45" s="84">
        <v>0</v>
      </c>
      <c r="N45" s="84">
        <v>1</v>
      </c>
      <c r="O45" s="84">
        <v>0</v>
      </c>
      <c r="P45" s="73">
        <v>1</v>
      </c>
      <c r="Q45" s="84">
        <v>0</v>
      </c>
      <c r="R45" s="74">
        <v>1</v>
      </c>
    </row>
    <row r="46" spans="1:20" ht="15" customHeight="1" x14ac:dyDescent="0.15">
      <c r="A46" s="84"/>
      <c r="F46" s="199" t="s">
        <v>232</v>
      </c>
      <c r="G46" s="84">
        <v>0</v>
      </c>
      <c r="H46" s="84">
        <v>0</v>
      </c>
      <c r="I46" s="84">
        <v>0</v>
      </c>
      <c r="J46" s="84">
        <v>0</v>
      </c>
      <c r="K46" s="84">
        <v>0</v>
      </c>
      <c r="L46" s="84">
        <v>1</v>
      </c>
      <c r="M46" s="84">
        <v>0</v>
      </c>
      <c r="N46" s="84">
        <v>0</v>
      </c>
      <c r="O46" s="84">
        <v>0</v>
      </c>
      <c r="P46" s="73">
        <v>0</v>
      </c>
      <c r="Q46" s="84">
        <v>0</v>
      </c>
      <c r="R46" s="74">
        <v>1</v>
      </c>
    </row>
    <row r="47" spans="1:20" ht="15" customHeight="1" x14ac:dyDescent="0.15">
      <c r="A47" s="84"/>
      <c r="F47" s="199" t="s">
        <v>233</v>
      </c>
      <c r="G47" s="84">
        <v>0</v>
      </c>
      <c r="H47" s="84">
        <v>0</v>
      </c>
      <c r="I47" s="84">
        <v>0</v>
      </c>
      <c r="J47" s="84">
        <v>0</v>
      </c>
      <c r="K47" s="84">
        <v>0</v>
      </c>
      <c r="L47" s="84">
        <v>1</v>
      </c>
      <c r="M47" s="84">
        <v>0</v>
      </c>
      <c r="N47" s="84">
        <v>0</v>
      </c>
      <c r="O47" s="84">
        <v>0</v>
      </c>
      <c r="P47" s="73">
        <v>0</v>
      </c>
      <c r="Q47" s="84">
        <v>0</v>
      </c>
      <c r="R47" s="74">
        <v>1</v>
      </c>
    </row>
    <row r="48" spans="1:20" ht="15" customHeight="1" x14ac:dyDescent="0.15">
      <c r="A48" s="84"/>
      <c r="F48" s="199" t="s">
        <v>234</v>
      </c>
      <c r="G48" s="84">
        <v>0</v>
      </c>
      <c r="H48" s="84">
        <v>0</v>
      </c>
      <c r="I48" s="84">
        <v>0</v>
      </c>
      <c r="J48" s="84">
        <v>0</v>
      </c>
      <c r="K48" s="84">
        <v>0</v>
      </c>
      <c r="L48" s="84">
        <v>1</v>
      </c>
      <c r="M48" s="84">
        <v>0</v>
      </c>
      <c r="N48" s="84">
        <v>0</v>
      </c>
      <c r="O48" s="84">
        <v>0</v>
      </c>
      <c r="P48" s="73">
        <v>0</v>
      </c>
      <c r="Q48" s="84">
        <v>0</v>
      </c>
      <c r="R48" s="74">
        <v>1</v>
      </c>
    </row>
    <row r="49" spans="6:18" s="84" customFormat="1" ht="15" customHeight="1" x14ac:dyDescent="0.15">
      <c r="F49" s="199" t="s">
        <v>235</v>
      </c>
      <c r="G49" s="84">
        <v>0</v>
      </c>
      <c r="H49" s="84">
        <v>0</v>
      </c>
      <c r="I49" s="84">
        <v>0</v>
      </c>
      <c r="J49" s="84">
        <v>0</v>
      </c>
      <c r="K49" s="84">
        <v>0</v>
      </c>
      <c r="L49" s="84">
        <v>1</v>
      </c>
      <c r="M49" s="84">
        <v>0</v>
      </c>
      <c r="N49" s="84">
        <v>0</v>
      </c>
      <c r="O49" s="84">
        <v>0</v>
      </c>
      <c r="P49" s="73">
        <v>0</v>
      </c>
      <c r="Q49" s="84">
        <v>0</v>
      </c>
      <c r="R49" s="74">
        <v>1</v>
      </c>
    </row>
    <row r="50" spans="6:18" s="84" customFormat="1" ht="15" customHeight="1" x14ac:dyDescent="0.15">
      <c r="F50" s="199" t="s">
        <v>236</v>
      </c>
      <c r="G50" s="84">
        <v>0</v>
      </c>
      <c r="H50" s="84">
        <v>0</v>
      </c>
      <c r="I50" s="84">
        <v>0</v>
      </c>
      <c r="J50" s="84">
        <v>0</v>
      </c>
      <c r="K50" s="84">
        <v>0</v>
      </c>
      <c r="L50" s="84">
        <v>1</v>
      </c>
      <c r="M50" s="84">
        <v>0</v>
      </c>
      <c r="N50" s="84">
        <v>0</v>
      </c>
      <c r="O50" s="84">
        <v>0</v>
      </c>
      <c r="P50" s="73">
        <v>0</v>
      </c>
      <c r="Q50" s="84">
        <v>0</v>
      </c>
      <c r="R50" s="74">
        <v>1</v>
      </c>
    </row>
    <row r="51" spans="6:18" s="84" customFormat="1" ht="15" customHeight="1" x14ac:dyDescent="0.15">
      <c r="F51" s="199" t="s">
        <v>237</v>
      </c>
      <c r="G51" s="84">
        <v>0</v>
      </c>
      <c r="H51" s="84">
        <v>0</v>
      </c>
      <c r="I51" s="84">
        <v>0</v>
      </c>
      <c r="J51" s="84">
        <v>0</v>
      </c>
      <c r="K51" s="84">
        <v>0</v>
      </c>
      <c r="L51" s="84">
        <v>1</v>
      </c>
      <c r="M51" s="84">
        <v>0</v>
      </c>
      <c r="N51" s="84">
        <v>0</v>
      </c>
      <c r="O51" s="84">
        <v>0</v>
      </c>
      <c r="P51" s="73">
        <v>0</v>
      </c>
      <c r="Q51" s="84">
        <v>0</v>
      </c>
      <c r="R51" s="74">
        <v>1</v>
      </c>
    </row>
    <row r="52" spans="6:18" s="84" customFormat="1" ht="15" customHeight="1" x14ac:dyDescent="0.15">
      <c r="F52" s="199" t="s">
        <v>238</v>
      </c>
      <c r="G52" s="84">
        <v>0</v>
      </c>
      <c r="H52" s="84">
        <v>0</v>
      </c>
      <c r="I52" s="84">
        <v>0</v>
      </c>
      <c r="J52" s="84">
        <v>0</v>
      </c>
      <c r="K52" s="84">
        <v>0</v>
      </c>
      <c r="L52" s="84">
        <v>1</v>
      </c>
      <c r="M52" s="84">
        <v>0</v>
      </c>
      <c r="N52" s="84">
        <v>0</v>
      </c>
      <c r="O52" s="84">
        <v>0</v>
      </c>
      <c r="P52" s="73">
        <v>0</v>
      </c>
      <c r="Q52" s="84">
        <v>0</v>
      </c>
      <c r="R52" s="74">
        <v>1</v>
      </c>
    </row>
    <row r="53" spans="6:18" s="84" customFormat="1" ht="15" customHeight="1" x14ac:dyDescent="0.15">
      <c r="F53" s="199" t="s">
        <v>239</v>
      </c>
      <c r="G53" s="84">
        <v>0</v>
      </c>
      <c r="H53" s="84">
        <v>0</v>
      </c>
      <c r="I53" s="84">
        <v>0</v>
      </c>
      <c r="J53" s="84">
        <v>0</v>
      </c>
      <c r="K53" s="84">
        <v>0</v>
      </c>
      <c r="L53" s="84">
        <v>1</v>
      </c>
      <c r="M53" s="84">
        <v>0</v>
      </c>
      <c r="N53" s="84">
        <v>0</v>
      </c>
      <c r="O53" s="84">
        <v>0</v>
      </c>
      <c r="P53" s="73">
        <v>0</v>
      </c>
      <c r="Q53" s="84">
        <v>0</v>
      </c>
      <c r="R53" s="74">
        <v>1</v>
      </c>
    </row>
    <row r="54" spans="6:18" s="84" customFormat="1" ht="15" customHeight="1" x14ac:dyDescent="0.15">
      <c r="F54" s="199" t="s">
        <v>240</v>
      </c>
      <c r="G54" s="84">
        <v>0</v>
      </c>
      <c r="H54" s="84">
        <v>0</v>
      </c>
      <c r="I54" s="84">
        <v>0</v>
      </c>
      <c r="J54" s="84">
        <v>0</v>
      </c>
      <c r="K54" s="84">
        <v>0</v>
      </c>
      <c r="L54" s="84">
        <v>1</v>
      </c>
      <c r="M54" s="84">
        <v>0</v>
      </c>
      <c r="N54" s="84">
        <v>0</v>
      </c>
      <c r="O54" s="84">
        <v>0</v>
      </c>
      <c r="P54" s="73">
        <v>0</v>
      </c>
      <c r="Q54" s="84">
        <v>0</v>
      </c>
      <c r="R54" s="74">
        <v>1</v>
      </c>
    </row>
    <row r="55" spans="6:18" s="84" customFormat="1" ht="15" customHeight="1" x14ac:dyDescent="0.15">
      <c r="F55" s="199" t="s">
        <v>241</v>
      </c>
      <c r="G55" s="84">
        <v>0</v>
      </c>
      <c r="H55" s="84">
        <v>0</v>
      </c>
      <c r="I55" s="84">
        <v>0</v>
      </c>
      <c r="J55" s="84">
        <v>0</v>
      </c>
      <c r="K55" s="84">
        <v>0</v>
      </c>
      <c r="L55" s="84">
        <v>1</v>
      </c>
      <c r="M55" s="84">
        <v>0</v>
      </c>
      <c r="N55" s="84">
        <v>0</v>
      </c>
      <c r="O55" s="84">
        <v>0</v>
      </c>
      <c r="P55" s="73">
        <v>0</v>
      </c>
      <c r="Q55" s="84">
        <v>0</v>
      </c>
      <c r="R55" s="74">
        <v>1</v>
      </c>
    </row>
    <row r="56" spans="6:18" s="84" customFormat="1" ht="15" customHeight="1" x14ac:dyDescent="0.15">
      <c r="F56" s="199" t="s">
        <v>242</v>
      </c>
      <c r="G56" s="84">
        <v>0</v>
      </c>
      <c r="H56" s="84">
        <v>0</v>
      </c>
      <c r="I56" s="84">
        <v>0</v>
      </c>
      <c r="J56" s="84">
        <v>0</v>
      </c>
      <c r="K56" s="84">
        <v>0</v>
      </c>
      <c r="L56" s="84">
        <v>1</v>
      </c>
      <c r="M56" s="84">
        <v>0</v>
      </c>
      <c r="N56" s="84">
        <v>0</v>
      </c>
      <c r="O56" s="84">
        <v>0</v>
      </c>
      <c r="P56" s="73">
        <v>0</v>
      </c>
      <c r="Q56" s="84">
        <v>0</v>
      </c>
      <c r="R56" s="74">
        <v>1</v>
      </c>
    </row>
    <row r="57" spans="6:18" s="84" customFormat="1" ht="15" customHeight="1" x14ac:dyDescent="0.15">
      <c r="F57" s="199" t="s">
        <v>243</v>
      </c>
      <c r="G57" s="84">
        <v>0</v>
      </c>
      <c r="H57" s="84">
        <v>0</v>
      </c>
      <c r="I57" s="84">
        <v>0</v>
      </c>
      <c r="J57" s="84">
        <v>0</v>
      </c>
      <c r="K57" s="84">
        <v>0</v>
      </c>
      <c r="L57" s="84">
        <v>1</v>
      </c>
      <c r="M57" s="84">
        <v>0</v>
      </c>
      <c r="N57" s="84">
        <v>0</v>
      </c>
      <c r="O57" s="84">
        <v>0</v>
      </c>
      <c r="P57" s="73">
        <v>0</v>
      </c>
      <c r="Q57" s="84">
        <v>0</v>
      </c>
      <c r="R57" s="74">
        <v>1</v>
      </c>
    </row>
    <row r="58" spans="6:18" s="84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84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84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84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84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84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84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4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4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4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4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4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4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4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4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4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4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4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4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4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4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4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4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4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4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4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4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4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4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4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4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4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4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4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4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4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4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4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4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4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4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4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4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4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4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4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4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4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4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4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4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4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4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4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4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4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4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4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4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4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4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4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4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4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4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4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4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4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4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4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4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4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4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4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4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4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4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4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4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4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4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4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4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4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4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4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4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4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4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4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4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4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4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4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4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4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4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4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4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4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4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4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4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4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4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4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4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4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4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4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4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4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4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BH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113" customWidth="1"/>
    <col min="3" max="5" width="7.83203125" style="113" customWidth="1"/>
    <col min="6" max="8" width="8.83203125" style="6"/>
    <col min="9" max="9" width="11.1640625" style="6" customWidth="1"/>
    <col min="10" max="10" width="10.5" style="6" customWidth="1"/>
    <col min="11" max="11" width="8.5" style="6" customWidth="1"/>
    <col min="12" max="12" width="14.33203125" style="6" customWidth="1"/>
    <col min="13" max="13" width="7.6640625" style="6" customWidth="1"/>
    <col min="14" max="14" width="10.33203125" style="6" customWidth="1"/>
    <col min="15" max="15" width="13.6640625" style="6" customWidth="1"/>
    <col min="16" max="16" width="8.5" style="6" customWidth="1"/>
    <col min="17" max="17" width="14.5" style="6" customWidth="1"/>
    <col min="18" max="18" width="16.6640625" style="6" customWidth="1"/>
    <col min="19" max="19" width="10.1640625" style="6" customWidth="1"/>
    <col min="20" max="20" width="9.5" style="6" customWidth="1"/>
    <col min="21" max="21" width="7.1640625" style="6" customWidth="1"/>
    <col min="22" max="24" width="7.5" style="6" customWidth="1"/>
    <col min="25" max="25" width="14.5" style="6" customWidth="1"/>
    <col min="26" max="26" width="14.6640625" style="6" customWidth="1"/>
    <col min="27" max="27" width="13.6640625" style="6" customWidth="1"/>
    <col min="28" max="28" width="15.33203125" style="6" customWidth="1"/>
    <col min="29" max="29" width="8.83203125" style="6" customWidth="1"/>
    <col min="30" max="30" width="15.5" style="6" customWidth="1"/>
    <col min="31" max="31" width="7.5" style="6" customWidth="1"/>
    <col min="32" max="32" width="10" style="6" customWidth="1"/>
    <col min="33" max="33" width="10.6640625" style="6" customWidth="1"/>
    <col min="34" max="34" width="13.6640625" style="6" customWidth="1"/>
    <col min="35" max="35" width="14.5" style="6" customWidth="1"/>
    <col min="36" max="36" width="6" style="6" customWidth="1"/>
    <col min="37" max="37" width="11.33203125" style="6" customWidth="1"/>
    <col min="38" max="38" width="11.5" style="6" customWidth="1"/>
    <col min="39" max="39" width="7.1640625" customWidth="1"/>
    <col min="40" max="40" width="12.1640625" customWidth="1"/>
    <col min="41" max="41" width="11.5" customWidth="1"/>
    <col min="42" max="42" width="13.83203125" customWidth="1"/>
    <col min="43" max="44" width="4.5" customWidth="1"/>
    <col min="45" max="45" width="4.83203125" customWidth="1"/>
    <col min="46" max="46" width="13.1640625" customWidth="1"/>
    <col min="47" max="47" width="7.6640625" customWidth="1"/>
    <col min="48" max="48" width="21.6640625" customWidth="1"/>
    <col min="49" max="49" width="11.83203125" customWidth="1"/>
    <col min="50" max="50" width="12" customWidth="1"/>
    <col min="51" max="51" width="16.33203125" customWidth="1"/>
    <col min="52" max="52" width="13.5" customWidth="1"/>
    <col min="53" max="53" width="14" customWidth="1"/>
    <col min="54" max="54" width="13.33203125" customWidth="1"/>
    <col min="55" max="55" width="5.1640625" customWidth="1"/>
    <col min="56" max="56" width="13.1640625" customWidth="1"/>
    <col min="57" max="57" width="11.83203125" customWidth="1"/>
    <col min="58" max="58" width="12.83203125" customWidth="1"/>
    <col min="59" max="59" width="12" customWidth="1"/>
    <col min="60" max="60" width="11" customWidth="1"/>
    <col min="81" max="81" width="22.1640625" bestFit="1" customWidth="1"/>
  </cols>
  <sheetData>
    <row r="1" spans="1:60" x14ac:dyDescent="0.15">
      <c r="A1" s="4" t="s">
        <v>156</v>
      </c>
      <c r="B1" s="37" t="s">
        <v>157</v>
      </c>
      <c r="C1" s="37" t="s">
        <v>17</v>
      </c>
      <c r="D1" s="37" t="s">
        <v>158</v>
      </c>
      <c r="E1" s="37" t="s">
        <v>159</v>
      </c>
      <c r="F1" t="s">
        <v>38</v>
      </c>
      <c r="G1" t="s">
        <v>40</v>
      </c>
      <c r="H1" t="s">
        <v>41</v>
      </c>
      <c r="I1" s="204" t="s">
        <v>192</v>
      </c>
      <c r="J1" s="204" t="s">
        <v>193</v>
      </c>
      <c r="K1" s="204" t="s">
        <v>194</v>
      </c>
      <c r="L1" s="204" t="s">
        <v>195</v>
      </c>
      <c r="M1" s="204" t="s">
        <v>196</v>
      </c>
      <c r="N1" s="204" t="s">
        <v>197</v>
      </c>
      <c r="O1" s="204" t="s">
        <v>198</v>
      </c>
      <c r="P1" s="204" t="s">
        <v>199</v>
      </c>
      <c r="Q1" s="204" t="s">
        <v>200</v>
      </c>
      <c r="R1" s="204" t="s">
        <v>201</v>
      </c>
      <c r="S1" s="204" t="s">
        <v>202</v>
      </c>
      <c r="T1" s="204" t="s">
        <v>203</v>
      </c>
      <c r="U1" s="204" t="s">
        <v>204</v>
      </c>
      <c r="V1" s="204" t="s">
        <v>205</v>
      </c>
      <c r="W1" s="204" t="s">
        <v>206</v>
      </c>
      <c r="X1" s="204" t="s">
        <v>207</v>
      </c>
      <c r="Y1" s="204" t="s">
        <v>208</v>
      </c>
      <c r="Z1" s="204" t="s">
        <v>209</v>
      </c>
      <c r="AA1" s="204" t="s">
        <v>210</v>
      </c>
      <c r="AB1" s="204" t="s">
        <v>211</v>
      </c>
      <c r="AC1" s="204" t="s">
        <v>212</v>
      </c>
      <c r="AD1" s="204" t="s">
        <v>213</v>
      </c>
      <c r="AE1" s="204" t="s">
        <v>214</v>
      </c>
      <c r="AF1" s="204" t="s">
        <v>215</v>
      </c>
      <c r="AG1" s="204" t="s">
        <v>216</v>
      </c>
      <c r="AH1" s="204" t="s">
        <v>217</v>
      </c>
      <c r="AI1" s="204" t="s">
        <v>218</v>
      </c>
      <c r="AJ1" s="204" t="s">
        <v>219</v>
      </c>
      <c r="AK1" s="204" t="s">
        <v>220</v>
      </c>
      <c r="AL1" s="204" t="s">
        <v>221</v>
      </c>
      <c r="AM1" s="204" t="s">
        <v>222</v>
      </c>
      <c r="AN1" s="204" t="s">
        <v>223</v>
      </c>
      <c r="AO1" s="204" t="s">
        <v>224</v>
      </c>
      <c r="AP1" s="204" t="s">
        <v>225</v>
      </c>
      <c r="AQ1" s="204" t="s">
        <v>226</v>
      </c>
      <c r="AR1" s="204" t="s">
        <v>227</v>
      </c>
      <c r="AS1" s="204" t="s">
        <v>228</v>
      </c>
      <c r="AT1" s="204" t="s">
        <v>229</v>
      </c>
      <c r="AU1" s="204" t="s">
        <v>230</v>
      </c>
      <c r="AV1" s="204" t="s">
        <v>231</v>
      </c>
      <c r="AW1" s="204" t="s">
        <v>232</v>
      </c>
      <c r="AX1" s="204" t="s">
        <v>233</v>
      </c>
      <c r="AY1" s="204" t="s">
        <v>234</v>
      </c>
      <c r="AZ1" s="204" t="s">
        <v>235</v>
      </c>
      <c r="BA1" s="204" t="s">
        <v>236</v>
      </c>
      <c r="BB1" s="204" t="s">
        <v>237</v>
      </c>
      <c r="BC1" s="204" t="s">
        <v>238</v>
      </c>
      <c r="BD1" s="204" t="s">
        <v>239</v>
      </c>
      <c r="BE1" s="204" t="s">
        <v>240</v>
      </c>
      <c r="BF1" s="204" t="s">
        <v>241</v>
      </c>
      <c r="BG1" s="204" t="s">
        <v>242</v>
      </c>
      <c r="BH1" s="204" t="s">
        <v>243</v>
      </c>
    </row>
    <row r="2" spans="1:60" x14ac:dyDescent="0.15">
      <c r="A2" t="s">
        <v>38</v>
      </c>
      <c r="B2" s="113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60" x14ac:dyDescent="0.15">
      <c r="A3" t="s">
        <v>40</v>
      </c>
      <c r="B3" s="113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60" x14ac:dyDescent="0.15">
      <c r="A4" t="s">
        <v>41</v>
      </c>
      <c r="B4" s="113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60" x14ac:dyDescent="0.15">
      <c r="A5" s="203" t="s">
        <v>192</v>
      </c>
      <c r="B5" s="113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60" x14ac:dyDescent="0.15">
      <c r="A6" s="203" t="s">
        <v>193</v>
      </c>
      <c r="B6" s="113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60" x14ac:dyDescent="0.15">
      <c r="A7" s="203" t="s">
        <v>194</v>
      </c>
      <c r="B7" s="113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60" x14ac:dyDescent="0.15">
      <c r="A8" s="203" t="s">
        <v>195</v>
      </c>
      <c r="B8" s="113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60" x14ac:dyDescent="0.15">
      <c r="A9" s="203" t="s">
        <v>196</v>
      </c>
      <c r="B9" s="113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60" x14ac:dyDescent="0.15">
      <c r="A10" s="203" t="s">
        <v>197</v>
      </c>
      <c r="B10" s="113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60" x14ac:dyDescent="0.15">
      <c r="A11" s="203" t="s">
        <v>198</v>
      </c>
      <c r="B11" s="113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60" x14ac:dyDescent="0.15">
      <c r="A12" s="203" t="s">
        <v>199</v>
      </c>
      <c r="B12" s="113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60" x14ac:dyDescent="0.15">
      <c r="A13" s="203" t="s">
        <v>200</v>
      </c>
      <c r="B13" s="113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60" x14ac:dyDescent="0.15">
      <c r="A14" s="203" t="s">
        <v>201</v>
      </c>
      <c r="B14" s="113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60" x14ac:dyDescent="0.15">
      <c r="A15" s="203" t="s">
        <v>202</v>
      </c>
      <c r="B15" s="113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60" x14ac:dyDescent="0.15">
      <c r="A16" s="203" t="s">
        <v>203</v>
      </c>
      <c r="B16" s="113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203" t="s">
        <v>204</v>
      </c>
      <c r="B17" s="113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203" t="s">
        <v>205</v>
      </c>
      <c r="B18" s="113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203" t="s">
        <v>206</v>
      </c>
      <c r="B19" s="113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203" t="s">
        <v>207</v>
      </c>
      <c r="B20" s="113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203" t="s">
        <v>208</v>
      </c>
      <c r="B21" s="113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203" t="s">
        <v>209</v>
      </c>
      <c r="B22" s="113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203" t="s">
        <v>210</v>
      </c>
      <c r="B23" s="113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203" t="s">
        <v>211</v>
      </c>
      <c r="B24" s="113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203" t="s">
        <v>212</v>
      </c>
      <c r="B25" s="113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203" t="s">
        <v>213</v>
      </c>
      <c r="B26" s="113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203" t="s">
        <v>214</v>
      </c>
      <c r="B27" s="113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203" t="s">
        <v>215</v>
      </c>
      <c r="B28" s="113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203" t="s">
        <v>216</v>
      </c>
      <c r="B29" s="113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203" t="s">
        <v>217</v>
      </c>
      <c r="B30" s="113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203" t="s">
        <v>218</v>
      </c>
      <c r="B31" s="113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203" t="s">
        <v>219</v>
      </c>
      <c r="B32" s="113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203" t="s">
        <v>220</v>
      </c>
      <c r="B33" s="113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203" t="s">
        <v>221</v>
      </c>
      <c r="B34" s="113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203" t="s">
        <v>222</v>
      </c>
      <c r="B35" s="113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203" t="s">
        <v>223</v>
      </c>
      <c r="B36" s="113">
        <v>0</v>
      </c>
      <c r="C36"/>
      <c r="D36"/>
    </row>
    <row r="37" spans="1:38" ht="15" customHeight="1" x14ac:dyDescent="0.15">
      <c r="A37" s="203" t="s">
        <v>224</v>
      </c>
      <c r="B37" s="113">
        <v>0</v>
      </c>
      <c r="C37"/>
      <c r="D37"/>
    </row>
    <row r="38" spans="1:38" ht="15" customHeight="1" x14ac:dyDescent="0.15">
      <c r="A38" s="203" t="s">
        <v>225</v>
      </c>
      <c r="B38" s="113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203" t="s">
        <v>226</v>
      </c>
      <c r="B39" s="113">
        <v>0</v>
      </c>
      <c r="C39"/>
      <c r="D39"/>
    </row>
    <row r="40" spans="1:38" ht="15" customHeight="1" x14ac:dyDescent="0.15">
      <c r="A40" s="203" t="s">
        <v>227</v>
      </c>
      <c r="B40" s="113">
        <v>0</v>
      </c>
      <c r="C40"/>
      <c r="D40"/>
    </row>
    <row r="41" spans="1:38" ht="15" customHeight="1" x14ac:dyDescent="0.15">
      <c r="A41" s="203" t="s">
        <v>228</v>
      </c>
      <c r="B41" s="113">
        <v>0</v>
      </c>
      <c r="C41"/>
      <c r="D41"/>
    </row>
    <row r="42" spans="1:38" ht="15" customHeight="1" x14ac:dyDescent="0.15">
      <c r="A42" s="203" t="s">
        <v>229</v>
      </c>
      <c r="B42" s="113">
        <v>0</v>
      </c>
    </row>
    <row r="43" spans="1:38" ht="15" customHeight="1" x14ac:dyDescent="0.15">
      <c r="A43" s="203" t="s">
        <v>230</v>
      </c>
      <c r="B43" s="113">
        <v>0</v>
      </c>
    </row>
    <row r="44" spans="1:38" ht="15" customHeight="1" x14ac:dyDescent="0.15">
      <c r="A44" s="203" t="s">
        <v>231</v>
      </c>
      <c r="B44" s="113">
        <v>0</v>
      </c>
    </row>
    <row r="45" spans="1:38" ht="15" customHeight="1" x14ac:dyDescent="0.15">
      <c r="A45" s="203" t="s">
        <v>232</v>
      </c>
      <c r="B45" s="113">
        <v>0</v>
      </c>
    </row>
    <row r="46" spans="1:38" ht="15" customHeight="1" x14ac:dyDescent="0.15">
      <c r="A46" s="203" t="s">
        <v>233</v>
      </c>
      <c r="B46" s="113">
        <v>0</v>
      </c>
    </row>
    <row r="47" spans="1:38" ht="15" customHeight="1" x14ac:dyDescent="0.15">
      <c r="A47" s="203" t="s">
        <v>234</v>
      </c>
      <c r="B47" s="113">
        <v>0</v>
      </c>
    </row>
    <row r="48" spans="1:38" ht="15" customHeight="1" x14ac:dyDescent="0.15">
      <c r="A48" s="203" t="s">
        <v>235</v>
      </c>
      <c r="B48" s="113">
        <v>0</v>
      </c>
    </row>
    <row r="49" spans="1:38" ht="15" customHeight="1" x14ac:dyDescent="0.15">
      <c r="A49" s="203" t="s">
        <v>236</v>
      </c>
      <c r="B49" s="113">
        <v>0</v>
      </c>
    </row>
    <row r="50" spans="1:38" ht="15" customHeight="1" x14ac:dyDescent="0.15">
      <c r="A50" s="203" t="s">
        <v>237</v>
      </c>
      <c r="B50" s="113">
        <v>0</v>
      </c>
    </row>
    <row r="51" spans="1:38" ht="15" customHeight="1" x14ac:dyDescent="0.15">
      <c r="A51" s="203" t="s">
        <v>238</v>
      </c>
      <c r="B51" s="113">
        <v>0</v>
      </c>
    </row>
    <row r="52" spans="1:38" ht="15" customHeight="1" x14ac:dyDescent="0.15">
      <c r="A52" s="203" t="s">
        <v>239</v>
      </c>
      <c r="B52" s="113">
        <v>0</v>
      </c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 ht="15" customHeight="1" x14ac:dyDescent="0.15">
      <c r="A53" s="203" t="s">
        <v>240</v>
      </c>
      <c r="B53" s="113">
        <v>0</v>
      </c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 ht="15" customHeight="1" x14ac:dyDescent="0.15">
      <c r="A54" s="203" t="s">
        <v>241</v>
      </c>
      <c r="B54" s="113">
        <v>0</v>
      </c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 ht="15" customHeight="1" x14ac:dyDescent="0.15">
      <c r="A55" s="203" t="s">
        <v>242</v>
      </c>
      <c r="B55" s="113">
        <v>0</v>
      </c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 ht="15" customHeight="1" x14ac:dyDescent="0.15">
      <c r="A56" s="203" t="s">
        <v>243</v>
      </c>
      <c r="B56" s="113">
        <v>0</v>
      </c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2022-10-24T04:09:01Z</dcterms:modified>
</cp:coreProperties>
</file>