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Atlantic/Atlantic_ECOTRAN_K-path_versions/"/>
    </mc:Choice>
  </mc:AlternateContent>
  <xr:revisionPtr revIDLastSave="0" documentId="13_ncr:1_{E15DBACF-E9A3-1543-B103-468EE3D5A7F5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Main!$C$2:$N$34</definedName>
    <definedName name="matDetritus">Detritus!$C$2:$E$34</definedName>
    <definedName name="matDiet">Diets!$B$2:$AE$34</definedName>
    <definedName name="matDiscards">Discards!$C$2:$C$33</definedName>
    <definedName name="matFishery">Fishing!$C$2:$C$33</definedName>
    <definedName name="matFishing">Fishing!#REF!</definedName>
    <definedName name="matMort">Mortalities!$A$1:$AJ$33</definedName>
    <definedName name="matOut">MainOutputs!$A$2:$I$34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4" i="1" l="1"/>
  <c r="B8" i="75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2" i="1"/>
  <c r="E42" i="86"/>
  <c r="D42" i="86"/>
  <c r="B10" i="87"/>
  <c r="B7" i="75"/>
  <c r="X6" i="75"/>
</calcChain>
</file>

<file path=xl/sharedStrings.xml><?xml version="1.0" encoding="utf-8"?>
<sst xmlns="http://schemas.openxmlformats.org/spreadsheetml/2006/main" count="975" uniqueCount="231">
  <si>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</si>
  <si>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</si>
  <si>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</si>
  <si>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</si>
  <si>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</si>
  <si>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</si>
  <si>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</si>
  <si>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</si>
  <si>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</si>
  <si>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</si>
  <si>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</si>
  <si>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</si>
  <si>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</si>
  <si>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</si>
  <si>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</si>
  <si>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</si>
  <si>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</si>
  <si>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</si>
  <si>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</si>
  <si>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</si>
  <si>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</si>
  <si>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</si>
  <si>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</si>
  <si>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</si>
  <si>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</si>
  <si>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</si>
  <si>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</si>
  <si>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</si>
  <si>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</si>
  <si>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</si>
  <si>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</si>
  <si>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</si>
  <si>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</si>
  <si>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</si>
  <si>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</si>
  <si>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</si>
  <si>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</si>
  <si>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</si>
  <si>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</si>
  <si>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</si>
  <si>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</si>
  <si>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</si>
  <si>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</si>
  <si>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</si>
  <si>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</si>
  <si>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</si>
  <si>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</si>
  <si>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</si>
  <si>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</si>
  <si>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</si>
  <si>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</si>
  <si>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</si>
  <si>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</si>
  <si>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</si>
  <si>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</si>
  <si>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</si>
  <si>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</si>
  <si>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</si>
  <si>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</si>
  <si>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</si>
  <si>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</si>
  <si>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</si>
  <si>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</si>
  <si>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</si>
  <si>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</si>
  <si>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</si>
  <si>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</si>
  <si>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</si>
  <si>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</si>
  <si>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</si>
  <si>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</si>
  <si>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</si>
  <si>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</si>
  <si>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</si>
  <si>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</si>
  <si>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</si>
  <si>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</si>
  <si>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</si>
  <si>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</si>
  <si>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</si>
  <si>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</si>
  <si>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</si>
  <si>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</si>
  <si>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</si>
  <si>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</si>
  <si>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</si>
  <si>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</si>
  <si>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</si>
  <si>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</si>
  <si>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</si>
  <si>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</si>
  <si>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</si>
  <si>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</si>
  <si>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</si>
  <si>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</si>
  <si>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</si>
  <si>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</si>
  <si>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</si>
  <si>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</si>
  <si>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</si>
  <si>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</si>
  <si>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</si>
  <si>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</si>
  <si>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</si>
  <si>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</si>
  <si>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</si>
  <si>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</si>
  <si>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</si>
  <si>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</si>
  <si>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</si>
  <si>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</si>
  <si>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</si>
  <si>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</si>
  <si>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</si>
  <si>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</si>
  <si>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</si>
  <si>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</si>
  <si>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</si>
  <si>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</si>
  <si>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</si>
  <si>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</si>
  <si>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</si>
  <si>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</si>
  <si>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</si>
  <si>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</si>
  <si>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</si>
  <si>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</si>
  <si>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</si>
  <si>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</si>
  <si>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</si>
  <si>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</si>
  <si>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</si>
  <si>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</si>
  <si>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</si>
  <si>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</si>
  <si>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</si>
  <si>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</si>
  <si>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</si>
  <si>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</si>
  <si>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</si>
  <si>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</si>
  <si>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</si>
  <si>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</si>
  <si>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</si>
  <si>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</si>
  <si>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</si>
  <si>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</si>
  <si>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</si>
  <si>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</si>
  <si>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</si>
  <si>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</si>
  <si>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</si>
  <si>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</si>
  <si>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</si>
  <si>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</si>
  <si>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</si>
  <si>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</si>
  <si>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</si>
  <si>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</si>
  <si>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</si>
  <si>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</si>
  <si>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</si>
  <si>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</si>
  <si>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</si>
  <si>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</si>
  <si>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</si>
  <si>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</si>
  <si>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</si>
  <si>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</si>
  <si>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</si>
  <si>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</si>
  <si>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</si>
  <si>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</si>
  <si>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</si>
  <si>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</si>
  <si>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</si>
  <si>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</si>
  <si>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</si>
  <si>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</si>
  <si>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</si>
  <si>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</si>
  <si>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</si>
  <si>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</si>
  <si>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</si>
  <si>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</si>
  <si>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Bamboung</t>
  </si>
  <si>
    <t>Senegal</t>
  </si>
  <si>
    <t>BOX(-16.5672635795825 13.7442346816745,-16.4970523691589 13.838990954842)</t>
  </si>
  <si>
    <t>coastal lagoon</t>
  </si>
  <si>
    <t>WetWeight</t>
  </si>
  <si>
    <t>; 07/06/2011 00:58:49; 07/06/2011 01:01:42; 08/06/2011 16:27:10; 08/06/2011 16:27:31; 08/06/2011 16:34:41</t>
  </si>
  <si>
    <t>Colléter M.,Gascuel D.,Ecoutin J.-M.,Tito de Morais L.(2012). Modelling trophic flows in ecosystems to assess the efficiency of marine protected area (MPA), a case study on the coast of Senegal Ecological Modelling. pp 1-13</t>
  </si>
  <si>
    <t>Requins</t>
  </si>
  <si>
    <t>Dauphins</t>
  </si>
  <si>
    <t>Oiseaux</t>
  </si>
  <si>
    <t>Raies</t>
  </si>
  <si>
    <t>Otolithes +</t>
  </si>
  <si>
    <t>Barracudas +</t>
  </si>
  <si>
    <t>Grand capitaine</t>
  </si>
  <si>
    <t>Vivaneaux +</t>
  </si>
  <si>
    <t>Tétrodon +</t>
  </si>
  <si>
    <t>Diagramme +</t>
  </si>
  <si>
    <t>Pompaneau +</t>
  </si>
  <si>
    <t>Carangues</t>
  </si>
  <si>
    <t>Mâchoirons mari</t>
  </si>
  <si>
    <t>Elops</t>
  </si>
  <si>
    <t>Breton africain</t>
  </si>
  <si>
    <t>Sole-langue +</t>
  </si>
  <si>
    <t>Sardinelle +</t>
  </si>
  <si>
    <t>Gerres</t>
  </si>
  <si>
    <t>Ethmalose</t>
  </si>
  <si>
    <t>Mulets</t>
  </si>
  <si>
    <t>Pomadasys</t>
  </si>
  <si>
    <t>Tilapias</t>
  </si>
  <si>
    <t>Petits benthoph</t>
  </si>
  <si>
    <t>Crevettes</t>
  </si>
  <si>
    <t>Crabes</t>
  </si>
  <si>
    <t>Macrobenthos</t>
  </si>
  <si>
    <t>Meiobenthos</t>
  </si>
  <si>
    <t>Zooplancton</t>
  </si>
  <si>
    <t>Phytoplancton</t>
  </si>
  <si>
    <t>Microphytobenth</t>
  </si>
  <si>
    <t>Detritus</t>
  </si>
  <si>
    <t>detritus_TerminalBenthic</t>
  </si>
  <si>
    <t>Import</t>
  </si>
  <si>
    <t>export</t>
  </si>
  <si>
    <t>sum</t>
  </si>
  <si>
    <t>TOTAL</t>
  </si>
  <si>
    <t>dummy fleet</t>
  </si>
  <si>
    <t>F dummy fleet</t>
  </si>
  <si>
    <t>&lt;&lt;--no fleet in model; Jruz added dummy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</si>
</sst>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90FF0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Font="1" applyFill="1" applyBorder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187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3" x14ac:dyDescent="0.15">
      <c r="B49" s="48" t="s">
        <v>44</v>
      </c>
      <c r="C49" s="32">
        <v>5</v>
      </c>
    </row>
    <row r="50" spans="2:3" x14ac:dyDescent="0.15">
      <c r="B50" s="48"/>
      <c r="C50" s="32"/>
    </row>
    <row r="51" spans="2:3" ht="14" thickBot="1" x14ac:dyDescent="0.2">
      <c r="B51" s="49" t="s">
        <v>73</v>
      </c>
      <c r="C51" s="33">
        <v>7</v>
      </c>
    </row>
    <row r="53" spans="2:3" x14ac:dyDescent="0.15">
      <c r="B53" s="172" t="s">
        <v>171</v>
      </c>
      <c r="C53">
        <v>180</v>
      </c>
    </row>
    <row r="54" spans="2:3" x14ac:dyDescent="0.15">
      <c r="B54" s="172" t="s">
        <v>172</v>
      </c>
      <c r="C54" s="172" t="s">
        <v>185</v>
      </c>
    </row>
    <row r="55" spans="2:3" x14ac:dyDescent="0.15">
      <c r="B55" s="172" t="s">
        <v>173</v>
      </c>
      <c r="C55" s="172" t="s">
        <v>186</v>
      </c>
    </row>
    <row r="56" spans="2:3" x14ac:dyDescent="0.15">
      <c r="B56" s="172" t="s">
        <v>174</v>
      </c>
      <c r="C56">
        <v>4.7</v>
      </c>
    </row>
    <row r="57" spans="2:3" x14ac:dyDescent="0.15">
      <c r="B57" s="172" t="s">
        <v>175</v>
      </c>
      <c r="C57" s="172" t="s">
        <v>187</v>
      </c>
    </row>
    <row r="58" spans="2:3" x14ac:dyDescent="0.15">
      <c r="B58" s="172" t="s">
        <v>176</v>
      </c>
      <c r="C58" s="172" t="s">
        <v>188</v>
      </c>
    </row>
    <row r="59" spans="2:3" x14ac:dyDescent="0.15">
      <c r="B59" s="172" t="s">
        <v>177</v>
      </c>
      <c r="C59" s="172" t="s">
        <v>189</v>
      </c>
    </row>
    <row r="60" spans="2:3" x14ac:dyDescent="0.15">
      <c r="B60" s="172" t="s">
        <v>178</v>
      </c>
      <c r="C60" s="172" t="s">
        <v>190</v>
      </c>
    </row>
    <row r="61" spans="2:3" x14ac:dyDescent="0.15">
      <c r="B61" s="172" t="s">
        <v>179</v>
      </c>
      <c r="C61">
        <v>31</v>
      </c>
    </row>
    <row r="62" spans="2:3" x14ac:dyDescent="0.15">
      <c r="B62" s="172" t="s">
        <v>180</v>
      </c>
      <c r="C62">
        <v>0</v>
      </c>
    </row>
    <row r="63" spans="2:3" x14ac:dyDescent="0.15">
      <c r="B63" s="172" t="s">
        <v>181</v>
      </c>
      <c r="C63">
        <v>2006</v>
      </c>
    </row>
    <row r="64" spans="2:3" x14ac:dyDescent="0.15">
      <c r="B64" s="172" t="s">
        <v>182</v>
      </c>
      <c r="C64">
        <v>2</v>
      </c>
    </row>
    <row r="65" spans="2:3" x14ac:dyDescent="0.15">
      <c r="B65" s="172" t="s">
        <v>183</v>
      </c>
      <c r="C65" s="172" t="s">
        <v>191</v>
      </c>
    </row>
    <row r="66" spans="2:3" x14ac:dyDescent="0.15">
      <c r="B66" s="172" t="s">
        <v>184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12" activePane="bottomLeft" state="frozenSplit"/>
      <selection activeCell="E1" sqref="E1"/>
      <selection pane="bottomLeft" activeCell="P34" sqref="P34"/>
    </sheetView>
  </sheetViews>
  <sheetFormatPr baseColWidth="10" defaultColWidth="8.83203125" defaultRowHeight="15" customHeight="1" x14ac:dyDescent="0.15"/>
  <cols>
    <col min="1" max="1" width="22.5" style="81" customWidth="1"/>
    <col min="2" max="3" width="6.83203125" style="81" customWidth="1"/>
    <col min="4" max="4" width="14.33203125" style="81" customWidth="1"/>
    <col min="5" max="5" width="15" style="81" bestFit="1" customWidth="1"/>
    <col min="6" max="14" width="12.16406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3" t="s">
        <v>192</v>
      </c>
      <c r="F2" s="81">
        <v>0</v>
      </c>
      <c r="G2" s="81">
        <v>1E-3</v>
      </c>
      <c r="H2" s="81">
        <v>0.129</v>
      </c>
      <c r="I2" s="6">
        <v>4.9909999999999997</v>
      </c>
      <c r="J2" s="6">
        <v>1.54032325E-3</v>
      </c>
      <c r="K2" s="6">
        <v>2.5846522300000001E-2</v>
      </c>
      <c r="L2" s="6">
        <v>0</v>
      </c>
      <c r="M2" s="81">
        <v>0.2</v>
      </c>
      <c r="N2" s="81">
        <v>0</v>
      </c>
    </row>
    <row r="3" spans="1:46" ht="15" customHeight="1" x14ac:dyDescent="0.15">
      <c r="A3" s="1" t="s">
        <v>9</v>
      </c>
      <c r="B3" s="4">
        <v>30</v>
      </c>
      <c r="C3" s="81">
        <v>2</v>
      </c>
      <c r="D3"/>
      <c r="E3" s="173" t="s">
        <v>193</v>
      </c>
      <c r="F3" s="81">
        <v>0</v>
      </c>
      <c r="G3" s="81">
        <v>4.75E-4</v>
      </c>
      <c r="H3" s="81">
        <v>7.0000000000000007E-2</v>
      </c>
      <c r="I3" s="81">
        <v>12.12</v>
      </c>
      <c r="J3" s="81">
        <v>0</v>
      </c>
      <c r="K3" s="81">
        <v>5.775578E-3</v>
      </c>
      <c r="L3" s="81">
        <v>0</v>
      </c>
      <c r="M3" s="81">
        <v>0.2</v>
      </c>
      <c r="N3" s="81">
        <v>0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73" t="s">
        <v>194</v>
      </c>
      <c r="F4" s="81">
        <v>0</v>
      </c>
      <c r="G4" s="81">
        <v>2.3999999999999998E-3</v>
      </c>
      <c r="H4" s="81">
        <v>0.5</v>
      </c>
      <c r="I4" s="81">
        <v>79.5</v>
      </c>
      <c r="J4" s="81">
        <v>1.6557643900000001E-5</v>
      </c>
      <c r="K4" s="81">
        <v>6.2893080000000004E-3</v>
      </c>
      <c r="L4" s="81">
        <v>0</v>
      </c>
      <c r="M4" s="81">
        <v>0.2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1">
        <v>4</v>
      </c>
      <c r="D5"/>
      <c r="E5" s="173" t="s">
        <v>195</v>
      </c>
      <c r="F5" s="81">
        <v>0</v>
      </c>
      <c r="G5" s="81">
        <v>0.09</v>
      </c>
      <c r="H5" s="81">
        <v>0.39800000000000002</v>
      </c>
      <c r="I5" s="81">
        <v>3.391</v>
      </c>
      <c r="J5" s="81">
        <v>0.63725316499999995</v>
      </c>
      <c r="K5" s="81">
        <v>0.11736951</v>
      </c>
      <c r="L5" s="81">
        <v>0</v>
      </c>
      <c r="M5" s="81">
        <v>0.2</v>
      </c>
      <c r="N5" s="81">
        <v>0</v>
      </c>
      <c r="P5" s="71"/>
      <c r="Q5" s="71"/>
      <c r="R5" s="71"/>
    </row>
    <row r="6" spans="1:46" ht="15" customHeight="1" thickBot="1" x14ac:dyDescent="0.2">
      <c r="B6" s="1"/>
      <c r="C6" s="81">
        <v>5</v>
      </c>
      <c r="D6"/>
      <c r="E6" s="173" t="s">
        <v>196</v>
      </c>
      <c r="F6" s="81">
        <v>0</v>
      </c>
      <c r="G6" s="81">
        <v>0.376</v>
      </c>
      <c r="H6" s="81">
        <v>0.35399999999999998</v>
      </c>
      <c r="I6" s="81">
        <v>7.1689999999999996</v>
      </c>
      <c r="J6" s="81">
        <v>0.84106769999999997</v>
      </c>
      <c r="K6" s="81">
        <v>4.9379270000000003E-2</v>
      </c>
      <c r="L6" s="81">
        <v>0</v>
      </c>
      <c r="M6" s="81">
        <v>0.2</v>
      </c>
      <c r="N6" s="81">
        <v>0</v>
      </c>
      <c r="P6" s="71"/>
      <c r="Q6" s="71"/>
      <c r="R6" s="71"/>
      <c r="W6" s="35" t="s">
        <v>31</v>
      </c>
      <c r="X6" s="51">
        <f>MAX(MainOutputs!G:G)</f>
        <v>0.93835562467575073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337</v>
      </c>
      <c r="C7" s="81">
        <v>6</v>
      </c>
      <c r="D7"/>
      <c r="E7" s="173" t="s">
        <v>197</v>
      </c>
      <c r="F7" s="81">
        <v>0</v>
      </c>
      <c r="G7" s="81">
        <v>0.22</v>
      </c>
      <c r="H7" s="81">
        <v>0.32600000000000001</v>
      </c>
      <c r="I7" s="81">
        <v>6.1820000000000004</v>
      </c>
      <c r="J7" s="81">
        <v>0.37702095499999999</v>
      </c>
      <c r="K7" s="81">
        <v>5.2733740000000001E-2</v>
      </c>
      <c r="L7" s="81">
        <v>0</v>
      </c>
      <c r="M7" s="81">
        <v>0.2</v>
      </c>
      <c r="N7" s="81">
        <v>0</v>
      </c>
      <c r="P7" s="71"/>
      <c r="Q7" s="71"/>
      <c r="R7" s="71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33</v>
      </c>
      <c r="C8" s="81">
        <v>7</v>
      </c>
      <c r="D8"/>
      <c r="E8" s="173" t="s">
        <v>198</v>
      </c>
      <c r="F8" s="81">
        <v>0</v>
      </c>
      <c r="G8" s="81">
        <v>0.19800000000000001</v>
      </c>
      <c r="H8" s="81">
        <v>0.3</v>
      </c>
      <c r="I8" s="81">
        <v>6.5350000000000001</v>
      </c>
      <c r="J8" s="81">
        <v>0.69054340000000003</v>
      </c>
      <c r="K8" s="81">
        <v>4.5906660000000002E-2</v>
      </c>
      <c r="L8" s="81">
        <v>0</v>
      </c>
      <c r="M8" s="81">
        <v>0.2</v>
      </c>
      <c r="N8" s="81">
        <v>0</v>
      </c>
      <c r="P8" s="71"/>
      <c r="Q8" s="71"/>
      <c r="R8" s="71"/>
    </row>
    <row r="9" spans="1:46" ht="15" customHeight="1" x14ac:dyDescent="0.15">
      <c r="B9" s="1"/>
      <c r="C9" s="81">
        <v>8</v>
      </c>
      <c r="D9"/>
      <c r="E9" s="173" t="s">
        <v>199</v>
      </c>
      <c r="F9" s="81">
        <v>0</v>
      </c>
      <c r="G9" s="81">
        <v>0.41099999999999998</v>
      </c>
      <c r="H9" s="81">
        <v>0.432</v>
      </c>
      <c r="I9" s="81">
        <v>9.8870000000000005</v>
      </c>
      <c r="J9" s="81">
        <v>0.70733740000000001</v>
      </c>
      <c r="K9" s="81">
        <v>4.3693740000000002E-2</v>
      </c>
      <c r="L9" s="81">
        <v>0</v>
      </c>
      <c r="M9" s="81">
        <v>0.2</v>
      </c>
      <c r="N9" s="81">
        <v>0</v>
      </c>
      <c r="P9" s="71"/>
      <c r="Q9" s="71"/>
      <c r="R9" s="71"/>
    </row>
    <row r="10" spans="1:46" ht="15" customHeight="1" x14ac:dyDescent="0.15">
      <c r="B10" s="1"/>
      <c r="C10" s="81">
        <v>9</v>
      </c>
      <c r="D10"/>
      <c r="E10" s="173" t="s">
        <v>200</v>
      </c>
      <c r="F10" s="81">
        <v>0</v>
      </c>
      <c r="G10" s="81">
        <v>0.26100000000000001</v>
      </c>
      <c r="H10" s="81">
        <v>0.312</v>
      </c>
      <c r="I10" s="81">
        <v>6.1340000000000003</v>
      </c>
      <c r="J10" s="81">
        <v>0.93810874200000005</v>
      </c>
      <c r="K10" s="81">
        <v>5.0864039999999999E-2</v>
      </c>
      <c r="L10" s="81">
        <v>0</v>
      </c>
      <c r="M10" s="81">
        <v>0.2</v>
      </c>
      <c r="N10" s="81">
        <v>0</v>
      </c>
    </row>
    <row r="11" spans="1:46" ht="15" customHeight="1" x14ac:dyDescent="0.15">
      <c r="C11" s="81">
        <v>10</v>
      </c>
      <c r="D11"/>
      <c r="E11" s="173" t="s">
        <v>201</v>
      </c>
      <c r="F11" s="81">
        <v>0</v>
      </c>
      <c r="G11" s="81">
        <v>0.126</v>
      </c>
      <c r="H11" s="81">
        <v>0.60499999999999998</v>
      </c>
      <c r="I11" s="81">
        <v>10.625999999999999</v>
      </c>
      <c r="J11" s="81">
        <v>0.73792769999999996</v>
      </c>
      <c r="K11" s="81">
        <v>5.6935817E-2</v>
      </c>
      <c r="L11" s="81">
        <v>0</v>
      </c>
      <c r="M11" s="81">
        <v>0.2</v>
      </c>
      <c r="N11" s="81">
        <v>0</v>
      </c>
    </row>
    <row r="12" spans="1:46" ht="15" customHeight="1" x14ac:dyDescent="0.15">
      <c r="C12" s="81">
        <v>11</v>
      </c>
      <c r="D12"/>
      <c r="E12" s="173" t="s">
        <v>202</v>
      </c>
      <c r="F12" s="81">
        <v>0</v>
      </c>
      <c r="G12" s="81">
        <v>0.63400000000000001</v>
      </c>
      <c r="H12" s="81">
        <v>0.39200000000000002</v>
      </c>
      <c r="I12" s="81">
        <v>6.4119999999999999</v>
      </c>
      <c r="J12" s="81">
        <v>0.7579958</v>
      </c>
      <c r="K12" s="81">
        <v>6.1135366599999998E-2</v>
      </c>
      <c r="L12" s="81">
        <v>0</v>
      </c>
      <c r="M12" s="81">
        <v>0.2</v>
      </c>
      <c r="N12" s="81">
        <v>0</v>
      </c>
    </row>
    <row r="13" spans="1:46" ht="15" customHeight="1" x14ac:dyDescent="0.15">
      <c r="C13" s="81">
        <v>12</v>
      </c>
      <c r="D13"/>
      <c r="E13" s="173" t="s">
        <v>203</v>
      </c>
      <c r="F13" s="81">
        <v>0</v>
      </c>
      <c r="G13" s="81">
        <v>0.11</v>
      </c>
      <c r="H13" s="81">
        <v>0.72399999999999998</v>
      </c>
      <c r="I13" s="81">
        <v>17.486999999999998</v>
      </c>
      <c r="J13" s="81">
        <v>0.77239939999999996</v>
      </c>
      <c r="K13" s="81">
        <v>4.1402183500000002E-2</v>
      </c>
      <c r="L13" s="81">
        <v>0</v>
      </c>
      <c r="M13" s="81">
        <v>0.2</v>
      </c>
      <c r="N13" s="81">
        <v>0</v>
      </c>
    </row>
    <row r="14" spans="1:46" ht="15" customHeight="1" x14ac:dyDescent="0.15">
      <c r="C14" s="81">
        <v>13</v>
      </c>
      <c r="D14"/>
      <c r="E14" s="173" t="s">
        <v>204</v>
      </c>
      <c r="F14" s="81">
        <v>0</v>
      </c>
      <c r="G14" s="81">
        <v>1.341</v>
      </c>
      <c r="H14" s="81">
        <v>0.42699999999999999</v>
      </c>
      <c r="I14" s="81">
        <v>9.7390000000000008</v>
      </c>
      <c r="J14" s="81">
        <v>0.71915334500000005</v>
      </c>
      <c r="K14" s="81">
        <v>4.3844334800000002E-2</v>
      </c>
      <c r="L14" s="81">
        <v>0</v>
      </c>
      <c r="M14" s="81">
        <v>0.2</v>
      </c>
      <c r="N14" s="81">
        <v>0</v>
      </c>
    </row>
    <row r="15" spans="1:46" ht="15" customHeight="1" x14ac:dyDescent="0.15">
      <c r="C15" s="81">
        <v>14</v>
      </c>
      <c r="D15"/>
      <c r="E15" s="173" t="s">
        <v>205</v>
      </c>
      <c r="F15" s="81">
        <v>0</v>
      </c>
      <c r="G15" s="81">
        <v>0.158</v>
      </c>
      <c r="H15" s="81">
        <v>0.39100000000000001</v>
      </c>
      <c r="I15" s="81">
        <v>10.292999999999999</v>
      </c>
      <c r="J15" s="81">
        <v>0.91218189999999999</v>
      </c>
      <c r="K15" s="81">
        <v>3.7986982599999997E-2</v>
      </c>
      <c r="L15" s="81">
        <v>0</v>
      </c>
      <c r="M15" s="81">
        <v>0.2</v>
      </c>
      <c r="N15" s="81">
        <v>0</v>
      </c>
    </row>
    <row r="16" spans="1:46" ht="15" customHeight="1" x14ac:dyDescent="0.15">
      <c r="C16" s="81">
        <v>15</v>
      </c>
      <c r="D16"/>
      <c r="E16" s="173" t="s">
        <v>206</v>
      </c>
      <c r="F16" s="81">
        <v>0</v>
      </c>
      <c r="G16" s="81">
        <v>8.7999999999999995E-2</v>
      </c>
      <c r="H16" s="81">
        <v>0.98599999999999999</v>
      </c>
      <c r="I16" s="81">
        <v>18.268999999999998</v>
      </c>
      <c r="J16" s="81">
        <v>0.76523923900000002</v>
      </c>
      <c r="K16" s="81">
        <v>5.3971212400000003E-2</v>
      </c>
      <c r="L16" s="81">
        <v>0</v>
      </c>
      <c r="M16" s="81">
        <v>0.2</v>
      </c>
      <c r="N16" s="81">
        <v>0</v>
      </c>
    </row>
    <row r="17" spans="1:22" ht="15" customHeight="1" x14ac:dyDescent="0.15">
      <c r="C17" s="81">
        <v>16</v>
      </c>
      <c r="D17"/>
      <c r="E17" s="173" t="s">
        <v>207</v>
      </c>
      <c r="F17" s="81">
        <v>0</v>
      </c>
      <c r="G17" s="81">
        <v>2.3E-2</v>
      </c>
      <c r="H17" s="81">
        <v>0.38100000000000001</v>
      </c>
      <c r="I17" s="81">
        <v>6.5129999999999999</v>
      </c>
      <c r="J17" s="81">
        <v>0.75297619999999998</v>
      </c>
      <c r="K17" s="81">
        <v>5.8498389999999997E-2</v>
      </c>
      <c r="L17" s="81">
        <v>0</v>
      </c>
      <c r="M17" s="81">
        <v>0.2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3" t="s">
        <v>208</v>
      </c>
      <c r="F18" s="81">
        <v>0</v>
      </c>
      <c r="G18" s="81">
        <v>0.28299999999999997</v>
      </c>
      <c r="H18" s="81">
        <v>1.0960000000000001</v>
      </c>
      <c r="I18" s="81">
        <v>18.119</v>
      </c>
      <c r="J18" s="81">
        <v>0.58055690000000004</v>
      </c>
      <c r="K18" s="81">
        <v>6.0488987700000003E-2</v>
      </c>
      <c r="L18" s="81">
        <v>0</v>
      </c>
      <c r="M18" s="81">
        <v>0.2</v>
      </c>
      <c r="N18" s="81">
        <v>0</v>
      </c>
      <c r="V18" s="1"/>
    </row>
    <row r="19" spans="1:22" ht="15" customHeight="1" x14ac:dyDescent="0.15">
      <c r="C19" s="81">
        <v>18</v>
      </c>
      <c r="D19"/>
      <c r="E19" s="173" t="s">
        <v>209</v>
      </c>
      <c r="F19" s="81">
        <v>0</v>
      </c>
      <c r="G19" s="81">
        <v>0.27400000000000002</v>
      </c>
      <c r="H19" s="81">
        <v>1.052</v>
      </c>
      <c r="I19" s="81">
        <v>13.635999999999999</v>
      </c>
      <c r="J19" s="81">
        <v>0.55920959999999997</v>
      </c>
      <c r="K19" s="81">
        <v>7.7148729999999999E-2</v>
      </c>
      <c r="L19" s="81">
        <v>0</v>
      </c>
      <c r="M19" s="81">
        <v>0.2</v>
      </c>
      <c r="N19" s="81">
        <v>0</v>
      </c>
    </row>
    <row r="20" spans="1:22" ht="15" customHeight="1" thickBot="1" x14ac:dyDescent="0.2">
      <c r="C20" s="81">
        <v>19</v>
      </c>
      <c r="D20"/>
      <c r="E20" s="173" t="s">
        <v>210</v>
      </c>
      <c r="F20" s="81">
        <v>0</v>
      </c>
      <c r="G20" s="81">
        <v>0.35299999999999998</v>
      </c>
      <c r="H20" s="81">
        <v>0.93100000000000005</v>
      </c>
      <c r="I20" s="81">
        <v>28.978000000000002</v>
      </c>
      <c r="J20" s="81">
        <v>0.57855650000000003</v>
      </c>
      <c r="K20" s="81">
        <v>3.2127820000000001E-2</v>
      </c>
      <c r="L20" s="81">
        <v>0</v>
      </c>
      <c r="M20" s="81">
        <v>0.2</v>
      </c>
      <c r="N20" s="81">
        <v>0</v>
      </c>
    </row>
    <row r="21" spans="1:22" ht="15" customHeight="1" thickBot="1" x14ac:dyDescent="0.2">
      <c r="A21" s="46" t="s">
        <v>137</v>
      </c>
      <c r="B21" s="99"/>
      <c r="C21" s="81">
        <v>20</v>
      </c>
      <c r="D21"/>
      <c r="E21" s="173" t="s">
        <v>211</v>
      </c>
      <c r="F21" s="81">
        <v>0</v>
      </c>
      <c r="G21" s="81">
        <v>0.6</v>
      </c>
      <c r="H21" s="81">
        <v>0.73199999999999998</v>
      </c>
      <c r="I21" s="81">
        <v>28.478999999999999</v>
      </c>
      <c r="J21" s="81">
        <v>0.63388276099999996</v>
      </c>
      <c r="K21" s="81">
        <v>2.57031489E-2</v>
      </c>
      <c r="L21" s="81">
        <v>0</v>
      </c>
      <c r="M21" s="81">
        <v>0.2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3" t="s">
        <v>212</v>
      </c>
      <c r="F22" s="81">
        <v>0</v>
      </c>
      <c r="G22" s="81">
        <v>0.29099999999999998</v>
      </c>
      <c r="H22" s="81">
        <v>0.58399999999999996</v>
      </c>
      <c r="I22" s="81">
        <v>9.7119999999999997</v>
      </c>
      <c r="J22" s="81">
        <v>0.68400925400000001</v>
      </c>
      <c r="K22" s="81">
        <v>6.0131795699999997E-2</v>
      </c>
      <c r="L22" s="81">
        <v>0</v>
      </c>
      <c r="M22" s="81">
        <v>0.2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3" t="s">
        <v>213</v>
      </c>
      <c r="F23" s="81">
        <v>0</v>
      </c>
      <c r="G23" s="81">
        <v>0.16200000000000001</v>
      </c>
      <c r="H23" s="81">
        <v>0.92900000000000005</v>
      </c>
      <c r="I23" s="81">
        <v>33.926000000000002</v>
      </c>
      <c r="J23" s="81">
        <v>0.52065910000000004</v>
      </c>
      <c r="K23" s="81">
        <v>2.7383129999999999E-2</v>
      </c>
      <c r="L23" s="81">
        <v>0</v>
      </c>
      <c r="M23" s="81">
        <v>0.2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3" t="s">
        <v>214</v>
      </c>
      <c r="F24" s="81">
        <v>0</v>
      </c>
      <c r="G24" s="81">
        <v>0.40117940000000002</v>
      </c>
      <c r="H24" s="81">
        <v>3.4550000000000001</v>
      </c>
      <c r="I24" s="81">
        <v>19.887</v>
      </c>
      <c r="J24" s="81">
        <v>0.79300000000000004</v>
      </c>
      <c r="K24" s="81">
        <v>0.17373158</v>
      </c>
      <c r="L24" s="81">
        <v>0</v>
      </c>
      <c r="M24" s="81">
        <v>0.2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3" t="s">
        <v>215</v>
      </c>
      <c r="F25" s="81">
        <v>0</v>
      </c>
      <c r="G25" s="81">
        <v>2.7883315099999999</v>
      </c>
      <c r="H25" s="81">
        <v>5.2039999999999997</v>
      </c>
      <c r="I25" s="81">
        <v>22</v>
      </c>
      <c r="J25" s="81">
        <v>0.80100000000000005</v>
      </c>
      <c r="K25" s="81">
        <v>0.23654545799999999</v>
      </c>
      <c r="L25" s="81">
        <v>0</v>
      </c>
      <c r="M25" s="81">
        <v>0.2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3" t="s">
        <v>216</v>
      </c>
      <c r="F26" s="81">
        <v>0</v>
      </c>
      <c r="G26" s="81">
        <v>3.8583729999999998</v>
      </c>
      <c r="H26" s="81">
        <v>2.5830000000000002</v>
      </c>
      <c r="I26" s="81">
        <v>8.5</v>
      </c>
      <c r="J26" s="81">
        <v>0.79300000000000004</v>
      </c>
      <c r="K26" s="81">
        <v>0.30388236000000002</v>
      </c>
      <c r="L26" s="81">
        <v>0</v>
      </c>
      <c r="M26" s="81">
        <v>0.2</v>
      </c>
      <c r="N26" s="81">
        <v>0</v>
      </c>
    </row>
    <row r="27" spans="1:22" ht="15" customHeight="1" x14ac:dyDescent="0.15">
      <c r="C27" s="81">
        <v>26</v>
      </c>
      <c r="D27"/>
      <c r="E27" s="173" t="s">
        <v>217</v>
      </c>
      <c r="F27" s="81">
        <v>0</v>
      </c>
      <c r="G27" s="81">
        <v>61.256169999999997</v>
      </c>
      <c r="H27" s="81">
        <v>1.133</v>
      </c>
      <c r="I27" s="81">
        <v>10</v>
      </c>
      <c r="J27" s="81">
        <v>0.41399999999999998</v>
      </c>
      <c r="K27" s="81">
        <v>0.1133</v>
      </c>
      <c r="L27" s="81">
        <v>0</v>
      </c>
      <c r="M27" s="81">
        <v>0.2</v>
      </c>
      <c r="N27" s="81">
        <v>0</v>
      </c>
    </row>
    <row r="28" spans="1:22" ht="15" customHeight="1" x14ac:dyDescent="0.15">
      <c r="C28" s="81">
        <v>27</v>
      </c>
      <c r="D28"/>
      <c r="E28" s="173" t="s">
        <v>218</v>
      </c>
      <c r="F28" s="81">
        <v>0</v>
      </c>
      <c r="G28" s="81">
        <v>7.7875779999999999</v>
      </c>
      <c r="H28" s="81">
        <v>3.944</v>
      </c>
      <c r="I28" s="81">
        <v>50</v>
      </c>
      <c r="J28" s="81">
        <v>0.76700000000000002</v>
      </c>
      <c r="K28" s="81">
        <v>7.8880000000000006E-2</v>
      </c>
      <c r="L28" s="81">
        <v>0</v>
      </c>
      <c r="M28" s="81">
        <v>0.2</v>
      </c>
      <c r="N28" s="81">
        <v>0</v>
      </c>
    </row>
    <row r="29" spans="1:22" customFormat="1" ht="15" customHeight="1" x14ac:dyDescent="0.15">
      <c r="C29" s="81">
        <v>28</v>
      </c>
      <c r="E29" s="173" t="s">
        <v>219</v>
      </c>
      <c r="F29" s="81">
        <v>0</v>
      </c>
      <c r="G29" s="81">
        <v>4.2278900000000004</v>
      </c>
      <c r="H29" s="81">
        <v>49.847000000000001</v>
      </c>
      <c r="I29" s="81">
        <v>150</v>
      </c>
      <c r="J29" s="81">
        <v>0.55500000000000005</v>
      </c>
      <c r="K29" s="81">
        <v>0.33231332899999999</v>
      </c>
      <c r="L29" s="81">
        <v>0</v>
      </c>
      <c r="M29" s="81">
        <v>0.2</v>
      </c>
      <c r="N29" s="81">
        <v>0</v>
      </c>
    </row>
    <row r="30" spans="1:22" customFormat="1" ht="15" customHeight="1" x14ac:dyDescent="0.15">
      <c r="C30" s="81">
        <v>29</v>
      </c>
      <c r="E30" s="173" t="s">
        <v>220</v>
      </c>
      <c r="F30" s="81">
        <v>1</v>
      </c>
      <c r="G30" s="81">
        <v>13.8578434</v>
      </c>
      <c r="H30" s="81">
        <v>138</v>
      </c>
      <c r="I30" s="81">
        <v>0</v>
      </c>
      <c r="J30" s="81">
        <v>0.47799999999999998</v>
      </c>
      <c r="K30" s="81">
        <v>0</v>
      </c>
      <c r="L30" s="81">
        <v>0</v>
      </c>
      <c r="M30" s="81">
        <v>0</v>
      </c>
      <c r="N30" s="81">
        <v>0</v>
      </c>
    </row>
    <row r="31" spans="1:22" customFormat="1" ht="15" customHeight="1" x14ac:dyDescent="0.15">
      <c r="C31" s="81">
        <v>30</v>
      </c>
      <c r="E31" s="173" t="s">
        <v>221</v>
      </c>
      <c r="F31" s="81">
        <v>1</v>
      </c>
      <c r="G31" s="81">
        <v>27.257814400000001</v>
      </c>
      <c r="H31" s="81">
        <v>15</v>
      </c>
      <c r="I31" s="81">
        <v>0</v>
      </c>
      <c r="J31" s="81">
        <v>0.46700000000000003</v>
      </c>
      <c r="K31" s="81">
        <v>0</v>
      </c>
      <c r="L31" s="81">
        <v>0</v>
      </c>
      <c r="M31" s="81">
        <v>0</v>
      </c>
      <c r="N31" s="81">
        <v>0</v>
      </c>
    </row>
    <row r="32" spans="1:22" customFormat="1" ht="15" customHeight="1" x14ac:dyDescent="0.15">
      <c r="C32" s="81">
        <v>31</v>
      </c>
      <c r="E32" s="173" t="s">
        <v>222</v>
      </c>
      <c r="F32" s="81">
        <v>2</v>
      </c>
      <c r="G32" s="81">
        <v>1</v>
      </c>
      <c r="H32" s="81">
        <v>0</v>
      </c>
      <c r="I32" s="81">
        <v>0</v>
      </c>
      <c r="J32" s="81">
        <v>0</v>
      </c>
      <c r="K32" s="81">
        <v>0</v>
      </c>
      <c r="L32" s="81">
        <v>0</v>
      </c>
      <c r="M32" s="81">
        <v>0</v>
      </c>
      <c r="N32" s="81">
        <v>0</v>
      </c>
    </row>
    <row r="33" spans="3:16" customFormat="1" ht="15" customHeight="1" x14ac:dyDescent="0.15">
      <c r="C33" s="81">
        <v>32</v>
      </c>
      <c r="E33" s="173" t="s">
        <v>223</v>
      </c>
      <c r="F33" s="81">
        <v>2</v>
      </c>
      <c r="G33" s="81">
        <v>5</v>
      </c>
      <c r="H33" s="81">
        <v>0</v>
      </c>
      <c r="I33" s="81">
        <v>0</v>
      </c>
      <c r="J33" s="81">
        <v>0</v>
      </c>
      <c r="K33" s="81">
        <v>0</v>
      </c>
      <c r="L33" s="81">
        <v>0</v>
      </c>
      <c r="M33" s="81">
        <v>0</v>
      </c>
      <c r="N33" s="81">
        <v>0</v>
      </c>
    </row>
    <row r="34" spans="3:16" customFormat="1" ht="15" customHeight="1" x14ac:dyDescent="0.15">
      <c r="C34" s="81">
        <v>33</v>
      </c>
      <c r="E34" s="197" t="s">
        <v>228</v>
      </c>
      <c r="F34" s="81">
        <v>3</v>
      </c>
      <c r="P34" s="60" t="s">
        <v>230</v>
      </c>
    </row>
    <row r="35" spans="3:16" customFormat="1" ht="15" customHeight="1" x14ac:dyDescent="0.15"/>
    <row r="36" spans="3:16" customFormat="1" ht="15" customHeight="1" x14ac:dyDescent="0.15"/>
    <row r="37" spans="3:16" customFormat="1" ht="15" customHeight="1" x14ac:dyDescent="0.15"/>
    <row r="38" spans="3:16" customFormat="1" ht="15" customHeight="1" x14ac:dyDescent="0.15"/>
    <row r="39" spans="3:16" customFormat="1" ht="15" customHeight="1" x14ac:dyDescent="0.15"/>
    <row r="40" spans="3:16" customFormat="1" ht="15" customHeight="1" x14ac:dyDescent="0.15"/>
    <row r="41" spans="3:16" customFormat="1" ht="15" customHeight="1" x14ac:dyDescent="0.15"/>
    <row r="42" spans="3:16" customFormat="1" ht="15" customHeight="1" x14ac:dyDescent="0.15"/>
    <row r="43" spans="3:16" customFormat="1" ht="15" customHeight="1" x14ac:dyDescent="0.15"/>
    <row r="44" spans="3:16" customFormat="1" ht="15" customHeight="1" x14ac:dyDescent="0.15"/>
    <row r="45" spans="3:16" customFormat="1" ht="15" customHeight="1" x14ac:dyDescent="0.15"/>
    <row r="46" spans="3:16" customFormat="1" ht="15" customHeight="1" x14ac:dyDescent="0.15"/>
    <row r="47" spans="3:16" customFormat="1" ht="15" customHeight="1" x14ac:dyDescent="0.15"/>
    <row r="48" spans="3:16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0" bestFit="1" customWidth="1"/>
    <col min="2" max="2" width="15.83203125" style="140" bestFit="1" customWidth="1"/>
    <col min="3" max="3" width="14.83203125" style="140" bestFit="1" customWidth="1"/>
    <col min="4" max="4" width="15.83203125" style="140" bestFit="1" customWidth="1"/>
    <col min="5" max="5" width="4.83203125" style="140" bestFit="1" customWidth="1"/>
    <col min="6" max="11" width="14.83203125" style="140" bestFit="1" customWidth="1"/>
    <col min="12" max="14" width="15.83203125" style="140" bestFit="1" customWidth="1"/>
    <col min="15" max="15" width="14.83203125" style="140" bestFit="1" customWidth="1"/>
    <col min="16" max="16" width="15.83203125" style="140" bestFit="1" customWidth="1"/>
    <col min="17" max="17" width="14.83203125" style="140" bestFit="1" customWidth="1"/>
    <col min="18" max="21" width="4.83203125" style="140" bestFit="1" customWidth="1"/>
    <col min="22" max="22" width="14.83203125" style="140" bestFit="1" customWidth="1"/>
    <col min="23" max="24" width="5.83203125" style="140" bestFit="1" customWidth="1"/>
    <col min="25" max="25" width="3.83203125" style="140" bestFit="1" customWidth="1"/>
    <col min="26" max="26" width="5.83203125" style="140" bestFit="1" customWidth="1"/>
    <col min="27" max="29" width="4.83203125" style="140" bestFit="1" customWidth="1"/>
    <col min="30" max="33" width="2.33203125" style="140" customWidth="1"/>
    <col min="34" max="16384" width="8.83203125" style="140"/>
  </cols>
  <sheetData>
    <row r="1" spans="1:34" x14ac:dyDescent="0.15">
      <c r="A1" s="139" t="s">
        <v>19</v>
      </c>
      <c r="B1" s="175" t="s">
        <v>192</v>
      </c>
      <c r="C1" s="175" t="s">
        <v>193</v>
      </c>
      <c r="D1" s="175" t="s">
        <v>194</v>
      </c>
      <c r="E1" s="175" t="s">
        <v>195</v>
      </c>
      <c r="F1" s="175" t="s">
        <v>196</v>
      </c>
      <c r="G1" s="175" t="s">
        <v>197</v>
      </c>
      <c r="H1" s="175" t="s">
        <v>198</v>
      </c>
      <c r="I1" s="175" t="s">
        <v>199</v>
      </c>
      <c r="J1" s="175" t="s">
        <v>200</v>
      </c>
      <c r="K1" s="175" t="s">
        <v>201</v>
      </c>
      <c r="L1" s="175" t="s">
        <v>202</v>
      </c>
      <c r="M1" s="175" t="s">
        <v>203</v>
      </c>
      <c r="N1" s="175" t="s">
        <v>204</v>
      </c>
      <c r="O1" s="175" t="s">
        <v>205</v>
      </c>
      <c r="P1" s="175" t="s">
        <v>206</v>
      </c>
      <c r="Q1" s="175" t="s">
        <v>207</v>
      </c>
      <c r="R1" s="175" t="s">
        <v>208</v>
      </c>
      <c r="S1" s="175" t="s">
        <v>209</v>
      </c>
      <c r="T1" s="175" t="s">
        <v>210</v>
      </c>
      <c r="U1" s="175" t="s">
        <v>211</v>
      </c>
      <c r="V1" s="175" t="s">
        <v>212</v>
      </c>
      <c r="W1" s="175" t="s">
        <v>213</v>
      </c>
      <c r="X1" s="175" t="s">
        <v>214</v>
      </c>
      <c r="Y1" s="175" t="s">
        <v>215</v>
      </c>
      <c r="Z1" s="175" t="s">
        <v>216</v>
      </c>
      <c r="AA1" s="175" t="s">
        <v>217</v>
      </c>
      <c r="AB1" s="175" t="s">
        <v>218</v>
      </c>
      <c r="AC1" s="175" t="s">
        <v>219</v>
      </c>
      <c r="AD1" s="175" t="s">
        <v>220</v>
      </c>
      <c r="AE1" s="175" t="s">
        <v>221</v>
      </c>
      <c r="AF1" s="175" t="s">
        <v>222</v>
      </c>
      <c r="AG1" s="175" t="s">
        <v>223</v>
      </c>
      <c r="AH1"/>
    </row>
    <row r="2" spans="1:34" customFormat="1" x14ac:dyDescent="0.15">
      <c r="A2" s="174" t="s">
        <v>192</v>
      </c>
      <c r="B2" s="140">
        <v>3.9807621496019464E-5</v>
      </c>
      <c r="C2" s="140">
        <v>0</v>
      </c>
      <c r="D2" s="140">
        <v>0</v>
      </c>
      <c r="E2" s="140">
        <v>0</v>
      </c>
      <c r="F2" s="140">
        <v>0</v>
      </c>
      <c r="G2" s="140">
        <v>0</v>
      </c>
      <c r="H2" s="140">
        <v>0</v>
      </c>
      <c r="I2" s="140">
        <v>0</v>
      </c>
      <c r="J2" s="140">
        <v>0</v>
      </c>
      <c r="K2" s="140">
        <v>0</v>
      </c>
      <c r="L2" s="140">
        <v>0</v>
      </c>
      <c r="M2" s="140">
        <v>0</v>
      </c>
      <c r="N2" s="140">
        <v>0</v>
      </c>
      <c r="O2" s="140">
        <v>0</v>
      </c>
      <c r="P2" s="140">
        <v>0</v>
      </c>
      <c r="Q2" s="140">
        <v>0</v>
      </c>
      <c r="R2" s="140">
        <v>0</v>
      </c>
      <c r="S2" s="140">
        <v>0</v>
      </c>
      <c r="T2" s="140">
        <v>0</v>
      </c>
      <c r="U2" s="140">
        <v>0</v>
      </c>
      <c r="V2" s="140">
        <v>0</v>
      </c>
      <c r="W2" s="140">
        <v>0</v>
      </c>
      <c r="X2" s="140">
        <v>0</v>
      </c>
      <c r="Y2" s="140">
        <v>0</v>
      </c>
      <c r="Z2" s="140">
        <v>0</v>
      </c>
      <c r="AA2" s="140">
        <v>0</v>
      </c>
      <c r="AB2" s="140">
        <v>0</v>
      </c>
      <c r="AC2" s="140">
        <v>0</v>
      </c>
      <c r="AD2" s="140">
        <v>0</v>
      </c>
      <c r="AE2" s="140">
        <v>0</v>
      </c>
      <c r="AF2" s="140">
        <v>0</v>
      </c>
      <c r="AG2" s="140">
        <v>0</v>
      </c>
    </row>
    <row r="3" spans="1:34" customFormat="1" x14ac:dyDescent="0.15">
      <c r="A3" s="174" t="s">
        <v>193</v>
      </c>
      <c r="B3" s="140">
        <v>0</v>
      </c>
      <c r="C3" s="140">
        <v>0</v>
      </c>
      <c r="D3" s="140">
        <v>0</v>
      </c>
      <c r="E3" s="140">
        <v>0</v>
      </c>
      <c r="F3" s="140">
        <v>0</v>
      </c>
      <c r="G3" s="140">
        <v>0</v>
      </c>
      <c r="H3" s="140">
        <v>0</v>
      </c>
      <c r="I3" s="140">
        <v>0</v>
      </c>
      <c r="J3" s="140">
        <v>0</v>
      </c>
      <c r="K3" s="140">
        <v>0</v>
      </c>
      <c r="L3" s="140">
        <v>0</v>
      </c>
      <c r="M3" s="140">
        <v>0</v>
      </c>
      <c r="N3" s="140">
        <v>0</v>
      </c>
      <c r="O3" s="140">
        <v>0</v>
      </c>
      <c r="P3" s="140">
        <v>0</v>
      </c>
      <c r="Q3" s="140">
        <v>0</v>
      </c>
      <c r="R3" s="140">
        <v>0</v>
      </c>
      <c r="S3" s="140">
        <v>0</v>
      </c>
      <c r="T3" s="140">
        <v>0</v>
      </c>
      <c r="U3" s="140">
        <v>0</v>
      </c>
      <c r="V3" s="140">
        <v>0</v>
      </c>
      <c r="W3" s="140">
        <v>0</v>
      </c>
      <c r="X3" s="140">
        <v>0</v>
      </c>
      <c r="Y3" s="140">
        <v>0</v>
      </c>
      <c r="Z3" s="140">
        <v>0</v>
      </c>
      <c r="AA3" s="140">
        <v>0</v>
      </c>
      <c r="AB3" s="140">
        <v>0</v>
      </c>
      <c r="AC3" s="140">
        <v>0</v>
      </c>
      <c r="AD3" s="140">
        <v>0</v>
      </c>
      <c r="AE3" s="140">
        <v>0</v>
      </c>
      <c r="AF3" s="140">
        <v>0</v>
      </c>
      <c r="AG3" s="140">
        <v>0</v>
      </c>
    </row>
    <row r="4" spans="1:34" customFormat="1" x14ac:dyDescent="0.15">
      <c r="A4" s="174" t="s">
        <v>194</v>
      </c>
      <c r="B4" s="140">
        <v>3.9805621715978466E-6</v>
      </c>
      <c r="C4" s="140">
        <v>0</v>
      </c>
      <c r="D4" s="140">
        <v>0</v>
      </c>
      <c r="E4" s="140">
        <v>0</v>
      </c>
      <c r="F4" s="140">
        <v>0</v>
      </c>
      <c r="G4" s="140">
        <v>0</v>
      </c>
      <c r="H4" s="140">
        <v>0</v>
      </c>
      <c r="I4" s="140">
        <v>0</v>
      </c>
      <c r="J4" s="140">
        <v>0</v>
      </c>
      <c r="K4" s="140">
        <v>0</v>
      </c>
      <c r="L4" s="140">
        <v>0</v>
      </c>
      <c r="M4" s="140">
        <v>0</v>
      </c>
      <c r="N4" s="140">
        <v>0</v>
      </c>
      <c r="O4" s="140">
        <v>0</v>
      </c>
      <c r="P4" s="140">
        <v>0</v>
      </c>
      <c r="Q4" s="140">
        <v>0</v>
      </c>
      <c r="R4" s="140">
        <v>0</v>
      </c>
      <c r="S4" s="140">
        <v>0</v>
      </c>
      <c r="T4" s="140">
        <v>0</v>
      </c>
      <c r="U4" s="140">
        <v>0</v>
      </c>
      <c r="V4" s="140">
        <v>0</v>
      </c>
      <c r="W4" s="140">
        <v>0</v>
      </c>
      <c r="X4" s="140">
        <v>0</v>
      </c>
      <c r="Y4" s="140">
        <v>0</v>
      </c>
      <c r="Z4" s="140">
        <v>0</v>
      </c>
      <c r="AA4" s="140">
        <v>0</v>
      </c>
      <c r="AB4" s="140">
        <v>0</v>
      </c>
      <c r="AC4" s="140">
        <v>0</v>
      </c>
      <c r="AD4" s="140">
        <v>0</v>
      </c>
      <c r="AE4" s="140">
        <v>0</v>
      </c>
      <c r="AF4" s="140">
        <v>0</v>
      </c>
      <c r="AG4" s="140">
        <v>0</v>
      </c>
    </row>
    <row r="5" spans="1:34" customFormat="1" x14ac:dyDescent="0.15">
      <c r="A5" s="174" t="s">
        <v>195</v>
      </c>
      <c r="B5" s="140">
        <v>3.1845702740202486E-2</v>
      </c>
      <c r="C5" s="140">
        <v>0</v>
      </c>
      <c r="D5" s="140">
        <v>0</v>
      </c>
      <c r="E5" s="140">
        <v>0</v>
      </c>
      <c r="F5" s="140">
        <v>5.0020320655225535E-3</v>
      </c>
      <c r="G5" s="140">
        <v>2.000874784856989E-3</v>
      </c>
      <c r="H5" s="140">
        <v>5.0004107977481846E-3</v>
      </c>
      <c r="I5" s="140">
        <v>0</v>
      </c>
      <c r="J5" s="140">
        <v>0</v>
      </c>
      <c r="K5" s="140">
        <v>0</v>
      </c>
      <c r="L5" s="140">
        <v>0</v>
      </c>
      <c r="M5" s="140">
        <v>0</v>
      </c>
      <c r="N5" s="140">
        <v>0</v>
      </c>
      <c r="O5" s="140">
        <v>0</v>
      </c>
      <c r="P5" s="140">
        <v>0</v>
      </c>
      <c r="Q5" s="140">
        <v>0</v>
      </c>
      <c r="R5" s="140">
        <v>0</v>
      </c>
      <c r="S5" s="140">
        <v>0</v>
      </c>
      <c r="T5" s="140">
        <v>0</v>
      </c>
      <c r="U5" s="140">
        <v>0</v>
      </c>
      <c r="V5" s="140">
        <v>0</v>
      </c>
      <c r="W5" s="140">
        <v>0</v>
      </c>
      <c r="X5" s="140">
        <v>0</v>
      </c>
      <c r="Y5" s="140">
        <v>0</v>
      </c>
      <c r="Z5" s="140">
        <v>0</v>
      </c>
      <c r="AA5" s="140">
        <v>0</v>
      </c>
      <c r="AB5" s="140">
        <v>0</v>
      </c>
      <c r="AC5" s="140">
        <v>0</v>
      </c>
      <c r="AD5" s="140">
        <v>0</v>
      </c>
      <c r="AE5" s="140">
        <v>0</v>
      </c>
      <c r="AF5" s="140">
        <v>0</v>
      </c>
      <c r="AG5" s="140">
        <v>0</v>
      </c>
    </row>
    <row r="6" spans="1:34" customFormat="1" x14ac:dyDescent="0.15">
      <c r="A6" s="174" t="s">
        <v>196</v>
      </c>
      <c r="B6" s="140">
        <v>3.362192697045744E-2</v>
      </c>
      <c r="C6" s="140">
        <v>0</v>
      </c>
      <c r="D6" s="140">
        <v>2.7232110744407845E-2</v>
      </c>
      <c r="E6" s="140">
        <v>0</v>
      </c>
      <c r="F6" s="140">
        <v>0</v>
      </c>
      <c r="G6" s="140">
        <v>6.6028867900280647E-2</v>
      </c>
      <c r="H6" s="140">
        <v>1.3001068074145279E-2</v>
      </c>
      <c r="I6" s="140">
        <v>0</v>
      </c>
      <c r="J6" s="140">
        <v>0</v>
      </c>
      <c r="K6" s="140">
        <v>0</v>
      </c>
      <c r="L6" s="140">
        <v>0</v>
      </c>
      <c r="M6" s="140">
        <v>0</v>
      </c>
      <c r="N6" s="140">
        <v>0</v>
      </c>
      <c r="O6" s="140">
        <v>0</v>
      </c>
      <c r="P6" s="140">
        <v>0</v>
      </c>
      <c r="Q6" s="140">
        <v>0</v>
      </c>
      <c r="R6" s="140">
        <v>0</v>
      </c>
      <c r="S6" s="140">
        <v>0</v>
      </c>
      <c r="T6" s="140">
        <v>0</v>
      </c>
      <c r="U6" s="140">
        <v>0</v>
      </c>
      <c r="V6" s="140">
        <v>0</v>
      </c>
      <c r="W6" s="140">
        <v>0</v>
      </c>
      <c r="X6" s="140">
        <v>0</v>
      </c>
      <c r="Y6" s="140">
        <v>0</v>
      </c>
      <c r="Z6" s="140">
        <v>0</v>
      </c>
      <c r="AA6" s="140">
        <v>0</v>
      </c>
      <c r="AB6" s="140">
        <v>0</v>
      </c>
      <c r="AC6" s="140">
        <v>0</v>
      </c>
      <c r="AD6" s="140">
        <v>0</v>
      </c>
      <c r="AE6" s="140">
        <v>0</v>
      </c>
      <c r="AF6" s="140">
        <v>0</v>
      </c>
      <c r="AG6" s="140">
        <v>0</v>
      </c>
    </row>
    <row r="7" spans="1:34" customFormat="1" x14ac:dyDescent="0.15">
      <c r="A7" s="174" t="s">
        <v>197</v>
      </c>
      <c r="B7" s="140">
        <v>3.31442544104266E-3</v>
      </c>
      <c r="C7" s="140">
        <v>0</v>
      </c>
      <c r="D7" s="140">
        <v>5.9976592539384135E-3</v>
      </c>
      <c r="E7" s="140">
        <v>0</v>
      </c>
      <c r="F7" s="140">
        <v>0</v>
      </c>
      <c r="G7" s="140">
        <v>0</v>
      </c>
      <c r="H7" s="140">
        <v>2.0001643190992738E-2</v>
      </c>
      <c r="I7" s="140">
        <v>0</v>
      </c>
      <c r="J7" s="140">
        <v>0</v>
      </c>
      <c r="K7" s="140">
        <v>0</v>
      </c>
      <c r="L7" s="140">
        <v>0</v>
      </c>
      <c r="M7" s="140">
        <v>0</v>
      </c>
      <c r="N7" s="140">
        <v>0</v>
      </c>
      <c r="O7" s="140">
        <v>0</v>
      </c>
      <c r="P7" s="140">
        <v>0</v>
      </c>
      <c r="Q7" s="140">
        <v>0</v>
      </c>
      <c r="R7" s="140">
        <v>0</v>
      </c>
      <c r="S7" s="140">
        <v>0</v>
      </c>
      <c r="T7" s="140">
        <v>0</v>
      </c>
      <c r="U7" s="140">
        <v>0</v>
      </c>
      <c r="V7" s="140">
        <v>0</v>
      </c>
      <c r="W7" s="140">
        <v>0</v>
      </c>
      <c r="X7" s="140">
        <v>0</v>
      </c>
      <c r="Y7" s="140">
        <v>0</v>
      </c>
      <c r="Z7" s="140">
        <v>0</v>
      </c>
      <c r="AA7" s="140">
        <v>0</v>
      </c>
      <c r="AB7" s="140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</row>
    <row r="8" spans="1:34" customFormat="1" x14ac:dyDescent="0.15">
      <c r="A8" s="174" t="s">
        <v>198</v>
      </c>
      <c r="B8" s="140">
        <v>5.2653648540951148E-3</v>
      </c>
      <c r="C8" s="140">
        <v>0</v>
      </c>
      <c r="D8" s="140">
        <v>9.9960987565640225E-4</v>
      </c>
      <c r="E8" s="140">
        <v>0</v>
      </c>
      <c r="F8" s="140">
        <v>0</v>
      </c>
      <c r="G8" s="140">
        <v>3.0013121772854836E-2</v>
      </c>
      <c r="H8" s="140">
        <v>0</v>
      </c>
      <c r="I8" s="140">
        <v>0</v>
      </c>
      <c r="J8" s="140">
        <v>0</v>
      </c>
      <c r="K8" s="140">
        <v>0</v>
      </c>
      <c r="L8" s="140">
        <v>0</v>
      </c>
      <c r="M8" s="140">
        <v>0</v>
      </c>
      <c r="N8" s="140">
        <v>0</v>
      </c>
      <c r="O8" s="140">
        <v>0</v>
      </c>
      <c r="P8" s="140">
        <v>0</v>
      </c>
      <c r="Q8" s="140">
        <v>0</v>
      </c>
      <c r="R8" s="140">
        <v>0</v>
      </c>
      <c r="S8" s="140">
        <v>0</v>
      </c>
      <c r="T8" s="140">
        <v>0</v>
      </c>
      <c r="U8" s="140">
        <v>0</v>
      </c>
      <c r="V8" s="140">
        <v>0</v>
      </c>
      <c r="W8" s="140">
        <v>0</v>
      </c>
      <c r="X8" s="140">
        <v>0</v>
      </c>
      <c r="Y8" s="140">
        <v>0</v>
      </c>
      <c r="Z8" s="140">
        <v>0</v>
      </c>
      <c r="AA8" s="140">
        <v>0</v>
      </c>
      <c r="AB8" s="140">
        <v>0</v>
      </c>
      <c r="AC8" s="140">
        <v>0</v>
      </c>
      <c r="AD8" s="140">
        <v>0</v>
      </c>
      <c r="AE8" s="140">
        <v>0</v>
      </c>
      <c r="AF8" s="140">
        <v>0</v>
      </c>
      <c r="AG8" s="140">
        <v>0</v>
      </c>
    </row>
    <row r="9" spans="1:34" customFormat="1" x14ac:dyDescent="0.15">
      <c r="A9" s="174" t="s">
        <v>199</v>
      </c>
      <c r="B9" s="140">
        <v>0.2839859099353888</v>
      </c>
      <c r="C9" s="140">
        <v>0.14128842835007321</v>
      </c>
      <c r="D9" s="140">
        <v>0</v>
      </c>
      <c r="E9" s="140">
        <v>0</v>
      </c>
      <c r="F9" s="140">
        <v>1.500609619656766E-2</v>
      </c>
      <c r="G9" s="140">
        <v>1.7395658602815941E-2</v>
      </c>
      <c r="H9" s="140">
        <v>1.3049499252902223E-2</v>
      </c>
      <c r="I9" s="140">
        <v>0</v>
      </c>
      <c r="J9" s="140">
        <v>0</v>
      </c>
      <c r="K9" s="140">
        <v>0</v>
      </c>
      <c r="L9" s="140">
        <v>0</v>
      </c>
      <c r="M9" s="140">
        <v>0</v>
      </c>
      <c r="N9" s="140">
        <v>0</v>
      </c>
      <c r="O9" s="140">
        <v>0</v>
      </c>
      <c r="P9" s="140">
        <v>0</v>
      </c>
      <c r="Q9" s="140">
        <v>0</v>
      </c>
      <c r="R9" s="140">
        <v>0</v>
      </c>
      <c r="S9" s="140">
        <v>0</v>
      </c>
      <c r="T9" s="140">
        <v>0</v>
      </c>
      <c r="U9" s="140">
        <v>0</v>
      </c>
      <c r="V9" s="140">
        <v>1.4994983925961037E-2</v>
      </c>
      <c r="W9" s="140">
        <v>0</v>
      </c>
      <c r="X9" s="140">
        <v>0</v>
      </c>
      <c r="Y9" s="140">
        <v>0</v>
      </c>
      <c r="Z9" s="140">
        <v>0</v>
      </c>
      <c r="AA9" s="140">
        <v>0</v>
      </c>
      <c r="AB9" s="140">
        <v>0</v>
      </c>
      <c r="AC9" s="140">
        <v>0</v>
      </c>
      <c r="AD9" s="140">
        <v>0</v>
      </c>
      <c r="AE9" s="140">
        <v>0</v>
      </c>
      <c r="AF9" s="140">
        <v>0</v>
      </c>
      <c r="AG9" s="140">
        <v>0</v>
      </c>
    </row>
    <row r="10" spans="1:34" customFormat="1" x14ac:dyDescent="0.15">
      <c r="A10" s="174" t="s">
        <v>200</v>
      </c>
      <c r="B10" s="140">
        <v>7.3880023817972235E-2</v>
      </c>
      <c r="C10" s="140">
        <v>6.7770219688256986E-2</v>
      </c>
      <c r="D10" s="140">
        <v>6.233249308652866E-3</v>
      </c>
      <c r="E10" s="140">
        <v>0</v>
      </c>
      <c r="F10" s="140">
        <v>0</v>
      </c>
      <c r="G10" s="140">
        <v>3.0013121772854836E-2</v>
      </c>
      <c r="H10" s="140">
        <v>2.6002136148290559E-2</v>
      </c>
      <c r="I10" s="140">
        <v>0</v>
      </c>
      <c r="J10" s="140">
        <v>0</v>
      </c>
      <c r="K10" s="140">
        <v>0</v>
      </c>
      <c r="L10" s="140">
        <v>0</v>
      </c>
      <c r="M10" s="140">
        <v>0</v>
      </c>
      <c r="N10" s="140">
        <v>0</v>
      </c>
      <c r="O10" s="140">
        <v>0</v>
      </c>
      <c r="P10" s="140">
        <v>0</v>
      </c>
      <c r="Q10" s="140">
        <v>0</v>
      </c>
      <c r="R10" s="140">
        <v>0</v>
      </c>
      <c r="S10" s="140">
        <v>0</v>
      </c>
      <c r="T10" s="140">
        <v>0</v>
      </c>
      <c r="U10" s="140">
        <v>0</v>
      </c>
      <c r="V10" s="140">
        <v>0</v>
      </c>
      <c r="W10" s="140">
        <v>0</v>
      </c>
      <c r="X10" s="140">
        <v>0</v>
      </c>
      <c r="Y10" s="140">
        <v>0</v>
      </c>
      <c r="Z10" s="140">
        <v>0</v>
      </c>
      <c r="AA10" s="140">
        <v>0</v>
      </c>
      <c r="AB10" s="140">
        <v>0</v>
      </c>
      <c r="AC10" s="140">
        <v>0</v>
      </c>
      <c r="AD10" s="140">
        <v>0</v>
      </c>
      <c r="AE10" s="140">
        <v>0</v>
      </c>
      <c r="AF10" s="140">
        <v>0</v>
      </c>
      <c r="AG10" s="140">
        <v>0</v>
      </c>
    </row>
    <row r="11" spans="1:34" customFormat="1" x14ac:dyDescent="0.15">
      <c r="A11" s="174" t="s">
        <v>201</v>
      </c>
      <c r="B11" s="140">
        <v>3.7241193781510071E-2</v>
      </c>
      <c r="C11" s="140">
        <v>1.8219403816190739E-2</v>
      </c>
      <c r="D11" s="140">
        <v>1.6757521431511279E-2</v>
      </c>
      <c r="E11" s="140">
        <v>0</v>
      </c>
      <c r="F11" s="140">
        <v>5.2491274475273018E-3</v>
      </c>
      <c r="G11" s="140">
        <v>1.1216010253141884E-2</v>
      </c>
      <c r="H11" s="140">
        <v>1.1779297702288275E-2</v>
      </c>
      <c r="I11" s="140">
        <v>0</v>
      </c>
      <c r="J11" s="140">
        <v>0</v>
      </c>
      <c r="K11" s="140">
        <v>0</v>
      </c>
      <c r="L11" s="140">
        <v>0</v>
      </c>
      <c r="M11" s="140">
        <v>0</v>
      </c>
      <c r="N11" s="140">
        <v>0</v>
      </c>
      <c r="O11" s="140">
        <v>4.9987498646458508E-3</v>
      </c>
      <c r="P11" s="140">
        <v>0</v>
      </c>
      <c r="Q11" s="140">
        <v>0</v>
      </c>
      <c r="R11" s="140">
        <v>0</v>
      </c>
      <c r="S11" s="140">
        <v>0</v>
      </c>
      <c r="T11" s="140">
        <v>0</v>
      </c>
      <c r="U11" s="140">
        <v>0</v>
      </c>
      <c r="V11" s="140">
        <v>0</v>
      </c>
      <c r="W11" s="140">
        <v>0</v>
      </c>
      <c r="X11" s="140">
        <v>0</v>
      </c>
      <c r="Y11" s="140">
        <v>0</v>
      </c>
      <c r="Z11" s="140">
        <v>0</v>
      </c>
      <c r="AA11" s="140">
        <v>0</v>
      </c>
      <c r="AB11" s="140">
        <v>0</v>
      </c>
      <c r="AC11" s="140">
        <v>0</v>
      </c>
      <c r="AD11" s="140">
        <v>0</v>
      </c>
      <c r="AE11" s="140">
        <v>0</v>
      </c>
      <c r="AF11" s="140">
        <v>0</v>
      </c>
      <c r="AG11" s="140">
        <v>0</v>
      </c>
    </row>
    <row r="12" spans="1:34" customFormat="1" x14ac:dyDescent="0.15">
      <c r="A12" s="174" t="s">
        <v>202</v>
      </c>
      <c r="B12" s="140">
        <v>9.3805562176127372E-2</v>
      </c>
      <c r="C12" s="140">
        <v>0</v>
      </c>
      <c r="D12" s="140">
        <v>0</v>
      </c>
      <c r="E12" s="140">
        <v>0</v>
      </c>
      <c r="F12" s="140">
        <v>3.0012192393135319E-2</v>
      </c>
      <c r="G12" s="140">
        <v>4.0359465206619691E-2</v>
      </c>
      <c r="H12" s="140">
        <v>3.0275987257125932E-2</v>
      </c>
      <c r="I12" s="140">
        <v>0</v>
      </c>
      <c r="J12" s="140">
        <v>0</v>
      </c>
      <c r="K12" s="140">
        <v>0</v>
      </c>
      <c r="L12" s="140">
        <v>0</v>
      </c>
      <c r="M12" s="140">
        <v>0</v>
      </c>
      <c r="N12" s="140">
        <v>0</v>
      </c>
      <c r="O12" s="140">
        <v>7.997999783433362E-3</v>
      </c>
      <c r="P12" s="140">
        <v>0</v>
      </c>
      <c r="Q12" s="140">
        <v>0</v>
      </c>
      <c r="R12" s="140">
        <v>0</v>
      </c>
      <c r="S12" s="140">
        <v>0</v>
      </c>
      <c r="T12" s="140">
        <v>0</v>
      </c>
      <c r="U12" s="140">
        <v>0</v>
      </c>
      <c r="V12" s="140">
        <v>0</v>
      </c>
      <c r="W12" s="140">
        <v>0</v>
      </c>
      <c r="X12" s="140">
        <v>0</v>
      </c>
      <c r="Y12" s="140">
        <v>0</v>
      </c>
      <c r="Z12" s="140">
        <v>0</v>
      </c>
      <c r="AA12" s="140">
        <v>0</v>
      </c>
      <c r="AB12" s="140">
        <v>0</v>
      </c>
      <c r="AC12" s="140">
        <v>0</v>
      </c>
      <c r="AD12" s="140">
        <v>0</v>
      </c>
      <c r="AE12" s="140">
        <v>0</v>
      </c>
      <c r="AF12" s="140">
        <v>0</v>
      </c>
      <c r="AG12" s="140">
        <v>0</v>
      </c>
    </row>
    <row r="13" spans="1:34" customFormat="1" x14ac:dyDescent="0.15">
      <c r="A13" s="174" t="s">
        <v>203</v>
      </c>
      <c r="B13" s="140">
        <v>0.11577726047387689</v>
      </c>
      <c r="C13" s="140">
        <v>3.7760919826299769E-2</v>
      </c>
      <c r="D13" s="140">
        <v>4.9980493782820115E-2</v>
      </c>
      <c r="E13" s="140">
        <v>0</v>
      </c>
      <c r="F13" s="140">
        <v>6.0024384786270639E-3</v>
      </c>
      <c r="G13" s="140">
        <v>9.2983702586351188E-3</v>
      </c>
      <c r="H13" s="140">
        <v>1.1000903755046006E-2</v>
      </c>
      <c r="I13" s="140">
        <v>0</v>
      </c>
      <c r="J13" s="140">
        <v>0</v>
      </c>
      <c r="K13" s="140">
        <v>0</v>
      </c>
      <c r="L13" s="140">
        <v>0</v>
      </c>
      <c r="M13" s="140">
        <v>0</v>
      </c>
      <c r="N13" s="140">
        <v>0</v>
      </c>
      <c r="O13" s="140">
        <v>4.9987498646458508E-3</v>
      </c>
      <c r="P13" s="140">
        <v>0</v>
      </c>
      <c r="Q13" s="140">
        <v>0</v>
      </c>
      <c r="R13" s="140">
        <v>0</v>
      </c>
      <c r="S13" s="140">
        <v>0</v>
      </c>
      <c r="T13" s="140">
        <v>0</v>
      </c>
      <c r="U13" s="140">
        <v>0</v>
      </c>
      <c r="V13" s="140">
        <v>0</v>
      </c>
      <c r="W13" s="140">
        <v>0</v>
      </c>
      <c r="X13" s="140">
        <v>0</v>
      </c>
      <c r="Y13" s="140">
        <v>0</v>
      </c>
      <c r="Z13" s="140">
        <v>0</v>
      </c>
      <c r="AA13" s="140">
        <v>0</v>
      </c>
      <c r="AB13" s="140">
        <v>0</v>
      </c>
      <c r="AC13" s="140">
        <v>0</v>
      </c>
      <c r="AD13" s="140">
        <v>0</v>
      </c>
      <c r="AE13" s="140">
        <v>0</v>
      </c>
      <c r="AF13" s="140">
        <v>0</v>
      </c>
      <c r="AG13" s="140">
        <v>0</v>
      </c>
    </row>
    <row r="14" spans="1:34" customFormat="1" x14ac:dyDescent="0.15">
      <c r="A14" s="174" t="s">
        <v>204</v>
      </c>
      <c r="B14" s="140">
        <v>0.17743586454536131</v>
      </c>
      <c r="C14" s="140">
        <v>0</v>
      </c>
      <c r="D14" s="140">
        <v>4.7904779385577641E-2</v>
      </c>
      <c r="E14" s="140">
        <v>0</v>
      </c>
      <c r="F14" s="140">
        <v>0</v>
      </c>
      <c r="G14" s="140">
        <v>7.8034116609422569E-2</v>
      </c>
      <c r="H14" s="140">
        <v>4.0087521202111807E-2</v>
      </c>
      <c r="I14" s="140">
        <v>5.999762193425702E-2</v>
      </c>
      <c r="J14" s="140">
        <v>0</v>
      </c>
      <c r="K14" s="140">
        <v>0</v>
      </c>
      <c r="L14" s="140">
        <v>0</v>
      </c>
      <c r="M14" s="140">
        <v>0</v>
      </c>
      <c r="N14" s="140">
        <v>0</v>
      </c>
      <c r="O14" s="140">
        <v>0</v>
      </c>
      <c r="P14" s="140">
        <v>0</v>
      </c>
      <c r="Q14" s="140">
        <v>0</v>
      </c>
      <c r="R14" s="140">
        <v>0</v>
      </c>
      <c r="S14" s="140">
        <v>0</v>
      </c>
      <c r="T14" s="140">
        <v>0</v>
      </c>
      <c r="U14" s="140">
        <v>0</v>
      </c>
      <c r="V14" s="140">
        <v>0</v>
      </c>
      <c r="W14" s="140">
        <v>0</v>
      </c>
      <c r="X14" s="140">
        <v>0</v>
      </c>
      <c r="Y14" s="140">
        <v>0</v>
      </c>
      <c r="Z14" s="140">
        <v>0</v>
      </c>
      <c r="AA14" s="140">
        <v>0</v>
      </c>
      <c r="AB14" s="140">
        <v>0</v>
      </c>
      <c r="AC14" s="140">
        <v>0</v>
      </c>
      <c r="AD14" s="140">
        <v>0</v>
      </c>
      <c r="AE14" s="140">
        <v>0</v>
      </c>
      <c r="AF14" s="140">
        <v>0</v>
      </c>
      <c r="AG14" s="140">
        <v>0</v>
      </c>
    </row>
    <row r="15" spans="1:34" customFormat="1" x14ac:dyDescent="0.15">
      <c r="A15" s="174" t="s">
        <v>205</v>
      </c>
      <c r="B15" s="140">
        <v>2.6608038239301201E-2</v>
      </c>
      <c r="C15" s="140">
        <v>1.5620849928144089E-2</v>
      </c>
      <c r="D15" s="140">
        <v>0</v>
      </c>
      <c r="E15" s="140">
        <v>0</v>
      </c>
      <c r="F15" s="140">
        <v>0</v>
      </c>
      <c r="G15" s="140">
        <v>2.7011809595569352E-2</v>
      </c>
      <c r="H15" s="140">
        <v>1.5001232393244553E-2</v>
      </c>
      <c r="I15" s="140">
        <v>0</v>
      </c>
      <c r="J15" s="140">
        <v>0</v>
      </c>
      <c r="K15" s="140">
        <v>0</v>
      </c>
      <c r="L15" s="140">
        <v>0</v>
      </c>
      <c r="M15" s="140">
        <v>0</v>
      </c>
      <c r="N15" s="140">
        <v>0</v>
      </c>
      <c r="O15" s="140">
        <v>0</v>
      </c>
      <c r="P15" s="140">
        <v>0</v>
      </c>
      <c r="Q15" s="140">
        <v>0</v>
      </c>
      <c r="R15" s="140">
        <v>0</v>
      </c>
      <c r="S15" s="140">
        <v>0</v>
      </c>
      <c r="T15" s="140">
        <v>0</v>
      </c>
      <c r="U15" s="140">
        <v>0</v>
      </c>
      <c r="V15" s="140">
        <v>0</v>
      </c>
      <c r="W15" s="140">
        <v>0</v>
      </c>
      <c r="X15" s="140">
        <v>0</v>
      </c>
      <c r="Y15" s="140">
        <v>0</v>
      </c>
      <c r="Z15" s="140">
        <v>0</v>
      </c>
      <c r="AA15" s="140">
        <v>0</v>
      </c>
      <c r="AB15" s="140">
        <v>0</v>
      </c>
      <c r="AC15" s="140">
        <v>0</v>
      </c>
      <c r="AD15" s="140">
        <v>0</v>
      </c>
      <c r="AE15" s="140">
        <v>0</v>
      </c>
      <c r="AF15" s="140">
        <v>0</v>
      </c>
      <c r="AG15" s="140">
        <v>0</v>
      </c>
    </row>
    <row r="16" spans="1:34" customFormat="1" x14ac:dyDescent="0.15">
      <c r="A16" s="174" t="s">
        <v>206</v>
      </c>
      <c r="B16" s="140">
        <v>8.7622092305871951E-3</v>
      </c>
      <c r="C16" s="140">
        <v>2.572026468168678E-2</v>
      </c>
      <c r="D16" s="140">
        <v>2.3656530809587836E-2</v>
      </c>
      <c r="E16" s="140">
        <v>0</v>
      </c>
      <c r="F16" s="140">
        <v>1.0004064131045107E-2</v>
      </c>
      <c r="G16" s="140">
        <v>1.0004373924284946E-2</v>
      </c>
      <c r="H16" s="140">
        <v>1.3001068074145279E-2</v>
      </c>
      <c r="I16" s="140">
        <v>0</v>
      </c>
      <c r="J16" s="140">
        <v>0</v>
      </c>
      <c r="K16" s="140">
        <v>0</v>
      </c>
      <c r="L16" s="140">
        <v>0</v>
      </c>
      <c r="M16" s="140">
        <v>0</v>
      </c>
      <c r="N16" s="140">
        <v>0</v>
      </c>
      <c r="O16" s="140">
        <v>2.652061746938533E-3</v>
      </c>
      <c r="P16" s="140">
        <v>0</v>
      </c>
      <c r="Q16" s="140">
        <v>0</v>
      </c>
      <c r="R16" s="140">
        <v>0</v>
      </c>
      <c r="S16" s="140">
        <v>0</v>
      </c>
      <c r="T16" s="140">
        <v>0</v>
      </c>
      <c r="U16" s="140">
        <v>0</v>
      </c>
      <c r="V16" s="140">
        <v>0</v>
      </c>
      <c r="W16" s="140">
        <v>0</v>
      </c>
      <c r="X16" s="140">
        <v>0</v>
      </c>
      <c r="Y16" s="140">
        <v>0</v>
      </c>
      <c r="Z16" s="140">
        <v>0</v>
      </c>
      <c r="AA16" s="140">
        <v>0</v>
      </c>
      <c r="AB16" s="140">
        <v>0</v>
      </c>
      <c r="AC16" s="140">
        <v>0</v>
      </c>
      <c r="AD16" s="140">
        <v>0</v>
      </c>
      <c r="AE16" s="140">
        <v>0</v>
      </c>
      <c r="AF16" s="140">
        <v>0</v>
      </c>
      <c r="AG16" s="140">
        <v>0</v>
      </c>
    </row>
    <row r="17" spans="1:33" customFormat="1" x14ac:dyDescent="0.15">
      <c r="A17" s="174" t="s">
        <v>207</v>
      </c>
      <c r="B17" s="140">
        <v>9.1242764062392375E-4</v>
      </c>
      <c r="C17" s="140">
        <v>0</v>
      </c>
      <c r="D17" s="140">
        <v>2.9560873082960151E-3</v>
      </c>
      <c r="E17" s="140">
        <v>0</v>
      </c>
      <c r="F17" s="140">
        <v>1.0004064131045106E-3</v>
      </c>
      <c r="G17" s="140">
        <v>1.5006560886427418E-3</v>
      </c>
      <c r="H17" s="140">
        <v>1.000082159549637E-3</v>
      </c>
      <c r="I17" s="140">
        <v>0</v>
      </c>
      <c r="J17" s="140">
        <v>0</v>
      </c>
      <c r="K17" s="140">
        <v>0</v>
      </c>
      <c r="L17" s="140">
        <v>0</v>
      </c>
      <c r="M17" s="140">
        <v>0</v>
      </c>
      <c r="N17" s="140">
        <v>0</v>
      </c>
      <c r="O17" s="140">
        <v>0</v>
      </c>
      <c r="P17" s="140">
        <v>0</v>
      </c>
      <c r="Q17" s="140">
        <v>0</v>
      </c>
      <c r="R17" s="140">
        <v>0</v>
      </c>
      <c r="S17" s="140">
        <v>0</v>
      </c>
      <c r="T17" s="140">
        <v>0</v>
      </c>
      <c r="U17" s="140">
        <v>0</v>
      </c>
      <c r="V17" s="140">
        <v>0</v>
      </c>
      <c r="W17" s="140">
        <v>0</v>
      </c>
      <c r="X17" s="140">
        <v>0</v>
      </c>
      <c r="Y17" s="140">
        <v>0</v>
      </c>
      <c r="Z17" s="140">
        <v>0</v>
      </c>
      <c r="AA17" s="140">
        <v>0</v>
      </c>
      <c r="AB17" s="140">
        <v>0</v>
      </c>
      <c r="AC17" s="140">
        <v>0</v>
      </c>
      <c r="AD17" s="140">
        <v>0</v>
      </c>
      <c r="AE17" s="140">
        <v>0</v>
      </c>
      <c r="AF17" s="140">
        <v>0</v>
      </c>
      <c r="AG17" s="140">
        <v>0</v>
      </c>
    </row>
    <row r="18" spans="1:33" customFormat="1" x14ac:dyDescent="0.15">
      <c r="A18" s="174" t="s">
        <v>208</v>
      </c>
      <c r="B18" s="140">
        <v>1.0208536246764563E-2</v>
      </c>
      <c r="C18" s="140">
        <v>0.12735448741416933</v>
      </c>
      <c r="D18" s="140">
        <v>4.823241371756451E-2</v>
      </c>
      <c r="E18" s="140">
        <v>0</v>
      </c>
      <c r="F18" s="140">
        <v>6.0024384786270639E-3</v>
      </c>
      <c r="G18" s="140">
        <v>1.5006560886427418E-2</v>
      </c>
      <c r="H18" s="140">
        <v>1.5001232393244553E-2</v>
      </c>
      <c r="I18" s="140">
        <v>4.9998018278547517E-3</v>
      </c>
      <c r="J18" s="140">
        <v>1.0250192459855081E-2</v>
      </c>
      <c r="K18" s="140">
        <v>1.0532358507257839E-2</v>
      </c>
      <c r="L18" s="140">
        <v>6.4405300502361348E-4</v>
      </c>
      <c r="M18" s="140">
        <v>8.2569951849566919E-3</v>
      </c>
      <c r="N18" s="140">
        <v>1.3221990633128027E-3</v>
      </c>
      <c r="O18" s="140">
        <v>9.9974997292917017E-3</v>
      </c>
      <c r="P18" s="140">
        <v>1.294342994304891E-3</v>
      </c>
      <c r="Q18" s="140">
        <v>0</v>
      </c>
      <c r="R18" s="140">
        <v>0</v>
      </c>
      <c r="S18" s="140">
        <v>0</v>
      </c>
      <c r="T18" s="140">
        <v>0</v>
      </c>
      <c r="U18" s="140">
        <v>0</v>
      </c>
      <c r="V18" s="140">
        <v>3.2412017635579005E-3</v>
      </c>
      <c r="W18" s="140">
        <v>0</v>
      </c>
      <c r="X18" s="140">
        <v>0</v>
      </c>
      <c r="Y18" s="140">
        <v>0</v>
      </c>
      <c r="Z18" s="140">
        <v>0</v>
      </c>
      <c r="AA18" s="140">
        <v>0</v>
      </c>
      <c r="AB18" s="140">
        <v>0</v>
      </c>
      <c r="AC18" s="140">
        <v>0</v>
      </c>
      <c r="AD18" s="140">
        <v>0</v>
      </c>
      <c r="AE18" s="140">
        <v>0</v>
      </c>
      <c r="AF18" s="140">
        <v>0</v>
      </c>
      <c r="AG18" s="140">
        <v>0</v>
      </c>
    </row>
    <row r="19" spans="1:33" customFormat="1" x14ac:dyDescent="0.15">
      <c r="A19" s="174" t="s">
        <v>209</v>
      </c>
      <c r="B19" s="140">
        <v>6.6143274795376029E-3</v>
      </c>
      <c r="C19" s="140">
        <v>8.7369539598100093E-2</v>
      </c>
      <c r="D19" s="140">
        <v>2.8572163253270864E-2</v>
      </c>
      <c r="E19" s="140">
        <v>0</v>
      </c>
      <c r="F19" s="140">
        <v>4.6614306968977524E-3</v>
      </c>
      <c r="G19" s="140">
        <v>1.5006560886427418E-2</v>
      </c>
      <c r="H19" s="140">
        <v>1.5001232393244553E-2</v>
      </c>
      <c r="I19" s="140">
        <v>4.9998018278547517E-3</v>
      </c>
      <c r="J19" s="140">
        <v>1.3001824356185266E-2</v>
      </c>
      <c r="K19" s="140">
        <v>9.0988528334909943E-3</v>
      </c>
      <c r="L19" s="140">
        <v>1.6691840130196353E-3</v>
      </c>
      <c r="M19" s="140">
        <v>3.5665880798915728E-3</v>
      </c>
      <c r="N19" s="140">
        <v>1.5005697939612513E-3</v>
      </c>
      <c r="O19" s="140">
        <v>1.000980665145846E-2</v>
      </c>
      <c r="P19" s="140">
        <v>0</v>
      </c>
      <c r="Q19" s="140">
        <v>0</v>
      </c>
      <c r="R19" s="140">
        <v>0</v>
      </c>
      <c r="S19" s="140">
        <v>0</v>
      </c>
      <c r="T19" s="140">
        <v>0</v>
      </c>
      <c r="U19" s="140">
        <v>0</v>
      </c>
      <c r="V19" s="140">
        <v>0</v>
      </c>
      <c r="W19" s="140">
        <v>0</v>
      </c>
      <c r="X19" s="140">
        <v>0</v>
      </c>
      <c r="Y19" s="140">
        <v>0</v>
      </c>
      <c r="Z19" s="140">
        <v>0</v>
      </c>
      <c r="AA19" s="140">
        <v>0</v>
      </c>
      <c r="AB19" s="140">
        <v>0</v>
      </c>
      <c r="AC19" s="140">
        <v>0</v>
      </c>
      <c r="AD19" s="140">
        <v>0</v>
      </c>
      <c r="AE19" s="140">
        <v>0</v>
      </c>
      <c r="AF19" s="140">
        <v>0</v>
      </c>
      <c r="AG19" s="140">
        <v>0</v>
      </c>
    </row>
    <row r="20" spans="1:33" customFormat="1" x14ac:dyDescent="0.15">
      <c r="A20" s="174" t="s">
        <v>210</v>
      </c>
      <c r="B20" s="140">
        <v>3.5082681199762556E-3</v>
      </c>
      <c r="C20" s="140">
        <v>1.9372549910886265E-2</v>
      </c>
      <c r="D20" s="140">
        <v>1.0315765698036973E-2</v>
      </c>
      <c r="E20" s="140">
        <v>0</v>
      </c>
      <c r="F20" s="140">
        <v>1.2004876957254128E-2</v>
      </c>
      <c r="G20" s="140">
        <v>2.1009185240998388E-2</v>
      </c>
      <c r="H20" s="140">
        <v>1.6950906464428591E-2</v>
      </c>
      <c r="I20" s="140">
        <v>7.014344979422397E-3</v>
      </c>
      <c r="J20" s="140">
        <v>5.1153027557522936E-3</v>
      </c>
      <c r="K20" s="140">
        <v>4.3004589213016019E-3</v>
      </c>
      <c r="L20" s="140">
        <v>3.5063100273492184E-4</v>
      </c>
      <c r="M20" s="140">
        <v>6.2745631405502142E-3</v>
      </c>
      <c r="N20" s="140">
        <v>1.5005697939612513E-3</v>
      </c>
      <c r="O20" s="140">
        <v>1.4996249593937552E-2</v>
      </c>
      <c r="P20" s="140">
        <v>1.7616399922487842E-4</v>
      </c>
      <c r="Q20" s="140">
        <v>0</v>
      </c>
      <c r="R20" s="140">
        <v>0</v>
      </c>
      <c r="S20" s="140">
        <v>0</v>
      </c>
      <c r="T20" s="140">
        <v>0</v>
      </c>
      <c r="U20" s="140">
        <v>0</v>
      </c>
      <c r="V20" s="140">
        <v>1.7645497284713909E-3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</row>
    <row r="21" spans="1:33" customFormat="1" x14ac:dyDescent="0.15">
      <c r="A21" s="174" t="s">
        <v>211</v>
      </c>
      <c r="B21" s="140">
        <v>9.8274820595243041E-3</v>
      </c>
      <c r="C21" s="140">
        <v>5.9979382624094836E-2</v>
      </c>
      <c r="D21" s="140">
        <v>1.9992197513128047E-2</v>
      </c>
      <c r="E21" s="140">
        <v>0</v>
      </c>
      <c r="F21" s="140">
        <v>2.4009753914508256E-2</v>
      </c>
      <c r="G21" s="140">
        <v>6.2527337026780913E-2</v>
      </c>
      <c r="H21" s="140">
        <v>1.8001478871893465E-2</v>
      </c>
      <c r="I21" s="140">
        <v>0</v>
      </c>
      <c r="J21" s="140">
        <v>0</v>
      </c>
      <c r="K21" s="140">
        <v>1.3385105655052567E-2</v>
      </c>
      <c r="L21" s="140">
        <v>0</v>
      </c>
      <c r="M21" s="140">
        <v>5.24672011752653E-4</v>
      </c>
      <c r="N21" s="140">
        <v>2.0007597252816684E-3</v>
      </c>
      <c r="O21" s="140">
        <v>1.4725188583477235E-2</v>
      </c>
      <c r="P21" s="140">
        <v>2.220645990229158E-3</v>
      </c>
      <c r="Q21" s="140">
        <v>2.4629400073888199E-3</v>
      </c>
      <c r="R21" s="140">
        <v>0</v>
      </c>
      <c r="S21" s="140">
        <v>0</v>
      </c>
      <c r="T21" s="140">
        <v>0</v>
      </c>
      <c r="U21" s="140">
        <v>0</v>
      </c>
      <c r="V21" s="140">
        <v>9.9966559506406913E-3</v>
      </c>
      <c r="W21" s="140">
        <v>0</v>
      </c>
      <c r="X21" s="140">
        <v>0</v>
      </c>
      <c r="Y21" s="140">
        <v>0</v>
      </c>
      <c r="Z21" s="140">
        <v>0</v>
      </c>
      <c r="AA21" s="140">
        <v>0</v>
      </c>
      <c r="AB21" s="140">
        <v>0</v>
      </c>
      <c r="AC21" s="140">
        <v>0</v>
      </c>
      <c r="AD21" s="140">
        <v>0</v>
      </c>
      <c r="AE21" s="140">
        <v>0</v>
      </c>
      <c r="AF21" s="140">
        <v>0</v>
      </c>
      <c r="AG21" s="140">
        <v>0</v>
      </c>
    </row>
    <row r="22" spans="1:33" customFormat="1" x14ac:dyDescent="0.15">
      <c r="A22" s="174" t="s">
        <v>212</v>
      </c>
      <c r="B22" s="140">
        <v>4.1108344727390091E-2</v>
      </c>
      <c r="C22" s="140">
        <v>0.14480149933391309</v>
      </c>
      <c r="D22" s="140">
        <v>9.9960987565640234E-3</v>
      </c>
      <c r="E22" s="140">
        <v>0</v>
      </c>
      <c r="F22" s="140">
        <v>1.0004064131045107E-2</v>
      </c>
      <c r="G22" s="140">
        <v>3.8016620912282792E-2</v>
      </c>
      <c r="H22" s="140">
        <v>1.1144972490696032E-2</v>
      </c>
      <c r="I22" s="140">
        <v>0</v>
      </c>
      <c r="J22" s="140">
        <v>0</v>
      </c>
      <c r="K22" s="140">
        <v>0</v>
      </c>
      <c r="L22" s="140">
        <v>0</v>
      </c>
      <c r="M22" s="140">
        <v>0</v>
      </c>
      <c r="N22" s="140">
        <v>0</v>
      </c>
      <c r="O22" s="140">
        <v>1.2442280415067907E-2</v>
      </c>
      <c r="P22" s="140">
        <v>0</v>
      </c>
      <c r="Q22" s="140">
        <v>0</v>
      </c>
      <c r="R22" s="140">
        <v>0</v>
      </c>
      <c r="S22" s="140">
        <v>0</v>
      </c>
      <c r="T22" s="140">
        <v>0</v>
      </c>
      <c r="U22" s="140">
        <v>0</v>
      </c>
      <c r="V22" s="140">
        <v>0</v>
      </c>
      <c r="W22" s="140">
        <v>0</v>
      </c>
      <c r="X22" s="140">
        <v>0</v>
      </c>
      <c r="Y22" s="140">
        <v>0</v>
      </c>
      <c r="Z22" s="140">
        <v>0</v>
      </c>
      <c r="AA22" s="140">
        <v>0</v>
      </c>
      <c r="AB22" s="140">
        <v>0</v>
      </c>
      <c r="AC22" s="140">
        <v>0</v>
      </c>
      <c r="AD22" s="140">
        <v>0</v>
      </c>
      <c r="AE22" s="140">
        <v>0</v>
      </c>
      <c r="AF22" s="140">
        <v>0</v>
      </c>
      <c r="AG22" s="140">
        <v>0</v>
      </c>
    </row>
    <row r="23" spans="1:33" customFormat="1" x14ac:dyDescent="0.15">
      <c r="A23" s="174" t="s">
        <v>213</v>
      </c>
      <c r="B23" s="140">
        <v>6.3779964739630358E-3</v>
      </c>
      <c r="C23" s="140">
        <v>9.3608679569400048E-3</v>
      </c>
      <c r="D23" s="140">
        <v>2.755127738113803E-2</v>
      </c>
      <c r="E23" s="140">
        <v>0</v>
      </c>
      <c r="F23" s="140">
        <v>1.7979504137596886E-3</v>
      </c>
      <c r="G23" s="140">
        <v>3.4575756562259924E-3</v>
      </c>
      <c r="H23" s="140">
        <v>1.7291530547650772E-3</v>
      </c>
      <c r="I23" s="140">
        <v>4.0248534709078276E-3</v>
      </c>
      <c r="J23" s="140">
        <v>4.2693480552801148E-3</v>
      </c>
      <c r="K23" s="140">
        <v>4.3868749197201896E-3</v>
      </c>
      <c r="L23" s="140">
        <v>8.0477200627722162E-4</v>
      </c>
      <c r="M23" s="140">
        <v>2.5793650577777775E-3</v>
      </c>
      <c r="N23" s="140">
        <v>8.2607167461456999E-4</v>
      </c>
      <c r="O23" s="140">
        <v>3.8608624384571114E-3</v>
      </c>
      <c r="P23" s="140">
        <v>0</v>
      </c>
      <c r="Q23" s="140">
        <v>0</v>
      </c>
      <c r="R23" s="140">
        <v>0</v>
      </c>
      <c r="S23" s="140">
        <v>0</v>
      </c>
      <c r="T23" s="140">
        <v>0</v>
      </c>
      <c r="U23" s="140">
        <v>0</v>
      </c>
      <c r="V23" s="140">
        <v>2.4300101207904256E-3</v>
      </c>
      <c r="W23" s="140">
        <v>0</v>
      </c>
      <c r="X23" s="140">
        <v>0</v>
      </c>
      <c r="Y23" s="140">
        <v>0</v>
      </c>
      <c r="Z23" s="140">
        <v>0</v>
      </c>
      <c r="AA23" s="140">
        <v>0</v>
      </c>
      <c r="AB23" s="140">
        <v>0</v>
      </c>
      <c r="AC23" s="140">
        <v>0</v>
      </c>
      <c r="AD23" s="140">
        <v>0</v>
      </c>
      <c r="AE23" s="140">
        <v>0</v>
      </c>
      <c r="AF23" s="140">
        <v>0</v>
      </c>
      <c r="AG23" s="140">
        <v>0</v>
      </c>
    </row>
    <row r="24" spans="1:33" customFormat="1" x14ac:dyDescent="0.15">
      <c r="A24" s="174" t="s">
        <v>214</v>
      </c>
      <c r="B24" s="140">
        <v>3.9807131549909423E-3</v>
      </c>
      <c r="C24" s="140">
        <v>2.3369675392499487E-2</v>
      </c>
      <c r="D24" s="140">
        <v>8.4903464164677575E-2</v>
      </c>
      <c r="E24" s="140">
        <v>0</v>
      </c>
      <c r="F24" s="140">
        <v>3.5014224458657879E-2</v>
      </c>
      <c r="G24" s="140">
        <v>7.1932799106088532E-2</v>
      </c>
      <c r="H24" s="140">
        <v>5.3960986346119094E-2</v>
      </c>
      <c r="I24" s="140">
        <v>5.4997820106402272E-2</v>
      </c>
      <c r="J24" s="140">
        <v>1.0658549958700874E-2</v>
      </c>
      <c r="K24" s="140">
        <v>3.2855875198737491E-2</v>
      </c>
      <c r="L24" s="140">
        <v>1.0045679378356299E-2</v>
      </c>
      <c r="M24" s="140">
        <v>2.146486428081296E-2</v>
      </c>
      <c r="N24" s="140">
        <v>2.3716583623186863E-2</v>
      </c>
      <c r="O24" s="140">
        <v>3.6145323730446384E-2</v>
      </c>
      <c r="P24" s="140">
        <v>0</v>
      </c>
      <c r="Q24" s="140">
        <v>0</v>
      </c>
      <c r="R24" s="140">
        <v>0</v>
      </c>
      <c r="S24" s="140">
        <v>0</v>
      </c>
      <c r="T24" s="140">
        <v>0</v>
      </c>
      <c r="U24" s="140">
        <v>0</v>
      </c>
      <c r="V24" s="140">
        <v>3.0332951718056722E-2</v>
      </c>
      <c r="W24" s="140">
        <v>0</v>
      </c>
      <c r="X24" s="140">
        <v>0</v>
      </c>
      <c r="Y24" s="140">
        <v>0</v>
      </c>
      <c r="Z24" s="140">
        <v>0</v>
      </c>
      <c r="AA24" s="140">
        <v>0</v>
      </c>
      <c r="AB24" s="140">
        <v>0</v>
      </c>
      <c r="AC24" s="140">
        <v>0</v>
      </c>
      <c r="AD24" s="140">
        <v>0</v>
      </c>
      <c r="AE24" s="140">
        <v>0</v>
      </c>
      <c r="AF24" s="140">
        <v>0</v>
      </c>
      <c r="AG24" s="140">
        <v>0</v>
      </c>
    </row>
    <row r="25" spans="1:33" customFormat="1" x14ac:dyDescent="0.15">
      <c r="A25" s="174" t="s">
        <v>215</v>
      </c>
      <c r="B25" s="140">
        <v>3.9807131549909423E-3</v>
      </c>
      <c r="C25" s="140">
        <v>0.10516353651624771</v>
      </c>
      <c r="D25" s="140">
        <v>2.7942911135647876E-2</v>
      </c>
      <c r="E25" s="140">
        <v>0.5</v>
      </c>
      <c r="F25" s="140">
        <v>0.43764199118363428</v>
      </c>
      <c r="G25" s="140">
        <v>0.43015816566621906</v>
      </c>
      <c r="H25" s="140">
        <v>0.30218154205978853</v>
      </c>
      <c r="I25" s="140">
        <v>0.19999207311419007</v>
      </c>
      <c r="J25" s="140">
        <v>0.10658549758672807</v>
      </c>
      <c r="K25" s="140">
        <v>0.19713525139242491</v>
      </c>
      <c r="L25" s="140">
        <v>0.29232925428016815</v>
      </c>
      <c r="M25" s="140">
        <v>0.40783240913544594</v>
      </c>
      <c r="N25" s="140">
        <v>0.2474774027233983</v>
      </c>
      <c r="O25" s="140">
        <v>0.70121923236266614</v>
      </c>
      <c r="P25" s="140">
        <v>0.10094314755585015</v>
      </c>
      <c r="Q25" s="140">
        <v>0.11083745233251235</v>
      </c>
      <c r="R25" s="140">
        <v>0.05</v>
      </c>
      <c r="S25" s="140">
        <v>0.24</v>
      </c>
      <c r="T25" s="140">
        <v>0</v>
      </c>
      <c r="U25" s="140">
        <v>0</v>
      </c>
      <c r="V25" s="140">
        <v>0.1223428992448419</v>
      </c>
      <c r="W25" s="140">
        <v>0</v>
      </c>
      <c r="X25" s="140">
        <v>5.0000000000000001E-3</v>
      </c>
      <c r="Y25" s="140">
        <v>0</v>
      </c>
      <c r="Z25" s="140">
        <v>0</v>
      </c>
      <c r="AA25" s="140">
        <v>0</v>
      </c>
      <c r="AB25" s="140">
        <v>0</v>
      </c>
      <c r="AC25" s="140">
        <v>0</v>
      </c>
      <c r="AD25" s="140">
        <v>0</v>
      </c>
      <c r="AE25" s="140">
        <v>0</v>
      </c>
      <c r="AF25" s="140">
        <v>0</v>
      </c>
      <c r="AG25" s="140">
        <v>0</v>
      </c>
    </row>
    <row r="26" spans="1:33" customFormat="1" x14ac:dyDescent="0.15">
      <c r="A26" s="174" t="s">
        <v>216</v>
      </c>
      <c r="B26" s="140">
        <v>1.5922851320106741E-2</v>
      </c>
      <c r="C26" s="140">
        <v>9.3478699569997964E-2</v>
      </c>
      <c r="D26" s="140">
        <v>7.523091323496775E-2</v>
      </c>
      <c r="E26" s="140">
        <v>0</v>
      </c>
      <c r="F26" s="140">
        <v>0.28053976871996289</v>
      </c>
      <c r="G26" s="140">
        <v>1.0004373924284946E-2</v>
      </c>
      <c r="H26" s="140">
        <v>0.16188295913836548</v>
      </c>
      <c r="I26" s="140">
        <v>5.999762193425702E-2</v>
      </c>
      <c r="J26" s="140">
        <v>0.30504280220280816</v>
      </c>
      <c r="K26" s="140">
        <v>0.20808719619200433</v>
      </c>
      <c r="L26" s="140">
        <v>0.18182678641824893</v>
      </c>
      <c r="M26" s="140">
        <v>0.19318378432731675</v>
      </c>
      <c r="N26" s="140">
        <v>0.30934674965282338</v>
      </c>
      <c r="O26" s="140">
        <v>0</v>
      </c>
      <c r="P26" s="140">
        <v>0.10094314755585015</v>
      </c>
      <c r="Q26" s="140">
        <v>0.22167490066502468</v>
      </c>
      <c r="R26" s="140">
        <v>0</v>
      </c>
      <c r="S26" s="140">
        <v>0.05</v>
      </c>
      <c r="T26" s="140">
        <v>0</v>
      </c>
      <c r="U26" s="140">
        <v>0</v>
      </c>
      <c r="V26" s="140">
        <v>7.1787985712740934E-2</v>
      </c>
      <c r="W26" s="140">
        <v>0</v>
      </c>
      <c r="X26" s="140">
        <v>0</v>
      </c>
      <c r="Y26" s="140">
        <v>0</v>
      </c>
      <c r="Z26" s="140">
        <v>5.000000000000001E-3</v>
      </c>
      <c r="AA26" s="140">
        <v>0</v>
      </c>
      <c r="AB26" s="140">
        <v>0</v>
      </c>
      <c r="AC26" s="140">
        <v>0</v>
      </c>
      <c r="AD26" s="140">
        <v>0</v>
      </c>
      <c r="AE26" s="140">
        <v>0</v>
      </c>
      <c r="AF26" s="140">
        <v>0</v>
      </c>
      <c r="AG26" s="140">
        <v>0</v>
      </c>
    </row>
    <row r="27" spans="1:33" customFormat="1" x14ac:dyDescent="0.15">
      <c r="A27" s="174" t="s">
        <v>217</v>
      </c>
      <c r="B27" s="140">
        <v>3.9807131549909423E-3</v>
      </c>
      <c r="C27" s="140">
        <v>2.3369675392499487E-2</v>
      </c>
      <c r="D27" s="140">
        <v>0.41783692802437611</v>
      </c>
      <c r="E27" s="140">
        <v>0.3</v>
      </c>
      <c r="F27" s="140">
        <v>4.6018695002807489E-2</v>
      </c>
      <c r="G27" s="140">
        <v>1.0004373924284946E-2</v>
      </c>
      <c r="H27" s="140">
        <v>0</v>
      </c>
      <c r="I27" s="140">
        <v>0.17999286580277105</v>
      </c>
      <c r="J27" s="140">
        <v>0.54507648262469011</v>
      </c>
      <c r="K27" s="140">
        <v>0.19713525139242491</v>
      </c>
      <c r="L27" s="140">
        <v>0.18082222441041335</v>
      </c>
      <c r="M27" s="140">
        <v>0</v>
      </c>
      <c r="N27" s="140">
        <v>0.13905280090707597</v>
      </c>
      <c r="O27" s="140">
        <v>2.5993499296158424E-2</v>
      </c>
      <c r="P27" s="140">
        <v>0.21198061006728536</v>
      </c>
      <c r="Q27" s="140">
        <v>0.36274075608822226</v>
      </c>
      <c r="R27" s="140">
        <v>0.25</v>
      </c>
      <c r="S27" s="140">
        <v>0.25</v>
      </c>
      <c r="T27" s="140">
        <v>0.14000000000000001</v>
      </c>
      <c r="U27" s="140">
        <v>0.30000000000000004</v>
      </c>
      <c r="V27" s="140">
        <v>0.37511749489598339</v>
      </c>
      <c r="W27" s="140">
        <v>3.0000000000000001E-3</v>
      </c>
      <c r="X27" s="140">
        <v>7.4999999999999997E-2</v>
      </c>
      <c r="Y27" s="140">
        <v>0</v>
      </c>
      <c r="Z27" s="140">
        <v>0.40000000000000008</v>
      </c>
      <c r="AA27" s="140">
        <v>0</v>
      </c>
      <c r="AB27" s="140">
        <v>0</v>
      </c>
      <c r="AC27" s="140">
        <v>0</v>
      </c>
      <c r="AD27" s="140">
        <v>0</v>
      </c>
      <c r="AE27" s="140">
        <v>0</v>
      </c>
      <c r="AF27" s="140">
        <v>0</v>
      </c>
      <c r="AG27" s="140">
        <v>0</v>
      </c>
    </row>
    <row r="28" spans="1:33" customFormat="1" x14ac:dyDescent="0.15">
      <c r="A28" s="174" t="s">
        <v>218</v>
      </c>
      <c r="B28" s="140">
        <v>0</v>
      </c>
      <c r="C28" s="140">
        <v>0</v>
      </c>
      <c r="D28" s="140">
        <v>0</v>
      </c>
      <c r="E28" s="140">
        <v>0.15</v>
      </c>
      <c r="F28" s="140">
        <v>3.5014224458657879E-2</v>
      </c>
      <c r="G28" s="140">
        <v>0</v>
      </c>
      <c r="H28" s="140">
        <v>0.16501355632569009</v>
      </c>
      <c r="I28" s="140">
        <v>0.16999326214706156</v>
      </c>
      <c r="J28" s="140">
        <v>0</v>
      </c>
      <c r="K28" s="140">
        <v>6.5711748797475003E-2</v>
      </c>
      <c r="L28" s="140">
        <v>0.2310506268021949</v>
      </c>
      <c r="M28" s="140">
        <v>6.2248108394357626E-2</v>
      </c>
      <c r="N28" s="140">
        <v>0.10311558288414784</v>
      </c>
      <c r="O28" s="140">
        <v>0</v>
      </c>
      <c r="P28" s="140">
        <v>3.0282944266755048E-2</v>
      </c>
      <c r="Q28" s="140">
        <v>0.2015226336045679</v>
      </c>
      <c r="R28" s="140">
        <v>0.05</v>
      </c>
      <c r="S28" s="140">
        <v>0.2</v>
      </c>
      <c r="T28" s="140">
        <v>0.01</v>
      </c>
      <c r="U28" s="140">
        <v>5.000000000000001E-2</v>
      </c>
      <c r="V28" s="140">
        <v>0.20493144698813415</v>
      </c>
      <c r="W28" s="140">
        <v>3.0000000000000001E-3</v>
      </c>
      <c r="X28" s="140">
        <v>0.1</v>
      </c>
      <c r="Y28" s="140">
        <v>0.1</v>
      </c>
      <c r="Z28" s="140">
        <v>0.20000000000000004</v>
      </c>
      <c r="AA28" s="140">
        <v>0</v>
      </c>
      <c r="AB28" s="140">
        <v>0.01</v>
      </c>
      <c r="AC28" s="140">
        <v>0</v>
      </c>
      <c r="AD28" s="140">
        <v>0</v>
      </c>
      <c r="AE28" s="140">
        <v>0</v>
      </c>
      <c r="AF28" s="140">
        <v>0</v>
      </c>
      <c r="AG28" s="140">
        <v>0</v>
      </c>
    </row>
    <row r="29" spans="1:33" customFormat="1" x14ac:dyDescent="0.15">
      <c r="A29" s="174" t="s">
        <v>219</v>
      </c>
      <c r="B29" s="140">
        <v>0</v>
      </c>
      <c r="C29" s="140">
        <v>0</v>
      </c>
      <c r="D29" s="140">
        <v>0</v>
      </c>
      <c r="E29" s="140">
        <v>0</v>
      </c>
      <c r="F29" s="140">
        <v>3.5014224458657879E-2</v>
      </c>
      <c r="G29" s="140">
        <v>0</v>
      </c>
      <c r="H29" s="140">
        <v>3.9931130454173971E-2</v>
      </c>
      <c r="I29" s="140">
        <v>0.25398993285502136</v>
      </c>
      <c r="J29" s="140">
        <v>0</v>
      </c>
      <c r="K29" s="140">
        <v>9.8567628196212412E-2</v>
      </c>
      <c r="L29" s="140">
        <v>7.0319750548494056E-2</v>
      </c>
      <c r="M29" s="140">
        <v>0.2726037861063248</v>
      </c>
      <c r="N29" s="140">
        <v>0.15982915206989734</v>
      </c>
      <c r="O29" s="140">
        <v>0.14996249593937552</v>
      </c>
      <c r="P29" s="140">
        <v>0.55215899757050046</v>
      </c>
      <c r="Q29" s="140">
        <v>0.10076131730228395</v>
      </c>
      <c r="R29" s="140">
        <v>0.35</v>
      </c>
      <c r="S29" s="140">
        <v>0.1</v>
      </c>
      <c r="T29" s="140">
        <v>0.4</v>
      </c>
      <c r="U29" s="140">
        <v>0.30000000000000004</v>
      </c>
      <c r="V29" s="140">
        <v>0.15294883604480258</v>
      </c>
      <c r="W29" s="140">
        <v>2.4E-2</v>
      </c>
      <c r="X29" s="140">
        <v>0.15</v>
      </c>
      <c r="Y29" s="140">
        <v>0.4</v>
      </c>
      <c r="Z29" s="140">
        <v>0.10000000000000002</v>
      </c>
      <c r="AA29" s="140">
        <v>0</v>
      </c>
      <c r="AB29" s="140">
        <v>0.1</v>
      </c>
      <c r="AC29" s="140">
        <v>0.05</v>
      </c>
      <c r="AD29" s="140">
        <v>0</v>
      </c>
      <c r="AE29" s="140">
        <v>0</v>
      </c>
      <c r="AF29" s="140">
        <v>0</v>
      </c>
      <c r="AG29" s="140">
        <v>0</v>
      </c>
    </row>
    <row r="30" spans="1:33" customFormat="1" x14ac:dyDescent="0.15">
      <c r="A30" s="174" t="s">
        <v>220</v>
      </c>
      <c r="B30" s="140">
        <v>0</v>
      </c>
      <c r="C30" s="140">
        <v>0</v>
      </c>
      <c r="D30" s="140">
        <v>0</v>
      </c>
      <c r="E30" s="140">
        <v>0</v>
      </c>
      <c r="F30" s="140">
        <v>0</v>
      </c>
      <c r="G30" s="140">
        <v>0</v>
      </c>
      <c r="H30" s="140">
        <v>0</v>
      </c>
      <c r="I30" s="140">
        <v>0</v>
      </c>
      <c r="J30" s="140">
        <v>0</v>
      </c>
      <c r="K30" s="140">
        <v>2.1903916799158325E-2</v>
      </c>
      <c r="L30" s="140">
        <v>1.0045679378356299E-2</v>
      </c>
      <c r="M30" s="140">
        <v>0</v>
      </c>
      <c r="N30" s="140">
        <v>0</v>
      </c>
      <c r="O30" s="140">
        <v>0</v>
      </c>
      <c r="P30" s="140">
        <v>0</v>
      </c>
      <c r="Q30" s="140">
        <v>0</v>
      </c>
      <c r="R30" s="140">
        <v>0.2</v>
      </c>
      <c r="S30" s="140">
        <v>0.1</v>
      </c>
      <c r="T30" s="140">
        <v>0.3</v>
      </c>
      <c r="U30" s="140">
        <v>0.20000000000000004</v>
      </c>
      <c r="V30" s="140">
        <v>0</v>
      </c>
      <c r="W30" s="140">
        <v>0.31</v>
      </c>
      <c r="X30" s="140">
        <v>0.1</v>
      </c>
      <c r="Y30" s="140">
        <v>0.3</v>
      </c>
      <c r="Z30" s="140">
        <v>3.0000000000000002E-2</v>
      </c>
      <c r="AA30" s="140">
        <v>0.5</v>
      </c>
      <c r="AB30" s="140">
        <v>0.1</v>
      </c>
      <c r="AC30" s="140">
        <v>0.85</v>
      </c>
      <c r="AD30" s="140">
        <v>0</v>
      </c>
      <c r="AE30" s="140">
        <v>0</v>
      </c>
      <c r="AF30" s="140">
        <v>0</v>
      </c>
      <c r="AG30" s="140">
        <v>0</v>
      </c>
    </row>
    <row r="31" spans="1:33" customFormat="1" x14ac:dyDescent="0.15">
      <c r="A31" s="174" t="s">
        <v>221</v>
      </c>
      <c r="B31" s="140">
        <v>0</v>
      </c>
      <c r="C31" s="140">
        <v>0</v>
      </c>
      <c r="D31" s="140">
        <v>0</v>
      </c>
      <c r="E31" s="140">
        <v>0.03</v>
      </c>
      <c r="F31" s="140">
        <v>0</v>
      </c>
      <c r="G31" s="140">
        <v>0</v>
      </c>
      <c r="H31" s="140">
        <v>0</v>
      </c>
      <c r="I31" s="140">
        <v>0</v>
      </c>
      <c r="J31" s="140">
        <v>0</v>
      </c>
      <c r="K31" s="140">
        <v>4.9283812798106223E-2</v>
      </c>
      <c r="L31" s="140">
        <v>1.0045679378356299E-2</v>
      </c>
      <c r="M31" s="140">
        <v>0</v>
      </c>
      <c r="N31" s="140">
        <v>0</v>
      </c>
      <c r="O31" s="140">
        <v>0</v>
      </c>
      <c r="P31" s="140">
        <v>0</v>
      </c>
      <c r="Q31" s="140">
        <v>0</v>
      </c>
      <c r="R31" s="140">
        <v>0.05</v>
      </c>
      <c r="S31" s="140">
        <v>0.05</v>
      </c>
      <c r="T31" s="140">
        <v>0.1</v>
      </c>
      <c r="U31" s="140">
        <v>5.000000000000001E-2</v>
      </c>
      <c r="V31" s="140">
        <v>0</v>
      </c>
      <c r="W31" s="140">
        <v>0.2</v>
      </c>
      <c r="X31" s="140">
        <v>0.15</v>
      </c>
      <c r="Y31" s="140">
        <v>0.1</v>
      </c>
      <c r="Z31" s="140">
        <v>6.0000000000000005E-2</v>
      </c>
      <c r="AA31" s="140">
        <v>0.15</v>
      </c>
      <c r="AB31" s="140">
        <v>0.14000000000000001</v>
      </c>
      <c r="AC31" s="140">
        <v>0.05</v>
      </c>
      <c r="AD31" s="140">
        <v>0</v>
      </c>
      <c r="AE31" s="140">
        <v>0</v>
      </c>
      <c r="AF31" s="140">
        <v>0</v>
      </c>
      <c r="AG31" s="140">
        <v>0</v>
      </c>
    </row>
    <row r="32" spans="1:33" customFormat="1" x14ac:dyDescent="0.15">
      <c r="A32" s="174" t="s">
        <v>222</v>
      </c>
      <c r="B32" s="140">
        <v>1.9903560775504608E-3</v>
      </c>
      <c r="C32" s="140">
        <v>0</v>
      </c>
      <c r="D32" s="140">
        <v>0</v>
      </c>
      <c r="E32" s="140">
        <v>0.02</v>
      </c>
      <c r="F32" s="140">
        <v>0</v>
      </c>
      <c r="G32" s="140">
        <v>0</v>
      </c>
      <c r="H32" s="140">
        <v>0</v>
      </c>
      <c r="I32" s="140">
        <v>0</v>
      </c>
      <c r="J32" s="140">
        <v>0</v>
      </c>
      <c r="K32" s="140">
        <v>8.7615668396633276E-2</v>
      </c>
      <c r="L32" s="140">
        <v>1.0045679378356299E-2</v>
      </c>
      <c r="M32" s="140">
        <v>2.146486428081296E-2</v>
      </c>
      <c r="N32" s="140">
        <v>1.0311558088338812E-2</v>
      </c>
      <c r="O32" s="140">
        <v>0</v>
      </c>
      <c r="P32" s="140">
        <v>0</v>
      </c>
      <c r="Q32" s="140">
        <v>0</v>
      </c>
      <c r="R32" s="140">
        <v>0.05</v>
      </c>
      <c r="S32" s="140">
        <v>0.01</v>
      </c>
      <c r="T32" s="140">
        <v>0.05</v>
      </c>
      <c r="U32" s="140">
        <v>0.10000000000000002</v>
      </c>
      <c r="V32" s="140">
        <v>1.0110983906018908E-2</v>
      </c>
      <c r="W32" s="140">
        <v>0.46</v>
      </c>
      <c r="X32" s="140">
        <v>0.42</v>
      </c>
      <c r="Y32" s="140">
        <v>0.1</v>
      </c>
      <c r="Z32" s="140">
        <v>0.20500000000000002</v>
      </c>
      <c r="AA32" s="140">
        <v>0.35</v>
      </c>
      <c r="AB32" s="140">
        <v>0.65</v>
      </c>
      <c r="AC32" s="140">
        <v>0.05</v>
      </c>
      <c r="AD32" s="140">
        <v>0</v>
      </c>
      <c r="AE32" s="140">
        <v>0</v>
      </c>
      <c r="AF32" s="140">
        <v>0</v>
      </c>
      <c r="AG32" s="140">
        <v>0</v>
      </c>
    </row>
    <row r="33" spans="1:33" customFormat="1" x14ac:dyDescent="0.15">
      <c r="A33" s="174" t="s">
        <v>223</v>
      </c>
      <c r="B33" s="140">
        <v>0</v>
      </c>
      <c r="C33" s="140">
        <v>0</v>
      </c>
      <c r="D33" s="140">
        <v>0</v>
      </c>
      <c r="E33" s="140">
        <v>0</v>
      </c>
      <c r="F33" s="140">
        <v>0</v>
      </c>
      <c r="G33" s="140">
        <v>0</v>
      </c>
      <c r="H33" s="140">
        <v>0</v>
      </c>
      <c r="I33" s="140">
        <v>0</v>
      </c>
      <c r="J33" s="140">
        <v>0</v>
      </c>
      <c r="K33" s="140">
        <v>0</v>
      </c>
      <c r="L33" s="140">
        <v>0</v>
      </c>
      <c r="M33" s="140">
        <v>0</v>
      </c>
      <c r="N33" s="140">
        <v>0</v>
      </c>
      <c r="O33" s="140">
        <v>0</v>
      </c>
      <c r="P33" s="140">
        <v>0</v>
      </c>
      <c r="Q33" s="140">
        <v>0</v>
      </c>
      <c r="R33" s="140">
        <v>0</v>
      </c>
      <c r="S33" s="140">
        <v>0</v>
      </c>
      <c r="T33" s="140">
        <v>0</v>
      </c>
      <c r="U33" s="140">
        <v>0</v>
      </c>
      <c r="V33" s="140">
        <v>0</v>
      </c>
      <c r="W33" s="140">
        <v>0</v>
      </c>
      <c r="X33" s="140">
        <v>0</v>
      </c>
      <c r="Y33" s="140">
        <v>0</v>
      </c>
      <c r="Z33" s="140">
        <v>0</v>
      </c>
      <c r="AA33" s="140">
        <v>0</v>
      </c>
      <c r="AB33" s="140">
        <v>0</v>
      </c>
      <c r="AC33" s="140">
        <v>0</v>
      </c>
      <c r="AD33" s="140">
        <v>0</v>
      </c>
      <c r="AE33" s="140">
        <v>0</v>
      </c>
      <c r="AF33" s="140">
        <v>0</v>
      </c>
      <c r="AG33" s="140">
        <v>0</v>
      </c>
    </row>
    <row r="34" spans="1:33" customFormat="1" x14ac:dyDescent="0.15">
      <c r="A34" s="174" t="s">
        <v>224</v>
      </c>
      <c r="B34" s="140">
        <v>0</v>
      </c>
      <c r="C34" s="140">
        <v>0</v>
      </c>
      <c r="D34" s="140">
        <v>6.7707825220179665E-2</v>
      </c>
      <c r="E34" s="140">
        <v>0</v>
      </c>
      <c r="F34" s="140">
        <v>0</v>
      </c>
      <c r="G34" s="140">
        <v>0</v>
      </c>
      <c r="H34" s="140">
        <v>0</v>
      </c>
      <c r="I34" s="140">
        <v>0</v>
      </c>
      <c r="J34" s="140">
        <v>0</v>
      </c>
      <c r="K34" s="140">
        <v>0</v>
      </c>
      <c r="L34" s="140">
        <v>0</v>
      </c>
      <c r="M34" s="140">
        <v>0</v>
      </c>
      <c r="N34" s="140">
        <v>0</v>
      </c>
      <c r="O34" s="140">
        <v>0</v>
      </c>
      <c r="P34" s="140">
        <v>0</v>
      </c>
      <c r="Q34" s="140">
        <v>0</v>
      </c>
      <c r="R34" s="140">
        <v>0</v>
      </c>
      <c r="S34" s="140">
        <v>0</v>
      </c>
      <c r="T34" s="140">
        <v>0</v>
      </c>
      <c r="U34" s="140">
        <v>0</v>
      </c>
      <c r="V34" s="140">
        <v>0</v>
      </c>
      <c r="W34" s="140">
        <v>0</v>
      </c>
      <c r="X34" s="140">
        <v>0</v>
      </c>
      <c r="Y34" s="140">
        <v>0</v>
      </c>
      <c r="Z34" s="140">
        <v>0</v>
      </c>
      <c r="AA34" s="140">
        <v>0</v>
      </c>
      <c r="AB34" s="140">
        <v>0</v>
      </c>
      <c r="AC34" s="140">
        <v>0</v>
      </c>
      <c r="AD34" s="140">
        <v>0</v>
      </c>
      <c r="AE34" s="140">
        <v>0</v>
      </c>
      <c r="AF34" s="140">
        <v>0</v>
      </c>
      <c r="AG34" s="140">
        <v>0</v>
      </c>
    </row>
    <row r="35" spans="1:33" customFormat="1" x14ac:dyDescent="0.15"/>
    <row r="36" spans="1:33" customFormat="1" x14ac:dyDescent="0.15"/>
    <row r="37" spans="1:33" customFormat="1" x14ac:dyDescent="0.15"/>
    <row r="38" spans="1:33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13" activePane="bottomRight" state="frozen"/>
      <selection pane="topRight" activeCell="C1" sqref="C1"/>
      <selection pane="bottomLeft" activeCell="A2" sqref="A2"/>
      <selection pane="bottomRight" activeCell="C36" sqref="C36"/>
    </sheetView>
  </sheetViews>
  <sheetFormatPr baseColWidth="10" defaultColWidth="8.83203125" defaultRowHeight="13" x14ac:dyDescent="0.15"/>
  <cols>
    <col min="1" max="1" width="3.33203125" customWidth="1"/>
    <col min="2" max="2" width="15" customWidth="1"/>
    <col min="3" max="4" width="16.1640625" style="110" customWidth="1"/>
    <col min="5" max="6" width="16.1640625" style="109" customWidth="1"/>
    <col min="7" max="8" width="8.83203125" style="110"/>
  </cols>
  <sheetData>
    <row r="1" spans="1:8" ht="70" x14ac:dyDescent="0.15">
      <c r="A1" s="5" t="s">
        <v>20</v>
      </c>
      <c r="B1" s="1" t="s">
        <v>0</v>
      </c>
      <c r="C1" s="177" t="s">
        <v>222</v>
      </c>
      <c r="D1" s="177" t="s">
        <v>223</v>
      </c>
      <c r="E1" s="177" t="s">
        <v>225</v>
      </c>
      <c r="F1" s="177" t="s">
        <v>226</v>
      </c>
      <c r="G1"/>
      <c r="H1"/>
    </row>
    <row r="2" spans="1:8" x14ac:dyDescent="0.15">
      <c r="A2">
        <v>1</v>
      </c>
      <c r="B2" s="176" t="s">
        <v>192</v>
      </c>
      <c r="C2" s="110">
        <v>1</v>
      </c>
      <c r="D2" s="110">
        <v>0</v>
      </c>
      <c r="E2" s="109">
        <v>0</v>
      </c>
      <c r="F2" s="109">
        <f>SUM(C2:E2)</f>
        <v>1</v>
      </c>
      <c r="G2"/>
      <c r="H2"/>
    </row>
    <row r="3" spans="1:8" x14ac:dyDescent="0.15">
      <c r="A3">
        <v>2</v>
      </c>
      <c r="B3" s="176" t="s">
        <v>193</v>
      </c>
      <c r="C3" s="110">
        <v>1</v>
      </c>
      <c r="D3" s="110">
        <v>0</v>
      </c>
      <c r="E3" s="109">
        <v>0</v>
      </c>
      <c r="F3" s="109">
        <f t="shared" ref="F3:F34" si="0">SUM(C3:E3)</f>
        <v>1</v>
      </c>
      <c r="G3"/>
      <c r="H3"/>
    </row>
    <row r="4" spans="1:8" x14ac:dyDescent="0.15">
      <c r="A4">
        <v>3</v>
      </c>
      <c r="B4" s="176" t="s">
        <v>194</v>
      </c>
      <c r="C4" s="110">
        <v>1</v>
      </c>
      <c r="D4" s="110">
        <v>0</v>
      </c>
      <c r="E4" s="109">
        <v>0</v>
      </c>
      <c r="F4" s="109">
        <f t="shared" si="0"/>
        <v>1</v>
      </c>
      <c r="G4"/>
      <c r="H4"/>
    </row>
    <row r="5" spans="1:8" x14ac:dyDescent="0.15">
      <c r="A5">
        <v>4</v>
      </c>
      <c r="B5" s="176" t="s">
        <v>195</v>
      </c>
      <c r="C5" s="110">
        <v>1</v>
      </c>
      <c r="D5" s="110">
        <v>0</v>
      </c>
      <c r="E5" s="109">
        <v>0</v>
      </c>
      <c r="F5" s="109">
        <f t="shared" si="0"/>
        <v>1</v>
      </c>
      <c r="G5"/>
      <c r="H5"/>
    </row>
    <row r="6" spans="1:8" x14ac:dyDescent="0.15">
      <c r="A6">
        <v>5</v>
      </c>
      <c r="B6" s="176" t="s">
        <v>196</v>
      </c>
      <c r="C6" s="110">
        <v>1</v>
      </c>
      <c r="D6" s="110">
        <v>0</v>
      </c>
      <c r="E6" s="109">
        <v>0</v>
      </c>
      <c r="F6" s="109">
        <f t="shared" si="0"/>
        <v>1</v>
      </c>
      <c r="G6"/>
      <c r="H6"/>
    </row>
    <row r="7" spans="1:8" x14ac:dyDescent="0.15">
      <c r="A7">
        <v>6</v>
      </c>
      <c r="B7" s="176" t="s">
        <v>197</v>
      </c>
      <c r="C7" s="110">
        <v>1</v>
      </c>
      <c r="D7" s="110">
        <v>0</v>
      </c>
      <c r="E7" s="109">
        <v>0</v>
      </c>
      <c r="F7" s="109">
        <f t="shared" si="0"/>
        <v>1</v>
      </c>
      <c r="G7"/>
      <c r="H7"/>
    </row>
    <row r="8" spans="1:8" x14ac:dyDescent="0.15">
      <c r="A8">
        <v>7</v>
      </c>
      <c r="B8" s="176" t="s">
        <v>198</v>
      </c>
      <c r="C8" s="110">
        <v>1</v>
      </c>
      <c r="D8" s="110">
        <v>0</v>
      </c>
      <c r="E8" s="109">
        <v>0</v>
      </c>
      <c r="F8" s="109">
        <f t="shared" si="0"/>
        <v>1</v>
      </c>
      <c r="G8"/>
      <c r="H8"/>
    </row>
    <row r="9" spans="1:8" x14ac:dyDescent="0.15">
      <c r="A9">
        <v>8</v>
      </c>
      <c r="B9" s="176" t="s">
        <v>199</v>
      </c>
      <c r="C9" s="110">
        <v>1</v>
      </c>
      <c r="D9" s="110">
        <v>0</v>
      </c>
      <c r="E9" s="109">
        <v>0</v>
      </c>
      <c r="F9" s="109">
        <f t="shared" si="0"/>
        <v>1</v>
      </c>
      <c r="G9"/>
      <c r="H9"/>
    </row>
    <row r="10" spans="1:8" x14ac:dyDescent="0.15">
      <c r="A10">
        <v>9</v>
      </c>
      <c r="B10" s="176" t="s">
        <v>200</v>
      </c>
      <c r="C10" s="110">
        <v>1</v>
      </c>
      <c r="D10" s="110">
        <v>0</v>
      </c>
      <c r="E10" s="109">
        <v>0</v>
      </c>
      <c r="F10" s="109">
        <f t="shared" si="0"/>
        <v>1</v>
      </c>
      <c r="G10"/>
      <c r="H10"/>
    </row>
    <row r="11" spans="1:8" x14ac:dyDescent="0.15">
      <c r="A11">
        <v>10</v>
      </c>
      <c r="B11" s="176" t="s">
        <v>201</v>
      </c>
      <c r="C11" s="110">
        <v>1</v>
      </c>
      <c r="D11" s="110">
        <v>0</v>
      </c>
      <c r="E11" s="109">
        <v>0</v>
      </c>
      <c r="F11" s="109">
        <f t="shared" si="0"/>
        <v>1</v>
      </c>
      <c r="G11"/>
      <c r="H11"/>
    </row>
    <row r="12" spans="1:8" x14ac:dyDescent="0.15">
      <c r="A12">
        <v>11</v>
      </c>
      <c r="B12" s="176" t="s">
        <v>202</v>
      </c>
      <c r="C12" s="110">
        <v>1</v>
      </c>
      <c r="D12" s="110">
        <v>0</v>
      </c>
      <c r="E12" s="109">
        <v>0</v>
      </c>
      <c r="F12" s="109">
        <f t="shared" si="0"/>
        <v>1</v>
      </c>
      <c r="G12"/>
      <c r="H12"/>
    </row>
    <row r="13" spans="1:8" x14ac:dyDescent="0.15">
      <c r="A13">
        <v>12</v>
      </c>
      <c r="B13" s="176" t="s">
        <v>203</v>
      </c>
      <c r="C13" s="110">
        <v>1</v>
      </c>
      <c r="D13" s="110">
        <v>0</v>
      </c>
      <c r="E13" s="109">
        <v>0</v>
      </c>
      <c r="F13" s="109">
        <f t="shared" si="0"/>
        <v>1</v>
      </c>
      <c r="G13"/>
      <c r="H13"/>
    </row>
    <row r="14" spans="1:8" x14ac:dyDescent="0.15">
      <c r="A14">
        <v>13</v>
      </c>
      <c r="B14" s="176" t="s">
        <v>204</v>
      </c>
      <c r="C14" s="110">
        <v>1</v>
      </c>
      <c r="D14" s="110">
        <v>0</v>
      </c>
      <c r="E14" s="109">
        <v>0</v>
      </c>
      <c r="F14" s="109">
        <f t="shared" si="0"/>
        <v>1</v>
      </c>
      <c r="G14"/>
      <c r="H14"/>
    </row>
    <row r="15" spans="1:8" x14ac:dyDescent="0.15">
      <c r="A15">
        <v>14</v>
      </c>
      <c r="B15" s="176" t="s">
        <v>205</v>
      </c>
      <c r="C15" s="110">
        <v>1</v>
      </c>
      <c r="D15" s="110">
        <v>0</v>
      </c>
      <c r="E15" s="109">
        <v>0</v>
      </c>
      <c r="F15" s="109">
        <f t="shared" si="0"/>
        <v>1</v>
      </c>
      <c r="G15"/>
      <c r="H15"/>
    </row>
    <row r="16" spans="1:8" x14ac:dyDescent="0.15">
      <c r="A16">
        <v>15</v>
      </c>
      <c r="B16" s="176" t="s">
        <v>206</v>
      </c>
      <c r="C16" s="110">
        <v>1</v>
      </c>
      <c r="D16" s="110">
        <v>0</v>
      </c>
      <c r="E16" s="109">
        <v>0</v>
      </c>
      <c r="F16" s="109">
        <f t="shared" si="0"/>
        <v>1</v>
      </c>
      <c r="G16"/>
      <c r="H16"/>
    </row>
    <row r="17" spans="1:8" ht="15" customHeight="1" x14ac:dyDescent="0.15">
      <c r="A17">
        <v>16</v>
      </c>
      <c r="B17" s="176" t="s">
        <v>207</v>
      </c>
      <c r="C17" s="110">
        <v>1</v>
      </c>
      <c r="D17" s="110">
        <v>0</v>
      </c>
      <c r="E17" s="109">
        <v>0</v>
      </c>
      <c r="F17" s="109">
        <f t="shared" si="0"/>
        <v>1</v>
      </c>
      <c r="G17"/>
      <c r="H17"/>
    </row>
    <row r="18" spans="1:8" ht="15" customHeight="1" x14ac:dyDescent="0.15">
      <c r="A18">
        <v>17</v>
      </c>
      <c r="B18" s="176" t="s">
        <v>208</v>
      </c>
      <c r="C18" s="110">
        <v>1</v>
      </c>
      <c r="D18" s="110">
        <v>0</v>
      </c>
      <c r="E18" s="109">
        <v>0</v>
      </c>
      <c r="F18" s="109">
        <f t="shared" si="0"/>
        <v>1</v>
      </c>
      <c r="G18"/>
      <c r="H18"/>
    </row>
    <row r="19" spans="1:8" ht="15" customHeight="1" x14ac:dyDescent="0.15">
      <c r="A19">
        <v>18</v>
      </c>
      <c r="B19" s="176" t="s">
        <v>209</v>
      </c>
      <c r="C19" s="110">
        <v>1</v>
      </c>
      <c r="D19" s="110">
        <v>0</v>
      </c>
      <c r="E19" s="109">
        <v>0</v>
      </c>
      <c r="F19" s="109">
        <f t="shared" si="0"/>
        <v>1</v>
      </c>
      <c r="G19"/>
      <c r="H19"/>
    </row>
    <row r="20" spans="1:8" ht="15" customHeight="1" x14ac:dyDescent="0.15">
      <c r="A20">
        <v>19</v>
      </c>
      <c r="B20" s="176" t="s">
        <v>210</v>
      </c>
      <c r="C20" s="110">
        <v>1</v>
      </c>
      <c r="D20" s="110">
        <v>0</v>
      </c>
      <c r="E20" s="109">
        <v>0</v>
      </c>
      <c r="F20" s="109">
        <f t="shared" si="0"/>
        <v>1</v>
      </c>
      <c r="G20"/>
      <c r="H20"/>
    </row>
    <row r="21" spans="1:8" ht="15" customHeight="1" x14ac:dyDescent="0.15">
      <c r="A21">
        <v>20</v>
      </c>
      <c r="B21" s="176" t="s">
        <v>211</v>
      </c>
      <c r="C21" s="110">
        <v>1</v>
      </c>
      <c r="D21" s="110">
        <v>0</v>
      </c>
      <c r="E21" s="109">
        <v>0</v>
      </c>
      <c r="F21" s="109">
        <f t="shared" si="0"/>
        <v>1</v>
      </c>
      <c r="G21"/>
      <c r="H21"/>
    </row>
    <row r="22" spans="1:8" ht="15" customHeight="1" x14ac:dyDescent="0.15">
      <c r="A22">
        <v>21</v>
      </c>
      <c r="B22" s="176" t="s">
        <v>212</v>
      </c>
      <c r="C22" s="110">
        <v>1</v>
      </c>
      <c r="D22" s="110">
        <v>0</v>
      </c>
      <c r="E22" s="109">
        <v>0</v>
      </c>
      <c r="F22" s="109">
        <f t="shared" si="0"/>
        <v>1</v>
      </c>
      <c r="G22"/>
      <c r="H22"/>
    </row>
    <row r="23" spans="1:8" ht="15" customHeight="1" x14ac:dyDescent="0.15">
      <c r="A23">
        <v>22</v>
      </c>
      <c r="B23" s="176" t="s">
        <v>213</v>
      </c>
      <c r="C23" s="110">
        <v>1</v>
      </c>
      <c r="D23" s="110">
        <v>0</v>
      </c>
      <c r="E23" s="109">
        <v>0</v>
      </c>
      <c r="F23" s="109">
        <f t="shared" si="0"/>
        <v>1</v>
      </c>
      <c r="G23"/>
      <c r="H23"/>
    </row>
    <row r="24" spans="1:8" ht="15" customHeight="1" x14ac:dyDescent="0.15">
      <c r="A24">
        <v>23</v>
      </c>
      <c r="B24" s="176" t="s">
        <v>214</v>
      </c>
      <c r="C24" s="110">
        <v>1</v>
      </c>
      <c r="D24" s="110">
        <v>0</v>
      </c>
      <c r="E24" s="109">
        <v>0</v>
      </c>
      <c r="F24" s="109">
        <f t="shared" si="0"/>
        <v>1</v>
      </c>
      <c r="G24"/>
      <c r="H24"/>
    </row>
    <row r="25" spans="1:8" ht="15" customHeight="1" x14ac:dyDescent="0.15">
      <c r="A25">
        <v>24</v>
      </c>
      <c r="B25" s="176" t="s">
        <v>215</v>
      </c>
      <c r="C25" s="110">
        <v>1</v>
      </c>
      <c r="D25" s="110">
        <v>0</v>
      </c>
      <c r="E25" s="109">
        <v>0</v>
      </c>
      <c r="F25" s="109">
        <f t="shared" si="0"/>
        <v>1</v>
      </c>
      <c r="G25"/>
      <c r="H25"/>
    </row>
    <row r="26" spans="1:8" ht="15" customHeight="1" x14ac:dyDescent="0.15">
      <c r="A26">
        <v>25</v>
      </c>
      <c r="B26" s="176" t="s">
        <v>216</v>
      </c>
      <c r="C26" s="110">
        <v>1</v>
      </c>
      <c r="D26" s="110">
        <v>0</v>
      </c>
      <c r="E26" s="109">
        <v>0</v>
      </c>
      <c r="F26" s="109">
        <f t="shared" si="0"/>
        <v>1</v>
      </c>
      <c r="G26"/>
      <c r="H26"/>
    </row>
    <row r="27" spans="1:8" ht="15" customHeight="1" x14ac:dyDescent="0.15">
      <c r="A27">
        <v>26</v>
      </c>
      <c r="B27" s="176" t="s">
        <v>217</v>
      </c>
      <c r="C27" s="110">
        <v>1</v>
      </c>
      <c r="D27" s="110">
        <v>0</v>
      </c>
      <c r="E27" s="109">
        <v>0</v>
      </c>
      <c r="F27" s="109">
        <f t="shared" si="0"/>
        <v>1</v>
      </c>
      <c r="G27"/>
      <c r="H27"/>
    </row>
    <row r="28" spans="1:8" ht="15" customHeight="1" x14ac:dyDescent="0.15">
      <c r="A28">
        <v>27</v>
      </c>
      <c r="B28" s="176" t="s">
        <v>218</v>
      </c>
      <c r="C28" s="110">
        <v>1</v>
      </c>
      <c r="D28" s="110">
        <v>0</v>
      </c>
      <c r="E28" s="109">
        <v>0</v>
      </c>
      <c r="F28" s="109">
        <f t="shared" si="0"/>
        <v>1</v>
      </c>
      <c r="G28"/>
      <c r="H28"/>
    </row>
    <row r="29" spans="1:8" ht="15" customHeight="1" x14ac:dyDescent="0.15">
      <c r="A29">
        <v>28</v>
      </c>
      <c r="B29" s="176" t="s">
        <v>219</v>
      </c>
      <c r="C29" s="110">
        <v>1</v>
      </c>
      <c r="D29" s="110">
        <v>0</v>
      </c>
      <c r="E29" s="109">
        <v>0</v>
      </c>
      <c r="F29" s="109">
        <f t="shared" si="0"/>
        <v>1</v>
      </c>
      <c r="G29"/>
      <c r="H29"/>
    </row>
    <row r="30" spans="1:8" ht="15" customHeight="1" x14ac:dyDescent="0.15">
      <c r="A30">
        <v>29</v>
      </c>
      <c r="B30" s="176" t="s">
        <v>220</v>
      </c>
      <c r="C30" s="110">
        <v>1</v>
      </c>
      <c r="D30" s="110">
        <v>0</v>
      </c>
      <c r="E30" s="109">
        <v>0</v>
      </c>
      <c r="F30" s="109">
        <f t="shared" si="0"/>
        <v>1</v>
      </c>
      <c r="G30"/>
      <c r="H30"/>
    </row>
    <row r="31" spans="1:8" ht="15" customHeight="1" x14ac:dyDescent="0.15">
      <c r="A31">
        <v>30</v>
      </c>
      <c r="B31" s="176" t="s">
        <v>221</v>
      </c>
      <c r="C31" s="110">
        <v>1</v>
      </c>
      <c r="D31" s="110">
        <v>0</v>
      </c>
      <c r="E31" s="109">
        <v>0</v>
      </c>
      <c r="F31" s="109">
        <f t="shared" si="0"/>
        <v>1</v>
      </c>
      <c r="G31"/>
      <c r="H31"/>
    </row>
    <row r="32" spans="1:8" ht="15" customHeight="1" x14ac:dyDescent="0.15">
      <c r="A32">
        <v>31</v>
      </c>
      <c r="B32" s="176" t="s">
        <v>222</v>
      </c>
      <c r="C32" s="110">
        <v>0</v>
      </c>
      <c r="D32" s="110">
        <v>1</v>
      </c>
      <c r="E32" s="109">
        <v>0</v>
      </c>
      <c r="F32" s="109">
        <f t="shared" si="0"/>
        <v>1</v>
      </c>
    </row>
    <row r="33" spans="1:8" ht="15" customHeight="1" x14ac:dyDescent="0.15">
      <c r="A33">
        <v>32</v>
      </c>
      <c r="B33" s="176" t="s">
        <v>223</v>
      </c>
      <c r="C33" s="110">
        <v>0</v>
      </c>
      <c r="D33" s="110">
        <v>0</v>
      </c>
      <c r="E33" s="109">
        <v>1</v>
      </c>
      <c r="F33" s="109">
        <f t="shared" si="0"/>
        <v>1</v>
      </c>
    </row>
    <row r="34" spans="1:8" ht="15" customHeight="1" x14ac:dyDescent="0.15">
      <c r="A34">
        <v>33</v>
      </c>
      <c r="B34" s="197" t="s">
        <v>228</v>
      </c>
      <c r="C34" s="110">
        <v>1</v>
      </c>
      <c r="D34" s="110">
        <v>0</v>
      </c>
      <c r="E34" s="109">
        <v>0</v>
      </c>
      <c r="F34" s="109">
        <f t="shared" si="0"/>
        <v>1</v>
      </c>
    </row>
    <row r="35" spans="1:8" ht="15" customHeight="1" x14ac:dyDescent="0.15"/>
    <row r="36" spans="1:8" ht="15" customHeight="1" x14ac:dyDescent="0.15">
      <c r="C36"/>
      <c r="D36"/>
      <c r="E36" s="110"/>
      <c r="F36" s="110"/>
      <c r="G36"/>
      <c r="H36"/>
    </row>
    <row r="37" spans="1:8" ht="15" customHeight="1" x14ac:dyDescent="0.15">
      <c r="C37"/>
      <c r="D37"/>
      <c r="E37" s="110"/>
      <c r="F37" s="110"/>
      <c r="G37"/>
      <c r="H37"/>
    </row>
    <row r="38" spans="1:8" ht="15" customHeight="1" x14ac:dyDescent="0.15">
      <c r="C38"/>
      <c r="D38"/>
      <c r="E38" s="110"/>
      <c r="F38" s="110"/>
      <c r="G38"/>
      <c r="H38"/>
    </row>
    <row r="39" spans="1:8" ht="15" customHeight="1" x14ac:dyDescent="0.15">
      <c r="C39"/>
      <c r="D39"/>
      <c r="E39" s="110"/>
      <c r="F39" s="110"/>
      <c r="G39"/>
      <c r="H39"/>
    </row>
    <row r="40" spans="1:8" ht="15" customHeight="1" x14ac:dyDescent="0.15">
      <c r="C40"/>
      <c r="D40"/>
      <c r="E40" s="110"/>
      <c r="F40" s="110"/>
      <c r="G40"/>
      <c r="H40"/>
    </row>
    <row r="41" spans="1:8" ht="15" customHeight="1" x14ac:dyDescent="0.15">
      <c r="C41"/>
      <c r="D41"/>
      <c r="E41" s="110"/>
      <c r="F41" s="110"/>
      <c r="G41"/>
      <c r="H41"/>
    </row>
    <row r="42" spans="1:8" ht="15" customHeight="1" x14ac:dyDescent="0.15">
      <c r="C42"/>
      <c r="D42"/>
      <c r="E42" s="110"/>
      <c r="F42" s="110"/>
      <c r="G42"/>
      <c r="H42"/>
    </row>
    <row r="43" spans="1:8" ht="15" customHeight="1" x14ac:dyDescent="0.15">
      <c r="C43"/>
      <c r="D43"/>
      <c r="E43" s="110"/>
      <c r="F43" s="110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0"/>
      <c r="F46" s="110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0" sqref="F10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12.33203125" customWidth="1"/>
    <col min="5" max="5" width="12.1640625" bestFit="1" customWidth="1"/>
  </cols>
  <sheetData>
    <row r="1" spans="1:5" s="111" customFormat="1" ht="112" x14ac:dyDescent="0.15">
      <c r="A1" s="5" t="s">
        <v>21</v>
      </c>
      <c r="B1" s="3" t="s">
        <v>0</v>
      </c>
      <c r="C1" s="197" t="s">
        <v>228</v>
      </c>
      <c r="D1" s="179" t="s">
        <v>227</v>
      </c>
      <c r="E1"/>
    </row>
    <row r="2" spans="1:5" ht="15" customHeight="1" x14ac:dyDescent="0.15">
      <c r="A2">
        <v>1</v>
      </c>
      <c r="B2" s="178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8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8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8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78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78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78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78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78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78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8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78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78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78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78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78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8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78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8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8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8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78" t="s">
        <v>213</v>
      </c>
      <c r="C23">
        <v>0</v>
      </c>
      <c r="D23">
        <v>0</v>
      </c>
    </row>
    <row r="24" spans="1:4" ht="15" customHeight="1" x14ac:dyDescent="0.15">
      <c r="A24">
        <v>23</v>
      </c>
      <c r="B24" s="178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78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8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8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78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8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8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8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8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8" t="s">
        <v>223</v>
      </c>
      <c r="C33">
        <v>0</v>
      </c>
      <c r="D33">
        <v>0</v>
      </c>
    </row>
    <row r="34" spans="1:4" ht="15" customHeight="1" x14ac:dyDescent="0.15"/>
    <row r="35" spans="1:4" ht="15" customHeight="1" x14ac:dyDescent="0.15"/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0" sqref="F10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9.5" customWidth="1"/>
    <col min="5" max="5" width="12.1640625" bestFit="1" customWidth="1"/>
  </cols>
  <sheetData>
    <row r="1" spans="1:4" s="111" customFormat="1" ht="112" x14ac:dyDescent="0.15">
      <c r="A1" s="5" t="s">
        <v>22</v>
      </c>
      <c r="B1" s="3" t="s">
        <v>0</v>
      </c>
      <c r="C1" s="197" t="s">
        <v>228</v>
      </c>
      <c r="D1" s="181" t="s">
        <v>227</v>
      </c>
    </row>
    <row r="2" spans="1:4" x14ac:dyDescent="0.15">
      <c r="A2">
        <v>1</v>
      </c>
      <c r="B2" s="180" t="s">
        <v>192</v>
      </c>
      <c r="C2">
        <v>0</v>
      </c>
      <c r="D2">
        <v>0</v>
      </c>
    </row>
    <row r="3" spans="1:4" x14ac:dyDescent="0.15">
      <c r="A3">
        <v>2</v>
      </c>
      <c r="B3" s="180" t="s">
        <v>193</v>
      </c>
      <c r="C3">
        <v>0</v>
      </c>
      <c r="D3">
        <v>0</v>
      </c>
    </row>
    <row r="4" spans="1:4" x14ac:dyDescent="0.15">
      <c r="A4">
        <v>3</v>
      </c>
      <c r="B4" s="180" t="s">
        <v>194</v>
      </c>
      <c r="C4">
        <v>0</v>
      </c>
      <c r="D4">
        <v>0</v>
      </c>
    </row>
    <row r="5" spans="1:4" x14ac:dyDescent="0.15">
      <c r="A5">
        <v>4</v>
      </c>
      <c r="B5" s="180" t="s">
        <v>195</v>
      </c>
      <c r="C5">
        <v>0</v>
      </c>
      <c r="D5">
        <v>0</v>
      </c>
    </row>
    <row r="6" spans="1:4" x14ac:dyDescent="0.15">
      <c r="A6">
        <v>5</v>
      </c>
      <c r="B6" s="180" t="s">
        <v>196</v>
      </c>
      <c r="C6">
        <v>0</v>
      </c>
      <c r="D6">
        <v>0</v>
      </c>
    </row>
    <row r="7" spans="1:4" x14ac:dyDescent="0.15">
      <c r="A7">
        <v>6</v>
      </c>
      <c r="B7" s="180" t="s">
        <v>197</v>
      </c>
      <c r="C7">
        <v>0</v>
      </c>
      <c r="D7">
        <v>0</v>
      </c>
    </row>
    <row r="8" spans="1:4" x14ac:dyDescent="0.15">
      <c r="A8">
        <v>7</v>
      </c>
      <c r="B8" s="180" t="s">
        <v>198</v>
      </c>
      <c r="C8">
        <v>0</v>
      </c>
      <c r="D8">
        <v>0</v>
      </c>
    </row>
    <row r="9" spans="1:4" x14ac:dyDescent="0.15">
      <c r="A9">
        <v>8</v>
      </c>
      <c r="B9" s="180" t="s">
        <v>199</v>
      </c>
      <c r="C9">
        <v>0</v>
      </c>
      <c r="D9">
        <v>0</v>
      </c>
    </row>
    <row r="10" spans="1:4" x14ac:dyDescent="0.15">
      <c r="A10">
        <v>9</v>
      </c>
      <c r="B10" s="180" t="s">
        <v>200</v>
      </c>
      <c r="C10">
        <v>0</v>
      </c>
      <c r="D10">
        <v>0</v>
      </c>
    </row>
    <row r="11" spans="1:4" x14ac:dyDescent="0.15">
      <c r="A11">
        <v>10</v>
      </c>
      <c r="B11" s="180" t="s">
        <v>201</v>
      </c>
      <c r="C11">
        <v>0</v>
      </c>
      <c r="D11">
        <v>0</v>
      </c>
    </row>
    <row r="12" spans="1:4" x14ac:dyDescent="0.15">
      <c r="A12">
        <v>11</v>
      </c>
      <c r="B12" s="180" t="s">
        <v>202</v>
      </c>
      <c r="C12">
        <v>0</v>
      </c>
      <c r="D12">
        <v>0</v>
      </c>
    </row>
    <row r="13" spans="1:4" x14ac:dyDescent="0.15">
      <c r="A13">
        <v>12</v>
      </c>
      <c r="B13" s="180" t="s">
        <v>203</v>
      </c>
      <c r="C13">
        <v>0</v>
      </c>
      <c r="D13">
        <v>0</v>
      </c>
    </row>
    <row r="14" spans="1:4" x14ac:dyDescent="0.15">
      <c r="A14">
        <v>13</v>
      </c>
      <c r="B14" s="180" t="s">
        <v>204</v>
      </c>
      <c r="C14">
        <v>0</v>
      </c>
      <c r="D14">
        <v>0</v>
      </c>
    </row>
    <row r="15" spans="1:4" x14ac:dyDescent="0.15">
      <c r="A15">
        <v>14</v>
      </c>
      <c r="B15" s="180" t="s">
        <v>205</v>
      </c>
      <c r="C15">
        <v>0</v>
      </c>
      <c r="D15">
        <v>0</v>
      </c>
    </row>
    <row r="16" spans="1:4" x14ac:dyDescent="0.15">
      <c r="A16">
        <v>15</v>
      </c>
      <c r="B16" s="180" t="s">
        <v>206</v>
      </c>
      <c r="C16">
        <v>0</v>
      </c>
      <c r="D16">
        <v>0</v>
      </c>
    </row>
    <row r="17" spans="1:4" x14ac:dyDescent="0.15">
      <c r="A17">
        <v>16</v>
      </c>
      <c r="B17" s="180" t="s">
        <v>207</v>
      </c>
      <c r="C17">
        <v>0</v>
      </c>
      <c r="D17">
        <v>0</v>
      </c>
    </row>
    <row r="18" spans="1:4" x14ac:dyDescent="0.15">
      <c r="A18">
        <v>17</v>
      </c>
      <c r="B18" s="180" t="s">
        <v>208</v>
      </c>
      <c r="C18">
        <v>0</v>
      </c>
      <c r="D18">
        <v>0</v>
      </c>
    </row>
    <row r="19" spans="1:4" x14ac:dyDescent="0.15">
      <c r="A19">
        <v>18</v>
      </c>
      <c r="B19" s="180" t="s">
        <v>209</v>
      </c>
      <c r="C19">
        <v>0</v>
      </c>
      <c r="D19">
        <v>0</v>
      </c>
    </row>
    <row r="20" spans="1:4" x14ac:dyDescent="0.15">
      <c r="A20">
        <v>19</v>
      </c>
      <c r="B20" s="180" t="s">
        <v>210</v>
      </c>
      <c r="C20">
        <v>0</v>
      </c>
      <c r="D20">
        <v>0</v>
      </c>
    </row>
    <row r="21" spans="1:4" x14ac:dyDescent="0.15">
      <c r="A21">
        <v>20</v>
      </c>
      <c r="B21" s="180" t="s">
        <v>211</v>
      </c>
      <c r="C21">
        <v>0</v>
      </c>
      <c r="D21">
        <v>0</v>
      </c>
    </row>
    <row r="22" spans="1:4" x14ac:dyDescent="0.15">
      <c r="A22">
        <v>21</v>
      </c>
      <c r="B22" s="180" t="s">
        <v>212</v>
      </c>
      <c r="C22">
        <v>0</v>
      </c>
      <c r="D22">
        <v>0</v>
      </c>
    </row>
    <row r="23" spans="1:4" x14ac:dyDescent="0.15">
      <c r="A23">
        <v>22</v>
      </c>
      <c r="B23" s="180" t="s">
        <v>213</v>
      </c>
      <c r="C23">
        <v>0</v>
      </c>
      <c r="D23">
        <v>0</v>
      </c>
    </row>
    <row r="24" spans="1:4" x14ac:dyDescent="0.15">
      <c r="A24">
        <v>23</v>
      </c>
      <c r="B24" s="180" t="s">
        <v>214</v>
      </c>
      <c r="C24">
        <v>0</v>
      </c>
      <c r="D24">
        <v>0</v>
      </c>
    </row>
    <row r="25" spans="1:4" x14ac:dyDescent="0.15">
      <c r="A25">
        <v>24</v>
      </c>
      <c r="B25" s="180" t="s">
        <v>215</v>
      </c>
      <c r="C25">
        <v>0</v>
      </c>
      <c r="D25">
        <v>0</v>
      </c>
    </row>
    <row r="26" spans="1:4" x14ac:dyDescent="0.15">
      <c r="A26">
        <v>25</v>
      </c>
      <c r="B26" s="180" t="s">
        <v>216</v>
      </c>
      <c r="C26">
        <v>0</v>
      </c>
      <c r="D26">
        <v>0</v>
      </c>
    </row>
    <row r="27" spans="1:4" x14ac:dyDescent="0.15">
      <c r="A27">
        <v>26</v>
      </c>
      <c r="B27" s="180" t="s">
        <v>217</v>
      </c>
      <c r="C27">
        <v>0</v>
      </c>
      <c r="D27">
        <v>0</v>
      </c>
    </row>
    <row r="28" spans="1:4" x14ac:dyDescent="0.15">
      <c r="A28">
        <v>27</v>
      </c>
      <c r="B28" s="180" t="s">
        <v>218</v>
      </c>
      <c r="C28">
        <v>0</v>
      </c>
      <c r="D28">
        <v>0</v>
      </c>
    </row>
    <row r="29" spans="1:4" x14ac:dyDescent="0.15">
      <c r="A29">
        <v>28</v>
      </c>
      <c r="B29" s="180" t="s">
        <v>219</v>
      </c>
      <c r="C29">
        <v>0</v>
      </c>
      <c r="D29">
        <v>0</v>
      </c>
    </row>
    <row r="30" spans="1:4" x14ac:dyDescent="0.15">
      <c r="A30">
        <v>29</v>
      </c>
      <c r="B30" s="180" t="s">
        <v>220</v>
      </c>
      <c r="C30">
        <v>0</v>
      </c>
      <c r="D30">
        <v>0</v>
      </c>
    </row>
    <row r="31" spans="1:4" x14ac:dyDescent="0.15">
      <c r="A31">
        <v>30</v>
      </c>
      <c r="B31" s="180" t="s">
        <v>221</v>
      </c>
      <c r="C31">
        <v>0</v>
      </c>
      <c r="D31">
        <v>0</v>
      </c>
    </row>
    <row r="32" spans="1:4" x14ac:dyDescent="0.15">
      <c r="A32">
        <v>31</v>
      </c>
      <c r="B32" s="180" t="s">
        <v>222</v>
      </c>
      <c r="C32">
        <v>0</v>
      </c>
      <c r="D32">
        <v>0</v>
      </c>
    </row>
    <row r="33" spans="1:4" x14ac:dyDescent="0.15">
      <c r="A33">
        <v>32</v>
      </c>
      <c r="B33" s="180" t="s">
        <v>223</v>
      </c>
      <c r="C33">
        <v>0</v>
      </c>
      <c r="D3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M13" sqref="M13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9" width="10" customWidth="1"/>
    <col min="10" max="11" width="10" style="110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2" t="s">
        <v>192</v>
      </c>
      <c r="F2">
        <v>0.98</v>
      </c>
      <c r="G2">
        <v>0.8</v>
      </c>
      <c r="H2">
        <v>0.8</v>
      </c>
      <c r="I2">
        <v>0.8</v>
      </c>
      <c r="J2" s="110">
        <v>0.25</v>
      </c>
      <c r="K2" s="110">
        <v>0.05</v>
      </c>
    </row>
    <row r="3" spans="1:42" x14ac:dyDescent="0.15">
      <c r="A3" s="119" t="s">
        <v>75</v>
      </c>
      <c r="B3" s="121">
        <v>1</v>
      </c>
      <c r="D3">
        <v>2</v>
      </c>
      <c r="E3" s="182" t="s">
        <v>193</v>
      </c>
      <c r="F3">
        <v>0.98</v>
      </c>
      <c r="G3">
        <v>0.8</v>
      </c>
      <c r="H3">
        <v>0.8</v>
      </c>
      <c r="I3">
        <v>0.8</v>
      </c>
      <c r="J3" s="110">
        <v>0.25</v>
      </c>
      <c r="K3" s="110">
        <v>0.05</v>
      </c>
    </row>
    <row r="4" spans="1:42" x14ac:dyDescent="0.15">
      <c r="A4" s="119" t="s">
        <v>76</v>
      </c>
      <c r="B4" s="121">
        <v>1</v>
      </c>
      <c r="D4">
        <v>3</v>
      </c>
      <c r="E4" s="182" t="s">
        <v>194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2" t="s">
        <v>195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2" t="s">
        <v>196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2" t="s">
        <v>197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2" t="s">
        <v>198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60" t="s">
        <v>150</v>
      </c>
      <c r="D9">
        <v>8</v>
      </c>
      <c r="E9" s="182" t="s">
        <v>199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60" t="s">
        <v>150</v>
      </c>
      <c r="D10">
        <v>9</v>
      </c>
      <c r="E10" s="182" t="s">
        <v>200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2" t="s">
        <v>201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2" t="s">
        <v>202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2" t="s">
        <v>203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2" t="s">
        <v>204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2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2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2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2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2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2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2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2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2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2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2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2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2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2" t="s">
        <v>218</v>
      </c>
      <c r="F28">
        <v>0.98</v>
      </c>
      <c r="G28">
        <v>0.8</v>
      </c>
      <c r="H28">
        <v>0.8</v>
      </c>
      <c r="I28">
        <v>0.8</v>
      </c>
      <c r="J28" s="110">
        <v>0.25</v>
      </c>
      <c r="K28" s="110">
        <v>0.05</v>
      </c>
    </row>
    <row r="29" spans="4:33" ht="15" customHeight="1" x14ac:dyDescent="0.15">
      <c r="D29">
        <v>28</v>
      </c>
      <c r="E29" s="182" t="s">
        <v>219</v>
      </c>
      <c r="F29">
        <v>0.98</v>
      </c>
      <c r="G29">
        <v>0.8</v>
      </c>
      <c r="H29">
        <v>0.8</v>
      </c>
      <c r="I29">
        <v>0.8</v>
      </c>
      <c r="J29" s="110">
        <v>0.25</v>
      </c>
      <c r="K29" s="110">
        <v>0.05</v>
      </c>
      <c r="Y29"/>
      <c r="AC29"/>
      <c r="AG29"/>
    </row>
    <row r="30" spans="4:33" ht="15" customHeight="1" x14ac:dyDescent="0.15">
      <c r="D30">
        <v>29</v>
      </c>
      <c r="E30" s="182" t="s">
        <v>220</v>
      </c>
      <c r="F30">
        <v>0.98</v>
      </c>
      <c r="G30">
        <v>0.8</v>
      </c>
      <c r="H30">
        <v>0.8</v>
      </c>
      <c r="I30">
        <v>0</v>
      </c>
      <c r="J30" s="110">
        <v>0</v>
      </c>
      <c r="K30" s="110">
        <v>0</v>
      </c>
      <c r="Y30"/>
      <c r="AC30"/>
      <c r="AG30"/>
    </row>
    <row r="31" spans="4:33" ht="15" customHeight="1" x14ac:dyDescent="0.15">
      <c r="D31">
        <v>30</v>
      </c>
      <c r="E31" s="182" t="s">
        <v>221</v>
      </c>
      <c r="F31">
        <v>0.98</v>
      </c>
      <c r="G31">
        <v>0.8</v>
      </c>
      <c r="H31">
        <v>0.8</v>
      </c>
      <c r="I31">
        <v>0</v>
      </c>
      <c r="J31" s="110">
        <v>0</v>
      </c>
      <c r="K31" s="110">
        <v>0</v>
      </c>
      <c r="Y31"/>
      <c r="AC31"/>
      <c r="AG31"/>
    </row>
    <row r="32" spans="4:33" ht="15" customHeight="1" x14ac:dyDescent="0.15">
      <c r="D32">
        <v>31</v>
      </c>
      <c r="E32" s="182" t="s">
        <v>222</v>
      </c>
      <c r="F32">
        <v>0.98</v>
      </c>
      <c r="G32">
        <v>0.8</v>
      </c>
      <c r="H32">
        <v>0</v>
      </c>
      <c r="I32">
        <v>0</v>
      </c>
      <c r="J32" s="110">
        <v>0</v>
      </c>
      <c r="K32" s="110">
        <v>0</v>
      </c>
      <c r="Y32"/>
      <c r="AC32"/>
      <c r="AG32"/>
    </row>
    <row r="33" spans="4:33" ht="15" customHeight="1" x14ac:dyDescent="0.15">
      <c r="D33">
        <v>32</v>
      </c>
      <c r="E33" s="182" t="s">
        <v>223</v>
      </c>
      <c r="F33">
        <v>0.98</v>
      </c>
      <c r="G33">
        <v>0.8</v>
      </c>
      <c r="H33">
        <v>0</v>
      </c>
      <c r="I33">
        <v>0</v>
      </c>
      <c r="J33" s="110">
        <v>0</v>
      </c>
      <c r="K33" s="110">
        <v>0</v>
      </c>
      <c r="Y33"/>
      <c r="AC33"/>
      <c r="AG33"/>
    </row>
    <row r="34" spans="4:33" ht="15" customHeight="1" x14ac:dyDescent="0.15">
      <c r="J34"/>
      <c r="K34"/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1.6640625" style="108" bestFit="1" customWidth="1"/>
    <col min="2" max="29" width="3.83203125" style="108" customWidth="1"/>
    <col min="30" max="33" width="2.33203125" style="108" customWidth="1"/>
    <col min="34" max="16384" width="10.83203125" style="108"/>
  </cols>
  <sheetData>
    <row r="1" spans="1:33" x14ac:dyDescent="0.15">
      <c r="A1" s="62" t="s">
        <v>118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</row>
    <row r="2" spans="1:33" customFormat="1" x14ac:dyDescent="0.15">
      <c r="A2" s="183" t="s">
        <v>192</v>
      </c>
      <c r="B2" s="108">
        <v>0.8</v>
      </c>
      <c r="C2" s="108">
        <v>0</v>
      </c>
      <c r="D2" s="108">
        <v>0</v>
      </c>
      <c r="E2" s="108">
        <v>0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</row>
    <row r="3" spans="1:33" customFormat="1" x14ac:dyDescent="0.15">
      <c r="A3" s="183" t="s">
        <v>193</v>
      </c>
      <c r="B3" s="108">
        <v>0</v>
      </c>
      <c r="C3" s="108">
        <v>0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</row>
    <row r="4" spans="1:33" customFormat="1" x14ac:dyDescent="0.15">
      <c r="A4" s="183" t="s">
        <v>194</v>
      </c>
      <c r="B4" s="108">
        <v>0.8</v>
      </c>
      <c r="C4" s="108">
        <v>0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</row>
    <row r="5" spans="1:33" customFormat="1" x14ac:dyDescent="0.15">
      <c r="A5" s="183" t="s">
        <v>195</v>
      </c>
      <c r="B5" s="108">
        <v>0.8</v>
      </c>
      <c r="C5" s="108">
        <v>0</v>
      </c>
      <c r="D5" s="108">
        <v>0</v>
      </c>
      <c r="E5" s="108">
        <v>0</v>
      </c>
      <c r="F5" s="108">
        <v>0.8</v>
      </c>
      <c r="G5" s="108">
        <v>0.8</v>
      </c>
      <c r="H5" s="108">
        <v>0.8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</row>
    <row r="6" spans="1:33" customFormat="1" x14ac:dyDescent="0.15">
      <c r="A6" s="183" t="s">
        <v>196</v>
      </c>
      <c r="B6" s="108">
        <v>0.8</v>
      </c>
      <c r="C6" s="108">
        <v>0</v>
      </c>
      <c r="D6" s="108">
        <v>0.8</v>
      </c>
      <c r="E6" s="108">
        <v>0</v>
      </c>
      <c r="F6" s="108">
        <v>0</v>
      </c>
      <c r="G6" s="108">
        <v>0.8</v>
      </c>
      <c r="H6" s="108">
        <v>0.8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</row>
    <row r="7" spans="1:33" customFormat="1" x14ac:dyDescent="0.15">
      <c r="A7" s="183" t="s">
        <v>197</v>
      </c>
      <c r="B7" s="108">
        <v>0.8</v>
      </c>
      <c r="C7" s="108">
        <v>0</v>
      </c>
      <c r="D7" s="108">
        <v>0.8</v>
      </c>
      <c r="E7" s="108">
        <v>0</v>
      </c>
      <c r="F7" s="108">
        <v>0</v>
      </c>
      <c r="G7" s="108">
        <v>0</v>
      </c>
      <c r="H7" s="108">
        <v>0.8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</row>
    <row r="8" spans="1:33" customFormat="1" x14ac:dyDescent="0.15">
      <c r="A8" s="183" t="s">
        <v>198</v>
      </c>
      <c r="B8" s="108">
        <v>0.8</v>
      </c>
      <c r="C8" s="108">
        <v>0</v>
      </c>
      <c r="D8" s="108">
        <v>0.8</v>
      </c>
      <c r="E8" s="108">
        <v>0</v>
      </c>
      <c r="F8" s="108">
        <v>0</v>
      </c>
      <c r="G8" s="108">
        <v>0.8</v>
      </c>
      <c r="H8" s="108">
        <v>0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</row>
    <row r="9" spans="1:33" customFormat="1" x14ac:dyDescent="0.15">
      <c r="A9" s="183" t="s">
        <v>199</v>
      </c>
      <c r="B9" s="108">
        <v>0.8</v>
      </c>
      <c r="C9" s="108">
        <v>0.8</v>
      </c>
      <c r="D9" s="108">
        <v>0</v>
      </c>
      <c r="E9" s="108">
        <v>0</v>
      </c>
      <c r="F9" s="108">
        <v>0.8</v>
      </c>
      <c r="G9" s="108">
        <v>0.8</v>
      </c>
      <c r="H9" s="108">
        <v>0.8</v>
      </c>
      <c r="I9" s="108">
        <v>0</v>
      </c>
      <c r="J9" s="108">
        <v>0</v>
      </c>
      <c r="K9" s="108">
        <v>0</v>
      </c>
      <c r="L9" s="108">
        <v>0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0.8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</row>
    <row r="10" spans="1:33" customFormat="1" x14ac:dyDescent="0.15">
      <c r="A10" s="183" t="s">
        <v>200</v>
      </c>
      <c r="B10" s="108">
        <v>0.8</v>
      </c>
      <c r="C10" s="108">
        <v>0.8</v>
      </c>
      <c r="D10" s="108">
        <v>0.8</v>
      </c>
      <c r="E10" s="108">
        <v>0</v>
      </c>
      <c r="F10" s="108">
        <v>0</v>
      </c>
      <c r="G10" s="108">
        <v>0.8</v>
      </c>
      <c r="H10" s="108">
        <v>0.8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</row>
    <row r="11" spans="1:33" customFormat="1" x14ac:dyDescent="0.15">
      <c r="A11" s="183" t="s">
        <v>201</v>
      </c>
      <c r="B11" s="108">
        <v>0.8</v>
      </c>
      <c r="C11" s="108">
        <v>0.8</v>
      </c>
      <c r="D11" s="108">
        <v>0.8</v>
      </c>
      <c r="E11" s="108">
        <v>0</v>
      </c>
      <c r="F11" s="108">
        <v>0.8</v>
      </c>
      <c r="G11" s="108">
        <v>0.8</v>
      </c>
      <c r="H11" s="108">
        <v>0.8</v>
      </c>
      <c r="I11" s="108">
        <v>0</v>
      </c>
      <c r="J11" s="108">
        <v>0</v>
      </c>
      <c r="K11" s="108">
        <v>0</v>
      </c>
      <c r="L11" s="108">
        <v>0</v>
      </c>
      <c r="M11" s="108">
        <v>0</v>
      </c>
      <c r="N11" s="108">
        <v>0</v>
      </c>
      <c r="O11" s="108">
        <v>0.8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</row>
    <row r="12" spans="1:33" customFormat="1" x14ac:dyDescent="0.15">
      <c r="A12" s="183" t="s">
        <v>202</v>
      </c>
      <c r="B12" s="108">
        <v>0.8</v>
      </c>
      <c r="C12" s="108">
        <v>0</v>
      </c>
      <c r="D12" s="108">
        <v>0</v>
      </c>
      <c r="E12" s="108">
        <v>0</v>
      </c>
      <c r="F12" s="108">
        <v>0.8</v>
      </c>
      <c r="G12" s="108">
        <v>0.8</v>
      </c>
      <c r="H12" s="108">
        <v>0.8</v>
      </c>
      <c r="I12" s="108">
        <v>0</v>
      </c>
      <c r="J12" s="108">
        <v>0</v>
      </c>
      <c r="K12" s="108">
        <v>0</v>
      </c>
      <c r="L12" s="108">
        <v>0</v>
      </c>
      <c r="M12" s="108">
        <v>0</v>
      </c>
      <c r="N12" s="108">
        <v>0</v>
      </c>
      <c r="O12" s="108">
        <v>0.8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</row>
    <row r="13" spans="1:33" customFormat="1" x14ac:dyDescent="0.15">
      <c r="A13" s="183" t="s">
        <v>203</v>
      </c>
      <c r="B13" s="108">
        <v>0.8</v>
      </c>
      <c r="C13" s="108">
        <v>0.8</v>
      </c>
      <c r="D13" s="108">
        <v>0.8</v>
      </c>
      <c r="E13" s="108">
        <v>0</v>
      </c>
      <c r="F13" s="108">
        <v>0.8</v>
      </c>
      <c r="G13" s="108">
        <v>0.8</v>
      </c>
      <c r="H13" s="108">
        <v>0.8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0.8</v>
      </c>
      <c r="P13" s="108">
        <v>0</v>
      </c>
      <c r="Q13" s="108">
        <v>0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</row>
    <row r="14" spans="1:33" customFormat="1" x14ac:dyDescent="0.15">
      <c r="A14" s="183" t="s">
        <v>204</v>
      </c>
      <c r="B14" s="108">
        <v>0.8</v>
      </c>
      <c r="C14" s="108">
        <v>0</v>
      </c>
      <c r="D14" s="108">
        <v>0.8</v>
      </c>
      <c r="E14" s="108">
        <v>0</v>
      </c>
      <c r="F14" s="108">
        <v>0</v>
      </c>
      <c r="G14" s="108">
        <v>0.8</v>
      </c>
      <c r="H14" s="108">
        <v>0.8</v>
      </c>
      <c r="I14" s="108">
        <v>0.8</v>
      </c>
      <c r="J14" s="108">
        <v>0</v>
      </c>
      <c r="K14" s="108">
        <v>0</v>
      </c>
      <c r="L14" s="108">
        <v>0</v>
      </c>
      <c r="M14" s="108">
        <v>0</v>
      </c>
      <c r="N14" s="108">
        <v>0</v>
      </c>
      <c r="O14" s="108">
        <v>0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0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</row>
    <row r="15" spans="1:33" customFormat="1" x14ac:dyDescent="0.15">
      <c r="A15" s="183" t="s">
        <v>205</v>
      </c>
      <c r="B15" s="108">
        <v>0.8</v>
      </c>
      <c r="C15" s="108">
        <v>0.8</v>
      </c>
      <c r="D15" s="108">
        <v>0</v>
      </c>
      <c r="E15" s="108">
        <v>0</v>
      </c>
      <c r="F15" s="108">
        <v>0</v>
      </c>
      <c r="G15" s="108">
        <v>0.8</v>
      </c>
      <c r="H15" s="108">
        <v>0.8</v>
      </c>
      <c r="I15" s="108">
        <v>0</v>
      </c>
      <c r="J15" s="108">
        <v>0</v>
      </c>
      <c r="K15" s="108">
        <v>0</v>
      </c>
      <c r="L15" s="108">
        <v>0</v>
      </c>
      <c r="M15" s="108">
        <v>0</v>
      </c>
      <c r="N15" s="108">
        <v>0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</row>
    <row r="16" spans="1:33" customFormat="1" x14ac:dyDescent="0.15">
      <c r="A16" s="183" t="s">
        <v>206</v>
      </c>
      <c r="B16" s="108">
        <v>0.8</v>
      </c>
      <c r="C16" s="108">
        <v>0.8</v>
      </c>
      <c r="D16" s="108">
        <v>0.8</v>
      </c>
      <c r="E16" s="108">
        <v>0</v>
      </c>
      <c r="F16" s="108">
        <v>0.8</v>
      </c>
      <c r="G16" s="108">
        <v>0.8</v>
      </c>
      <c r="H16" s="108">
        <v>0.8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0.8</v>
      </c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</row>
    <row r="17" spans="1:33" customFormat="1" x14ac:dyDescent="0.15">
      <c r="A17" s="183" t="s">
        <v>207</v>
      </c>
      <c r="B17" s="108">
        <v>0.8</v>
      </c>
      <c r="C17" s="108">
        <v>0</v>
      </c>
      <c r="D17" s="108">
        <v>0.8</v>
      </c>
      <c r="E17" s="108">
        <v>0</v>
      </c>
      <c r="F17" s="108">
        <v>0.8</v>
      </c>
      <c r="G17" s="108">
        <v>0.8</v>
      </c>
      <c r="H17" s="108">
        <v>0.8</v>
      </c>
      <c r="I17" s="108">
        <v>0</v>
      </c>
      <c r="J17" s="108">
        <v>0</v>
      </c>
      <c r="K17" s="108">
        <v>0</v>
      </c>
      <c r="L17" s="108">
        <v>0</v>
      </c>
      <c r="M17" s="108">
        <v>0</v>
      </c>
      <c r="N17" s="108">
        <v>0</v>
      </c>
      <c r="O17" s="108">
        <v>0</v>
      </c>
      <c r="P17" s="108">
        <v>0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</row>
    <row r="18" spans="1:33" customFormat="1" x14ac:dyDescent="0.15">
      <c r="A18" s="183" t="s">
        <v>208</v>
      </c>
      <c r="B18" s="108">
        <v>0.8</v>
      </c>
      <c r="C18" s="108">
        <v>0.8</v>
      </c>
      <c r="D18" s="108">
        <v>0.8</v>
      </c>
      <c r="E18" s="108">
        <v>0</v>
      </c>
      <c r="F18" s="108">
        <v>0.8</v>
      </c>
      <c r="G18" s="108">
        <v>0.8</v>
      </c>
      <c r="H18" s="108">
        <v>0.8</v>
      </c>
      <c r="I18" s="108">
        <v>0.8</v>
      </c>
      <c r="J18" s="108">
        <v>0.8</v>
      </c>
      <c r="K18" s="108">
        <v>0.8</v>
      </c>
      <c r="L18" s="108">
        <v>0.8</v>
      </c>
      <c r="M18" s="108">
        <v>0.8</v>
      </c>
      <c r="N18" s="108">
        <v>0.8</v>
      </c>
      <c r="O18" s="108">
        <v>0.8</v>
      </c>
      <c r="P18" s="108">
        <v>0.8</v>
      </c>
      <c r="Q18" s="108">
        <v>0</v>
      </c>
      <c r="R18" s="108">
        <v>0</v>
      </c>
      <c r="S18" s="108">
        <v>0</v>
      </c>
      <c r="T18" s="108">
        <v>0</v>
      </c>
      <c r="U18" s="108">
        <v>0</v>
      </c>
      <c r="V18" s="108">
        <v>0.8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</row>
    <row r="19" spans="1:33" customFormat="1" x14ac:dyDescent="0.15">
      <c r="A19" s="183" t="s">
        <v>209</v>
      </c>
      <c r="B19" s="108">
        <v>0.8</v>
      </c>
      <c r="C19" s="108">
        <v>0.8</v>
      </c>
      <c r="D19" s="108">
        <v>0.8</v>
      </c>
      <c r="E19" s="108">
        <v>0</v>
      </c>
      <c r="F19" s="108">
        <v>0.8</v>
      </c>
      <c r="G19" s="108">
        <v>0.8</v>
      </c>
      <c r="H19" s="108">
        <v>0.8</v>
      </c>
      <c r="I19" s="108">
        <v>0.8</v>
      </c>
      <c r="J19" s="108">
        <v>0.8</v>
      </c>
      <c r="K19" s="108">
        <v>0.8</v>
      </c>
      <c r="L19" s="108">
        <v>0.8</v>
      </c>
      <c r="M19" s="108">
        <v>0.8</v>
      </c>
      <c r="N19" s="108">
        <v>0.8</v>
      </c>
      <c r="O19" s="108">
        <v>0.8</v>
      </c>
      <c r="P19" s="108">
        <v>0</v>
      </c>
      <c r="Q19" s="108">
        <v>0</v>
      </c>
      <c r="R19" s="108">
        <v>0</v>
      </c>
      <c r="S19" s="108">
        <v>0</v>
      </c>
      <c r="T19" s="108">
        <v>0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</row>
    <row r="20" spans="1:33" customFormat="1" x14ac:dyDescent="0.15">
      <c r="A20" s="183" t="s">
        <v>210</v>
      </c>
      <c r="B20" s="108">
        <v>0.8</v>
      </c>
      <c r="C20" s="108">
        <v>0.8</v>
      </c>
      <c r="D20" s="108">
        <v>0.8</v>
      </c>
      <c r="E20" s="108">
        <v>0</v>
      </c>
      <c r="F20" s="108">
        <v>0.8</v>
      </c>
      <c r="G20" s="108">
        <v>0.8</v>
      </c>
      <c r="H20" s="108">
        <v>0.8</v>
      </c>
      <c r="I20" s="108">
        <v>0.8</v>
      </c>
      <c r="J20" s="108">
        <v>0.8</v>
      </c>
      <c r="K20" s="108">
        <v>0.8</v>
      </c>
      <c r="L20" s="108">
        <v>0.8</v>
      </c>
      <c r="M20" s="108">
        <v>0.8</v>
      </c>
      <c r="N20" s="108">
        <v>0.8</v>
      </c>
      <c r="O20" s="108">
        <v>0.8</v>
      </c>
      <c r="P20" s="108">
        <v>0.8</v>
      </c>
      <c r="Q20" s="108">
        <v>0</v>
      </c>
      <c r="R20" s="108">
        <v>0</v>
      </c>
      <c r="S20" s="108">
        <v>0</v>
      </c>
      <c r="T20" s="108">
        <v>0</v>
      </c>
      <c r="U20" s="108">
        <v>0</v>
      </c>
      <c r="V20" s="108">
        <v>0.8</v>
      </c>
      <c r="W20" s="108">
        <v>0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</row>
    <row r="21" spans="1:33" customFormat="1" x14ac:dyDescent="0.15">
      <c r="A21" s="183" t="s">
        <v>211</v>
      </c>
      <c r="B21" s="108">
        <v>0.8</v>
      </c>
      <c r="C21" s="108">
        <v>0.8</v>
      </c>
      <c r="D21" s="108">
        <v>0.8</v>
      </c>
      <c r="E21" s="108">
        <v>0</v>
      </c>
      <c r="F21" s="108">
        <v>0.8</v>
      </c>
      <c r="G21" s="108">
        <v>0.8</v>
      </c>
      <c r="H21" s="108">
        <v>0.8</v>
      </c>
      <c r="I21" s="108">
        <v>0</v>
      </c>
      <c r="J21" s="108">
        <v>0</v>
      </c>
      <c r="K21" s="108">
        <v>0.8</v>
      </c>
      <c r="L21" s="108">
        <v>0</v>
      </c>
      <c r="M21" s="108">
        <v>0.8</v>
      </c>
      <c r="N21" s="108">
        <v>0.8</v>
      </c>
      <c r="O21" s="108">
        <v>0.8</v>
      </c>
      <c r="P21" s="108">
        <v>0.8</v>
      </c>
      <c r="Q21" s="108">
        <v>0.8</v>
      </c>
      <c r="R21" s="108">
        <v>0</v>
      </c>
      <c r="S21" s="108">
        <v>0</v>
      </c>
      <c r="T21" s="108">
        <v>0</v>
      </c>
      <c r="U21" s="108">
        <v>0</v>
      </c>
      <c r="V21" s="108">
        <v>0.8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  <c r="AF21" s="108">
        <v>0</v>
      </c>
      <c r="AG21" s="108">
        <v>0</v>
      </c>
    </row>
    <row r="22" spans="1:33" customFormat="1" x14ac:dyDescent="0.15">
      <c r="A22" s="183" t="s">
        <v>212</v>
      </c>
      <c r="B22" s="108">
        <v>0.8</v>
      </c>
      <c r="C22" s="108">
        <v>0.8</v>
      </c>
      <c r="D22" s="108">
        <v>0.8</v>
      </c>
      <c r="E22" s="108">
        <v>0</v>
      </c>
      <c r="F22" s="108">
        <v>0.8</v>
      </c>
      <c r="G22" s="108">
        <v>0.8</v>
      </c>
      <c r="H22" s="108">
        <v>0.8</v>
      </c>
      <c r="I22" s="108">
        <v>0</v>
      </c>
      <c r="J22" s="108">
        <v>0</v>
      </c>
      <c r="K22" s="108">
        <v>0</v>
      </c>
      <c r="L22" s="108">
        <v>0</v>
      </c>
      <c r="M22" s="108">
        <v>0</v>
      </c>
      <c r="N22" s="108">
        <v>0</v>
      </c>
      <c r="O22" s="108">
        <v>0.8</v>
      </c>
      <c r="P22" s="108">
        <v>0</v>
      </c>
      <c r="Q22" s="108">
        <v>0</v>
      </c>
      <c r="R22" s="108">
        <v>0</v>
      </c>
      <c r="S22" s="108">
        <v>0</v>
      </c>
      <c r="T22" s="108">
        <v>0</v>
      </c>
      <c r="U22" s="108">
        <v>0</v>
      </c>
      <c r="V22" s="108">
        <v>0</v>
      </c>
      <c r="W22" s="108">
        <v>0</v>
      </c>
      <c r="X22" s="108">
        <v>0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</row>
    <row r="23" spans="1:33" customFormat="1" x14ac:dyDescent="0.15">
      <c r="A23" s="183" t="s">
        <v>213</v>
      </c>
      <c r="B23" s="108">
        <v>0.8</v>
      </c>
      <c r="C23" s="108">
        <v>0.8</v>
      </c>
      <c r="D23" s="108">
        <v>0.8</v>
      </c>
      <c r="E23" s="108">
        <v>0</v>
      </c>
      <c r="F23" s="108">
        <v>0.8</v>
      </c>
      <c r="G23" s="108">
        <v>0.8</v>
      </c>
      <c r="H23" s="108">
        <v>0.8</v>
      </c>
      <c r="I23" s="108">
        <v>0.8</v>
      </c>
      <c r="J23" s="108">
        <v>0.8</v>
      </c>
      <c r="K23" s="108">
        <v>0.8</v>
      </c>
      <c r="L23" s="108">
        <v>0.8</v>
      </c>
      <c r="M23" s="108">
        <v>0.8</v>
      </c>
      <c r="N23" s="108">
        <v>0.8</v>
      </c>
      <c r="O23" s="108">
        <v>0.8</v>
      </c>
      <c r="P23" s="108">
        <v>0</v>
      </c>
      <c r="Q23" s="108">
        <v>0</v>
      </c>
      <c r="R23" s="108">
        <v>0</v>
      </c>
      <c r="S23" s="108">
        <v>0</v>
      </c>
      <c r="T23" s="108">
        <v>0</v>
      </c>
      <c r="U23" s="108">
        <v>0</v>
      </c>
      <c r="V23" s="108">
        <v>0.8</v>
      </c>
      <c r="W23" s="108">
        <v>0</v>
      </c>
      <c r="X23" s="108">
        <v>0</v>
      </c>
      <c r="Y23" s="108">
        <v>0</v>
      </c>
      <c r="Z23" s="108">
        <v>0</v>
      </c>
      <c r="AA23" s="108">
        <v>0</v>
      </c>
      <c r="AB23" s="108">
        <v>0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</row>
    <row r="24" spans="1:33" customFormat="1" x14ac:dyDescent="0.15">
      <c r="A24" s="183" t="s">
        <v>214</v>
      </c>
      <c r="B24" s="108">
        <v>0.8</v>
      </c>
      <c r="C24" s="108">
        <v>0.8</v>
      </c>
      <c r="D24" s="108">
        <v>0.8</v>
      </c>
      <c r="E24" s="108">
        <v>0</v>
      </c>
      <c r="F24" s="108">
        <v>0.8</v>
      </c>
      <c r="G24" s="108">
        <v>0.8</v>
      </c>
      <c r="H24" s="108">
        <v>0.8</v>
      </c>
      <c r="I24" s="108">
        <v>0.8</v>
      </c>
      <c r="J24" s="108">
        <v>0.8</v>
      </c>
      <c r="K24" s="108">
        <v>0.8</v>
      </c>
      <c r="L24" s="108">
        <v>0.8</v>
      </c>
      <c r="M24" s="108">
        <v>0.8</v>
      </c>
      <c r="N24" s="108">
        <v>0.8</v>
      </c>
      <c r="O24" s="108">
        <v>0.8</v>
      </c>
      <c r="P24" s="108">
        <v>0</v>
      </c>
      <c r="Q24" s="108">
        <v>0</v>
      </c>
      <c r="R24" s="108">
        <v>0</v>
      </c>
      <c r="S24" s="108">
        <v>0</v>
      </c>
      <c r="T24" s="108">
        <v>0</v>
      </c>
      <c r="U24" s="108">
        <v>0</v>
      </c>
      <c r="V24" s="108">
        <v>0.8</v>
      </c>
      <c r="W24" s="108">
        <v>0</v>
      </c>
      <c r="X24" s="108">
        <v>0</v>
      </c>
      <c r="Y24" s="108">
        <v>0</v>
      </c>
      <c r="Z24" s="108">
        <v>0</v>
      </c>
      <c r="AA24" s="108">
        <v>0</v>
      </c>
      <c r="AB24" s="108">
        <v>0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</row>
    <row r="25" spans="1:33" customFormat="1" x14ac:dyDescent="0.15">
      <c r="A25" s="183" t="s">
        <v>215</v>
      </c>
      <c r="B25" s="108">
        <v>0.8</v>
      </c>
      <c r="C25" s="108">
        <v>0.8</v>
      </c>
      <c r="D25" s="108">
        <v>0.8</v>
      </c>
      <c r="E25" s="108">
        <v>0.8</v>
      </c>
      <c r="F25" s="108">
        <v>0.8</v>
      </c>
      <c r="G25" s="108">
        <v>0.8</v>
      </c>
      <c r="H25" s="108">
        <v>0.8</v>
      </c>
      <c r="I25" s="108">
        <v>0.8</v>
      </c>
      <c r="J25" s="108">
        <v>0.8</v>
      </c>
      <c r="K25" s="108">
        <v>0.8</v>
      </c>
      <c r="L25" s="108">
        <v>0.8</v>
      </c>
      <c r="M25" s="108">
        <v>0.8</v>
      </c>
      <c r="N25" s="108">
        <v>0.8</v>
      </c>
      <c r="O25" s="108">
        <v>0.8</v>
      </c>
      <c r="P25" s="108">
        <v>0.8</v>
      </c>
      <c r="Q25" s="108">
        <v>0.8</v>
      </c>
      <c r="R25" s="108">
        <v>0.8</v>
      </c>
      <c r="S25" s="108">
        <v>0.8</v>
      </c>
      <c r="T25" s="108">
        <v>0</v>
      </c>
      <c r="U25" s="108">
        <v>0</v>
      </c>
      <c r="V25" s="108">
        <v>0.8</v>
      </c>
      <c r="W25" s="108">
        <v>0</v>
      </c>
      <c r="X25" s="108">
        <v>0.8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</row>
    <row r="26" spans="1:33" customFormat="1" x14ac:dyDescent="0.15">
      <c r="A26" s="183" t="s">
        <v>216</v>
      </c>
      <c r="B26" s="108">
        <v>0.8</v>
      </c>
      <c r="C26" s="108">
        <v>0.8</v>
      </c>
      <c r="D26" s="108">
        <v>0.8</v>
      </c>
      <c r="E26" s="108">
        <v>0</v>
      </c>
      <c r="F26" s="108">
        <v>0.8</v>
      </c>
      <c r="G26" s="108">
        <v>0.8</v>
      </c>
      <c r="H26" s="108">
        <v>0.8</v>
      </c>
      <c r="I26" s="108">
        <v>0.8</v>
      </c>
      <c r="J26" s="108">
        <v>0.8</v>
      </c>
      <c r="K26" s="108">
        <v>0.8</v>
      </c>
      <c r="L26" s="108">
        <v>0.8</v>
      </c>
      <c r="M26" s="108">
        <v>0.8</v>
      </c>
      <c r="N26" s="108">
        <v>0.8</v>
      </c>
      <c r="O26" s="108">
        <v>0</v>
      </c>
      <c r="P26" s="108">
        <v>0.8</v>
      </c>
      <c r="Q26" s="108">
        <v>0.8</v>
      </c>
      <c r="R26" s="108">
        <v>0</v>
      </c>
      <c r="S26" s="108">
        <v>0.8</v>
      </c>
      <c r="T26" s="108">
        <v>0</v>
      </c>
      <c r="U26" s="108">
        <v>0</v>
      </c>
      <c r="V26" s="108">
        <v>0.8</v>
      </c>
      <c r="W26" s="108">
        <v>0</v>
      </c>
      <c r="X26" s="108">
        <v>0</v>
      </c>
      <c r="Y26" s="108">
        <v>0</v>
      </c>
      <c r="Z26" s="108">
        <v>0.8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</row>
    <row r="27" spans="1:33" customFormat="1" x14ac:dyDescent="0.15">
      <c r="A27" s="183" t="s">
        <v>217</v>
      </c>
      <c r="B27" s="108">
        <v>0.8</v>
      </c>
      <c r="C27" s="108">
        <v>0.8</v>
      </c>
      <c r="D27" s="108">
        <v>0.8</v>
      </c>
      <c r="E27" s="108">
        <v>0.8</v>
      </c>
      <c r="F27" s="108">
        <v>0.8</v>
      </c>
      <c r="G27" s="108">
        <v>0.8</v>
      </c>
      <c r="H27" s="108">
        <v>0</v>
      </c>
      <c r="I27" s="108">
        <v>0.8</v>
      </c>
      <c r="J27" s="108">
        <v>0.8</v>
      </c>
      <c r="K27" s="108">
        <v>0.8</v>
      </c>
      <c r="L27" s="108">
        <v>0.8</v>
      </c>
      <c r="M27" s="108">
        <v>0</v>
      </c>
      <c r="N27" s="108">
        <v>0.8</v>
      </c>
      <c r="O27" s="108">
        <v>0.8</v>
      </c>
      <c r="P27" s="108">
        <v>0.8</v>
      </c>
      <c r="Q27" s="108">
        <v>0.8</v>
      </c>
      <c r="R27" s="108">
        <v>0.8</v>
      </c>
      <c r="S27" s="108">
        <v>0.8</v>
      </c>
      <c r="T27" s="108">
        <v>0.8</v>
      </c>
      <c r="U27" s="108">
        <v>0.8</v>
      </c>
      <c r="V27" s="108">
        <v>0.8</v>
      </c>
      <c r="W27" s="108">
        <v>0.8</v>
      </c>
      <c r="X27" s="108">
        <v>0.8</v>
      </c>
      <c r="Y27" s="108">
        <v>0</v>
      </c>
      <c r="Z27" s="108">
        <v>0.8</v>
      </c>
      <c r="AA27" s="108">
        <v>0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</row>
    <row r="28" spans="1:33" customFormat="1" x14ac:dyDescent="0.15">
      <c r="A28" s="183" t="s">
        <v>218</v>
      </c>
      <c r="B28" s="108">
        <v>0</v>
      </c>
      <c r="C28" s="108">
        <v>0</v>
      </c>
      <c r="D28" s="108">
        <v>0</v>
      </c>
      <c r="E28" s="108">
        <v>0.8</v>
      </c>
      <c r="F28" s="108">
        <v>0.8</v>
      </c>
      <c r="G28" s="108">
        <v>0</v>
      </c>
      <c r="H28" s="108">
        <v>0.8</v>
      </c>
      <c r="I28" s="108">
        <v>0.8</v>
      </c>
      <c r="J28" s="108">
        <v>0</v>
      </c>
      <c r="K28" s="108">
        <v>0.8</v>
      </c>
      <c r="L28" s="108">
        <v>0.8</v>
      </c>
      <c r="M28" s="108">
        <v>0.8</v>
      </c>
      <c r="N28" s="108">
        <v>0.8</v>
      </c>
      <c r="O28" s="108">
        <v>0</v>
      </c>
      <c r="P28" s="108">
        <v>0.8</v>
      </c>
      <c r="Q28" s="108">
        <v>0.8</v>
      </c>
      <c r="R28" s="108">
        <v>0.8</v>
      </c>
      <c r="S28" s="108">
        <v>0.8</v>
      </c>
      <c r="T28" s="108">
        <v>0.8</v>
      </c>
      <c r="U28" s="108">
        <v>0.8</v>
      </c>
      <c r="V28" s="108">
        <v>0.8</v>
      </c>
      <c r="W28" s="108">
        <v>0.8</v>
      </c>
      <c r="X28" s="108">
        <v>0.8</v>
      </c>
      <c r="Y28" s="108">
        <v>0.8</v>
      </c>
      <c r="Z28" s="108">
        <v>0.8</v>
      </c>
      <c r="AA28" s="108">
        <v>0</v>
      </c>
      <c r="AB28" s="108">
        <v>0.8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</row>
    <row r="29" spans="1:33" customFormat="1" x14ac:dyDescent="0.15">
      <c r="A29" s="183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0.8</v>
      </c>
      <c r="G29" s="108">
        <v>0</v>
      </c>
      <c r="H29" s="108">
        <v>0.8</v>
      </c>
      <c r="I29" s="108">
        <v>0.8</v>
      </c>
      <c r="J29" s="108">
        <v>0</v>
      </c>
      <c r="K29" s="108">
        <v>0.8</v>
      </c>
      <c r="L29" s="108">
        <v>0.8</v>
      </c>
      <c r="M29" s="108">
        <v>0.8</v>
      </c>
      <c r="N29" s="108">
        <v>0.8</v>
      </c>
      <c r="O29" s="108">
        <v>0.8</v>
      </c>
      <c r="P29" s="108">
        <v>0.8</v>
      </c>
      <c r="Q29" s="108">
        <v>0.8</v>
      </c>
      <c r="R29" s="108">
        <v>0.8</v>
      </c>
      <c r="S29" s="108">
        <v>0.8</v>
      </c>
      <c r="T29" s="108">
        <v>0.8</v>
      </c>
      <c r="U29" s="108">
        <v>0.8</v>
      </c>
      <c r="V29" s="108">
        <v>0.8</v>
      </c>
      <c r="W29" s="108">
        <v>0.8</v>
      </c>
      <c r="X29" s="108">
        <v>0.8</v>
      </c>
      <c r="Y29" s="108">
        <v>0.8</v>
      </c>
      <c r="Z29" s="108">
        <v>0.8</v>
      </c>
      <c r="AA29" s="108">
        <v>0</v>
      </c>
      <c r="AB29" s="108">
        <v>0.8</v>
      </c>
      <c r="AC29" s="108">
        <v>0.8</v>
      </c>
      <c r="AD29" s="108">
        <v>0</v>
      </c>
      <c r="AE29" s="108">
        <v>0</v>
      </c>
      <c r="AF29" s="108">
        <v>0</v>
      </c>
      <c r="AG29" s="108">
        <v>0</v>
      </c>
    </row>
    <row r="30" spans="1:33" customFormat="1" x14ac:dyDescent="0.15">
      <c r="A30" s="183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0.8</v>
      </c>
      <c r="L30" s="108">
        <v>0.8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0.8</v>
      </c>
      <c r="S30" s="108">
        <v>0.8</v>
      </c>
      <c r="T30" s="108">
        <v>0.8</v>
      </c>
      <c r="U30" s="108">
        <v>0.8</v>
      </c>
      <c r="V30" s="108">
        <v>0</v>
      </c>
      <c r="W30" s="108">
        <v>0.8</v>
      </c>
      <c r="X30" s="108">
        <v>0.8</v>
      </c>
      <c r="Y30" s="108">
        <v>0.8</v>
      </c>
      <c r="Z30" s="108">
        <v>0.8</v>
      </c>
      <c r="AA30" s="108">
        <v>0.8</v>
      </c>
      <c r="AB30" s="108">
        <v>0.8</v>
      </c>
      <c r="AC30" s="108">
        <v>0.8</v>
      </c>
      <c r="AD30" s="108">
        <v>0</v>
      </c>
      <c r="AE30" s="108">
        <v>0</v>
      </c>
      <c r="AF30" s="108">
        <v>0</v>
      </c>
      <c r="AG30" s="108">
        <v>0</v>
      </c>
    </row>
    <row r="31" spans="1:33" customFormat="1" x14ac:dyDescent="0.15">
      <c r="A31" s="183" t="s">
        <v>221</v>
      </c>
      <c r="B31" s="108">
        <v>0</v>
      </c>
      <c r="C31" s="108">
        <v>0</v>
      </c>
      <c r="D31" s="108">
        <v>0</v>
      </c>
      <c r="E31" s="108">
        <v>0.8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0.8</v>
      </c>
      <c r="L31" s="108">
        <v>0.8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0.8</v>
      </c>
      <c r="S31" s="108">
        <v>0.8</v>
      </c>
      <c r="T31" s="108">
        <v>0.8</v>
      </c>
      <c r="U31" s="108">
        <v>0.8</v>
      </c>
      <c r="V31" s="108">
        <v>0</v>
      </c>
      <c r="W31" s="108">
        <v>0.8</v>
      </c>
      <c r="X31" s="108">
        <v>0.8</v>
      </c>
      <c r="Y31" s="108">
        <v>0.8</v>
      </c>
      <c r="Z31" s="108">
        <v>0.8</v>
      </c>
      <c r="AA31" s="108">
        <v>0.8</v>
      </c>
      <c r="AB31" s="108">
        <v>0.8</v>
      </c>
      <c r="AC31" s="108">
        <v>0.8</v>
      </c>
      <c r="AD31" s="108">
        <v>0</v>
      </c>
      <c r="AE31" s="108">
        <v>0</v>
      </c>
      <c r="AF31" s="108">
        <v>0</v>
      </c>
      <c r="AG31" s="108">
        <v>0</v>
      </c>
    </row>
    <row r="32" spans="1:33" customFormat="1" x14ac:dyDescent="0.15">
      <c r="A32" s="183" t="s">
        <v>222</v>
      </c>
      <c r="B32" s="108">
        <v>0.8</v>
      </c>
      <c r="C32" s="108">
        <v>0</v>
      </c>
      <c r="D32" s="108">
        <v>0</v>
      </c>
      <c r="E32" s="108">
        <v>0.8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0.8</v>
      </c>
      <c r="L32" s="108">
        <v>0.8</v>
      </c>
      <c r="M32" s="108">
        <v>0.8</v>
      </c>
      <c r="N32" s="108">
        <v>0.8</v>
      </c>
      <c r="O32" s="108">
        <v>0</v>
      </c>
      <c r="P32" s="108">
        <v>0</v>
      </c>
      <c r="Q32" s="108">
        <v>0</v>
      </c>
      <c r="R32" s="108">
        <v>0.8</v>
      </c>
      <c r="S32" s="108">
        <v>0.8</v>
      </c>
      <c r="T32" s="108">
        <v>0.8</v>
      </c>
      <c r="U32" s="108">
        <v>0.8</v>
      </c>
      <c r="V32" s="108">
        <v>0.8</v>
      </c>
      <c r="W32" s="108">
        <v>0.8</v>
      </c>
      <c r="X32" s="108">
        <v>0.8</v>
      </c>
      <c r="Y32" s="108">
        <v>0.8</v>
      </c>
      <c r="Z32" s="108">
        <v>0.8</v>
      </c>
      <c r="AA32" s="108">
        <v>0.8</v>
      </c>
      <c r="AB32" s="108">
        <v>0.8</v>
      </c>
      <c r="AC32" s="108">
        <v>0.8</v>
      </c>
      <c r="AD32" s="108">
        <v>0</v>
      </c>
      <c r="AE32" s="108">
        <v>0</v>
      </c>
      <c r="AF32" s="108">
        <v>0</v>
      </c>
      <c r="AG32" s="108">
        <v>0</v>
      </c>
    </row>
    <row r="33" spans="1:33" x14ac:dyDescent="0.15">
      <c r="A33" s="183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</v>
      </c>
      <c r="X33" s="108">
        <v>0</v>
      </c>
      <c r="Y33" s="108">
        <v>0</v>
      </c>
      <c r="Z33" s="108">
        <v>0</v>
      </c>
      <c r="AA33" s="108">
        <v>0</v>
      </c>
      <c r="AB33" s="108">
        <v>0</v>
      </c>
      <c r="AC33" s="108">
        <v>0</v>
      </c>
      <c r="AD33" s="108">
        <v>0</v>
      </c>
      <c r="AE33" s="108">
        <v>0</v>
      </c>
      <c r="AF33" s="108">
        <v>0</v>
      </c>
      <c r="AG33" s="108">
        <v>0</v>
      </c>
    </row>
    <row r="34" spans="1:33" x14ac:dyDescent="0.15">
      <c r="A34" s="183" t="s">
        <v>224</v>
      </c>
      <c r="B34" s="108">
        <v>0</v>
      </c>
      <c r="C34" s="108">
        <v>0</v>
      </c>
      <c r="D34" s="108">
        <v>0.8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</v>
      </c>
      <c r="O34" s="108">
        <v>0</v>
      </c>
      <c r="P34" s="108">
        <v>0</v>
      </c>
      <c r="Q34" s="108">
        <v>0</v>
      </c>
      <c r="R34" s="108">
        <v>0</v>
      </c>
      <c r="S34" s="108">
        <v>0</v>
      </c>
      <c r="T34" s="108">
        <v>0</v>
      </c>
      <c r="U34" s="108">
        <v>0</v>
      </c>
      <c r="V34" s="108">
        <v>0</v>
      </c>
      <c r="W34" s="108">
        <v>0</v>
      </c>
      <c r="X34" s="108">
        <v>0</v>
      </c>
      <c r="Y34" s="108">
        <v>0</v>
      </c>
      <c r="Z34" s="108">
        <v>0</v>
      </c>
      <c r="AA34" s="108">
        <v>0</v>
      </c>
      <c r="AB34" s="108">
        <v>0</v>
      </c>
      <c r="AC34" s="108">
        <v>0</v>
      </c>
      <c r="AD34" s="108">
        <v>0</v>
      </c>
      <c r="AE34" s="108">
        <v>0</v>
      </c>
      <c r="AF34" s="108">
        <v>0</v>
      </c>
      <c r="AG34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1.6640625" style="108" bestFit="1" customWidth="1"/>
    <col min="2" max="33" width="2.33203125" style="108" customWidth="1"/>
    <col min="34" max="16384" width="10.83203125" style="108"/>
  </cols>
  <sheetData>
    <row r="1" spans="1:33" x14ac:dyDescent="0.15">
      <c r="A1" s="62" t="s">
        <v>139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</row>
    <row r="2" spans="1:33" customFormat="1" x14ac:dyDescent="0.15">
      <c r="A2" s="185" t="s">
        <v>192</v>
      </c>
      <c r="B2" s="108">
        <v>1</v>
      </c>
      <c r="C2" s="108">
        <v>0</v>
      </c>
      <c r="D2" s="108">
        <v>0</v>
      </c>
      <c r="E2" s="108">
        <v>0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</row>
    <row r="3" spans="1:33" customFormat="1" x14ac:dyDescent="0.15">
      <c r="A3" s="185" t="s">
        <v>193</v>
      </c>
      <c r="B3" s="108">
        <v>0</v>
      </c>
      <c r="C3" s="108">
        <v>0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</row>
    <row r="4" spans="1:33" customFormat="1" x14ac:dyDescent="0.15">
      <c r="A4" s="185" t="s">
        <v>194</v>
      </c>
      <c r="B4" s="108">
        <v>1</v>
      </c>
      <c r="C4" s="108">
        <v>0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</row>
    <row r="5" spans="1:33" customFormat="1" x14ac:dyDescent="0.15">
      <c r="A5" s="185" t="s">
        <v>195</v>
      </c>
      <c r="B5" s="108">
        <v>1</v>
      </c>
      <c r="C5" s="108">
        <v>0</v>
      </c>
      <c r="D5" s="108">
        <v>0</v>
      </c>
      <c r="E5" s="108">
        <v>0</v>
      </c>
      <c r="F5" s="108">
        <v>1</v>
      </c>
      <c r="G5" s="108">
        <v>1</v>
      </c>
      <c r="H5" s="108">
        <v>1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</row>
    <row r="6" spans="1:33" customFormat="1" x14ac:dyDescent="0.15">
      <c r="A6" s="185" t="s">
        <v>196</v>
      </c>
      <c r="B6" s="108">
        <v>1</v>
      </c>
      <c r="C6" s="108">
        <v>0</v>
      </c>
      <c r="D6" s="108">
        <v>1</v>
      </c>
      <c r="E6" s="108">
        <v>0</v>
      </c>
      <c r="F6" s="108">
        <v>0</v>
      </c>
      <c r="G6" s="108">
        <v>1</v>
      </c>
      <c r="H6" s="108">
        <v>1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</row>
    <row r="7" spans="1:33" customFormat="1" x14ac:dyDescent="0.15">
      <c r="A7" s="185" t="s">
        <v>197</v>
      </c>
      <c r="B7" s="108">
        <v>1</v>
      </c>
      <c r="C7" s="108">
        <v>0</v>
      </c>
      <c r="D7" s="108">
        <v>1</v>
      </c>
      <c r="E7" s="108">
        <v>0</v>
      </c>
      <c r="F7" s="108">
        <v>0</v>
      </c>
      <c r="G7" s="108">
        <v>0</v>
      </c>
      <c r="H7" s="108">
        <v>1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</row>
    <row r="8" spans="1:33" customFormat="1" x14ac:dyDescent="0.15">
      <c r="A8" s="185" t="s">
        <v>198</v>
      </c>
      <c r="B8" s="108">
        <v>1</v>
      </c>
      <c r="C8" s="108">
        <v>0</v>
      </c>
      <c r="D8" s="108">
        <v>1</v>
      </c>
      <c r="E8" s="108">
        <v>0</v>
      </c>
      <c r="F8" s="108">
        <v>0</v>
      </c>
      <c r="G8" s="108">
        <v>1</v>
      </c>
      <c r="H8" s="108">
        <v>0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</row>
    <row r="9" spans="1:33" customFormat="1" x14ac:dyDescent="0.15">
      <c r="A9" s="185" t="s">
        <v>199</v>
      </c>
      <c r="B9" s="108">
        <v>1</v>
      </c>
      <c r="C9" s="108">
        <v>1</v>
      </c>
      <c r="D9" s="108">
        <v>0</v>
      </c>
      <c r="E9" s="108">
        <v>0</v>
      </c>
      <c r="F9" s="108">
        <v>1</v>
      </c>
      <c r="G9" s="108">
        <v>1</v>
      </c>
      <c r="H9" s="108">
        <v>1</v>
      </c>
      <c r="I9" s="108">
        <v>0</v>
      </c>
      <c r="J9" s="108">
        <v>0</v>
      </c>
      <c r="K9" s="108">
        <v>0</v>
      </c>
      <c r="L9" s="108">
        <v>0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1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</row>
    <row r="10" spans="1:33" customFormat="1" x14ac:dyDescent="0.15">
      <c r="A10" s="185" t="s">
        <v>200</v>
      </c>
      <c r="B10" s="108">
        <v>1</v>
      </c>
      <c r="C10" s="108">
        <v>1</v>
      </c>
      <c r="D10" s="108">
        <v>1</v>
      </c>
      <c r="E10" s="108">
        <v>0</v>
      </c>
      <c r="F10" s="108">
        <v>0</v>
      </c>
      <c r="G10" s="108">
        <v>1</v>
      </c>
      <c r="H10" s="108">
        <v>1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</row>
    <row r="11" spans="1:33" customFormat="1" x14ac:dyDescent="0.15">
      <c r="A11" s="185" t="s">
        <v>201</v>
      </c>
      <c r="B11" s="108">
        <v>1</v>
      </c>
      <c r="C11" s="108">
        <v>1</v>
      </c>
      <c r="D11" s="108">
        <v>1</v>
      </c>
      <c r="E11" s="108">
        <v>0</v>
      </c>
      <c r="F11" s="108">
        <v>1</v>
      </c>
      <c r="G11" s="108">
        <v>1</v>
      </c>
      <c r="H11" s="108">
        <v>1</v>
      </c>
      <c r="I11" s="108">
        <v>0</v>
      </c>
      <c r="J11" s="108">
        <v>0</v>
      </c>
      <c r="K11" s="108">
        <v>0</v>
      </c>
      <c r="L11" s="108">
        <v>0</v>
      </c>
      <c r="M11" s="108">
        <v>0</v>
      </c>
      <c r="N11" s="108">
        <v>0</v>
      </c>
      <c r="O11" s="108">
        <v>1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</row>
    <row r="12" spans="1:33" customFormat="1" x14ac:dyDescent="0.15">
      <c r="A12" s="185" t="s">
        <v>202</v>
      </c>
      <c r="B12" s="108">
        <v>1</v>
      </c>
      <c r="C12" s="108">
        <v>0</v>
      </c>
      <c r="D12" s="108">
        <v>0</v>
      </c>
      <c r="E12" s="108">
        <v>0</v>
      </c>
      <c r="F12" s="108">
        <v>1</v>
      </c>
      <c r="G12" s="108">
        <v>1</v>
      </c>
      <c r="H12" s="108">
        <v>1</v>
      </c>
      <c r="I12" s="108">
        <v>0</v>
      </c>
      <c r="J12" s="108">
        <v>0</v>
      </c>
      <c r="K12" s="108">
        <v>0</v>
      </c>
      <c r="L12" s="108">
        <v>0</v>
      </c>
      <c r="M12" s="108">
        <v>0</v>
      </c>
      <c r="N12" s="108">
        <v>0</v>
      </c>
      <c r="O12" s="108">
        <v>1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</row>
    <row r="13" spans="1:33" customFormat="1" x14ac:dyDescent="0.15">
      <c r="A13" s="185" t="s">
        <v>203</v>
      </c>
      <c r="B13" s="108">
        <v>1</v>
      </c>
      <c r="C13" s="108">
        <v>1</v>
      </c>
      <c r="D13" s="108">
        <v>1</v>
      </c>
      <c r="E13" s="108">
        <v>0</v>
      </c>
      <c r="F13" s="108">
        <v>1</v>
      </c>
      <c r="G13" s="108">
        <v>1</v>
      </c>
      <c r="H13" s="108">
        <v>1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1</v>
      </c>
      <c r="P13" s="108">
        <v>0</v>
      </c>
      <c r="Q13" s="108">
        <v>0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</row>
    <row r="14" spans="1:33" customFormat="1" x14ac:dyDescent="0.15">
      <c r="A14" s="185" t="s">
        <v>204</v>
      </c>
      <c r="B14" s="108">
        <v>1</v>
      </c>
      <c r="C14" s="108">
        <v>0</v>
      </c>
      <c r="D14" s="108">
        <v>1</v>
      </c>
      <c r="E14" s="108">
        <v>0</v>
      </c>
      <c r="F14" s="108">
        <v>0</v>
      </c>
      <c r="G14" s="108">
        <v>1</v>
      </c>
      <c r="H14" s="108">
        <v>1</v>
      </c>
      <c r="I14" s="108">
        <v>1</v>
      </c>
      <c r="J14" s="108">
        <v>0</v>
      </c>
      <c r="K14" s="108">
        <v>0</v>
      </c>
      <c r="L14" s="108">
        <v>0</v>
      </c>
      <c r="M14" s="108">
        <v>0</v>
      </c>
      <c r="N14" s="108">
        <v>0</v>
      </c>
      <c r="O14" s="108">
        <v>0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0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</row>
    <row r="15" spans="1:33" customFormat="1" x14ac:dyDescent="0.15">
      <c r="A15" s="185" t="s">
        <v>205</v>
      </c>
      <c r="B15" s="108">
        <v>1</v>
      </c>
      <c r="C15" s="108">
        <v>1</v>
      </c>
      <c r="D15" s="108">
        <v>0</v>
      </c>
      <c r="E15" s="108">
        <v>0</v>
      </c>
      <c r="F15" s="108">
        <v>0</v>
      </c>
      <c r="G15" s="108">
        <v>1</v>
      </c>
      <c r="H15" s="108">
        <v>1</v>
      </c>
      <c r="I15" s="108">
        <v>0</v>
      </c>
      <c r="J15" s="108">
        <v>0</v>
      </c>
      <c r="K15" s="108">
        <v>0</v>
      </c>
      <c r="L15" s="108">
        <v>0</v>
      </c>
      <c r="M15" s="108">
        <v>0</v>
      </c>
      <c r="N15" s="108">
        <v>0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</row>
    <row r="16" spans="1:33" customFormat="1" x14ac:dyDescent="0.15">
      <c r="A16" s="185" t="s">
        <v>206</v>
      </c>
      <c r="B16" s="108">
        <v>1</v>
      </c>
      <c r="C16" s="108">
        <v>1</v>
      </c>
      <c r="D16" s="108">
        <v>1</v>
      </c>
      <c r="E16" s="108">
        <v>0</v>
      </c>
      <c r="F16" s="108">
        <v>1</v>
      </c>
      <c r="G16" s="108">
        <v>1</v>
      </c>
      <c r="H16" s="108">
        <v>1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1</v>
      </c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</row>
    <row r="17" spans="1:33" customFormat="1" x14ac:dyDescent="0.15">
      <c r="A17" s="185" t="s">
        <v>207</v>
      </c>
      <c r="B17" s="108">
        <v>1</v>
      </c>
      <c r="C17" s="108">
        <v>0</v>
      </c>
      <c r="D17" s="108">
        <v>1</v>
      </c>
      <c r="E17" s="108">
        <v>0</v>
      </c>
      <c r="F17" s="108">
        <v>1</v>
      </c>
      <c r="G17" s="108">
        <v>1</v>
      </c>
      <c r="H17" s="108">
        <v>1</v>
      </c>
      <c r="I17" s="108">
        <v>0</v>
      </c>
      <c r="J17" s="108">
        <v>0</v>
      </c>
      <c r="K17" s="108">
        <v>0</v>
      </c>
      <c r="L17" s="108">
        <v>0</v>
      </c>
      <c r="M17" s="108">
        <v>0</v>
      </c>
      <c r="N17" s="108">
        <v>0</v>
      </c>
      <c r="O17" s="108">
        <v>0</v>
      </c>
      <c r="P17" s="108">
        <v>0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</row>
    <row r="18" spans="1:33" customFormat="1" x14ac:dyDescent="0.15">
      <c r="A18" s="185" t="s">
        <v>208</v>
      </c>
      <c r="B18" s="108">
        <v>1</v>
      </c>
      <c r="C18" s="108">
        <v>1</v>
      </c>
      <c r="D18" s="108">
        <v>1</v>
      </c>
      <c r="E18" s="108">
        <v>0</v>
      </c>
      <c r="F18" s="108">
        <v>1</v>
      </c>
      <c r="G18" s="108">
        <v>1</v>
      </c>
      <c r="H18" s="108">
        <v>1</v>
      </c>
      <c r="I18" s="108">
        <v>1</v>
      </c>
      <c r="J18" s="108">
        <v>1</v>
      </c>
      <c r="K18" s="108">
        <v>1</v>
      </c>
      <c r="L18" s="108">
        <v>1</v>
      </c>
      <c r="M18" s="108">
        <v>1</v>
      </c>
      <c r="N18" s="108">
        <v>1</v>
      </c>
      <c r="O18" s="108">
        <v>1</v>
      </c>
      <c r="P18" s="108">
        <v>1</v>
      </c>
      <c r="Q18" s="108">
        <v>0</v>
      </c>
      <c r="R18" s="108">
        <v>0</v>
      </c>
      <c r="S18" s="108">
        <v>0</v>
      </c>
      <c r="T18" s="108">
        <v>0</v>
      </c>
      <c r="U18" s="108">
        <v>0</v>
      </c>
      <c r="V18" s="108">
        <v>1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</row>
    <row r="19" spans="1:33" customFormat="1" x14ac:dyDescent="0.15">
      <c r="A19" s="185" t="s">
        <v>209</v>
      </c>
      <c r="B19" s="108">
        <v>1</v>
      </c>
      <c r="C19" s="108">
        <v>1</v>
      </c>
      <c r="D19" s="108">
        <v>1</v>
      </c>
      <c r="E19" s="108">
        <v>0</v>
      </c>
      <c r="F19" s="108">
        <v>1</v>
      </c>
      <c r="G19" s="108">
        <v>1</v>
      </c>
      <c r="H19" s="108">
        <v>1</v>
      </c>
      <c r="I19" s="108">
        <v>1</v>
      </c>
      <c r="J19" s="108">
        <v>1</v>
      </c>
      <c r="K19" s="108">
        <v>1</v>
      </c>
      <c r="L19" s="108">
        <v>1</v>
      </c>
      <c r="M19" s="108">
        <v>1</v>
      </c>
      <c r="N19" s="108">
        <v>1</v>
      </c>
      <c r="O19" s="108">
        <v>1</v>
      </c>
      <c r="P19" s="108">
        <v>0</v>
      </c>
      <c r="Q19" s="108">
        <v>0</v>
      </c>
      <c r="R19" s="108">
        <v>0</v>
      </c>
      <c r="S19" s="108">
        <v>0</v>
      </c>
      <c r="T19" s="108">
        <v>0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</row>
    <row r="20" spans="1:33" customFormat="1" x14ac:dyDescent="0.15">
      <c r="A20" s="185" t="s">
        <v>210</v>
      </c>
      <c r="B20" s="108">
        <v>1</v>
      </c>
      <c r="C20" s="108">
        <v>1</v>
      </c>
      <c r="D20" s="108">
        <v>1</v>
      </c>
      <c r="E20" s="108">
        <v>0</v>
      </c>
      <c r="F20" s="108">
        <v>1</v>
      </c>
      <c r="G20" s="108">
        <v>1</v>
      </c>
      <c r="H20" s="108">
        <v>1</v>
      </c>
      <c r="I20" s="108">
        <v>1</v>
      </c>
      <c r="J20" s="108">
        <v>1</v>
      </c>
      <c r="K20" s="108">
        <v>1</v>
      </c>
      <c r="L20" s="108">
        <v>1</v>
      </c>
      <c r="M20" s="108">
        <v>1</v>
      </c>
      <c r="N20" s="108">
        <v>1</v>
      </c>
      <c r="O20" s="108">
        <v>1</v>
      </c>
      <c r="P20" s="108">
        <v>1</v>
      </c>
      <c r="Q20" s="108">
        <v>0</v>
      </c>
      <c r="R20" s="108">
        <v>0</v>
      </c>
      <c r="S20" s="108">
        <v>0</v>
      </c>
      <c r="T20" s="108">
        <v>0</v>
      </c>
      <c r="U20" s="108">
        <v>0</v>
      </c>
      <c r="V20" s="108">
        <v>1</v>
      </c>
      <c r="W20" s="108">
        <v>0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</row>
    <row r="21" spans="1:33" customFormat="1" x14ac:dyDescent="0.15">
      <c r="A21" s="185" t="s">
        <v>211</v>
      </c>
      <c r="B21" s="108">
        <v>1</v>
      </c>
      <c r="C21" s="108">
        <v>1</v>
      </c>
      <c r="D21" s="108">
        <v>1</v>
      </c>
      <c r="E21" s="108">
        <v>0</v>
      </c>
      <c r="F21" s="108">
        <v>1</v>
      </c>
      <c r="G21" s="108">
        <v>1</v>
      </c>
      <c r="H21" s="108">
        <v>1</v>
      </c>
      <c r="I21" s="108">
        <v>0</v>
      </c>
      <c r="J21" s="108">
        <v>0</v>
      </c>
      <c r="K21" s="108">
        <v>1</v>
      </c>
      <c r="L21" s="108">
        <v>0</v>
      </c>
      <c r="M21" s="108">
        <v>1</v>
      </c>
      <c r="N21" s="108">
        <v>1</v>
      </c>
      <c r="O21" s="108">
        <v>1</v>
      </c>
      <c r="P21" s="108">
        <v>1</v>
      </c>
      <c r="Q21" s="108">
        <v>1</v>
      </c>
      <c r="R21" s="108">
        <v>0</v>
      </c>
      <c r="S21" s="108">
        <v>0</v>
      </c>
      <c r="T21" s="108">
        <v>0</v>
      </c>
      <c r="U21" s="108">
        <v>0</v>
      </c>
      <c r="V21" s="108">
        <v>1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  <c r="AF21" s="108">
        <v>0</v>
      </c>
      <c r="AG21" s="108">
        <v>0</v>
      </c>
    </row>
    <row r="22" spans="1:33" customFormat="1" x14ac:dyDescent="0.15">
      <c r="A22" s="185" t="s">
        <v>212</v>
      </c>
      <c r="B22" s="108">
        <v>1</v>
      </c>
      <c r="C22" s="108">
        <v>1</v>
      </c>
      <c r="D22" s="108">
        <v>1</v>
      </c>
      <c r="E22" s="108">
        <v>0</v>
      </c>
      <c r="F22" s="108">
        <v>1</v>
      </c>
      <c r="G22" s="108">
        <v>1</v>
      </c>
      <c r="H22" s="108">
        <v>1</v>
      </c>
      <c r="I22" s="108">
        <v>0</v>
      </c>
      <c r="J22" s="108">
        <v>0</v>
      </c>
      <c r="K22" s="108">
        <v>0</v>
      </c>
      <c r="L22" s="108">
        <v>0</v>
      </c>
      <c r="M22" s="108">
        <v>0</v>
      </c>
      <c r="N22" s="108">
        <v>0</v>
      </c>
      <c r="O22" s="108">
        <v>1</v>
      </c>
      <c r="P22" s="108">
        <v>0</v>
      </c>
      <c r="Q22" s="108">
        <v>0</v>
      </c>
      <c r="R22" s="108">
        <v>0</v>
      </c>
      <c r="S22" s="108">
        <v>0</v>
      </c>
      <c r="T22" s="108">
        <v>0</v>
      </c>
      <c r="U22" s="108">
        <v>0</v>
      </c>
      <c r="V22" s="108">
        <v>0</v>
      </c>
      <c r="W22" s="108">
        <v>0</v>
      </c>
      <c r="X22" s="108">
        <v>0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</row>
    <row r="23" spans="1:33" customFormat="1" x14ac:dyDescent="0.15">
      <c r="A23" s="185" t="s">
        <v>213</v>
      </c>
      <c r="B23" s="108">
        <v>1</v>
      </c>
      <c r="C23" s="108">
        <v>1</v>
      </c>
      <c r="D23" s="108">
        <v>1</v>
      </c>
      <c r="E23" s="108">
        <v>0</v>
      </c>
      <c r="F23" s="108">
        <v>1</v>
      </c>
      <c r="G23" s="108">
        <v>1</v>
      </c>
      <c r="H23" s="108">
        <v>1</v>
      </c>
      <c r="I23" s="108">
        <v>1</v>
      </c>
      <c r="J23" s="108">
        <v>1</v>
      </c>
      <c r="K23" s="108">
        <v>1</v>
      </c>
      <c r="L23" s="108">
        <v>1</v>
      </c>
      <c r="M23" s="108">
        <v>1</v>
      </c>
      <c r="N23" s="108">
        <v>1</v>
      </c>
      <c r="O23" s="108">
        <v>1</v>
      </c>
      <c r="P23" s="108">
        <v>0</v>
      </c>
      <c r="Q23" s="108">
        <v>0</v>
      </c>
      <c r="R23" s="108">
        <v>0</v>
      </c>
      <c r="S23" s="108">
        <v>0</v>
      </c>
      <c r="T23" s="108">
        <v>0</v>
      </c>
      <c r="U23" s="108">
        <v>0</v>
      </c>
      <c r="V23" s="108">
        <v>1</v>
      </c>
      <c r="W23" s="108">
        <v>0</v>
      </c>
      <c r="X23" s="108">
        <v>0</v>
      </c>
      <c r="Y23" s="108">
        <v>0</v>
      </c>
      <c r="Z23" s="108">
        <v>0</v>
      </c>
      <c r="AA23" s="108">
        <v>0</v>
      </c>
      <c r="AB23" s="108">
        <v>0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</row>
    <row r="24" spans="1:33" customFormat="1" x14ac:dyDescent="0.15">
      <c r="A24" s="185" t="s">
        <v>214</v>
      </c>
      <c r="B24" s="108">
        <v>1</v>
      </c>
      <c r="C24" s="108">
        <v>1</v>
      </c>
      <c r="D24" s="108">
        <v>1</v>
      </c>
      <c r="E24" s="108">
        <v>0</v>
      </c>
      <c r="F24" s="108">
        <v>1</v>
      </c>
      <c r="G24" s="108">
        <v>1</v>
      </c>
      <c r="H24" s="108">
        <v>1</v>
      </c>
      <c r="I24" s="108">
        <v>1</v>
      </c>
      <c r="J24" s="108">
        <v>1</v>
      </c>
      <c r="K24" s="108">
        <v>1</v>
      </c>
      <c r="L24" s="108">
        <v>1</v>
      </c>
      <c r="M24" s="108">
        <v>1</v>
      </c>
      <c r="N24" s="108">
        <v>1</v>
      </c>
      <c r="O24" s="108">
        <v>1</v>
      </c>
      <c r="P24" s="108">
        <v>0</v>
      </c>
      <c r="Q24" s="108">
        <v>0</v>
      </c>
      <c r="R24" s="108">
        <v>0</v>
      </c>
      <c r="S24" s="108">
        <v>0</v>
      </c>
      <c r="T24" s="108">
        <v>0</v>
      </c>
      <c r="U24" s="108">
        <v>0</v>
      </c>
      <c r="V24" s="108">
        <v>1</v>
      </c>
      <c r="W24" s="108">
        <v>0</v>
      </c>
      <c r="X24" s="108">
        <v>0</v>
      </c>
      <c r="Y24" s="108">
        <v>0</v>
      </c>
      <c r="Z24" s="108">
        <v>0</v>
      </c>
      <c r="AA24" s="108">
        <v>0</v>
      </c>
      <c r="AB24" s="108">
        <v>0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</row>
    <row r="25" spans="1:33" customFormat="1" x14ac:dyDescent="0.15">
      <c r="A25" s="185" t="s">
        <v>215</v>
      </c>
      <c r="B25" s="108">
        <v>1</v>
      </c>
      <c r="C25" s="108">
        <v>1</v>
      </c>
      <c r="D25" s="108">
        <v>1</v>
      </c>
      <c r="E25" s="108">
        <v>1</v>
      </c>
      <c r="F25" s="108">
        <v>1</v>
      </c>
      <c r="G25" s="108">
        <v>1</v>
      </c>
      <c r="H25" s="108">
        <v>1</v>
      </c>
      <c r="I25" s="108">
        <v>1</v>
      </c>
      <c r="J25" s="108">
        <v>1</v>
      </c>
      <c r="K25" s="108">
        <v>1</v>
      </c>
      <c r="L25" s="108">
        <v>1</v>
      </c>
      <c r="M25" s="108">
        <v>1</v>
      </c>
      <c r="N25" s="108">
        <v>1</v>
      </c>
      <c r="O25" s="108">
        <v>1</v>
      </c>
      <c r="P25" s="108">
        <v>1</v>
      </c>
      <c r="Q25" s="108">
        <v>1</v>
      </c>
      <c r="R25" s="108">
        <v>1</v>
      </c>
      <c r="S25" s="108">
        <v>1</v>
      </c>
      <c r="T25" s="108">
        <v>0</v>
      </c>
      <c r="U25" s="108">
        <v>0</v>
      </c>
      <c r="V25" s="108">
        <v>1</v>
      </c>
      <c r="W25" s="108">
        <v>0</v>
      </c>
      <c r="X25" s="108">
        <v>1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</row>
    <row r="26" spans="1:33" customFormat="1" x14ac:dyDescent="0.15">
      <c r="A26" s="185" t="s">
        <v>216</v>
      </c>
      <c r="B26" s="108">
        <v>1</v>
      </c>
      <c r="C26" s="108">
        <v>1</v>
      </c>
      <c r="D26" s="108">
        <v>1</v>
      </c>
      <c r="E26" s="108">
        <v>0</v>
      </c>
      <c r="F26" s="108">
        <v>1</v>
      </c>
      <c r="G26" s="108">
        <v>1</v>
      </c>
      <c r="H26" s="108">
        <v>1</v>
      </c>
      <c r="I26" s="108">
        <v>1</v>
      </c>
      <c r="J26" s="108">
        <v>1</v>
      </c>
      <c r="K26" s="108">
        <v>1</v>
      </c>
      <c r="L26" s="108">
        <v>1</v>
      </c>
      <c r="M26" s="108">
        <v>1</v>
      </c>
      <c r="N26" s="108">
        <v>1</v>
      </c>
      <c r="O26" s="108">
        <v>0</v>
      </c>
      <c r="P26" s="108">
        <v>1</v>
      </c>
      <c r="Q26" s="108">
        <v>1</v>
      </c>
      <c r="R26" s="108">
        <v>0</v>
      </c>
      <c r="S26" s="108">
        <v>1</v>
      </c>
      <c r="T26" s="108">
        <v>0</v>
      </c>
      <c r="U26" s="108">
        <v>0</v>
      </c>
      <c r="V26" s="108">
        <v>1</v>
      </c>
      <c r="W26" s="108">
        <v>0</v>
      </c>
      <c r="X26" s="108">
        <v>0</v>
      </c>
      <c r="Y26" s="108">
        <v>0</v>
      </c>
      <c r="Z26" s="108">
        <v>1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</row>
    <row r="27" spans="1:33" customFormat="1" x14ac:dyDescent="0.15">
      <c r="A27" s="185" t="s">
        <v>217</v>
      </c>
      <c r="B27" s="108">
        <v>1</v>
      </c>
      <c r="C27" s="108">
        <v>1</v>
      </c>
      <c r="D27" s="108">
        <v>1</v>
      </c>
      <c r="E27" s="108">
        <v>1</v>
      </c>
      <c r="F27" s="108">
        <v>1</v>
      </c>
      <c r="G27" s="108">
        <v>1</v>
      </c>
      <c r="H27" s="108">
        <v>0</v>
      </c>
      <c r="I27" s="108">
        <v>1</v>
      </c>
      <c r="J27" s="108">
        <v>1</v>
      </c>
      <c r="K27" s="108">
        <v>1</v>
      </c>
      <c r="L27" s="108">
        <v>1</v>
      </c>
      <c r="M27" s="108">
        <v>0</v>
      </c>
      <c r="N27" s="108">
        <v>1</v>
      </c>
      <c r="O27" s="108">
        <v>1</v>
      </c>
      <c r="P27" s="108">
        <v>1</v>
      </c>
      <c r="Q27" s="108">
        <v>1</v>
      </c>
      <c r="R27" s="108">
        <v>1</v>
      </c>
      <c r="S27" s="108">
        <v>1</v>
      </c>
      <c r="T27" s="108">
        <v>1</v>
      </c>
      <c r="U27" s="108">
        <v>1</v>
      </c>
      <c r="V27" s="108">
        <v>1</v>
      </c>
      <c r="W27" s="108">
        <v>1</v>
      </c>
      <c r="X27" s="108">
        <v>1</v>
      </c>
      <c r="Y27" s="108">
        <v>0</v>
      </c>
      <c r="Z27" s="108">
        <v>1</v>
      </c>
      <c r="AA27" s="108">
        <v>0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</row>
    <row r="28" spans="1:33" customFormat="1" x14ac:dyDescent="0.15">
      <c r="A28" s="185" t="s">
        <v>218</v>
      </c>
      <c r="B28" s="108">
        <v>0</v>
      </c>
      <c r="C28" s="108">
        <v>0</v>
      </c>
      <c r="D28" s="108">
        <v>0</v>
      </c>
      <c r="E28" s="108">
        <v>1</v>
      </c>
      <c r="F28" s="108">
        <v>1</v>
      </c>
      <c r="G28" s="108">
        <v>0</v>
      </c>
      <c r="H28" s="108">
        <v>1</v>
      </c>
      <c r="I28" s="108">
        <v>1</v>
      </c>
      <c r="J28" s="108">
        <v>0</v>
      </c>
      <c r="K28" s="108">
        <v>1</v>
      </c>
      <c r="L28" s="108">
        <v>1</v>
      </c>
      <c r="M28" s="108">
        <v>1</v>
      </c>
      <c r="N28" s="108">
        <v>1</v>
      </c>
      <c r="O28" s="108">
        <v>0</v>
      </c>
      <c r="P28" s="108">
        <v>1</v>
      </c>
      <c r="Q28" s="108">
        <v>1</v>
      </c>
      <c r="R28" s="108">
        <v>1</v>
      </c>
      <c r="S28" s="108">
        <v>1</v>
      </c>
      <c r="T28" s="108">
        <v>1</v>
      </c>
      <c r="U28" s="108">
        <v>1</v>
      </c>
      <c r="V28" s="108">
        <v>1</v>
      </c>
      <c r="W28" s="108">
        <v>1</v>
      </c>
      <c r="X28" s="108">
        <v>1</v>
      </c>
      <c r="Y28" s="108">
        <v>1</v>
      </c>
      <c r="Z28" s="108">
        <v>1</v>
      </c>
      <c r="AA28" s="108">
        <v>0</v>
      </c>
      <c r="AB28" s="108">
        <v>1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</row>
    <row r="29" spans="1:33" customFormat="1" x14ac:dyDescent="0.15">
      <c r="A29" s="185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1</v>
      </c>
      <c r="G29" s="108">
        <v>0</v>
      </c>
      <c r="H29" s="108">
        <v>1</v>
      </c>
      <c r="I29" s="108">
        <v>1</v>
      </c>
      <c r="J29" s="108">
        <v>0</v>
      </c>
      <c r="K29" s="108">
        <v>1</v>
      </c>
      <c r="L29" s="108">
        <v>1</v>
      </c>
      <c r="M29" s="108">
        <v>1</v>
      </c>
      <c r="N29" s="108">
        <v>1</v>
      </c>
      <c r="O29" s="108">
        <v>1</v>
      </c>
      <c r="P29" s="108">
        <v>1</v>
      </c>
      <c r="Q29" s="108">
        <v>1</v>
      </c>
      <c r="R29" s="108">
        <v>1</v>
      </c>
      <c r="S29" s="108">
        <v>1</v>
      </c>
      <c r="T29" s="108">
        <v>1</v>
      </c>
      <c r="U29" s="108">
        <v>1</v>
      </c>
      <c r="V29" s="108">
        <v>1</v>
      </c>
      <c r="W29" s="108">
        <v>1</v>
      </c>
      <c r="X29" s="108">
        <v>1</v>
      </c>
      <c r="Y29" s="108">
        <v>1</v>
      </c>
      <c r="Z29" s="108">
        <v>1</v>
      </c>
      <c r="AA29" s="108">
        <v>0</v>
      </c>
      <c r="AB29" s="108">
        <v>1</v>
      </c>
      <c r="AC29" s="108">
        <v>1</v>
      </c>
      <c r="AD29" s="108">
        <v>0</v>
      </c>
      <c r="AE29" s="108">
        <v>0</v>
      </c>
      <c r="AF29" s="108">
        <v>0</v>
      </c>
      <c r="AG29" s="108">
        <v>0</v>
      </c>
    </row>
    <row r="30" spans="1:33" customFormat="1" x14ac:dyDescent="0.15">
      <c r="A30" s="185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1</v>
      </c>
      <c r="L30" s="108">
        <v>1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1</v>
      </c>
      <c r="S30" s="108">
        <v>1</v>
      </c>
      <c r="T30" s="108">
        <v>1</v>
      </c>
      <c r="U30" s="108">
        <v>1</v>
      </c>
      <c r="V30" s="108">
        <v>0</v>
      </c>
      <c r="W30" s="108">
        <v>1</v>
      </c>
      <c r="X30" s="108">
        <v>1</v>
      </c>
      <c r="Y30" s="108">
        <v>1</v>
      </c>
      <c r="Z30" s="108">
        <v>1</v>
      </c>
      <c r="AA30" s="108">
        <v>1</v>
      </c>
      <c r="AB30" s="108">
        <v>1</v>
      </c>
      <c r="AC30" s="108">
        <v>1</v>
      </c>
      <c r="AD30" s="108">
        <v>0</v>
      </c>
      <c r="AE30" s="108">
        <v>0</v>
      </c>
      <c r="AF30" s="108">
        <v>0</v>
      </c>
      <c r="AG30" s="108">
        <v>0</v>
      </c>
    </row>
    <row r="31" spans="1:33" customFormat="1" x14ac:dyDescent="0.15">
      <c r="A31" s="185" t="s">
        <v>221</v>
      </c>
      <c r="B31" s="108">
        <v>0</v>
      </c>
      <c r="C31" s="108">
        <v>0</v>
      </c>
      <c r="D31" s="108">
        <v>0</v>
      </c>
      <c r="E31" s="108">
        <v>1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1</v>
      </c>
      <c r="L31" s="108">
        <v>1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1</v>
      </c>
      <c r="S31" s="108">
        <v>1</v>
      </c>
      <c r="T31" s="108">
        <v>1</v>
      </c>
      <c r="U31" s="108">
        <v>1</v>
      </c>
      <c r="V31" s="108">
        <v>0</v>
      </c>
      <c r="W31" s="108">
        <v>1</v>
      </c>
      <c r="X31" s="108">
        <v>1</v>
      </c>
      <c r="Y31" s="108">
        <v>1</v>
      </c>
      <c r="Z31" s="108">
        <v>1</v>
      </c>
      <c r="AA31" s="108">
        <v>1</v>
      </c>
      <c r="AB31" s="108">
        <v>1</v>
      </c>
      <c r="AC31" s="108">
        <v>1</v>
      </c>
      <c r="AD31" s="108">
        <v>0</v>
      </c>
      <c r="AE31" s="108">
        <v>0</v>
      </c>
      <c r="AF31" s="108">
        <v>0</v>
      </c>
      <c r="AG31" s="108">
        <v>0</v>
      </c>
    </row>
    <row r="32" spans="1:33" x14ac:dyDescent="0.15">
      <c r="A32" s="185" t="s">
        <v>222</v>
      </c>
      <c r="B32" s="108">
        <v>1</v>
      </c>
      <c r="C32" s="108">
        <v>0</v>
      </c>
      <c r="D32" s="108">
        <v>0</v>
      </c>
      <c r="E32" s="108">
        <v>1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1</v>
      </c>
      <c r="L32" s="108">
        <v>1</v>
      </c>
      <c r="M32" s="108">
        <v>1</v>
      </c>
      <c r="N32" s="108">
        <v>1</v>
      </c>
      <c r="O32" s="108">
        <v>0</v>
      </c>
      <c r="P32" s="108">
        <v>0</v>
      </c>
      <c r="Q32" s="108">
        <v>0</v>
      </c>
      <c r="R32" s="108">
        <v>1</v>
      </c>
      <c r="S32" s="108">
        <v>1</v>
      </c>
      <c r="T32" s="108">
        <v>1</v>
      </c>
      <c r="U32" s="108">
        <v>1</v>
      </c>
      <c r="V32" s="108">
        <v>1</v>
      </c>
      <c r="W32" s="108">
        <v>1</v>
      </c>
      <c r="X32" s="108">
        <v>1</v>
      </c>
      <c r="Y32" s="108">
        <v>1</v>
      </c>
      <c r="Z32" s="108">
        <v>1</v>
      </c>
      <c r="AA32" s="108">
        <v>1</v>
      </c>
      <c r="AB32" s="108">
        <v>1</v>
      </c>
      <c r="AC32" s="108">
        <v>1</v>
      </c>
      <c r="AD32" s="108">
        <v>0</v>
      </c>
      <c r="AE32" s="108">
        <v>0</v>
      </c>
      <c r="AF32" s="108">
        <v>0</v>
      </c>
      <c r="AG32" s="108">
        <v>0</v>
      </c>
    </row>
    <row r="33" spans="1:33" x14ac:dyDescent="0.15">
      <c r="A33" s="185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</v>
      </c>
      <c r="X33" s="108">
        <v>0</v>
      </c>
      <c r="Y33" s="108">
        <v>0</v>
      </c>
      <c r="Z33" s="108">
        <v>0</v>
      </c>
      <c r="AA33" s="108">
        <v>0</v>
      </c>
      <c r="AB33" s="108">
        <v>0</v>
      </c>
      <c r="AC33" s="108">
        <v>0</v>
      </c>
      <c r="AD33" s="108">
        <v>0</v>
      </c>
      <c r="AE33" s="108">
        <v>0</v>
      </c>
      <c r="AF33" s="108">
        <v>0</v>
      </c>
      <c r="AG33" s="108">
        <v>0</v>
      </c>
    </row>
    <row r="34" spans="1:33" x14ac:dyDescent="0.15">
      <c r="A34" s="185" t="s">
        <v>224</v>
      </c>
      <c r="B34" s="108">
        <v>0</v>
      </c>
      <c r="C34" s="108">
        <v>0</v>
      </c>
      <c r="D34" s="108">
        <v>1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</v>
      </c>
      <c r="O34" s="108">
        <v>0</v>
      </c>
      <c r="P34" s="108">
        <v>0</v>
      </c>
      <c r="Q34" s="108">
        <v>0</v>
      </c>
      <c r="R34" s="108">
        <v>0</v>
      </c>
      <c r="S34" s="108">
        <v>0</v>
      </c>
      <c r="T34" s="108">
        <v>0</v>
      </c>
      <c r="U34" s="108">
        <v>0</v>
      </c>
      <c r="V34" s="108">
        <v>0</v>
      </c>
      <c r="W34" s="108">
        <v>0</v>
      </c>
      <c r="X34" s="108">
        <v>0</v>
      </c>
      <c r="Y34" s="108">
        <v>0</v>
      </c>
      <c r="Z34" s="108">
        <v>0</v>
      </c>
      <c r="AA34" s="108">
        <v>0</v>
      </c>
      <c r="AB34" s="108">
        <v>0</v>
      </c>
      <c r="AC34" s="108">
        <v>0</v>
      </c>
      <c r="AD34" s="108">
        <v>0</v>
      </c>
      <c r="AE34" s="108">
        <v>0</v>
      </c>
      <c r="AF34" s="108">
        <v>0</v>
      </c>
      <c r="AG34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topLeftCell="A15" workbookViewId="0">
      <selection activeCell="C33" sqref="C1:C3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7" t="s">
        <v>228</v>
      </c>
    </row>
    <row r="2" spans="1:3" x14ac:dyDescent="0.15">
      <c r="A2">
        <v>1</v>
      </c>
      <c r="B2" s="187" t="s">
        <v>192</v>
      </c>
      <c r="C2">
        <v>0</v>
      </c>
    </row>
    <row r="3" spans="1:3" x14ac:dyDescent="0.15">
      <c r="A3">
        <v>2</v>
      </c>
      <c r="B3" s="187" t="s">
        <v>193</v>
      </c>
      <c r="C3">
        <v>0</v>
      </c>
    </row>
    <row r="4" spans="1:3" x14ac:dyDescent="0.15">
      <c r="A4">
        <v>3</v>
      </c>
      <c r="B4" s="187" t="s">
        <v>194</v>
      </c>
      <c r="C4">
        <v>0</v>
      </c>
    </row>
    <row r="5" spans="1:3" x14ac:dyDescent="0.15">
      <c r="A5">
        <v>4</v>
      </c>
      <c r="B5" s="187" t="s">
        <v>195</v>
      </c>
      <c r="C5">
        <v>0</v>
      </c>
    </row>
    <row r="6" spans="1:3" x14ac:dyDescent="0.15">
      <c r="A6">
        <v>5</v>
      </c>
      <c r="B6" s="187" t="s">
        <v>196</v>
      </c>
      <c r="C6">
        <v>0</v>
      </c>
    </row>
    <row r="7" spans="1:3" x14ac:dyDescent="0.15">
      <c r="A7">
        <v>6</v>
      </c>
      <c r="B7" s="187" t="s">
        <v>197</v>
      </c>
      <c r="C7">
        <v>0</v>
      </c>
    </row>
    <row r="8" spans="1:3" x14ac:dyDescent="0.15">
      <c r="A8">
        <v>7</v>
      </c>
      <c r="B8" s="187" t="s">
        <v>198</v>
      </c>
      <c r="C8">
        <v>0</v>
      </c>
    </row>
    <row r="9" spans="1:3" x14ac:dyDescent="0.15">
      <c r="A9">
        <v>8</v>
      </c>
      <c r="B9" s="187" t="s">
        <v>199</v>
      </c>
      <c r="C9">
        <v>0</v>
      </c>
    </row>
    <row r="10" spans="1:3" x14ac:dyDescent="0.15">
      <c r="A10">
        <v>9</v>
      </c>
      <c r="B10" s="187" t="s">
        <v>200</v>
      </c>
      <c r="C10">
        <v>0</v>
      </c>
    </row>
    <row r="11" spans="1:3" x14ac:dyDescent="0.15">
      <c r="A11">
        <v>10</v>
      </c>
      <c r="B11" s="187" t="s">
        <v>201</v>
      </c>
      <c r="C11">
        <v>0</v>
      </c>
    </row>
    <row r="12" spans="1:3" x14ac:dyDescent="0.15">
      <c r="A12">
        <v>11</v>
      </c>
      <c r="B12" s="187" t="s">
        <v>202</v>
      </c>
      <c r="C12">
        <v>0</v>
      </c>
    </row>
    <row r="13" spans="1:3" x14ac:dyDescent="0.15">
      <c r="A13">
        <v>12</v>
      </c>
      <c r="B13" s="187" t="s">
        <v>203</v>
      </c>
      <c r="C13">
        <v>0</v>
      </c>
    </row>
    <row r="14" spans="1:3" x14ac:dyDescent="0.15">
      <c r="A14">
        <v>13</v>
      </c>
      <c r="B14" s="187" t="s">
        <v>204</v>
      </c>
      <c r="C14">
        <v>0</v>
      </c>
    </row>
    <row r="15" spans="1:3" x14ac:dyDescent="0.15">
      <c r="A15">
        <v>14</v>
      </c>
      <c r="B15" s="187" t="s">
        <v>205</v>
      </c>
      <c r="C15">
        <v>0</v>
      </c>
    </row>
    <row r="16" spans="1:3" x14ac:dyDescent="0.15">
      <c r="A16">
        <v>15</v>
      </c>
      <c r="B16" s="187" t="s">
        <v>206</v>
      </c>
      <c r="C16">
        <v>0</v>
      </c>
    </row>
    <row r="17" spans="1:3" x14ac:dyDescent="0.15">
      <c r="A17">
        <v>16</v>
      </c>
      <c r="B17" s="187" t="s">
        <v>207</v>
      </c>
      <c r="C17">
        <v>0</v>
      </c>
    </row>
    <row r="18" spans="1:3" x14ac:dyDescent="0.15">
      <c r="A18">
        <v>17</v>
      </c>
      <c r="B18" s="187" t="s">
        <v>208</v>
      </c>
      <c r="C18">
        <v>0</v>
      </c>
    </row>
    <row r="19" spans="1:3" x14ac:dyDescent="0.15">
      <c r="A19">
        <v>18</v>
      </c>
      <c r="B19" s="187" t="s">
        <v>209</v>
      </c>
      <c r="C19">
        <v>0</v>
      </c>
    </row>
    <row r="20" spans="1:3" x14ac:dyDescent="0.15">
      <c r="A20">
        <v>19</v>
      </c>
      <c r="B20" s="187" t="s">
        <v>210</v>
      </c>
      <c r="C20">
        <v>0</v>
      </c>
    </row>
    <row r="21" spans="1:3" x14ac:dyDescent="0.15">
      <c r="A21">
        <v>20</v>
      </c>
      <c r="B21" s="187" t="s">
        <v>211</v>
      </c>
      <c r="C21">
        <v>0</v>
      </c>
    </row>
    <row r="22" spans="1:3" x14ac:dyDescent="0.15">
      <c r="A22">
        <v>21</v>
      </c>
      <c r="B22" s="187" t="s">
        <v>212</v>
      </c>
      <c r="C22">
        <v>0</v>
      </c>
    </row>
    <row r="23" spans="1:3" x14ac:dyDescent="0.15">
      <c r="A23">
        <v>22</v>
      </c>
      <c r="B23" s="187" t="s">
        <v>213</v>
      </c>
      <c r="C23">
        <v>0</v>
      </c>
    </row>
    <row r="24" spans="1:3" x14ac:dyDescent="0.15">
      <c r="A24">
        <v>23</v>
      </c>
      <c r="B24" s="187" t="s">
        <v>214</v>
      </c>
      <c r="C24">
        <v>0</v>
      </c>
    </row>
    <row r="25" spans="1:3" x14ac:dyDescent="0.15">
      <c r="A25">
        <v>24</v>
      </c>
      <c r="B25" s="187" t="s">
        <v>215</v>
      </c>
      <c r="C25">
        <v>0</v>
      </c>
    </row>
    <row r="26" spans="1:3" x14ac:dyDescent="0.15">
      <c r="A26">
        <v>25</v>
      </c>
      <c r="B26" s="187" t="s">
        <v>216</v>
      </c>
      <c r="C26">
        <v>0</v>
      </c>
    </row>
    <row r="27" spans="1:3" x14ac:dyDescent="0.15">
      <c r="A27">
        <v>26</v>
      </c>
      <c r="B27" s="187" t="s">
        <v>217</v>
      </c>
      <c r="C27">
        <v>0</v>
      </c>
    </row>
    <row r="28" spans="1:3" x14ac:dyDescent="0.15">
      <c r="A28">
        <v>27</v>
      </c>
      <c r="B28" s="187" t="s">
        <v>218</v>
      </c>
      <c r="C28">
        <v>0</v>
      </c>
    </row>
    <row r="29" spans="1:3" x14ac:dyDescent="0.15">
      <c r="A29">
        <v>28</v>
      </c>
      <c r="B29" s="187" t="s">
        <v>219</v>
      </c>
      <c r="C29">
        <v>0</v>
      </c>
    </row>
    <row r="30" spans="1:3" x14ac:dyDescent="0.15">
      <c r="A30">
        <v>29</v>
      </c>
      <c r="B30" s="187" t="s">
        <v>220</v>
      </c>
      <c r="C30">
        <v>0</v>
      </c>
    </row>
    <row r="31" spans="1:3" x14ac:dyDescent="0.15">
      <c r="A31">
        <v>30</v>
      </c>
      <c r="B31" s="187" t="s">
        <v>221</v>
      </c>
      <c r="C31">
        <v>0</v>
      </c>
    </row>
    <row r="32" spans="1:3" x14ac:dyDescent="0.15">
      <c r="A32">
        <v>31</v>
      </c>
      <c r="B32" s="187" t="s">
        <v>222</v>
      </c>
      <c r="C32">
        <v>0</v>
      </c>
    </row>
    <row r="33" spans="1:3" x14ac:dyDescent="0.15">
      <c r="A33">
        <v>32</v>
      </c>
      <c r="B33" s="187" t="s">
        <v>223</v>
      </c>
      <c r="C3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3"/>
  <sheetViews>
    <sheetView workbookViewId="0">
      <selection activeCell="D8" sqref="D8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7" t="s">
        <v>228</v>
      </c>
    </row>
    <row r="2" spans="1:3" x14ac:dyDescent="0.15">
      <c r="A2">
        <v>1</v>
      </c>
      <c r="B2" s="188" t="s">
        <v>192</v>
      </c>
      <c r="C2">
        <v>0</v>
      </c>
    </row>
    <row r="3" spans="1:3" x14ac:dyDescent="0.15">
      <c r="A3">
        <v>2</v>
      </c>
      <c r="B3" s="188" t="s">
        <v>193</v>
      </c>
      <c r="C3">
        <v>0</v>
      </c>
    </row>
    <row r="4" spans="1:3" x14ac:dyDescent="0.15">
      <c r="A4">
        <v>3</v>
      </c>
      <c r="B4" s="188" t="s">
        <v>194</v>
      </c>
      <c r="C4">
        <v>0</v>
      </c>
    </row>
    <row r="5" spans="1:3" x14ac:dyDescent="0.15">
      <c r="A5">
        <v>4</v>
      </c>
      <c r="B5" s="188" t="s">
        <v>195</v>
      </c>
      <c r="C5">
        <v>0</v>
      </c>
    </row>
    <row r="6" spans="1:3" x14ac:dyDescent="0.15">
      <c r="A6">
        <v>5</v>
      </c>
      <c r="B6" s="188" t="s">
        <v>196</v>
      </c>
      <c r="C6">
        <v>0</v>
      </c>
    </row>
    <row r="7" spans="1:3" x14ac:dyDescent="0.15">
      <c r="A7">
        <v>6</v>
      </c>
      <c r="B7" s="188" t="s">
        <v>197</v>
      </c>
      <c r="C7">
        <v>0</v>
      </c>
    </row>
    <row r="8" spans="1:3" x14ac:dyDescent="0.15">
      <c r="A8">
        <v>7</v>
      </c>
      <c r="B8" s="188" t="s">
        <v>198</v>
      </c>
      <c r="C8">
        <v>0</v>
      </c>
    </row>
    <row r="9" spans="1:3" x14ac:dyDescent="0.15">
      <c r="A9">
        <v>8</v>
      </c>
      <c r="B9" s="188" t="s">
        <v>199</v>
      </c>
      <c r="C9">
        <v>0</v>
      </c>
    </row>
    <row r="10" spans="1:3" x14ac:dyDescent="0.15">
      <c r="A10">
        <v>9</v>
      </c>
      <c r="B10" s="188" t="s">
        <v>200</v>
      </c>
      <c r="C10">
        <v>0</v>
      </c>
    </row>
    <row r="11" spans="1:3" x14ac:dyDescent="0.15">
      <c r="A11">
        <v>10</v>
      </c>
      <c r="B11" s="188" t="s">
        <v>201</v>
      </c>
      <c r="C11">
        <v>0</v>
      </c>
    </row>
    <row r="12" spans="1:3" x14ac:dyDescent="0.15">
      <c r="A12">
        <v>11</v>
      </c>
      <c r="B12" s="188" t="s">
        <v>202</v>
      </c>
      <c r="C12">
        <v>0</v>
      </c>
    </row>
    <row r="13" spans="1:3" x14ac:dyDescent="0.15">
      <c r="A13">
        <v>12</v>
      </c>
      <c r="B13" s="188" t="s">
        <v>203</v>
      </c>
      <c r="C13">
        <v>0</v>
      </c>
    </row>
    <row r="14" spans="1:3" x14ac:dyDescent="0.15">
      <c r="A14">
        <v>13</v>
      </c>
      <c r="B14" s="188" t="s">
        <v>204</v>
      </c>
      <c r="C14">
        <v>0</v>
      </c>
    </row>
    <row r="15" spans="1:3" x14ac:dyDescent="0.15">
      <c r="A15">
        <v>14</v>
      </c>
      <c r="B15" s="188" t="s">
        <v>205</v>
      </c>
      <c r="C15">
        <v>0</v>
      </c>
    </row>
    <row r="16" spans="1:3" x14ac:dyDescent="0.15">
      <c r="A16">
        <v>15</v>
      </c>
      <c r="B16" s="188" t="s">
        <v>206</v>
      </c>
      <c r="C16">
        <v>0</v>
      </c>
    </row>
    <row r="17" spans="1:3" x14ac:dyDescent="0.15">
      <c r="A17">
        <v>16</v>
      </c>
      <c r="B17" s="188" t="s">
        <v>207</v>
      </c>
      <c r="C17">
        <v>0</v>
      </c>
    </row>
    <row r="18" spans="1:3" x14ac:dyDescent="0.15">
      <c r="A18">
        <v>17</v>
      </c>
      <c r="B18" s="188" t="s">
        <v>208</v>
      </c>
      <c r="C18">
        <v>0</v>
      </c>
    </row>
    <row r="19" spans="1:3" x14ac:dyDescent="0.15">
      <c r="A19">
        <v>18</v>
      </c>
      <c r="B19" s="188" t="s">
        <v>209</v>
      </c>
      <c r="C19">
        <v>0</v>
      </c>
    </row>
    <row r="20" spans="1:3" x14ac:dyDescent="0.15">
      <c r="A20">
        <v>19</v>
      </c>
      <c r="B20" s="188" t="s">
        <v>210</v>
      </c>
      <c r="C20">
        <v>0</v>
      </c>
    </row>
    <row r="21" spans="1:3" x14ac:dyDescent="0.15">
      <c r="A21">
        <v>20</v>
      </c>
      <c r="B21" s="188" t="s">
        <v>211</v>
      </c>
      <c r="C21">
        <v>0</v>
      </c>
    </row>
    <row r="22" spans="1:3" x14ac:dyDescent="0.15">
      <c r="A22">
        <v>21</v>
      </c>
      <c r="B22" s="188" t="s">
        <v>212</v>
      </c>
      <c r="C22">
        <v>0</v>
      </c>
    </row>
    <row r="23" spans="1:3" x14ac:dyDescent="0.15">
      <c r="A23">
        <v>22</v>
      </c>
      <c r="B23" s="188" t="s">
        <v>213</v>
      </c>
      <c r="C23">
        <v>0</v>
      </c>
    </row>
    <row r="24" spans="1:3" x14ac:dyDescent="0.15">
      <c r="A24">
        <v>23</v>
      </c>
      <c r="B24" s="188" t="s">
        <v>214</v>
      </c>
      <c r="C24">
        <v>0</v>
      </c>
    </row>
    <row r="25" spans="1:3" x14ac:dyDescent="0.15">
      <c r="A25">
        <v>24</v>
      </c>
      <c r="B25" s="188" t="s">
        <v>215</v>
      </c>
      <c r="C25">
        <v>0</v>
      </c>
    </row>
    <row r="26" spans="1:3" x14ac:dyDescent="0.15">
      <c r="A26">
        <v>25</v>
      </c>
      <c r="B26" s="188" t="s">
        <v>216</v>
      </c>
      <c r="C26">
        <v>0</v>
      </c>
    </row>
    <row r="27" spans="1:3" x14ac:dyDescent="0.15">
      <c r="A27">
        <v>26</v>
      </c>
      <c r="B27" s="188" t="s">
        <v>217</v>
      </c>
      <c r="C27">
        <v>0</v>
      </c>
    </row>
    <row r="28" spans="1:3" x14ac:dyDescent="0.15">
      <c r="A28">
        <v>27</v>
      </c>
      <c r="B28" s="188" t="s">
        <v>218</v>
      </c>
      <c r="C28">
        <v>0</v>
      </c>
    </row>
    <row r="29" spans="1:3" x14ac:dyDescent="0.15">
      <c r="A29">
        <v>28</v>
      </c>
      <c r="B29" s="188" t="s">
        <v>219</v>
      </c>
      <c r="C29">
        <v>0</v>
      </c>
    </row>
    <row r="30" spans="1:3" x14ac:dyDescent="0.15">
      <c r="A30">
        <v>29</v>
      </c>
      <c r="B30" s="188" t="s">
        <v>220</v>
      </c>
      <c r="C30">
        <v>0</v>
      </c>
    </row>
    <row r="31" spans="1:3" x14ac:dyDescent="0.15">
      <c r="A31">
        <v>30</v>
      </c>
      <c r="B31" s="188" t="s">
        <v>221</v>
      </c>
      <c r="C31">
        <v>0</v>
      </c>
    </row>
    <row r="32" spans="1:3" x14ac:dyDescent="0.15">
      <c r="A32">
        <v>31</v>
      </c>
      <c r="B32" s="188" t="s">
        <v>222</v>
      </c>
      <c r="C32">
        <v>0</v>
      </c>
    </row>
    <row r="33" spans="1:3" x14ac:dyDescent="0.15">
      <c r="A33">
        <v>32</v>
      </c>
      <c r="B33" s="188" t="s">
        <v>223</v>
      </c>
      <c r="C3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8" activePane="bottomRight" state="frozen"/>
      <selection pane="topRight" activeCell="C1" sqref="C1"/>
      <selection pane="bottomLeft" activeCell="A3" sqref="A3"/>
      <selection pane="bottomRight" activeCell="K22" sqref="K22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2">
        <v>1</v>
      </c>
      <c r="B2" s="142" t="s">
        <v>192</v>
      </c>
      <c r="C2" s="8">
        <v>4.2790441513061523</v>
      </c>
      <c r="D2" s="9">
        <v>1.0000000474974513E-3</v>
      </c>
      <c r="E2" s="9">
        <v>0.1289999932050705</v>
      </c>
      <c r="F2" s="9">
        <v>4.9910001754760742</v>
      </c>
      <c r="G2" s="9">
        <v>1.5401539858430624E-3</v>
      </c>
      <c r="H2" s="9">
        <v>2.5846522301435471E-2</v>
      </c>
      <c r="I2">
        <v>0</v>
      </c>
      <c r="J2"/>
    </row>
    <row r="3" spans="1:10" ht="15" customHeight="1" x14ac:dyDescent="0.15">
      <c r="A3" s="143">
        <v>2</v>
      </c>
      <c r="B3" s="143" t="s">
        <v>193</v>
      </c>
      <c r="C3" s="8">
        <v>3.9400472640991211</v>
      </c>
      <c r="D3" s="9">
        <v>4.7500000800937414E-4</v>
      </c>
      <c r="E3" s="9">
        <v>7.0000000298023224E-2</v>
      </c>
      <c r="F3" s="9">
        <v>12.119999885559082</v>
      </c>
      <c r="G3" s="7">
        <v>0</v>
      </c>
      <c r="H3" s="9">
        <v>5.7755778543651104E-3</v>
      </c>
      <c r="I3">
        <v>0</v>
      </c>
      <c r="J3"/>
    </row>
    <row r="4" spans="1:10" ht="15" customHeight="1" x14ac:dyDescent="0.15">
      <c r="A4" s="144">
        <v>3</v>
      </c>
      <c r="B4" s="144" t="s">
        <v>194</v>
      </c>
      <c r="C4" s="8">
        <v>3.4806826114654541</v>
      </c>
      <c r="D4" s="9">
        <v>2.4000001139938831E-3</v>
      </c>
      <c r="E4" s="9">
        <v>0.5</v>
      </c>
      <c r="F4" s="9">
        <v>79.5</v>
      </c>
      <c r="G4" s="9">
        <v>1.655582309467718E-5</v>
      </c>
      <c r="H4" s="9">
        <v>6.2893079593777657E-3</v>
      </c>
      <c r="I4">
        <v>0</v>
      </c>
      <c r="J4"/>
    </row>
    <row r="5" spans="1:10" ht="15" customHeight="1" x14ac:dyDescent="0.15">
      <c r="A5" s="145">
        <v>4</v>
      </c>
      <c r="B5" s="145" t="s">
        <v>195</v>
      </c>
      <c r="C5" s="8">
        <v>3.233811616897583</v>
      </c>
      <c r="D5" s="9">
        <v>9.0000003576278687E-2</v>
      </c>
      <c r="E5" s="9">
        <v>0.39800000190734863</v>
      </c>
      <c r="F5" s="9">
        <v>3.3910000324249268</v>
      </c>
      <c r="G5" s="9">
        <v>0.63745361566543579</v>
      </c>
      <c r="H5" s="9">
        <v>0.11736951023340225</v>
      </c>
      <c r="I5">
        <v>0</v>
      </c>
      <c r="J5"/>
    </row>
    <row r="6" spans="1:10" ht="15" customHeight="1" x14ac:dyDescent="0.15">
      <c r="A6" s="146">
        <v>5</v>
      </c>
      <c r="B6" s="146" t="s">
        <v>196</v>
      </c>
      <c r="C6" s="8">
        <v>3.5941939353942871</v>
      </c>
      <c r="D6" s="9">
        <v>0.37599998712539673</v>
      </c>
      <c r="E6" s="9">
        <v>0.35400000214576721</v>
      </c>
      <c r="F6" s="9">
        <v>7.1690001487731934</v>
      </c>
      <c r="G6" s="9">
        <v>0.84135758876800537</v>
      </c>
      <c r="H6" s="9">
        <v>4.9379270523786545E-2</v>
      </c>
      <c r="I6">
        <v>0</v>
      </c>
      <c r="J6"/>
    </row>
    <row r="7" spans="1:10" ht="15" customHeight="1" x14ac:dyDescent="0.15">
      <c r="A7" s="147">
        <v>6</v>
      </c>
      <c r="B7" s="147" t="s">
        <v>197</v>
      </c>
      <c r="C7" s="8">
        <v>3.8463430404663086</v>
      </c>
      <c r="D7" s="9">
        <v>0.2199999988079071</v>
      </c>
      <c r="E7" s="9">
        <v>0.32600000500679016</v>
      </c>
      <c r="F7" s="9">
        <v>6.1820001602172852</v>
      </c>
      <c r="G7" s="9">
        <v>0.37704432010650635</v>
      </c>
      <c r="H7" s="9">
        <v>5.2733741700649261E-2</v>
      </c>
      <c r="I7">
        <v>0</v>
      </c>
      <c r="J7"/>
    </row>
    <row r="8" spans="1:10" ht="15" customHeight="1" x14ac:dyDescent="0.15">
      <c r="A8" s="148">
        <v>7</v>
      </c>
      <c r="B8" s="148" t="s">
        <v>198</v>
      </c>
      <c r="C8" s="8">
        <v>3.659149169921875</v>
      </c>
      <c r="D8" s="9">
        <v>0.19799999892711639</v>
      </c>
      <c r="E8" s="9">
        <v>0.30000001192092896</v>
      </c>
      <c r="F8" s="9">
        <v>6.5349998474121094</v>
      </c>
      <c r="G8" s="9">
        <v>0.69084250926971436</v>
      </c>
      <c r="H8" s="9">
        <v>4.5906659215688705E-2</v>
      </c>
      <c r="I8">
        <v>0</v>
      </c>
      <c r="J8"/>
    </row>
    <row r="9" spans="1:10" ht="15" customHeight="1" x14ac:dyDescent="0.15">
      <c r="A9" s="149">
        <v>8</v>
      </c>
      <c r="B9" s="149" t="s">
        <v>199</v>
      </c>
      <c r="C9" s="8">
        <v>3.2993426322937012</v>
      </c>
      <c r="D9" s="9">
        <v>0.41100001335144043</v>
      </c>
      <c r="E9" s="9">
        <v>0.43200001120567322</v>
      </c>
      <c r="F9" s="9">
        <v>9.8870000839233398</v>
      </c>
      <c r="G9" s="9">
        <v>0.70741522312164307</v>
      </c>
      <c r="H9" s="9">
        <v>4.3693739920854568E-2</v>
      </c>
      <c r="I9">
        <v>0</v>
      </c>
      <c r="J9"/>
    </row>
    <row r="10" spans="1:10" ht="15" customHeight="1" x14ac:dyDescent="0.15">
      <c r="A10" s="150">
        <v>9</v>
      </c>
      <c r="B10" s="150" t="s">
        <v>200</v>
      </c>
      <c r="C10" s="8">
        <v>3.3096127510070801</v>
      </c>
      <c r="D10" s="9">
        <v>0.26100000739097595</v>
      </c>
      <c r="E10" s="9">
        <v>0.31200000643730164</v>
      </c>
      <c r="F10" s="9">
        <v>6.1339998245239258</v>
      </c>
      <c r="G10" s="9">
        <v>0.93835562467575073</v>
      </c>
      <c r="H10" s="9">
        <v>5.0864040851593018E-2</v>
      </c>
      <c r="I10">
        <v>0</v>
      </c>
      <c r="J10"/>
    </row>
    <row r="11" spans="1:10" ht="15" customHeight="1" x14ac:dyDescent="0.15">
      <c r="A11" s="151">
        <v>10</v>
      </c>
      <c r="B11" s="151" t="s">
        <v>201</v>
      </c>
      <c r="C11" s="8">
        <v>3.1529281139373779</v>
      </c>
      <c r="D11" s="9">
        <v>0.12600000202655792</v>
      </c>
      <c r="E11" s="9">
        <v>0.60500001907348633</v>
      </c>
      <c r="F11" s="9">
        <v>10.62600040435791</v>
      </c>
      <c r="G11" s="9">
        <v>0.73806363344192505</v>
      </c>
      <c r="H11" s="9">
        <v>5.6935817003250122E-2</v>
      </c>
      <c r="I11">
        <v>0</v>
      </c>
      <c r="J11"/>
    </row>
    <row r="12" spans="1:10" ht="15" customHeight="1" x14ac:dyDescent="0.15">
      <c r="A12" s="152">
        <v>11</v>
      </c>
      <c r="B12" s="152" t="s">
        <v>202</v>
      </c>
      <c r="C12" s="8">
        <v>3.2962086200714111</v>
      </c>
      <c r="D12" s="9">
        <v>0.63400000333786011</v>
      </c>
      <c r="E12" s="9">
        <v>0.3919999897480011</v>
      </c>
      <c r="F12" s="9">
        <v>6.4120001792907715</v>
      </c>
      <c r="G12" s="9">
        <v>0.7582242488861084</v>
      </c>
      <c r="H12" s="9">
        <v>6.1135366559028625E-2</v>
      </c>
      <c r="I12">
        <v>0</v>
      </c>
      <c r="J12"/>
    </row>
    <row r="13" spans="1:10" ht="15" customHeight="1" x14ac:dyDescent="0.15">
      <c r="A13" s="153">
        <v>12</v>
      </c>
      <c r="B13" s="153" t="s">
        <v>203</v>
      </c>
      <c r="C13" s="8">
        <v>3.3812716007232666</v>
      </c>
      <c r="D13" s="9">
        <v>0.10999999940395355</v>
      </c>
      <c r="E13" s="9">
        <v>0.72399997711181641</v>
      </c>
      <c r="F13" s="9">
        <v>17.48699951171875</v>
      </c>
      <c r="G13" s="9">
        <v>0.77249294519424438</v>
      </c>
      <c r="H13" s="9">
        <v>4.1402183473110199E-2</v>
      </c>
      <c r="I13">
        <v>0</v>
      </c>
      <c r="J13"/>
    </row>
    <row r="14" spans="1:10" ht="15" customHeight="1" x14ac:dyDescent="0.15">
      <c r="A14" s="154">
        <v>13</v>
      </c>
      <c r="B14" s="154" t="s">
        <v>204</v>
      </c>
      <c r="C14" s="8">
        <v>3.3831222057342529</v>
      </c>
      <c r="D14" s="9">
        <v>1.340999960899353</v>
      </c>
      <c r="E14" s="9">
        <v>0.42699998617172241</v>
      </c>
      <c r="F14" s="9">
        <v>9.7390003204345703</v>
      </c>
      <c r="G14" s="9">
        <v>0.71921849250793457</v>
      </c>
      <c r="H14" s="9">
        <v>4.3844334781169891E-2</v>
      </c>
      <c r="I14">
        <v>0</v>
      </c>
      <c r="J14"/>
    </row>
    <row r="15" spans="1:10" ht="15" customHeight="1" x14ac:dyDescent="0.15">
      <c r="A15" s="155">
        <v>14</v>
      </c>
      <c r="B15" s="155" t="s">
        <v>205</v>
      </c>
      <c r="C15" s="8">
        <v>3.4714071750640869</v>
      </c>
      <c r="D15" s="9">
        <v>0.15800000727176666</v>
      </c>
      <c r="E15" s="9">
        <v>0.39100000262260437</v>
      </c>
      <c r="F15" s="9">
        <v>10.293000221252441</v>
      </c>
      <c r="G15" s="9">
        <v>0.912467360496521</v>
      </c>
      <c r="H15" s="9">
        <v>3.7986982613801956E-2</v>
      </c>
      <c r="I15">
        <v>0</v>
      </c>
      <c r="J15"/>
    </row>
    <row r="16" spans="1:10" ht="15" customHeight="1" x14ac:dyDescent="0.15">
      <c r="A16" s="156">
        <v>15</v>
      </c>
      <c r="B16" s="156" t="s">
        <v>206</v>
      </c>
      <c r="C16" s="8">
        <v>3.163341760635376</v>
      </c>
      <c r="D16" s="9">
        <v>8.7999999523162842E-2</v>
      </c>
      <c r="E16" s="9">
        <v>0.98600000143051147</v>
      </c>
      <c r="F16" s="9">
        <v>18.268999099731445</v>
      </c>
      <c r="G16" s="9">
        <v>0.76541715860366821</v>
      </c>
      <c r="H16" s="9">
        <v>5.3971212357282639E-2</v>
      </c>
      <c r="I16">
        <v>0</v>
      </c>
      <c r="J16"/>
    </row>
    <row r="17" spans="1:10" ht="15" customHeight="1" x14ac:dyDescent="0.15">
      <c r="A17" s="157">
        <v>16</v>
      </c>
      <c r="B17" s="157" t="s">
        <v>207</v>
      </c>
      <c r="C17" s="8">
        <v>3.2528891563415527</v>
      </c>
      <c r="D17" s="9">
        <v>2.3000000044703484E-2</v>
      </c>
      <c r="E17" s="9">
        <v>0.38100001215934753</v>
      </c>
      <c r="F17" s="9">
        <v>6.5130000114440918</v>
      </c>
      <c r="G17" s="9">
        <v>0.75318992137908936</v>
      </c>
      <c r="H17" s="9">
        <v>5.8498390018939972E-2</v>
      </c>
      <c r="I17">
        <v>0</v>
      </c>
      <c r="J17"/>
    </row>
    <row r="18" spans="1:10" ht="15" customHeight="1" x14ac:dyDescent="0.15">
      <c r="A18" s="158">
        <v>17</v>
      </c>
      <c r="B18" s="158" t="s">
        <v>208</v>
      </c>
      <c r="C18" s="8">
        <v>2.7508771419525146</v>
      </c>
      <c r="D18" s="9">
        <v>0.28299999237060547</v>
      </c>
      <c r="E18" s="9">
        <v>1.0959999561309814</v>
      </c>
      <c r="F18" s="9">
        <v>18.118999481201172</v>
      </c>
      <c r="G18" s="9">
        <v>0.58060348033905029</v>
      </c>
      <c r="H18" s="9">
        <v>6.04889877140522E-2</v>
      </c>
      <c r="I18">
        <v>0</v>
      </c>
      <c r="J18"/>
    </row>
    <row r="19" spans="1:10" ht="15" customHeight="1" x14ac:dyDescent="0.15">
      <c r="A19" s="159">
        <v>18</v>
      </c>
      <c r="B19" s="159" t="s">
        <v>209</v>
      </c>
      <c r="C19" s="8">
        <v>3.0332572460174561</v>
      </c>
      <c r="D19" s="9">
        <v>0.27399998903274536</v>
      </c>
      <c r="E19" s="9">
        <v>1.0520000457763672</v>
      </c>
      <c r="F19" s="9">
        <v>13.63599967956543</v>
      </c>
      <c r="G19" s="9">
        <v>0.55927538871765137</v>
      </c>
      <c r="H19" s="9">
        <v>7.714872807264328E-2</v>
      </c>
      <c r="I19">
        <v>0</v>
      </c>
      <c r="J19"/>
    </row>
    <row r="20" spans="1:10" ht="15" customHeight="1" x14ac:dyDescent="0.15">
      <c r="A20" s="160">
        <v>19</v>
      </c>
      <c r="B20" s="160" t="s">
        <v>210</v>
      </c>
      <c r="C20" s="8">
        <v>2.5722167491912842</v>
      </c>
      <c r="D20" s="9">
        <v>0.3529999852180481</v>
      </c>
      <c r="E20" s="9">
        <v>0.9309999942779541</v>
      </c>
      <c r="F20" s="9">
        <v>28.978000640869141</v>
      </c>
      <c r="G20" s="9">
        <v>0.57863670587539673</v>
      </c>
      <c r="H20" s="9">
        <v>3.2127819955348969E-2</v>
      </c>
      <c r="I20">
        <v>0</v>
      </c>
      <c r="J20"/>
    </row>
    <row r="21" spans="1:10" ht="15" customHeight="1" x14ac:dyDescent="0.15">
      <c r="A21" s="161">
        <v>20</v>
      </c>
      <c r="B21" s="161" t="s">
        <v>211</v>
      </c>
      <c r="C21" s="8">
        <v>2.6716110706329346</v>
      </c>
      <c r="D21" s="9">
        <v>0.60000002384185791</v>
      </c>
      <c r="E21" s="9">
        <v>0.73199999332427979</v>
      </c>
      <c r="F21" s="9">
        <v>28.479000091552734</v>
      </c>
      <c r="G21" s="9">
        <v>0.63401561975479126</v>
      </c>
      <c r="H21" s="9">
        <v>2.5703148916363716E-2</v>
      </c>
      <c r="I21">
        <v>0</v>
      </c>
      <c r="J21"/>
    </row>
    <row r="22" spans="1:10" ht="15" customHeight="1" x14ac:dyDescent="0.15">
      <c r="A22" s="162">
        <v>21</v>
      </c>
      <c r="B22" s="162" t="s">
        <v>212</v>
      </c>
      <c r="C22" s="8">
        <v>3.1802957057952881</v>
      </c>
      <c r="D22" s="9">
        <v>0.29100000858306885</v>
      </c>
      <c r="E22" s="9">
        <v>0.58399999141693115</v>
      </c>
      <c r="F22" s="9">
        <v>9.7119998931884766</v>
      </c>
      <c r="G22" s="9">
        <v>0.68417942523956299</v>
      </c>
      <c r="H22" s="9">
        <v>6.0131795704364777E-2</v>
      </c>
      <c r="I22">
        <v>0</v>
      </c>
      <c r="J22"/>
    </row>
    <row r="23" spans="1:10" ht="15" customHeight="1" x14ac:dyDescent="0.15">
      <c r="A23" s="163">
        <v>22</v>
      </c>
      <c r="B23" s="163" t="s">
        <v>213</v>
      </c>
      <c r="C23" s="8">
        <v>2.0316126346588135</v>
      </c>
      <c r="D23" s="9">
        <v>0.16200000047683716</v>
      </c>
      <c r="E23" s="9">
        <v>0.92900002002716064</v>
      </c>
      <c r="F23" s="9">
        <v>33.925998687744141</v>
      </c>
      <c r="G23" s="9">
        <v>0.52067697048187256</v>
      </c>
      <c r="H23" s="9">
        <v>2.7383130043745041E-2</v>
      </c>
      <c r="I23">
        <v>0</v>
      </c>
      <c r="J23"/>
    </row>
    <row r="24" spans="1:10" ht="15" customHeight="1" x14ac:dyDescent="0.15">
      <c r="A24" s="164">
        <v>23</v>
      </c>
      <c r="B24" s="164" t="s">
        <v>214</v>
      </c>
      <c r="C24" s="8">
        <v>2.352200984954834</v>
      </c>
      <c r="D24" s="9">
        <v>0.40117940306663513</v>
      </c>
      <c r="E24" s="9">
        <v>3.4549999237060547</v>
      </c>
      <c r="F24" s="9">
        <v>19.886999130249023</v>
      </c>
      <c r="G24" s="9">
        <v>0.79310685396194458</v>
      </c>
      <c r="H24" s="9">
        <v>0.17373158037662506</v>
      </c>
      <c r="I24">
        <v>0</v>
      </c>
      <c r="J24"/>
    </row>
    <row r="25" spans="1:10" ht="15" customHeight="1" x14ac:dyDescent="0.15">
      <c r="A25" s="165">
        <v>24</v>
      </c>
      <c r="B25" s="165" t="s">
        <v>215</v>
      </c>
      <c r="C25" s="8">
        <v>2.5326952934265137</v>
      </c>
      <c r="D25" s="9">
        <v>2.7883315086364746</v>
      </c>
      <c r="E25" s="9">
        <v>5.2039999961853027</v>
      </c>
      <c r="F25" s="9">
        <v>22</v>
      </c>
      <c r="G25" s="9">
        <v>0.80110913515090942</v>
      </c>
      <c r="H25" s="9">
        <v>0.23654545843601227</v>
      </c>
      <c r="I25">
        <v>0</v>
      </c>
      <c r="J25"/>
    </row>
    <row r="26" spans="1:10" ht="15" customHeight="1" x14ac:dyDescent="0.15">
      <c r="A26" s="166">
        <v>25</v>
      </c>
      <c r="B26" s="166" t="s">
        <v>216</v>
      </c>
      <c r="C26" s="8">
        <v>2.7372348308563232</v>
      </c>
      <c r="D26" s="9">
        <v>3.8583729267120361</v>
      </c>
      <c r="E26" s="9">
        <v>2.5829999446868896</v>
      </c>
      <c r="F26" s="9">
        <v>8.5</v>
      </c>
      <c r="G26" s="9">
        <v>0.79318559169769287</v>
      </c>
      <c r="H26" s="9">
        <v>0.30388236045837402</v>
      </c>
      <c r="I26">
        <v>0</v>
      </c>
      <c r="J26"/>
    </row>
    <row r="27" spans="1:10" ht="15" customHeight="1" x14ac:dyDescent="0.15">
      <c r="A27" s="167">
        <v>26</v>
      </c>
      <c r="B27" s="167" t="s">
        <v>217</v>
      </c>
      <c r="C27" s="8">
        <v>2</v>
      </c>
      <c r="D27" s="9">
        <v>61.256168365478516</v>
      </c>
      <c r="E27" s="9">
        <v>1.1330000162124634</v>
      </c>
      <c r="F27" s="9">
        <v>10</v>
      </c>
      <c r="G27" s="9">
        <v>0.41400638222694397</v>
      </c>
      <c r="H27" s="9">
        <v>0.11330000311136246</v>
      </c>
      <c r="I27">
        <v>0</v>
      </c>
      <c r="J27"/>
    </row>
    <row r="28" spans="1:10" ht="15" customHeight="1" x14ac:dyDescent="0.15">
      <c r="A28" s="168">
        <v>27</v>
      </c>
      <c r="B28" s="168" t="s">
        <v>218</v>
      </c>
      <c r="C28" s="8">
        <v>2.1164274215698242</v>
      </c>
      <c r="D28" s="9">
        <v>7.7875781059265137</v>
      </c>
      <c r="E28" s="9">
        <v>3.9440000057220459</v>
      </c>
      <c r="F28" s="9">
        <v>50</v>
      </c>
      <c r="G28" s="9">
        <v>0.76701134443283081</v>
      </c>
      <c r="H28" s="9">
        <v>7.8879997134208679E-2</v>
      </c>
      <c r="I28">
        <v>0</v>
      </c>
      <c r="J28"/>
    </row>
    <row r="29" spans="1:10" ht="15" customHeight="1" x14ac:dyDescent="0.15">
      <c r="A29" s="169">
        <v>28</v>
      </c>
      <c r="B29" s="169" t="s">
        <v>219</v>
      </c>
      <c r="C29" s="8">
        <v>2.0526316165924072</v>
      </c>
      <c r="D29" s="9">
        <v>4.2278900146484375</v>
      </c>
      <c r="E29" s="9">
        <v>49.847000122070312</v>
      </c>
      <c r="F29" s="9">
        <v>150</v>
      </c>
      <c r="G29" s="9">
        <v>0.55500280857086182</v>
      </c>
      <c r="H29" s="9">
        <v>0.33231332898139954</v>
      </c>
      <c r="I29">
        <v>0</v>
      </c>
      <c r="J29"/>
    </row>
    <row r="30" spans="1:10" ht="15" customHeight="1" x14ac:dyDescent="0.15">
      <c r="A30" s="170">
        <v>29</v>
      </c>
      <c r="B30" s="170" t="s">
        <v>220</v>
      </c>
      <c r="C30" s="8">
        <v>1</v>
      </c>
      <c r="D30" s="9">
        <v>13.857843399047852</v>
      </c>
      <c r="E30" s="9">
        <v>138</v>
      </c>
      <c r="F30" s="10"/>
      <c r="G30" s="9">
        <v>0.4779999852180481</v>
      </c>
      <c r="H30" s="10"/>
      <c r="I30">
        <v>0</v>
      </c>
      <c r="J30"/>
    </row>
    <row r="31" spans="1:10" ht="15" customHeight="1" x14ac:dyDescent="0.15">
      <c r="A31" s="171">
        <v>30</v>
      </c>
      <c r="B31" s="171" t="s">
        <v>221</v>
      </c>
      <c r="C31" s="8">
        <v>1</v>
      </c>
      <c r="D31" s="9">
        <v>27.257814407348633</v>
      </c>
      <c r="E31" s="9">
        <v>15</v>
      </c>
      <c r="F31" s="10"/>
      <c r="G31" s="9">
        <v>0.46700000762939453</v>
      </c>
      <c r="H31" s="10"/>
      <c r="I31">
        <v>0</v>
      </c>
      <c r="J31"/>
    </row>
    <row r="32" spans="1:10" ht="15" customHeight="1" x14ac:dyDescent="0.15">
      <c r="A32" s="198">
        <v>31</v>
      </c>
      <c r="B32" s="198" t="s">
        <v>222</v>
      </c>
      <c r="C32" s="8">
        <v>1</v>
      </c>
      <c r="D32" s="9">
        <v>1</v>
      </c>
      <c r="E32" s="10"/>
      <c r="F32" s="10"/>
      <c r="G32" s="7">
        <v>0.3014424741268158</v>
      </c>
      <c r="H32" s="10"/>
      <c r="I32">
        <v>0</v>
      </c>
      <c r="J32"/>
    </row>
    <row r="33" spans="1:10" ht="15" customHeight="1" x14ac:dyDescent="0.15">
      <c r="A33" s="199">
        <v>32</v>
      </c>
      <c r="B33" s="199" t="s">
        <v>223</v>
      </c>
      <c r="C33" s="8">
        <v>1</v>
      </c>
      <c r="D33" s="9">
        <v>5</v>
      </c>
      <c r="E33" s="10"/>
      <c r="F33" s="10"/>
      <c r="G33" s="7">
        <v>0</v>
      </c>
      <c r="H33" s="10"/>
      <c r="I33">
        <v>0</v>
      </c>
      <c r="J33"/>
    </row>
    <row r="34" spans="1:10" ht="15" customHeight="1" x14ac:dyDescent="0.15">
      <c r="A34" s="200">
        <v>33</v>
      </c>
      <c r="B34" s="200" t="s">
        <v>228</v>
      </c>
      <c r="C34" s="8">
        <v>1</v>
      </c>
      <c r="D34" s="10"/>
      <c r="E34" s="10"/>
      <c r="F34" s="10"/>
      <c r="G34" s="10"/>
      <c r="H34" s="10"/>
      <c r="I34">
        <v>0</v>
      </c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0.1289999932050705</v>
      </c>
      <c r="C2">
        <v>0.12880131602287292</v>
      </c>
      <c r="D2"/>
      <c r="E2" s="14">
        <v>1.9867984519805759E-4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7.0000000298023224E-2</v>
      </c>
      <c r="C3">
        <v>7.0000000298023224E-2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0.5</v>
      </c>
      <c r="C4">
        <v>0.49999171495437622</v>
      </c>
      <c r="D4"/>
      <c r="E4" s="11">
        <v>8.27791154733859E-6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0.39800000190734863</v>
      </c>
      <c r="C5">
        <v>0.14429345726966858</v>
      </c>
      <c r="D5"/>
      <c r="E5" s="12">
        <v>1.7660213634371758E-3</v>
      </c>
      <c r="F5"/>
      <c r="G5"/>
      <c r="H5"/>
      <c r="I5" s="215">
        <v>0.14981329441070557</v>
      </c>
      <c r="J5" s="27">
        <v>3.0236328020691872E-2</v>
      </c>
      <c r="K5" s="208">
        <v>7.1890898048877716E-2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0.35400000214576721</v>
      </c>
      <c r="C6">
        <v>5.6159414350986481E-2</v>
      </c>
      <c r="D6"/>
      <c r="E6" s="14">
        <v>4.4629533658735454E-4</v>
      </c>
      <c r="F6"/>
      <c r="G6" s="207">
        <v>1.3818849809467793E-2</v>
      </c>
      <c r="H6"/>
      <c r="I6"/>
      <c r="J6" s="241">
        <v>0.23883484303951263</v>
      </c>
      <c r="K6" s="223">
        <v>4.4740617275238037E-2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0.32600000500679016</v>
      </c>
      <c r="C7">
        <v>0.20308355987071991</v>
      </c>
      <c r="D7"/>
      <c r="E7" s="11">
        <v>7.5192270742263645E-5</v>
      </c>
      <c r="F7"/>
      <c r="G7" s="16">
        <v>5.2016070112586021E-3</v>
      </c>
      <c r="H7"/>
      <c r="I7"/>
      <c r="J7"/>
      <c r="K7" s="229">
        <v>0.11763965338468552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0.30000001192092896</v>
      </c>
      <c r="C8">
        <v>9.2747248709201813E-2</v>
      </c>
      <c r="D8"/>
      <c r="E8" s="11">
        <v>1.3272443902678788E-4</v>
      </c>
      <c r="F8"/>
      <c r="G8" s="12">
        <v>9.6326047787442803E-4</v>
      </c>
      <c r="H8"/>
      <c r="I8"/>
      <c r="J8" s="138">
        <v>0.20615677535533905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0.43200001120567322</v>
      </c>
      <c r="C9">
        <v>0.12639662623405457</v>
      </c>
      <c r="D9"/>
      <c r="E9" s="22">
        <v>3.4485978540033102E-3</v>
      </c>
      <c r="F9" s="12">
        <v>1.9790695514529943E-3</v>
      </c>
      <c r="G9"/>
      <c r="H9"/>
      <c r="I9" s="235">
        <v>9.8417498171329498E-2</v>
      </c>
      <c r="J9" s="227">
        <v>5.7563964277505875E-2</v>
      </c>
      <c r="K9" s="224">
        <v>4.1083056479692459E-2</v>
      </c>
      <c r="L9"/>
      <c r="M9"/>
      <c r="N9"/>
      <c r="O9"/>
      <c r="P9"/>
      <c r="Q9"/>
      <c r="R9"/>
      <c r="S9"/>
      <c r="T9"/>
      <c r="U9"/>
      <c r="V9"/>
      <c r="W9"/>
      <c r="X9"/>
      <c r="Y9" s="237">
        <v>0.10311120003461838</v>
      </c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0.31200000643730164</v>
      </c>
      <c r="C10">
        <v>1.9233046099543571E-2</v>
      </c>
      <c r="D10"/>
      <c r="E10" s="12">
        <v>1.412778627127409E-3</v>
      </c>
      <c r="F10" s="12">
        <v>1.4948397874832153E-3</v>
      </c>
      <c r="G10" s="17">
        <v>4.5567206107079983E-3</v>
      </c>
      <c r="H10"/>
      <c r="I10"/>
      <c r="J10" s="236">
        <v>0.15639479458332062</v>
      </c>
      <c r="K10" s="233">
        <v>0.12890782952308655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0.60500001907348633</v>
      </c>
      <c r="C11">
        <v>0.15847150981426239</v>
      </c>
      <c r="D11"/>
      <c r="E11" s="14">
        <v>1.475165132433176E-3</v>
      </c>
      <c r="F11" s="14">
        <v>8.324533118866384E-4</v>
      </c>
      <c r="G11" s="65">
        <v>2.5375679135322571E-2</v>
      </c>
      <c r="H11"/>
      <c r="I11" s="216">
        <v>0.11229565739631653</v>
      </c>
      <c r="J11" s="219">
        <v>0.12106524407863617</v>
      </c>
      <c r="K11" s="219">
        <v>0.12096497416496277</v>
      </c>
      <c r="L11"/>
      <c r="M11"/>
      <c r="N11"/>
      <c r="O11"/>
      <c r="P11"/>
      <c r="Q11"/>
      <c r="R11" s="211">
        <v>6.4519345760345459E-2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0.3919999897480011</v>
      </c>
      <c r="C12">
        <v>9.477609395980835E-2</v>
      </c>
      <c r="D12"/>
      <c r="E12" s="14">
        <v>7.384598720818758E-4</v>
      </c>
      <c r="F12"/>
      <c r="G12"/>
      <c r="H12"/>
      <c r="I12" s="240">
        <v>0.12760123610496521</v>
      </c>
      <c r="J12" s="76">
        <v>8.6578041315078735E-2</v>
      </c>
      <c r="K12" s="105">
        <v>6.1790231615304947E-2</v>
      </c>
      <c r="L12"/>
      <c r="M12"/>
      <c r="N12"/>
      <c r="O12"/>
      <c r="P12"/>
      <c r="Q12"/>
      <c r="R12" s="205">
        <v>2.0515929907560349E-2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0.72399997711181641</v>
      </c>
      <c r="C13">
        <v>0.16471509635448456</v>
      </c>
      <c r="D13"/>
      <c r="E13" s="22">
        <v>5.2531310357153416E-3</v>
      </c>
      <c r="F13" s="14">
        <v>1.9762695301324129E-3</v>
      </c>
      <c r="G13" s="137">
        <v>8.6693450808525085E-2</v>
      </c>
      <c r="H13"/>
      <c r="I13" s="220">
        <v>0.1470894068479538</v>
      </c>
      <c r="J13" s="214">
        <v>0.1149650439620018</v>
      </c>
      <c r="K13" s="217">
        <v>0.12940362095832825</v>
      </c>
      <c r="L13"/>
      <c r="M13"/>
      <c r="N13"/>
      <c r="O13"/>
      <c r="P13"/>
      <c r="Q13"/>
      <c r="R13" s="212">
        <v>7.3903977870941162E-2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0.42699998617172241</v>
      </c>
      <c r="C14">
        <v>0.11989369988441467</v>
      </c>
      <c r="D14"/>
      <c r="E14" s="14">
        <v>6.6038960358127952E-4</v>
      </c>
      <c r="F14"/>
      <c r="G14" s="16">
        <v>6.8159825168550014E-3</v>
      </c>
      <c r="H14"/>
      <c r="I14"/>
      <c r="J14" s="216">
        <v>7.9142071306705475E-2</v>
      </c>
      <c r="K14" s="239">
        <v>3.8680419325828552E-2</v>
      </c>
      <c r="L14" s="243">
        <v>0.18180744349956512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0.39100000262260437</v>
      </c>
      <c r="C15">
        <v>3.4225262701511383E-2</v>
      </c>
      <c r="D15"/>
      <c r="E15" s="14">
        <v>8.4051094017922878E-4</v>
      </c>
      <c r="F15" s="14">
        <v>5.6917237816378474E-4</v>
      </c>
      <c r="G15"/>
      <c r="H15"/>
      <c r="I15"/>
      <c r="J15" s="234">
        <v>0.23251351714134216</v>
      </c>
      <c r="K15" s="225">
        <v>0.12285154312849045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0.98600000143051147</v>
      </c>
      <c r="C16">
        <v>0.23129868507385254</v>
      </c>
      <c r="D16"/>
      <c r="E16" s="11">
        <v>4.9695669440552592E-4</v>
      </c>
      <c r="F16" s="14">
        <v>1.6826315550133586E-3</v>
      </c>
      <c r="G16" s="205">
        <v>5.1291663199663162E-2</v>
      </c>
      <c r="H16"/>
      <c r="I16" s="230">
        <v>0.30643630027770996</v>
      </c>
      <c r="J16" s="105">
        <v>0.15461759269237518</v>
      </c>
      <c r="K16" s="107">
        <v>0.19116446375846863</v>
      </c>
      <c r="L16"/>
      <c r="M16"/>
      <c r="N16"/>
      <c r="O16"/>
      <c r="P16"/>
      <c r="Q16"/>
      <c r="R16" s="204">
        <v>4.9011729657649994E-2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0.38100001215934753</v>
      </c>
      <c r="C17">
        <v>9.4034641981124878E-2</v>
      </c>
      <c r="D17"/>
      <c r="E17" s="11">
        <v>1.9799682195298374E-4</v>
      </c>
      <c r="F17"/>
      <c r="G17" s="75">
        <v>2.4522675201296806E-2</v>
      </c>
      <c r="H17"/>
      <c r="I17" s="203">
        <v>0.11724519729614258</v>
      </c>
      <c r="J17" s="202">
        <v>8.8737040758132935E-2</v>
      </c>
      <c r="K17" s="201">
        <v>5.6262440979480743E-2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1.0959999561309814</v>
      </c>
      <c r="C18">
        <v>0.45965856313705444</v>
      </c>
      <c r="D18"/>
      <c r="E18" s="11">
        <v>1.8003818695433438E-4</v>
      </c>
      <c r="F18" s="14">
        <v>2.5907414965331554E-3</v>
      </c>
      <c r="G18" s="141">
        <v>3.2518535852432251E-2</v>
      </c>
      <c r="H18"/>
      <c r="I18" s="205">
        <v>5.7172566652297974E-2</v>
      </c>
      <c r="J18" s="106">
        <v>7.2118446230888367E-2</v>
      </c>
      <c r="K18" s="67">
        <v>6.8588502705097198E-2</v>
      </c>
      <c r="L18" s="75">
        <v>7.1791455149650574E-2</v>
      </c>
      <c r="M18" s="205">
        <v>5.7986896485090256E-2</v>
      </c>
      <c r="N18" s="210">
        <v>4.9828704446554184E-2</v>
      </c>
      <c r="O18" s="22">
        <v>9.2516234144568443E-3</v>
      </c>
      <c r="P18" s="68">
        <v>5.6123349815607071E-2</v>
      </c>
      <c r="Q18" s="63">
        <v>6.101737916469574E-2</v>
      </c>
      <c r="R18" s="205">
        <v>5.7451855391263962E-2</v>
      </c>
      <c r="S18" s="23">
        <v>7.3529290966689587E-3</v>
      </c>
      <c r="T18"/>
      <c r="U18"/>
      <c r="V18"/>
      <c r="W18"/>
      <c r="X18"/>
      <c r="Y18" s="141">
        <v>3.2368406653404236E-2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1.0520000457763672</v>
      </c>
      <c r="C19">
        <v>0.46364229917526245</v>
      </c>
      <c r="D19"/>
      <c r="E19" s="11">
        <v>1.2048216012772173E-4</v>
      </c>
      <c r="F19" s="14">
        <v>1.8357171211391687E-3</v>
      </c>
      <c r="G19" s="21">
        <v>1.9896239042282104E-2</v>
      </c>
      <c r="H19"/>
      <c r="I19" s="20">
        <v>4.5857999473810196E-2</v>
      </c>
      <c r="J19" s="70">
        <v>7.4487306177616119E-2</v>
      </c>
      <c r="K19" s="106">
        <v>7.0841409265995026E-2</v>
      </c>
      <c r="L19" s="70">
        <v>7.4149571359157562E-2</v>
      </c>
      <c r="M19" s="213">
        <v>7.5969286262989044E-2</v>
      </c>
      <c r="N19" s="20">
        <v>4.44607213139534E-2</v>
      </c>
      <c r="O19" s="209">
        <v>2.47648935765028E-2</v>
      </c>
      <c r="P19" s="209">
        <v>2.5038620457053185E-2</v>
      </c>
      <c r="Q19" s="226">
        <v>7.1523495018482208E-2</v>
      </c>
      <c r="R19" s="221">
        <v>5.9412006288766861E-2</v>
      </c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0.9309999942779541</v>
      </c>
      <c r="C20">
        <v>0.39228922128677368</v>
      </c>
      <c r="D20"/>
      <c r="E20" s="11">
        <v>4.9602746003074571E-5</v>
      </c>
      <c r="F20" s="11">
        <v>3.1594274332746863E-4</v>
      </c>
      <c r="G20" s="23">
        <v>5.5757742375135422E-3</v>
      </c>
      <c r="H20"/>
      <c r="I20" s="232">
        <v>9.1670460999011993E-2</v>
      </c>
      <c r="J20" s="231">
        <v>8.0944277346134186E-2</v>
      </c>
      <c r="K20" s="106">
        <v>6.2133960425853729E-2</v>
      </c>
      <c r="L20" s="231">
        <v>8.0745585262775421E-2</v>
      </c>
      <c r="M20" s="26">
        <v>2.3199623450636864E-2</v>
      </c>
      <c r="N20" s="19">
        <v>1.6310995444655418E-2</v>
      </c>
      <c r="O20" s="12">
        <v>4.0379264391958714E-3</v>
      </c>
      <c r="P20" s="13">
        <v>3.4191392362117767E-2</v>
      </c>
      <c r="Q20" s="66">
        <v>5.5516820400953293E-2</v>
      </c>
      <c r="R20" s="228">
        <v>6.908869743347168E-2</v>
      </c>
      <c r="S20" s="11">
        <v>8.0230575986206532E-4</v>
      </c>
      <c r="T20"/>
      <c r="U20"/>
      <c r="V20"/>
      <c r="W20"/>
      <c r="X20"/>
      <c r="Y20" s="16">
        <v>1.4127356931567192E-2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0.73199999332427979</v>
      </c>
      <c r="C21">
        <v>0.26790055632591248</v>
      </c>
      <c r="D21"/>
      <c r="E21" s="11">
        <v>8.1748279626481235E-5</v>
      </c>
      <c r="F21" s="11">
        <v>5.7550217024981976E-4</v>
      </c>
      <c r="G21" s="22">
        <v>6.3575194217264652E-3</v>
      </c>
      <c r="H21"/>
      <c r="I21" s="201">
        <v>0.10786556452512741</v>
      </c>
      <c r="J21" s="107">
        <v>0.14173276722431183</v>
      </c>
      <c r="K21" s="205">
        <v>3.8821082562208176E-2</v>
      </c>
      <c r="L21"/>
      <c r="M21"/>
      <c r="N21" s="65">
        <v>2.9868330806493759E-2</v>
      </c>
      <c r="O21"/>
      <c r="P21" s="14">
        <v>1.6820720629766583E-3</v>
      </c>
      <c r="Q21" s="66">
        <v>4.3549869209527969E-2</v>
      </c>
      <c r="R21" s="63">
        <v>3.9912477135658264E-2</v>
      </c>
      <c r="S21" s="22">
        <v>5.9501170180737972E-3</v>
      </c>
      <c r="T21" s="11">
        <v>6.1490992084145546E-4</v>
      </c>
      <c r="U21"/>
      <c r="V21"/>
      <c r="W21"/>
      <c r="X21"/>
      <c r="Y21" s="75">
        <v>4.7087449580430984E-2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0.58399999141693115</v>
      </c>
      <c r="C22">
        <v>0.18443921208381653</v>
      </c>
      <c r="D22"/>
      <c r="E22" s="14">
        <v>7.0505758048966527E-4</v>
      </c>
      <c r="F22" s="23">
        <v>2.8646814171224833E-3</v>
      </c>
      <c r="G22" s="18">
        <v>6.5541435033082962E-3</v>
      </c>
      <c r="H22"/>
      <c r="I22" s="214">
        <v>9.2668019235134125E-2</v>
      </c>
      <c r="J22" s="238">
        <v>0.17767737805843353</v>
      </c>
      <c r="K22" s="218">
        <v>4.9556061625480652E-2</v>
      </c>
      <c r="L22"/>
      <c r="M22"/>
      <c r="N22"/>
      <c r="O22"/>
      <c r="P22"/>
      <c r="Q22"/>
      <c r="R22" s="137">
        <v>6.9535411894321442E-2</v>
      </c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0.92900002002716064</v>
      </c>
      <c r="C23">
        <v>0.44529110193252563</v>
      </c>
      <c r="D23"/>
      <c r="E23" s="11">
        <v>1.964974362635985E-4</v>
      </c>
      <c r="F23" s="11">
        <v>3.3265750971622765E-4</v>
      </c>
      <c r="G23" s="28">
        <v>3.2449286431074142E-2</v>
      </c>
      <c r="H23"/>
      <c r="I23" s="25">
        <v>2.9916383326053619E-2</v>
      </c>
      <c r="J23" s="25">
        <v>2.9027409851551056E-2</v>
      </c>
      <c r="K23" s="16">
        <v>1.3811130076646805E-2</v>
      </c>
      <c r="L23" s="222">
        <v>0.10095816105604172</v>
      </c>
      <c r="M23" s="210">
        <v>4.2192067950963974E-2</v>
      </c>
      <c r="N23" s="207">
        <v>3.6256060004234314E-2</v>
      </c>
      <c r="O23" s="64">
        <v>2.0194850862026215E-2</v>
      </c>
      <c r="P23" s="206">
        <v>3.0627094209194183E-2</v>
      </c>
      <c r="Q23" s="213">
        <v>6.6595643758773804E-2</v>
      </c>
      <c r="R23" s="65">
        <v>3.8758628070354462E-2</v>
      </c>
      <c r="S23"/>
      <c r="T23"/>
      <c r="U23"/>
      <c r="V23"/>
      <c r="W23"/>
      <c r="X23"/>
      <c r="Y23" s="210">
        <v>4.2393054813146591E-2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3.4549999237060547</v>
      </c>
      <c r="C24">
        <v>0.71481579542160034</v>
      </c>
      <c r="D24"/>
      <c r="E24" s="11">
        <v>4.9523332563694566E-5</v>
      </c>
      <c r="F24" s="11">
        <v>3.3535927650518715E-4</v>
      </c>
      <c r="G24" s="18">
        <v>4.0379896759986877E-2</v>
      </c>
      <c r="H24"/>
      <c r="I24" s="226">
        <v>0.23526225984096527</v>
      </c>
      <c r="J24" s="70">
        <v>0.2438596785068512</v>
      </c>
      <c r="K24" s="68">
        <v>0.17404118180274963</v>
      </c>
      <c r="L24" s="242">
        <v>0.55707442760467529</v>
      </c>
      <c r="M24" s="18">
        <v>4.2534738779067993E-2</v>
      </c>
      <c r="N24" s="25">
        <v>0.10965155810117722</v>
      </c>
      <c r="O24" s="141">
        <v>0.1017942950129509</v>
      </c>
      <c r="P24" s="141">
        <v>0.10291945189237595</v>
      </c>
      <c r="Q24" s="244">
        <v>0.77206993103027344</v>
      </c>
      <c r="R24" s="20">
        <v>0.14652527868747711</v>
      </c>
      <c r="S24"/>
      <c r="T24"/>
      <c r="U24"/>
      <c r="V24"/>
      <c r="W24"/>
      <c r="X24"/>
      <c r="Y24" s="67">
        <v>0.21368680894374847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5.2039999961853027</v>
      </c>
      <c r="C25">
        <v>1.0350281000137329</v>
      </c>
      <c r="D25"/>
      <c r="E25" s="11">
        <v>7.1253152782446705E-6</v>
      </c>
      <c r="F25" s="11">
        <v>2.171286178054288E-4</v>
      </c>
      <c r="G25" s="11">
        <v>1.9120782380923629E-3</v>
      </c>
      <c r="H25" s="15">
        <v>5.4726280272006989E-2</v>
      </c>
      <c r="I25" s="245">
        <v>0.42307853698730469</v>
      </c>
      <c r="J25" s="65">
        <v>0.20981444418430328</v>
      </c>
      <c r="K25" s="24">
        <v>0.14022785425186157</v>
      </c>
      <c r="L25" s="221">
        <v>0.29145717620849609</v>
      </c>
      <c r="M25" s="18">
        <v>6.1198104172945023E-2</v>
      </c>
      <c r="N25" s="19">
        <v>9.4658643007278442E-2</v>
      </c>
      <c r="O25" s="246">
        <v>0.42619726061820984</v>
      </c>
      <c r="P25" s="63">
        <v>0.28134894371032715</v>
      </c>
      <c r="Q25" s="244">
        <v>1.1591356992721558</v>
      </c>
      <c r="R25" s="73">
        <v>0.40898606181144714</v>
      </c>
      <c r="S25" s="18">
        <v>5.820092186331749E-2</v>
      </c>
      <c r="T25" s="14">
        <v>5.9545785188674927E-3</v>
      </c>
      <c r="U25" s="19">
        <v>9.1948837041854858E-2</v>
      </c>
      <c r="V25" s="67">
        <v>0.32159134745597839</v>
      </c>
      <c r="W25"/>
      <c r="X25"/>
      <c r="Y25" s="209">
        <v>0.12400409579277039</v>
      </c>
      <c r="Z25"/>
      <c r="AA25" s="14">
        <v>1.4306503348052502E-2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2.5829999446868896</v>
      </c>
      <c r="C26">
        <v>0.53420162200927734</v>
      </c>
      <c r="D26"/>
      <c r="E26" s="11">
        <v>2.0597013644874096E-5</v>
      </c>
      <c r="F26" s="11">
        <v>1.3947769184596837E-4</v>
      </c>
      <c r="G26" s="14">
        <v>3.7202367093414068E-3</v>
      </c>
      <c r="H26"/>
      <c r="I26" s="27">
        <v>0.19599123299121857</v>
      </c>
      <c r="J26" s="14">
        <v>3.5264471080154181E-3</v>
      </c>
      <c r="K26" s="64">
        <v>5.4288480430841446E-2</v>
      </c>
      <c r="L26" s="209">
        <v>6.3188232481479645E-2</v>
      </c>
      <c r="M26" s="204">
        <v>0.12657293677330017</v>
      </c>
      <c r="N26" s="24">
        <v>7.2207368910312653E-2</v>
      </c>
      <c r="O26" s="228">
        <v>0.19157393276691437</v>
      </c>
      <c r="P26" s="13">
        <v>9.6310675144195557E-2</v>
      </c>
      <c r="Q26" s="248">
        <v>1.0470911264419556</v>
      </c>
      <c r="R26"/>
      <c r="S26" s="16">
        <v>4.206007719039917E-2</v>
      </c>
      <c r="T26" s="12">
        <v>8.6063947528600693E-3</v>
      </c>
      <c r="U26"/>
      <c r="V26" s="21">
        <v>4.8417609184980392E-2</v>
      </c>
      <c r="W26"/>
      <c r="X26"/>
      <c r="Y26" s="21">
        <v>5.2583467215299606E-2</v>
      </c>
      <c r="Z26"/>
      <c r="AA26"/>
      <c r="AB26"/>
      <c r="AC26" s="16">
        <v>4.2499996721744537E-2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1.1330000162124634</v>
      </c>
      <c r="C27">
        <v>0.66393077373504639</v>
      </c>
      <c r="D27"/>
      <c r="E27" s="11">
        <v>3.2433860042146989E-7</v>
      </c>
      <c r="F27" s="11">
        <v>2.1963378458167426E-6</v>
      </c>
      <c r="G27" s="14">
        <v>1.3014738215133548E-3</v>
      </c>
      <c r="H27" s="14">
        <v>1.4946578303351998E-3</v>
      </c>
      <c r="I27" s="14">
        <v>2.0250272937119007E-3</v>
      </c>
      <c r="J27" s="11">
        <v>2.2212209296412766E-4</v>
      </c>
      <c r="K27"/>
      <c r="L27" s="15">
        <v>1.1940207332372665E-2</v>
      </c>
      <c r="M27" s="18">
        <v>1.4245966449379921E-2</v>
      </c>
      <c r="N27" s="12">
        <v>4.3087853118777275E-3</v>
      </c>
      <c r="O27" s="15">
        <v>1.2000096961855888E-2</v>
      </c>
      <c r="P27"/>
      <c r="Q27" s="26">
        <v>2.9646476730704308E-2</v>
      </c>
      <c r="R27" s="11">
        <v>6.9010315928608179E-4</v>
      </c>
      <c r="S27" s="23">
        <v>5.5634444579482079E-3</v>
      </c>
      <c r="T27" s="11">
        <v>8.8706496171653271E-4</v>
      </c>
      <c r="U27" s="19">
        <v>2.0927183330059052E-2</v>
      </c>
      <c r="V27" s="17">
        <v>1.524852029979229E-2</v>
      </c>
      <c r="W27" s="64">
        <v>2.3378752171993256E-2</v>
      </c>
      <c r="X27" s="228">
        <v>8.3684965968132019E-2</v>
      </c>
      <c r="Y27" s="16">
        <v>1.7306895926594734E-2</v>
      </c>
      <c r="Z27" s="11">
        <v>2.6916532078757882E-4</v>
      </c>
      <c r="AA27" s="22">
        <v>9.7683081403374672E-3</v>
      </c>
      <c r="AB27"/>
      <c r="AC27" s="250">
        <v>0.21415750682353973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3.9440000057220459</v>
      </c>
      <c r="C28">
        <v>0.9189072847366333</v>
      </c>
      <c r="D28"/>
      <c r="E28"/>
      <c r="F28"/>
      <c r="G28"/>
      <c r="H28" s="14">
        <v>5.8784009888768196E-3</v>
      </c>
      <c r="I28" s="12">
        <v>1.2119605205953121E-2</v>
      </c>
      <c r="J28"/>
      <c r="K28" s="22">
        <v>2.7417507022619247E-2</v>
      </c>
      <c r="L28" s="64">
        <v>8.8702462613582611E-2</v>
      </c>
      <c r="M28"/>
      <c r="N28" s="14">
        <v>1.1297465302050114E-2</v>
      </c>
      <c r="O28" s="25">
        <v>0.12061116844415665</v>
      </c>
      <c r="P28" s="12">
        <v>1.5375587157905102E-2</v>
      </c>
      <c r="Q28" s="20">
        <v>0.17292787134647369</v>
      </c>
      <c r="R28"/>
      <c r="S28" s="14">
        <v>6.2516280449926853E-3</v>
      </c>
      <c r="T28" s="14">
        <v>3.8764157798141241E-3</v>
      </c>
      <c r="U28" s="22">
        <v>3.2922152429819107E-2</v>
      </c>
      <c r="V28" s="209">
        <v>9.5954447984695435E-2</v>
      </c>
      <c r="W28" s="12">
        <v>1.3135320506989956E-2</v>
      </c>
      <c r="X28" s="24">
        <v>0.10970933735370636</v>
      </c>
      <c r="Y28" s="21">
        <v>7.4371732771396637E-2</v>
      </c>
      <c r="Z28" s="11">
        <v>2.1172226406633854E-3</v>
      </c>
      <c r="AA28" s="26">
        <v>0.102448470890522</v>
      </c>
      <c r="AB28" s="219">
        <v>0.78770691156387329</v>
      </c>
      <c r="AC28" s="249">
        <v>0.84226882457733154</v>
      </c>
      <c r="AD28"/>
      <c r="AE28" s="247">
        <v>0.5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49.847000122070312</v>
      </c>
      <c r="C29">
        <v>22.181774139404297</v>
      </c>
      <c r="D29"/>
      <c r="E29"/>
      <c r="F29"/>
      <c r="G29"/>
      <c r="H29"/>
      <c r="I29" s="11">
        <v>2.232375368475914E-2</v>
      </c>
      <c r="J29"/>
      <c r="K29" s="11">
        <v>1.2220772914588451E-2</v>
      </c>
      <c r="L29" s="12">
        <v>0.24411764740943909</v>
      </c>
      <c r="M29"/>
      <c r="N29" s="11">
        <v>3.1214114278554916E-2</v>
      </c>
      <c r="O29" s="14">
        <v>6.7613966763019562E-2</v>
      </c>
      <c r="P29" s="14">
        <v>0.12402698397636414</v>
      </c>
      <c r="Q29" s="15">
        <v>0.49371400475502014</v>
      </c>
      <c r="R29" s="14">
        <v>5.7684361934661865E-2</v>
      </c>
      <c r="S29" s="12">
        <v>0.20996065437793732</v>
      </c>
      <c r="T29" s="11">
        <v>3.5700893495231867E-3</v>
      </c>
      <c r="U29" s="22">
        <v>0.42448759078979492</v>
      </c>
      <c r="V29" s="14">
        <v>8.8371828198432922E-2</v>
      </c>
      <c r="W29" s="21">
        <v>0.96778613328933716</v>
      </c>
      <c r="X29" s="209">
        <v>1.2124772071838379</v>
      </c>
      <c r="Y29" s="14">
        <v>0.10224078595638275</v>
      </c>
      <c r="Z29" s="11">
        <v>3.1198609620332718E-2</v>
      </c>
      <c r="AA29" s="23">
        <v>0.2830580472946167</v>
      </c>
      <c r="AB29" s="251">
        <v>5.8036789894104004</v>
      </c>
      <c r="AC29" s="16">
        <v>0.77571010589599609</v>
      </c>
      <c r="AD29"/>
      <c r="AE29" s="253">
        <v>9.2097692489624023</v>
      </c>
      <c r="AF29" s="252">
        <v>7.5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138</v>
      </c>
      <c r="C30">
        <v>72.036003112792969</v>
      </c>
      <c r="D30"/>
      <c r="E30"/>
      <c r="F30"/>
      <c r="G30"/>
      <c r="H30"/>
      <c r="I30"/>
      <c r="J30"/>
      <c r="K30"/>
      <c r="L30"/>
      <c r="M30"/>
      <c r="N30" s="11">
        <v>2.1162477787584066E-3</v>
      </c>
      <c r="O30" s="11">
        <v>2.9469069559127092E-3</v>
      </c>
      <c r="P30"/>
      <c r="Q30"/>
      <c r="R30"/>
      <c r="S30"/>
      <c r="T30"/>
      <c r="U30" s="11">
        <v>7.400396466255188E-2</v>
      </c>
      <c r="V30" s="11">
        <v>2.6961365714669228E-2</v>
      </c>
      <c r="W30" s="14">
        <v>0.2214464396238327</v>
      </c>
      <c r="X30" s="14">
        <v>0.24660982191562653</v>
      </c>
      <c r="Y30"/>
      <c r="Z30" s="11">
        <v>0.12294580787420273</v>
      </c>
      <c r="AA30" s="11">
        <v>5.7572122663259506E-2</v>
      </c>
      <c r="AB30" s="15">
        <v>1.3279836177825928</v>
      </c>
      <c r="AC30" s="11">
        <v>7.0998422801494598E-2</v>
      </c>
      <c r="AD30" s="242">
        <v>22.101625442504883</v>
      </c>
      <c r="AE30" s="21">
        <v>2.8098089694976807</v>
      </c>
      <c r="AF30" s="255">
        <v>38.898979187011719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15</v>
      </c>
      <c r="C31">
        <v>7.994999885559082</v>
      </c>
      <c r="D31"/>
      <c r="E31"/>
      <c r="F31"/>
      <c r="G31"/>
      <c r="H31" s="11">
        <v>3.3589266240596771E-4</v>
      </c>
      <c r="I31"/>
      <c r="J31"/>
      <c r="K31"/>
      <c r="L31"/>
      <c r="M31"/>
      <c r="N31" s="11">
        <v>2.4207707028836012E-3</v>
      </c>
      <c r="O31" s="11">
        <v>1.4982043066993356E-3</v>
      </c>
      <c r="P31"/>
      <c r="Q31"/>
      <c r="R31"/>
      <c r="S31"/>
      <c r="T31"/>
      <c r="U31" s="11">
        <v>9.4058839604258537E-3</v>
      </c>
      <c r="V31" s="11">
        <v>6.8535646423697472E-3</v>
      </c>
      <c r="W31" s="14">
        <v>3.7527710199356079E-2</v>
      </c>
      <c r="X31" s="14">
        <v>3.1344041228294373E-2</v>
      </c>
      <c r="Y31"/>
      <c r="Z31" s="14">
        <v>4.0326137095689774E-2</v>
      </c>
      <c r="AA31" s="14">
        <v>4.3904408812522888E-2</v>
      </c>
      <c r="AB31" s="16">
        <v>0.22504846751689911</v>
      </c>
      <c r="AC31" s="12">
        <v>7.2191044688224792E-2</v>
      </c>
      <c r="AD31" s="254">
        <v>3.3709325790405273</v>
      </c>
      <c r="AE31" s="227">
        <v>1.9999052286148071</v>
      </c>
      <c r="AF31" s="73">
        <v>1.1633058786392212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/>
      <c r="C32">
        <v>0.3014424741268158</v>
      </c>
      <c r="D32"/>
      <c r="E32" s="9">
        <v>9.9338676591287367E-6</v>
      </c>
      <c r="F32"/>
      <c r="G32"/>
      <c r="H32" s="9">
        <v>6.103800144046545E-3</v>
      </c>
      <c r="I32"/>
      <c r="J32"/>
      <c r="K32"/>
      <c r="L32"/>
      <c r="M32"/>
      <c r="N32" s="9">
        <v>0.11730652302503586</v>
      </c>
      <c r="O32" s="9">
        <v>4.083777591586113E-2</v>
      </c>
      <c r="P32" s="9">
        <v>4.1289165616035461E-2</v>
      </c>
      <c r="Q32" s="9">
        <v>0.13466893136501312</v>
      </c>
      <c r="R32"/>
      <c r="S32"/>
      <c r="T32"/>
      <c r="U32" s="9">
        <v>0.25638383626937866</v>
      </c>
      <c r="V32" s="9">
        <v>3.7362635135650635E-2</v>
      </c>
      <c r="W32" s="9">
        <v>0.51146167516708374</v>
      </c>
      <c r="X32" s="9">
        <v>1.7087401151657104</v>
      </c>
      <c r="Y32" s="9">
        <v>2.8575582429766655E-2</v>
      </c>
      <c r="Z32" s="9">
        <v>2.5281655788421631</v>
      </c>
      <c r="AA32" s="9">
        <v>3.3508667945861816</v>
      </c>
      <c r="AB32" s="9">
        <v>6.1343293190002441</v>
      </c>
      <c r="AC32" s="9">
        <v>6.7232146263122559</v>
      </c>
      <c r="AD32" s="9">
        <v>214.39659118652344</v>
      </c>
      <c r="AE32" s="9">
        <v>253.09628295898438</v>
      </c>
      <c r="AF32" s="9">
        <v>31.709175109863281</v>
      </c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3" workbookViewId="0">
      <selection activeCell="A41" sqref="A41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7" width="10.5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89" t="s">
        <v>192</v>
      </c>
      <c r="E5">
        <v>4</v>
      </c>
      <c r="F5">
        <v>3.14</v>
      </c>
      <c r="G5">
        <v>4</v>
      </c>
      <c r="H5" s="190" t="s">
        <v>192</v>
      </c>
      <c r="J5" s="56"/>
      <c r="K5" s="57"/>
    </row>
    <row r="6" spans="1:12" ht="14" thickBot="1" x14ac:dyDescent="0.2">
      <c r="A6" s="40" t="s">
        <v>121</v>
      </c>
      <c r="D6" s="189" t="s">
        <v>193</v>
      </c>
      <c r="E6">
        <v>5</v>
      </c>
      <c r="F6">
        <v>3.16</v>
      </c>
      <c r="G6">
        <v>5</v>
      </c>
      <c r="H6" s="190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89" t="s">
        <v>194</v>
      </c>
      <c r="E7">
        <v>6</v>
      </c>
      <c r="F7">
        <v>3.16</v>
      </c>
      <c r="G7">
        <v>6</v>
      </c>
      <c r="H7" s="190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89" t="s">
        <v>195</v>
      </c>
      <c r="E8">
        <v>7</v>
      </c>
      <c r="F8">
        <v>3.24</v>
      </c>
      <c r="G8">
        <v>7</v>
      </c>
      <c r="H8" s="190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89" t="s">
        <v>196</v>
      </c>
      <c r="E9">
        <v>8</v>
      </c>
      <c r="F9">
        <v>3</v>
      </c>
      <c r="G9">
        <v>8</v>
      </c>
      <c r="H9" s="190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89" t="s">
        <v>197</v>
      </c>
      <c r="E10">
        <v>9</v>
      </c>
      <c r="F10">
        <v>3</v>
      </c>
      <c r="G10">
        <v>9</v>
      </c>
      <c r="H10" s="190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89" t="s">
        <v>198</v>
      </c>
      <c r="E11">
        <v>10</v>
      </c>
      <c r="F11">
        <v>3</v>
      </c>
      <c r="G11">
        <v>10</v>
      </c>
      <c r="H11" s="190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89" t="s">
        <v>199</v>
      </c>
      <c r="E12">
        <v>11</v>
      </c>
      <c r="F12">
        <v>3</v>
      </c>
      <c r="G12">
        <v>11</v>
      </c>
      <c r="H12" s="190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89" t="s">
        <v>200</v>
      </c>
      <c r="E13">
        <v>12</v>
      </c>
      <c r="F13">
        <v>3</v>
      </c>
      <c r="G13">
        <v>12</v>
      </c>
      <c r="H13" s="190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89" t="s">
        <v>201</v>
      </c>
      <c r="E14">
        <v>13</v>
      </c>
      <c r="F14">
        <v>3</v>
      </c>
      <c r="G14">
        <v>13</v>
      </c>
      <c r="H14" s="190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89" t="s">
        <v>202</v>
      </c>
      <c r="E15">
        <v>14</v>
      </c>
      <c r="F15">
        <v>3</v>
      </c>
      <c r="G15">
        <v>14</v>
      </c>
      <c r="H15" s="190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89" t="s">
        <v>203</v>
      </c>
      <c r="E16">
        <v>15</v>
      </c>
      <c r="F16">
        <v>3</v>
      </c>
      <c r="G16">
        <v>15</v>
      </c>
      <c r="H16" s="190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89" t="s">
        <v>204</v>
      </c>
      <c r="E17">
        <v>16</v>
      </c>
      <c r="F17">
        <v>3</v>
      </c>
      <c r="G17">
        <v>16</v>
      </c>
      <c r="H17" s="190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89" t="s">
        <v>205</v>
      </c>
      <c r="E18">
        <v>17</v>
      </c>
      <c r="F18">
        <v>3</v>
      </c>
      <c r="G18">
        <v>17</v>
      </c>
      <c r="H18" s="190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89" t="s">
        <v>206</v>
      </c>
      <c r="E19">
        <v>18</v>
      </c>
      <c r="F19">
        <v>3</v>
      </c>
      <c r="G19">
        <v>18</v>
      </c>
      <c r="H19" s="190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89" t="s">
        <v>207</v>
      </c>
      <c r="E20">
        <v>19</v>
      </c>
      <c r="F20">
        <v>3</v>
      </c>
      <c r="G20">
        <v>19</v>
      </c>
      <c r="H20" s="190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89" t="s">
        <v>208</v>
      </c>
      <c r="E21">
        <v>20</v>
      </c>
      <c r="F21">
        <v>3</v>
      </c>
      <c r="G21">
        <v>20</v>
      </c>
      <c r="H21" s="190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89" t="s">
        <v>209</v>
      </c>
      <c r="E22">
        <v>21</v>
      </c>
      <c r="F22">
        <v>3</v>
      </c>
      <c r="G22">
        <v>21</v>
      </c>
      <c r="H22" s="190" t="s">
        <v>209</v>
      </c>
    </row>
    <row r="23" spans="1:12" x14ac:dyDescent="0.15">
      <c r="A23" s="35" t="s">
        <v>129</v>
      </c>
      <c r="B23" s="43">
        <v>4</v>
      </c>
      <c r="C23" s="37"/>
      <c r="D23" s="189" t="s">
        <v>210</v>
      </c>
      <c r="E23">
        <v>22</v>
      </c>
      <c r="F23">
        <v>3.14</v>
      </c>
      <c r="G23">
        <v>22</v>
      </c>
      <c r="H23" s="190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89" t="s">
        <v>211</v>
      </c>
      <c r="E24">
        <v>23</v>
      </c>
      <c r="F24">
        <v>3.24</v>
      </c>
      <c r="G24">
        <v>23</v>
      </c>
      <c r="H24" s="190" t="s">
        <v>211</v>
      </c>
    </row>
    <row r="25" spans="1:12" x14ac:dyDescent="0.15">
      <c r="A25" s="35" t="s">
        <v>70</v>
      </c>
      <c r="B25" s="43">
        <v>4.2</v>
      </c>
      <c r="C25" s="37"/>
      <c r="D25" s="189" t="s">
        <v>212</v>
      </c>
      <c r="E25">
        <v>24</v>
      </c>
      <c r="F25">
        <v>3</v>
      </c>
      <c r="G25">
        <v>24</v>
      </c>
      <c r="H25" s="190" t="s">
        <v>212</v>
      </c>
    </row>
    <row r="26" spans="1:12" x14ac:dyDescent="0.15">
      <c r="A26" s="35" t="s">
        <v>123</v>
      </c>
      <c r="B26" s="43">
        <v>4.3</v>
      </c>
      <c r="C26" s="37"/>
      <c r="D26" s="189" t="s">
        <v>213</v>
      </c>
      <c r="E26">
        <v>25</v>
      </c>
      <c r="F26">
        <v>3</v>
      </c>
      <c r="G26">
        <v>25</v>
      </c>
      <c r="H26" s="190" t="s">
        <v>213</v>
      </c>
    </row>
    <row r="27" spans="1:12" x14ac:dyDescent="0.15">
      <c r="A27" s="35" t="s">
        <v>125</v>
      </c>
      <c r="B27" s="43">
        <v>6.1</v>
      </c>
      <c r="D27" s="189" t="s">
        <v>214</v>
      </c>
      <c r="E27">
        <v>26</v>
      </c>
      <c r="F27">
        <v>3</v>
      </c>
      <c r="G27">
        <v>26</v>
      </c>
      <c r="H27" s="190" t="s">
        <v>214</v>
      </c>
    </row>
    <row r="28" spans="1:12" x14ac:dyDescent="0.15">
      <c r="A28" s="35" t="s">
        <v>124</v>
      </c>
      <c r="B28" s="43">
        <v>6.2</v>
      </c>
      <c r="D28" s="189" t="s">
        <v>215</v>
      </c>
      <c r="E28">
        <v>27</v>
      </c>
      <c r="F28">
        <v>3</v>
      </c>
      <c r="G28">
        <v>27</v>
      </c>
      <c r="H28" s="190" t="s">
        <v>215</v>
      </c>
    </row>
    <row r="29" spans="1:12" x14ac:dyDescent="0.15">
      <c r="A29" s="35" t="s">
        <v>44</v>
      </c>
      <c r="B29" s="43">
        <v>5</v>
      </c>
      <c r="D29" s="189" t="s">
        <v>216</v>
      </c>
      <c r="E29">
        <v>28</v>
      </c>
      <c r="F29">
        <v>3</v>
      </c>
      <c r="G29">
        <v>28</v>
      </c>
      <c r="H29" s="190" t="s">
        <v>216</v>
      </c>
    </row>
    <row r="30" spans="1:12" x14ac:dyDescent="0.15">
      <c r="A30" s="35" t="s">
        <v>73</v>
      </c>
      <c r="B30" s="43">
        <v>7</v>
      </c>
      <c r="D30" s="189" t="s">
        <v>217</v>
      </c>
      <c r="E30">
        <v>29</v>
      </c>
      <c r="F30">
        <v>3.21</v>
      </c>
      <c r="G30">
        <v>29</v>
      </c>
      <c r="H30" s="190" t="s">
        <v>217</v>
      </c>
    </row>
    <row r="31" spans="1:12" x14ac:dyDescent="0.15">
      <c r="A31" s="35" t="s">
        <v>169</v>
      </c>
      <c r="B31" s="43">
        <v>3.14</v>
      </c>
      <c r="D31" s="189" t="s">
        <v>218</v>
      </c>
      <c r="E31">
        <v>30</v>
      </c>
      <c r="F31">
        <v>3.21</v>
      </c>
      <c r="G31">
        <v>30</v>
      </c>
      <c r="H31" s="190" t="s">
        <v>218</v>
      </c>
    </row>
    <row r="32" spans="1:12" ht="12" customHeight="1" thickBot="1" x14ac:dyDescent="0.2">
      <c r="A32" s="41" t="s">
        <v>170</v>
      </c>
      <c r="B32" s="44">
        <v>9</v>
      </c>
      <c r="D32" s="189" t="s">
        <v>219</v>
      </c>
      <c r="E32">
        <v>31</v>
      </c>
      <c r="F32">
        <v>3.11</v>
      </c>
      <c r="G32">
        <v>31</v>
      </c>
      <c r="H32" s="190" t="s">
        <v>219</v>
      </c>
    </row>
    <row r="33" spans="4:8" customFormat="1" ht="12" customHeight="1" x14ac:dyDescent="0.15">
      <c r="D33" s="189" t="s">
        <v>220</v>
      </c>
      <c r="E33">
        <v>32</v>
      </c>
      <c r="F33">
        <v>2.1</v>
      </c>
      <c r="G33">
        <v>32</v>
      </c>
      <c r="H33" s="190" t="s">
        <v>220</v>
      </c>
    </row>
    <row r="34" spans="4:8" customFormat="1" ht="12" customHeight="1" x14ac:dyDescent="0.15">
      <c r="D34" s="189" t="s">
        <v>221</v>
      </c>
      <c r="E34">
        <v>33</v>
      </c>
      <c r="F34">
        <v>2</v>
      </c>
      <c r="G34">
        <v>33</v>
      </c>
      <c r="H34" s="190" t="s">
        <v>221</v>
      </c>
    </row>
    <row r="35" spans="4:8" customFormat="1" x14ac:dyDescent="0.15">
      <c r="D35" s="189" t="s">
        <v>222</v>
      </c>
      <c r="E35">
        <v>34</v>
      </c>
      <c r="F35">
        <v>4.0999999999999996</v>
      </c>
      <c r="G35">
        <v>34</v>
      </c>
      <c r="H35" s="190" t="s">
        <v>222</v>
      </c>
    </row>
    <row r="36" spans="4:8" customFormat="1" x14ac:dyDescent="0.15">
      <c r="D36" s="189" t="s">
        <v>223</v>
      </c>
      <c r="E36">
        <v>35</v>
      </c>
      <c r="F36">
        <v>4.3</v>
      </c>
      <c r="G36">
        <v>35</v>
      </c>
      <c r="H36" s="190" t="s">
        <v>223</v>
      </c>
    </row>
    <row r="37" spans="4:8" customFormat="1" ht="12" customHeight="1" x14ac:dyDescent="0.15">
      <c r="D37" s="197" t="s">
        <v>228</v>
      </c>
      <c r="E37">
        <v>36</v>
      </c>
      <c r="F37">
        <v>5</v>
      </c>
      <c r="G37">
        <v>36</v>
      </c>
      <c r="H37" s="197" t="s">
        <v>228</v>
      </c>
    </row>
    <row r="38" spans="4:8" customFormat="1" x14ac:dyDescent="0.15">
      <c r="D38" s="189" t="s">
        <v>138</v>
      </c>
      <c r="E38">
        <v>37</v>
      </c>
      <c r="F38">
        <v>6.1</v>
      </c>
      <c r="G38">
        <v>37</v>
      </c>
      <c r="H38" s="190" t="s">
        <v>138</v>
      </c>
    </row>
    <row r="39" spans="4:8" customFormat="1" x14ac:dyDescent="0.15">
      <c r="D39" s="189" t="s">
        <v>45</v>
      </c>
      <c r="E39">
        <v>38</v>
      </c>
      <c r="F39">
        <v>6.2</v>
      </c>
      <c r="G39">
        <v>38</v>
      </c>
      <c r="H39" s="190" t="s">
        <v>45</v>
      </c>
    </row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19" activePane="bottomLeft" state="frozen"/>
      <selection pane="bottomLeft" activeCell="F44" sqref="F44"/>
    </sheetView>
  </sheetViews>
  <sheetFormatPr baseColWidth="10" defaultColWidth="11.5" defaultRowHeight="15" customHeight="1" x14ac:dyDescent="0.15"/>
  <cols>
    <col min="1" max="1" width="13.1640625" style="82" bestFit="1" customWidth="1"/>
    <col min="2" max="2" width="12.83203125" style="81" customWidth="1"/>
    <col min="3" max="3" width="13.1640625" style="81" customWidth="1"/>
    <col min="4" max="4" width="11.83203125" style="81" customWidth="1"/>
    <col min="5" max="5" width="12.83203125" style="81" customWidth="1"/>
    <col min="6" max="6" width="15" style="81" bestFit="1" customWidth="1"/>
    <col min="7" max="15" width="8.83203125" style="81" customWidth="1"/>
    <col min="16" max="16" width="8.83203125" style="71" customWidth="1"/>
    <col min="17" max="17" width="8.83203125" style="81" customWidth="1"/>
    <col min="18" max="18" width="8.83203125" style="72" customWidth="1"/>
    <col min="19" max="16384" width="11.5" style="81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3" t="s">
        <v>48</v>
      </c>
      <c r="L1" s="72"/>
      <c r="M1" s="83" t="s">
        <v>119</v>
      </c>
      <c r="N1" s="72"/>
      <c r="O1" s="83" t="s">
        <v>49</v>
      </c>
      <c r="P1" s="74"/>
      <c r="Q1" s="83" t="s">
        <v>50</v>
      </c>
      <c r="R1" s="69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9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9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1" t="s">
        <v>192</v>
      </c>
      <c r="G6" s="81">
        <v>0</v>
      </c>
      <c r="H6" s="81">
        <v>0</v>
      </c>
      <c r="I6" s="81">
        <v>0</v>
      </c>
      <c r="J6" s="81">
        <v>0</v>
      </c>
      <c r="K6" s="81">
        <v>1</v>
      </c>
      <c r="L6" s="81">
        <v>0</v>
      </c>
      <c r="M6" s="81">
        <v>1</v>
      </c>
      <c r="N6" s="81">
        <v>0</v>
      </c>
      <c r="O6" s="81">
        <v>1</v>
      </c>
      <c r="P6" s="71">
        <v>0</v>
      </c>
      <c r="Q6" s="81">
        <v>0</v>
      </c>
      <c r="R6" s="72">
        <v>1</v>
      </c>
      <c r="S6"/>
      <c r="T6"/>
    </row>
    <row r="7" spans="1:23" ht="15" customHeight="1" thickBot="1" x14ac:dyDescent="0.2">
      <c r="F7" s="191" t="s">
        <v>193</v>
      </c>
      <c r="G7" s="81">
        <v>0</v>
      </c>
      <c r="H7" s="81">
        <v>0</v>
      </c>
      <c r="I7" s="81">
        <v>0</v>
      </c>
      <c r="J7" s="81">
        <v>0</v>
      </c>
      <c r="K7" s="81">
        <v>1</v>
      </c>
      <c r="L7" s="81">
        <v>0</v>
      </c>
      <c r="M7" s="81">
        <v>1</v>
      </c>
      <c r="N7" s="81">
        <v>0</v>
      </c>
      <c r="O7" s="81">
        <v>1</v>
      </c>
      <c r="P7" s="71">
        <v>0</v>
      </c>
      <c r="Q7" s="81">
        <v>0</v>
      </c>
      <c r="R7" s="72">
        <v>1</v>
      </c>
      <c r="S7"/>
      <c r="T7"/>
    </row>
    <row r="8" spans="1:23" ht="15" customHeight="1" x14ac:dyDescent="0.15">
      <c r="A8" s="83" t="s">
        <v>56</v>
      </c>
      <c r="B8" s="90">
        <v>0.82385900461369299</v>
      </c>
      <c r="C8" s="192" t="s">
        <v>220</v>
      </c>
      <c r="D8" s="85" t="s">
        <v>160</v>
      </c>
      <c r="F8" s="191" t="s">
        <v>194</v>
      </c>
      <c r="G8" s="81">
        <v>0</v>
      </c>
      <c r="H8" s="81">
        <v>0</v>
      </c>
      <c r="I8" s="81">
        <v>0</v>
      </c>
      <c r="J8" s="81">
        <v>0</v>
      </c>
      <c r="K8" s="81">
        <v>1</v>
      </c>
      <c r="L8" s="81">
        <v>0</v>
      </c>
      <c r="M8" s="81">
        <v>1</v>
      </c>
      <c r="N8" s="81">
        <v>0</v>
      </c>
      <c r="O8" s="81">
        <v>1</v>
      </c>
      <c r="P8" s="71">
        <v>0</v>
      </c>
      <c r="Q8" s="81">
        <v>0</v>
      </c>
      <c r="R8" s="72">
        <v>1</v>
      </c>
      <c r="S8"/>
      <c r="T8"/>
      <c r="W8"/>
    </row>
    <row r="9" spans="1:23" ht="15" customHeight="1" x14ac:dyDescent="0.15">
      <c r="A9" s="123" t="s">
        <v>168</v>
      </c>
      <c r="B9" s="92">
        <v>0.17614099538630693</v>
      </c>
      <c r="C9" s="192" t="s">
        <v>221</v>
      </c>
      <c r="D9" s="85" t="s">
        <v>160</v>
      </c>
      <c r="F9" s="191" t="s">
        <v>195</v>
      </c>
      <c r="G9" s="81">
        <v>0</v>
      </c>
      <c r="H9" s="81">
        <v>0</v>
      </c>
      <c r="I9" s="81">
        <v>0</v>
      </c>
      <c r="J9" s="81">
        <v>0</v>
      </c>
      <c r="K9" s="81">
        <v>1</v>
      </c>
      <c r="L9" s="81">
        <v>0</v>
      </c>
      <c r="M9" s="81">
        <v>1</v>
      </c>
      <c r="N9" s="81">
        <v>0</v>
      </c>
      <c r="O9" s="81">
        <v>1</v>
      </c>
      <c r="P9" s="71">
        <v>0</v>
      </c>
      <c r="Q9" s="81">
        <v>0</v>
      </c>
      <c r="R9" s="72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1" t="s">
        <v>196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1">
        <v>0</v>
      </c>
      <c r="Q10" s="81">
        <v>0</v>
      </c>
      <c r="R10" s="72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1" t="s">
        <v>197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1">
        <v>0</v>
      </c>
      <c r="Q11" s="81">
        <v>0</v>
      </c>
      <c r="R11" s="72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1" t="s">
        <v>198</v>
      </c>
      <c r="G12" s="81">
        <v>0</v>
      </c>
      <c r="H12" s="81">
        <v>0</v>
      </c>
      <c r="I12" s="81">
        <v>0</v>
      </c>
      <c r="J12" s="81">
        <v>0</v>
      </c>
      <c r="K12" s="81">
        <v>1</v>
      </c>
      <c r="L12" s="81">
        <v>0</v>
      </c>
      <c r="M12" s="81">
        <v>1</v>
      </c>
      <c r="N12" s="81">
        <v>0</v>
      </c>
      <c r="O12" s="81">
        <v>1</v>
      </c>
      <c r="P12" s="71">
        <v>0</v>
      </c>
      <c r="Q12" s="81">
        <v>0</v>
      </c>
      <c r="R12" s="72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1" t="s">
        <v>199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1">
        <v>0</v>
      </c>
      <c r="Q13" s="81">
        <v>0</v>
      </c>
      <c r="R13" s="72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1" t="s">
        <v>200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1">
        <v>0</v>
      </c>
      <c r="Q14" s="81">
        <v>0</v>
      </c>
      <c r="R14" s="72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1" t="s">
        <v>201</v>
      </c>
      <c r="G15" s="81">
        <v>0</v>
      </c>
      <c r="H15" s="81">
        <v>0</v>
      </c>
      <c r="I15" s="81">
        <v>0</v>
      </c>
      <c r="J15" s="81">
        <v>0</v>
      </c>
      <c r="K15" s="81">
        <v>1</v>
      </c>
      <c r="L15" s="81">
        <v>0</v>
      </c>
      <c r="M15" s="81">
        <v>1</v>
      </c>
      <c r="N15" s="81">
        <v>0</v>
      </c>
      <c r="O15" s="81">
        <v>1</v>
      </c>
      <c r="P15" s="71">
        <v>0</v>
      </c>
      <c r="Q15" s="81">
        <v>0</v>
      </c>
      <c r="R15" s="72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1" t="s">
        <v>202</v>
      </c>
      <c r="G16" s="81">
        <v>0</v>
      </c>
      <c r="H16" s="81">
        <v>0</v>
      </c>
      <c r="I16" s="81">
        <v>0</v>
      </c>
      <c r="J16" s="81">
        <v>0</v>
      </c>
      <c r="K16" s="81">
        <v>1</v>
      </c>
      <c r="L16" s="81">
        <v>0</v>
      </c>
      <c r="M16" s="81">
        <v>1</v>
      </c>
      <c r="N16" s="81">
        <v>0</v>
      </c>
      <c r="O16" s="81">
        <v>1</v>
      </c>
      <c r="P16" s="71">
        <v>0</v>
      </c>
      <c r="Q16" s="81">
        <v>0</v>
      </c>
      <c r="R16" s="72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1" t="s">
        <v>203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1">
        <v>0</v>
      </c>
      <c r="Q17" s="81">
        <v>0</v>
      </c>
      <c r="R17" s="72">
        <v>1</v>
      </c>
      <c r="S17"/>
      <c r="T17"/>
    </row>
    <row r="18" spans="1:20" ht="15" customHeight="1" thickBot="1" x14ac:dyDescent="0.2">
      <c r="B18" s="93"/>
      <c r="F18" s="191" t="s">
        <v>204</v>
      </c>
      <c r="G18" s="81">
        <v>0</v>
      </c>
      <c r="H18" s="81">
        <v>0</v>
      </c>
      <c r="I18" s="81">
        <v>0</v>
      </c>
      <c r="J18" s="81">
        <v>0</v>
      </c>
      <c r="K18" s="81">
        <v>1</v>
      </c>
      <c r="L18" s="81">
        <v>0</v>
      </c>
      <c r="M18" s="81">
        <v>1</v>
      </c>
      <c r="N18" s="81">
        <v>0</v>
      </c>
      <c r="O18" s="81">
        <v>1</v>
      </c>
      <c r="P18" s="71">
        <v>0</v>
      </c>
      <c r="Q18" s="81">
        <v>0</v>
      </c>
      <c r="R18" s="72">
        <v>1</v>
      </c>
      <c r="S18"/>
      <c r="T18"/>
    </row>
    <row r="19" spans="1:20" ht="15" customHeight="1" x14ac:dyDescent="0.15">
      <c r="A19" s="83" t="s">
        <v>57</v>
      </c>
      <c r="B19" s="90">
        <v>0.82385900461369299</v>
      </c>
      <c r="C19" s="193" t="s">
        <v>220</v>
      </c>
      <c r="D19" s="85" t="s">
        <v>160</v>
      </c>
      <c r="F19" s="191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1</v>
      </c>
      <c r="L19" s="81">
        <v>0</v>
      </c>
      <c r="M19" s="81">
        <v>1</v>
      </c>
      <c r="N19" s="81">
        <v>0</v>
      </c>
      <c r="O19" s="81">
        <v>1</v>
      </c>
      <c r="P19" s="71">
        <v>0</v>
      </c>
      <c r="Q19" s="81">
        <v>0</v>
      </c>
      <c r="R19" s="72">
        <v>1</v>
      </c>
      <c r="S19"/>
      <c r="T19"/>
    </row>
    <row r="20" spans="1:20" ht="15" customHeight="1" x14ac:dyDescent="0.15">
      <c r="A20" s="123" t="s">
        <v>168</v>
      </c>
      <c r="B20" s="92">
        <v>0.17614099538630693</v>
      </c>
      <c r="C20" s="193" t="s">
        <v>221</v>
      </c>
      <c r="D20" s="85" t="s">
        <v>160</v>
      </c>
      <c r="F20" s="191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1">
        <v>0</v>
      </c>
      <c r="Q20" s="81">
        <v>0</v>
      </c>
      <c r="R20" s="72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1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1</v>
      </c>
      <c r="L21" s="81">
        <v>0</v>
      </c>
      <c r="M21" s="81">
        <v>1</v>
      </c>
      <c r="N21" s="81">
        <v>0</v>
      </c>
      <c r="O21" s="81">
        <v>1</v>
      </c>
      <c r="P21" s="71">
        <v>0</v>
      </c>
      <c r="Q21" s="81">
        <v>0</v>
      </c>
      <c r="R21" s="72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1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1</v>
      </c>
      <c r="L22" s="81">
        <v>0</v>
      </c>
      <c r="M22" s="81">
        <v>1</v>
      </c>
      <c r="N22" s="81">
        <v>0</v>
      </c>
      <c r="O22" s="81">
        <v>1</v>
      </c>
      <c r="P22" s="71">
        <v>0</v>
      </c>
      <c r="Q22" s="81">
        <v>0</v>
      </c>
      <c r="R22" s="72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1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1">
        <v>0</v>
      </c>
      <c r="Q23" s="81">
        <v>0</v>
      </c>
      <c r="R23" s="72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1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1</v>
      </c>
      <c r="L24" s="81">
        <v>0</v>
      </c>
      <c r="M24" s="81">
        <v>1</v>
      </c>
      <c r="N24" s="81">
        <v>0</v>
      </c>
      <c r="O24" s="81">
        <v>1</v>
      </c>
      <c r="P24" s="71">
        <v>0</v>
      </c>
      <c r="Q24" s="81">
        <v>0</v>
      </c>
      <c r="R24" s="72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1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1</v>
      </c>
      <c r="L25" s="81">
        <v>0</v>
      </c>
      <c r="M25" s="81">
        <v>1</v>
      </c>
      <c r="N25" s="81">
        <v>0</v>
      </c>
      <c r="O25" s="81">
        <v>1</v>
      </c>
      <c r="P25" s="71">
        <v>0</v>
      </c>
      <c r="Q25" s="81">
        <v>0</v>
      </c>
      <c r="R25" s="72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1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1">
        <v>0</v>
      </c>
      <c r="Q26" s="81">
        <v>0</v>
      </c>
      <c r="R26" s="72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1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1">
        <v>0</v>
      </c>
      <c r="Q27" s="81">
        <v>0</v>
      </c>
      <c r="R27" s="72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1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1">
        <v>0</v>
      </c>
      <c r="Q28" s="81">
        <v>0</v>
      </c>
      <c r="R28" s="72">
        <v>1</v>
      </c>
      <c r="S28"/>
      <c r="T28"/>
    </row>
    <row r="29" spans="1:20" ht="15" customHeight="1" x14ac:dyDescent="0.15">
      <c r="F29" s="191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1</v>
      </c>
      <c r="L29" s="81">
        <v>0</v>
      </c>
      <c r="M29" s="81">
        <v>1</v>
      </c>
      <c r="N29" s="81">
        <v>0</v>
      </c>
      <c r="O29" s="81">
        <v>1</v>
      </c>
      <c r="P29" s="71">
        <v>0</v>
      </c>
      <c r="Q29" s="81">
        <v>0</v>
      </c>
      <c r="R29" s="72">
        <v>1</v>
      </c>
      <c r="S29"/>
      <c r="T29"/>
    </row>
    <row r="30" spans="1:20" ht="15" customHeight="1" x14ac:dyDescent="0.15">
      <c r="F30" s="191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1</v>
      </c>
      <c r="L30" s="81">
        <v>0</v>
      </c>
      <c r="M30" s="81">
        <v>1</v>
      </c>
      <c r="N30" s="81">
        <v>0</v>
      </c>
      <c r="O30" s="81">
        <v>1</v>
      </c>
      <c r="P30" s="71">
        <v>0</v>
      </c>
      <c r="Q30" s="81">
        <v>0</v>
      </c>
      <c r="R30" s="72">
        <v>1</v>
      </c>
      <c r="S30"/>
      <c r="T30"/>
    </row>
    <row r="31" spans="1:20" ht="15" customHeight="1" x14ac:dyDescent="0.15">
      <c r="A31" s="124"/>
      <c r="B31" s="134" t="s">
        <v>17</v>
      </c>
      <c r="C31" s="134" t="s">
        <v>1</v>
      </c>
      <c r="D31" s="134" t="s">
        <v>161</v>
      </c>
      <c r="E31" s="135" t="s">
        <v>163</v>
      </c>
      <c r="F31" s="191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1">
        <v>0</v>
      </c>
      <c r="Q31" s="81">
        <v>0</v>
      </c>
      <c r="R31" s="72">
        <v>1</v>
      </c>
      <c r="S31"/>
      <c r="T31"/>
    </row>
    <row r="32" spans="1:20" ht="15" customHeight="1" x14ac:dyDescent="0.15">
      <c r="A32" s="194" t="s">
        <v>220</v>
      </c>
      <c r="B32" s="93">
        <v>13.8578434</v>
      </c>
      <c r="C32" s="93">
        <v>138</v>
      </c>
      <c r="D32" s="93">
        <v>1912.3823892</v>
      </c>
      <c r="E32" s="125">
        <v>0.82385900461369299</v>
      </c>
      <c r="F32" s="191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1">
        <v>0</v>
      </c>
      <c r="Q32" s="81">
        <v>0</v>
      </c>
      <c r="R32" s="72">
        <v>1</v>
      </c>
      <c r="S32"/>
      <c r="T32"/>
    </row>
    <row r="33" spans="1:20" ht="15" customHeight="1" x14ac:dyDescent="0.15">
      <c r="A33" s="194" t="s">
        <v>221</v>
      </c>
      <c r="B33" s="93">
        <v>27.257814400000001</v>
      </c>
      <c r="C33" s="93">
        <v>15</v>
      </c>
      <c r="D33" s="93">
        <v>408.86721599999998</v>
      </c>
      <c r="E33" s="125">
        <v>0.17614099538630693</v>
      </c>
      <c r="F33" s="191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1</v>
      </c>
      <c r="L33" s="81">
        <v>0</v>
      </c>
      <c r="M33" s="81">
        <v>1</v>
      </c>
      <c r="N33" s="81">
        <v>0</v>
      </c>
      <c r="O33" s="81">
        <v>1</v>
      </c>
      <c r="P33" s="71">
        <v>0</v>
      </c>
      <c r="Q33" s="81">
        <v>0</v>
      </c>
      <c r="R33" s="72">
        <v>1</v>
      </c>
      <c r="S33"/>
      <c r="T33"/>
    </row>
    <row r="34" spans="1:20" ht="15" customHeight="1" x14ac:dyDescent="0.15">
      <c r="A34" s="126"/>
      <c r="B34" s="93"/>
      <c r="C34" s="93"/>
      <c r="D34" s="93"/>
      <c r="E34" s="125"/>
      <c r="F34" s="191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0</v>
      </c>
      <c r="L34" s="81">
        <v>0</v>
      </c>
      <c r="M34" s="81">
        <v>1</v>
      </c>
      <c r="N34" s="81">
        <v>0</v>
      </c>
      <c r="O34" s="81">
        <v>0</v>
      </c>
      <c r="P34" s="71">
        <v>0</v>
      </c>
      <c r="Q34" s="81">
        <v>0</v>
      </c>
      <c r="R34" s="72">
        <v>1</v>
      </c>
      <c r="S34"/>
      <c r="T34"/>
    </row>
    <row r="35" spans="1:20" ht="15" customHeight="1" x14ac:dyDescent="0.15">
      <c r="A35" s="127"/>
      <c r="B35" s="93"/>
      <c r="C35" s="93"/>
      <c r="D35" s="93"/>
      <c r="E35" s="125"/>
      <c r="F35" s="191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1</v>
      </c>
      <c r="N35" s="81">
        <v>0</v>
      </c>
      <c r="O35" s="81">
        <v>0</v>
      </c>
      <c r="P35" s="71">
        <v>0</v>
      </c>
      <c r="Q35" s="81">
        <v>0</v>
      </c>
      <c r="R35" s="72">
        <v>1</v>
      </c>
      <c r="S35"/>
      <c r="T35"/>
    </row>
    <row r="36" spans="1:20" ht="15" customHeight="1" x14ac:dyDescent="0.15">
      <c r="A36" s="128"/>
      <c r="B36" s="93"/>
      <c r="C36" s="93"/>
      <c r="D36" s="93"/>
      <c r="E36" s="125"/>
      <c r="F36" s="191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1</v>
      </c>
      <c r="M36" s="81">
        <v>0</v>
      </c>
      <c r="N36" s="81">
        <v>1</v>
      </c>
      <c r="O36" s="81">
        <v>0</v>
      </c>
      <c r="P36" s="71">
        <v>1</v>
      </c>
      <c r="Q36" s="81">
        <v>0</v>
      </c>
      <c r="R36" s="72">
        <v>1</v>
      </c>
      <c r="S36"/>
      <c r="T36"/>
    </row>
    <row r="37" spans="1:20" ht="15" customHeight="1" x14ac:dyDescent="0.15">
      <c r="A37" s="128"/>
      <c r="B37" s="93"/>
      <c r="C37" s="93"/>
      <c r="D37" s="93"/>
      <c r="E37" s="125"/>
      <c r="F37" s="191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1</v>
      </c>
      <c r="M37" s="81">
        <v>0</v>
      </c>
      <c r="N37" s="81">
        <v>1</v>
      </c>
      <c r="O37" s="81">
        <v>0</v>
      </c>
      <c r="P37" s="71">
        <v>1</v>
      </c>
      <c r="Q37" s="81">
        <v>0</v>
      </c>
      <c r="R37" s="72">
        <v>1</v>
      </c>
      <c r="S37"/>
      <c r="T37"/>
    </row>
    <row r="38" spans="1:20" ht="15" customHeight="1" x14ac:dyDescent="0.15">
      <c r="A38" s="129"/>
      <c r="B38" s="93"/>
      <c r="C38" s="93"/>
      <c r="D38" s="93"/>
      <c r="E38" s="125"/>
      <c r="F38" s="197" t="s">
        <v>228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 s="110">
        <v>1</v>
      </c>
      <c r="S38"/>
      <c r="T38"/>
    </row>
    <row r="39" spans="1:20" ht="15" customHeight="1" x14ac:dyDescent="0.15">
      <c r="A39" s="129"/>
      <c r="B39" s="93"/>
      <c r="C39" s="93"/>
      <c r="D39" s="93"/>
      <c r="E39" s="125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9"/>
      <c r="B40" s="93"/>
      <c r="C40" s="93"/>
      <c r="D40" s="93"/>
      <c r="E40" s="125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9"/>
      <c r="B41" s="93"/>
      <c r="C41" s="93"/>
      <c r="D41" s="94"/>
      <c r="E41" s="130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2321.2496052000001</v>
      </c>
      <c r="E42" s="133">
        <f>SUM(E32:E41)</f>
        <v>0.99999999999999989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O192"/>
  <sheetViews>
    <sheetView workbookViewId="0">
      <pane xSplit="1" ySplit="1" topLeftCell="B16" activePane="bottomRight" state="frozen"/>
      <selection pane="topRight" activeCell="B1" sqref="B1"/>
      <selection pane="bottomLeft" activeCell="A2" sqref="A2"/>
      <selection pane="bottomRight" activeCell="AO7" sqref="AO7"/>
    </sheetView>
  </sheetViews>
  <sheetFormatPr baseColWidth="10" defaultColWidth="8.83203125" defaultRowHeight="13" x14ac:dyDescent="0.15"/>
  <cols>
    <col min="1" max="1" width="15" bestFit="1" customWidth="1"/>
    <col min="2" max="2" width="2.33203125" style="109" customWidth="1"/>
    <col min="3" max="5" width="7.83203125" style="109" customWidth="1"/>
    <col min="6" max="8" width="8.83203125" style="6"/>
    <col min="9" max="9" width="8" style="6" customWidth="1"/>
    <col min="10" max="10" width="9" style="6" customWidth="1"/>
    <col min="11" max="11" width="8.1640625" style="6" customWidth="1"/>
    <col min="12" max="12" width="6" style="6" customWidth="1"/>
    <col min="13" max="13" width="10.5" style="6" customWidth="1"/>
    <col min="14" max="14" width="12.5" style="6" customWidth="1"/>
    <col min="15" max="15" width="14.33203125" style="6" customWidth="1"/>
    <col min="16" max="16" width="11.5" style="6" customWidth="1"/>
    <col min="17" max="17" width="10.1640625" style="6" customWidth="1"/>
    <col min="18" max="18" width="12.5" style="6" customWidth="1"/>
    <col min="19" max="19" width="12.83203125" style="6" customWidth="1"/>
    <col min="20" max="20" width="10.1640625" style="6" customWidth="1"/>
    <col min="21" max="21" width="15" style="6" customWidth="1"/>
    <col min="22" max="22" width="6" style="6" customWidth="1"/>
    <col min="23" max="23" width="13.1640625" style="6" customWidth="1"/>
    <col min="24" max="24" width="12.6640625" style="6" customWidth="1"/>
    <col min="25" max="25" width="11.1640625" style="6" customWidth="1"/>
    <col min="26" max="26" width="6.83203125" style="6" customWidth="1"/>
    <col min="27" max="27" width="10.1640625" style="6" customWidth="1"/>
    <col min="28" max="28" width="6.83203125" style="6" customWidth="1"/>
    <col min="29" max="29" width="11.1640625" style="6" customWidth="1"/>
    <col min="30" max="30" width="7.5" style="6" customWidth="1"/>
    <col min="31" max="31" width="14.33203125" style="6" customWidth="1"/>
    <col min="32" max="32" width="9" style="6" customWidth="1"/>
    <col min="33" max="33" width="7.1640625" style="6" customWidth="1"/>
    <col min="34" max="34" width="13" style="6" customWidth="1"/>
    <col min="35" max="35" width="11.83203125" style="6" customWidth="1"/>
    <col min="36" max="36" width="11.33203125" style="6" customWidth="1"/>
    <col min="37" max="37" width="13.1640625" style="6" customWidth="1"/>
    <col min="38" max="38" width="15" style="6" customWidth="1"/>
    <col min="39" max="39" width="7.6640625" customWidth="1"/>
    <col min="40" max="40" width="21.6640625" customWidth="1"/>
    <col min="81" max="81" width="22.1640625" bestFit="1" customWidth="1"/>
  </cols>
  <sheetData>
    <row r="1" spans="1:41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/>
      <c r="G1"/>
      <c r="H1"/>
      <c r="I1" s="196" t="s">
        <v>192</v>
      </c>
      <c r="J1" s="196" t="s">
        <v>193</v>
      </c>
      <c r="K1" s="196" t="s">
        <v>194</v>
      </c>
      <c r="L1" s="196" t="s">
        <v>195</v>
      </c>
      <c r="M1" s="196" t="s">
        <v>196</v>
      </c>
      <c r="N1" s="196" t="s">
        <v>197</v>
      </c>
      <c r="O1" s="196" t="s">
        <v>198</v>
      </c>
      <c r="P1" s="196" t="s">
        <v>199</v>
      </c>
      <c r="Q1" s="196" t="s">
        <v>200</v>
      </c>
      <c r="R1" s="196" t="s">
        <v>201</v>
      </c>
      <c r="S1" s="196" t="s">
        <v>202</v>
      </c>
      <c r="T1" s="196" t="s">
        <v>203</v>
      </c>
      <c r="U1" s="196" t="s">
        <v>204</v>
      </c>
      <c r="V1" s="196" t="s">
        <v>205</v>
      </c>
      <c r="W1" s="196" t="s">
        <v>206</v>
      </c>
      <c r="X1" s="196" t="s">
        <v>207</v>
      </c>
      <c r="Y1" s="196" t="s">
        <v>208</v>
      </c>
      <c r="Z1" s="196" t="s">
        <v>209</v>
      </c>
      <c r="AA1" s="196" t="s">
        <v>210</v>
      </c>
      <c r="AB1" s="196" t="s">
        <v>211</v>
      </c>
      <c r="AC1" s="196" t="s">
        <v>212</v>
      </c>
      <c r="AD1" s="196" t="s">
        <v>213</v>
      </c>
      <c r="AE1" s="196" t="s">
        <v>214</v>
      </c>
      <c r="AF1" s="196" t="s">
        <v>215</v>
      </c>
      <c r="AG1" s="196" t="s">
        <v>216</v>
      </c>
      <c r="AH1" s="196" t="s">
        <v>217</v>
      </c>
      <c r="AI1" s="196" t="s">
        <v>218</v>
      </c>
      <c r="AJ1" s="196" t="s">
        <v>219</v>
      </c>
      <c r="AK1" s="196" t="s">
        <v>220</v>
      </c>
      <c r="AL1" s="196" t="s">
        <v>221</v>
      </c>
      <c r="AM1" s="196" t="s">
        <v>222</v>
      </c>
      <c r="AN1" s="196" t="s">
        <v>223</v>
      </c>
      <c r="AO1" s="197" t="s">
        <v>228</v>
      </c>
    </row>
    <row r="2" spans="1:41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1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1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1" x14ac:dyDescent="0.15">
      <c r="A5" s="195" t="s">
        <v>192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1" x14ac:dyDescent="0.15">
      <c r="A6" s="195" t="s">
        <v>193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1" x14ac:dyDescent="0.15">
      <c r="A7" s="195" t="s">
        <v>194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1" x14ac:dyDescent="0.15">
      <c r="A8" s="195" t="s">
        <v>195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1" x14ac:dyDescent="0.15">
      <c r="A9" s="195" t="s">
        <v>196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1" x14ac:dyDescent="0.15">
      <c r="A10" s="195" t="s">
        <v>197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1" x14ac:dyDescent="0.15">
      <c r="A11" s="195" t="s">
        <v>198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1" x14ac:dyDescent="0.15">
      <c r="A12" s="195" t="s">
        <v>199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1" x14ac:dyDescent="0.15">
      <c r="A13" s="195" t="s">
        <v>200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1" x14ac:dyDescent="0.15">
      <c r="A14" s="195" t="s">
        <v>201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1" x14ac:dyDescent="0.15">
      <c r="A15" s="195" t="s">
        <v>202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1" x14ac:dyDescent="0.15">
      <c r="A16" s="195" t="s">
        <v>203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5" t="s">
        <v>204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5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5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5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5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5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5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5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5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5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5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5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5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5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5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5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5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5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5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5" t="s">
        <v>223</v>
      </c>
      <c r="B36" s="109">
        <v>0</v>
      </c>
      <c r="C36"/>
      <c r="D36"/>
    </row>
    <row r="37" spans="1:38" ht="15" customHeight="1" x14ac:dyDescent="0.15">
      <c r="A37" s="197" t="s">
        <v>228</v>
      </c>
      <c r="B37" s="109">
        <v>0</v>
      </c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2023-08-14T21:51:05Z</dcterms:modified>
</cp:coreProperties>
</file>