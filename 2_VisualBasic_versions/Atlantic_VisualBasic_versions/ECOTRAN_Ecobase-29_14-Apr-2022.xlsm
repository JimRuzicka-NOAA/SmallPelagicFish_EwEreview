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5F67858E-D03F-1745-8CFC-707D4CB64FFA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Main!$C$2:$N$41</definedName>
    <definedName name="matDetritus">Detritus!$C$2:$E$41</definedName>
    <definedName name="matDiet">Diets!$B$2:$AL$41</definedName>
    <definedName name="matDiscards">Discards!$C$2:$C$40</definedName>
    <definedName name="matFishery">Fishing!$C$2:$C$40</definedName>
    <definedName name="matFishing">Fishing!#REF!</definedName>
    <definedName name="matMort">Mortalities!$A$1:$AQ$40</definedName>
    <definedName name="matOut">MainOutputs!$A$2:$I$41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<sst xmlns="http://schemas.openxmlformats.org/spreadsheetml/2006/main" count="1121" uniqueCount="237">
  <si>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</si>
  <si>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</si>
  <si>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</si>
  <si>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</si>
  <si>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</si>
  <si>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</si>
  <si>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</si>
  <si>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</si>
  <si>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</si>
  <si>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</si>
  <si>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</si>
  <si>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</si>
  <si>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</si>
  <si>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</si>
  <si>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</si>
  <si>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</si>
  <si>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</si>
  <si>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</si>
  <si>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</si>
  <si>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</si>
  <si>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</si>
  <si>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</si>
  <si>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</si>
  <si>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</si>
  <si>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</si>
  <si>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</si>
  <si>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</si>
  <si>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</si>
  <si>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</si>
  <si>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</si>
  <si>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</si>
  <si>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</si>
  <si>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</si>
  <si>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</si>
  <si>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</si>
  <si>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</si>
  <si>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</si>
  <si>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</si>
  <si>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</si>
  <si>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</si>
  <si>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</si>
  <si>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</si>
  <si>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</si>
  <si>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</si>
  <si>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</si>
  <si>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</si>
  <si>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</si>
  <si>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</si>
  <si>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</si>
  <si>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</si>
  <si>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</si>
  <si>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</si>
  <si>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</si>
  <si>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</si>
  <si>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</si>
  <si>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</si>
  <si>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</si>
  <si>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</si>
  <si>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</si>
  <si>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</si>
  <si>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</si>
  <si>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</si>
  <si>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</si>
  <si>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</si>
  <si>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</si>
  <si>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</si>
  <si>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</si>
  <si>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</si>
  <si>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</si>
  <si>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</si>
  <si>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</si>
  <si>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</si>
  <si>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</si>
  <si>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</si>
  <si>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</si>
  <si>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</si>
  <si>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</si>
  <si>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</si>
  <si>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</si>
  <si>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</si>
  <si>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</si>
  <si>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</si>
  <si>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</si>
  <si>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</si>
  <si>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</si>
  <si>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</si>
  <si>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</si>
  <si>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</si>
  <si>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</si>
  <si>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</si>
  <si>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</si>
  <si>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</si>
  <si>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</si>
  <si>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</si>
  <si>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</si>
  <si>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</si>
  <si>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</si>
  <si>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</si>
  <si>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</si>
  <si>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</si>
  <si>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</si>
  <si>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</si>
  <si>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</si>
  <si>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</si>
  <si>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</si>
  <si>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</si>
  <si>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</si>
  <si>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</si>
  <si>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</si>
  <si>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</si>
  <si>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</si>
  <si>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</si>
  <si>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</si>
  <si>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</si>
  <si>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</si>
  <si>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</si>
  <si>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</si>
  <si>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</si>
  <si>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</si>
  <si>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</si>
  <si>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</si>
  <si>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</si>
  <si>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</si>
  <si>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</si>
  <si>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</si>
  <si>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</si>
  <si>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</si>
  <si>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</si>
  <si>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</si>
  <si>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</si>
  <si>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</si>
  <si>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</si>
  <si>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</si>
  <si>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</si>
  <si>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</si>
  <si>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</si>
  <si>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</si>
  <si>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</si>
  <si>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</si>
  <si>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</si>
  <si>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</si>
  <si>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</si>
  <si>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</si>
  <si>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</si>
  <si>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</si>
  <si>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</si>
  <si>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</si>
  <si>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</si>
  <si>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</si>
  <si>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</si>
  <si>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</si>
  <si>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</si>
  <si>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</si>
  <si>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</si>
  <si>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</si>
  <si>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</si>
  <si>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</si>
  <si>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</si>
  <si>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</si>
  <si>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</si>
  <si>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</si>
  <si>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</si>
  <si>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</si>
  <si>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</si>
  <si>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</si>
  <si>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</si>
  <si>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</si>
  <si>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</si>
  <si>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</si>
  <si>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</si>
  <si>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</si>
  <si>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</si>
  <si>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</si>
  <si>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</si>
  <si>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</si>
  <si>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</si>
  <si>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</si>
  <si>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</si>
  <si>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</si>
  <si>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</si>
  <si>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</si>
  <si>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</si>
  <si>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</si>
  <si>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</si>
  <si>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</si>
  <si>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Central Atlantic</t>
  </si>
  <si>
    <t>Not affiliated</t>
  </si>
  <si>
    <t>BOX(-77.1238812524501 -9.74295185074703,8.73203515123186 25.0797275297673)</t>
  </si>
  <si>
    <t>open ocean</t>
  </si>
  <si>
    <t>WetWeight</t>
  </si>
  <si>
    <t>Oceanic ecosystem of the Central Atlantic; 16/05/2002 11:36:32 AM; 16/05/2002 11:47:41 AM; 23/05/2002 3:16:24 PM; 23/05/2002 4:33:22 PM; 5/25/02 5:52:29 PM; 06-Jun-02 16:46:46</t>
  </si>
  <si>
    <t>Vasconcellos M.,Watson R.(2004). Mass-balance models of oceanic systems in the Atlantic West African marine ecosystems: models and fisheries impacts. pp 171-214. In Palomares M.L.D.,Pauly D.</t>
  </si>
  <si>
    <t>Baleen whales</t>
  </si>
  <si>
    <t>Toothed whales</t>
  </si>
  <si>
    <t>Beaked whales</t>
  </si>
  <si>
    <t>Seabirds</t>
  </si>
  <si>
    <t>Pelagic sharks</t>
  </si>
  <si>
    <t>Yellowfin</t>
  </si>
  <si>
    <t>Bluefin</t>
  </si>
  <si>
    <t>Skipjack</t>
  </si>
  <si>
    <t>Albacore</t>
  </si>
  <si>
    <t>Bigeye</t>
  </si>
  <si>
    <t>Swordfish</t>
  </si>
  <si>
    <t>Billfishes</t>
  </si>
  <si>
    <t>Lg. Plank. fish</t>
  </si>
  <si>
    <t>Lg. Epi. fish</t>
  </si>
  <si>
    <t>Md. Epi. fish</t>
  </si>
  <si>
    <t>Sm. Epi. fish</t>
  </si>
  <si>
    <t>Lg. Meso fish</t>
  </si>
  <si>
    <t>Sm. Meso fish</t>
  </si>
  <si>
    <t>Sm. Bathyp. fish</t>
  </si>
  <si>
    <t>Md. Bathyp.fish</t>
  </si>
  <si>
    <t>Lg. Bathyp. fish</t>
  </si>
  <si>
    <t>Sm. Bathyd. slp</t>
  </si>
  <si>
    <t>Lg. Bathyd. slp</t>
  </si>
  <si>
    <t>Sm. Bathyd. abs</t>
  </si>
  <si>
    <t>Lg. Bathyd. abs</t>
  </si>
  <si>
    <t>Sm Squids</t>
  </si>
  <si>
    <t>Lg Squids</t>
  </si>
  <si>
    <t>Benth. ceph.</t>
  </si>
  <si>
    <t>Meiobenthos</t>
  </si>
  <si>
    <t>Macrobenthos</t>
  </si>
  <si>
    <t>Megabenthos</t>
  </si>
  <si>
    <t>Het. bacteria</t>
  </si>
  <si>
    <t>Sm. Zoop. shlw</t>
  </si>
  <si>
    <t>Lg. Zoop. shlw</t>
  </si>
  <si>
    <t>Sm. Zoop. deep</t>
  </si>
  <si>
    <t>Lg. Zoop. deep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</si>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</sst>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FF8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FF9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FF46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F70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FF72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2" borderId="2" xfId="0" applyFont="1" applyFill="1" applyBorder="1" applyAlignment="1">
      <alignment horizontal="center"/>
    </xf>
    <xf numFmtId="0" fontId="1" fillId="22" borderId="4" xfId="0" applyFont="1" applyFill="1" applyBorder="1" applyAlignment="1">
      <alignment horizontal="center"/>
    </xf>
    <xf numFmtId="0" fontId="1" fillId="22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2" borderId="5" xfId="0" applyFill="1" applyBorder="1"/>
    <xf numFmtId="0" fontId="0" fillId="22" borderId="6" xfId="0" applyFill="1" applyBorder="1"/>
    <xf numFmtId="0" fontId="0" fillId="22" borderId="7" xfId="0" applyFill="1" applyBorder="1"/>
    <xf numFmtId="0" fontId="0" fillId="22" borderId="8" xfId="0" applyFill="1" applyBorder="1"/>
    <xf numFmtId="0" fontId="0" fillId="22" borderId="9" xfId="0" applyFill="1" applyBorder="1"/>
    <xf numFmtId="0" fontId="0" fillId="22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 applyAlignment="1">
      <alignment horizontal="center"/>
    </xf>
    <xf numFmtId="0" fontId="0" fillId="36" borderId="0" xfId="0" applyFill="1"/>
    <xf numFmtId="0" fontId="0" fillId="37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2" borderId="2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2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7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9" t="s">
        <v>164</v>
      </c>
    </row>
    <row r="6" spans="2:4" ht="14" thickBot="1" x14ac:dyDescent="0.2">
      <c r="B6" s="43" t="s">
        <v>141</v>
      </c>
    </row>
    <row r="7" spans="2:4" x14ac:dyDescent="0.15">
      <c r="B7" s="59" t="s">
        <v>143</v>
      </c>
    </row>
    <row r="8" spans="2:4" x14ac:dyDescent="0.15">
      <c r="B8" s="59" t="s">
        <v>142</v>
      </c>
    </row>
    <row r="9" spans="2:4" x14ac:dyDescent="0.15">
      <c r="B9" s="59" t="s">
        <v>144</v>
      </c>
    </row>
    <row r="10" spans="2:4" x14ac:dyDescent="0.15">
      <c r="B10" s="59" t="s">
        <v>147</v>
      </c>
    </row>
    <row r="11" spans="2:4" x14ac:dyDescent="0.15">
      <c r="B11" s="59" t="s">
        <v>151</v>
      </c>
    </row>
    <row r="12" spans="2:4" x14ac:dyDescent="0.15">
      <c r="B12" s="59" t="s">
        <v>153</v>
      </c>
    </row>
    <row r="13" spans="2:4" x14ac:dyDescent="0.15">
      <c r="B13" s="59" t="s">
        <v>165</v>
      </c>
    </row>
    <row r="15" spans="2:4" ht="14" thickBot="1" x14ac:dyDescent="0.2"/>
    <row r="16" spans="2:4" ht="14" thickBot="1" x14ac:dyDescent="0.2">
      <c r="B16" s="44" t="s">
        <v>137</v>
      </c>
      <c r="C16" s="45"/>
      <c r="D16" s="27">
        <v>41373</v>
      </c>
    </row>
    <row r="17" spans="2:4" x14ac:dyDescent="0.15">
      <c r="B17" s="46" t="s">
        <v>58</v>
      </c>
      <c r="C17" s="30">
        <v>0</v>
      </c>
    </row>
    <row r="18" spans="2:4" x14ac:dyDescent="0.15">
      <c r="B18" s="46" t="s">
        <v>59</v>
      </c>
      <c r="C18" s="30">
        <v>1</v>
      </c>
    </row>
    <row r="19" spans="2:4" x14ac:dyDescent="0.15">
      <c r="B19" s="46" t="s">
        <v>60</v>
      </c>
      <c r="C19" s="30">
        <v>2</v>
      </c>
    </row>
    <row r="20" spans="2:4" ht="14" thickBot="1" x14ac:dyDescent="0.2">
      <c r="B20" s="47" t="s">
        <v>44</v>
      </c>
      <c r="C20" s="31">
        <v>3</v>
      </c>
    </row>
    <row r="21" spans="2:4" x14ac:dyDescent="0.15">
      <c r="B21" s="48" t="s">
        <v>140</v>
      </c>
    </row>
    <row r="22" spans="2:4" ht="14" thickBot="1" x14ac:dyDescent="0.2"/>
    <row r="23" spans="2:4" ht="14" thickBot="1" x14ac:dyDescent="0.2">
      <c r="B23" s="44" t="s">
        <v>65</v>
      </c>
      <c r="C23" s="45"/>
      <c r="D23" s="27" t="s">
        <v>148</v>
      </c>
    </row>
    <row r="24" spans="2:4" x14ac:dyDescent="0.15">
      <c r="B24" s="50" t="s">
        <v>38</v>
      </c>
      <c r="C24" s="28">
        <v>1</v>
      </c>
    </row>
    <row r="25" spans="2:4" x14ac:dyDescent="0.15">
      <c r="B25" s="46" t="s">
        <v>40</v>
      </c>
      <c r="C25" s="30">
        <v>1.1000000000000001</v>
      </c>
    </row>
    <row r="26" spans="2:4" x14ac:dyDescent="0.15">
      <c r="B26" s="46" t="s">
        <v>41</v>
      </c>
      <c r="C26" s="30">
        <v>1.2</v>
      </c>
    </row>
    <row r="27" spans="2:4" x14ac:dyDescent="0.15">
      <c r="B27" s="46"/>
      <c r="C27" s="30"/>
    </row>
    <row r="28" spans="2:4" x14ac:dyDescent="0.15">
      <c r="B28" s="46" t="s">
        <v>42</v>
      </c>
      <c r="C28" s="30">
        <v>2.1</v>
      </c>
    </row>
    <row r="29" spans="2:4" x14ac:dyDescent="0.15">
      <c r="B29" s="46" t="s">
        <v>43</v>
      </c>
      <c r="C29" s="30">
        <v>2.2000000000000002</v>
      </c>
    </row>
    <row r="30" spans="2:4" x14ac:dyDescent="0.15">
      <c r="B30" s="46" t="s">
        <v>67</v>
      </c>
      <c r="C30" s="30">
        <v>2.2999999999999998</v>
      </c>
    </row>
    <row r="31" spans="2:4" x14ac:dyDescent="0.15">
      <c r="B31" s="46"/>
      <c r="C31" s="30"/>
    </row>
    <row r="32" spans="2:4" x14ac:dyDescent="0.15">
      <c r="B32" s="46" t="s">
        <v>62</v>
      </c>
      <c r="C32" s="30">
        <v>3.11</v>
      </c>
    </row>
    <row r="33" spans="2:3" x14ac:dyDescent="0.15">
      <c r="B33" s="46" t="s">
        <v>61</v>
      </c>
      <c r="C33" s="30">
        <v>3.12</v>
      </c>
    </row>
    <row r="34" spans="2:3" x14ac:dyDescent="0.15">
      <c r="B34" s="46" t="s">
        <v>68</v>
      </c>
      <c r="C34" s="30">
        <v>3.13</v>
      </c>
    </row>
    <row r="35" spans="2:3" x14ac:dyDescent="0.15">
      <c r="B35" s="46"/>
      <c r="C35" s="30"/>
    </row>
    <row r="36" spans="2:3" x14ac:dyDescent="0.15">
      <c r="B36" s="46" t="s">
        <v>66</v>
      </c>
      <c r="C36" s="30">
        <v>3.21</v>
      </c>
    </row>
    <row r="37" spans="2:3" x14ac:dyDescent="0.15">
      <c r="B37" s="46" t="s">
        <v>63</v>
      </c>
      <c r="C37" s="30">
        <v>3.22</v>
      </c>
    </row>
    <row r="38" spans="2:3" x14ac:dyDescent="0.15">
      <c r="B38" s="46" t="s">
        <v>69</v>
      </c>
      <c r="C38" s="30">
        <v>3.23</v>
      </c>
    </row>
    <row r="39" spans="2:3" x14ac:dyDescent="0.15">
      <c r="B39" s="46"/>
      <c r="C39" s="30"/>
    </row>
    <row r="40" spans="2:3" x14ac:dyDescent="0.15">
      <c r="B40" s="46" t="s">
        <v>64</v>
      </c>
      <c r="C40" s="30">
        <v>8</v>
      </c>
    </row>
    <row r="41" spans="2:3" x14ac:dyDescent="0.15">
      <c r="B41" s="46"/>
      <c r="C41" s="30"/>
    </row>
    <row r="42" spans="2:3" x14ac:dyDescent="0.15">
      <c r="B42" s="46" t="s">
        <v>71</v>
      </c>
      <c r="C42" s="30">
        <v>4.0999999999999996</v>
      </c>
    </row>
    <row r="43" spans="2:3" x14ac:dyDescent="0.15">
      <c r="B43" s="46" t="s">
        <v>70</v>
      </c>
      <c r="C43" s="30">
        <v>4.2</v>
      </c>
    </row>
    <row r="44" spans="2:3" x14ac:dyDescent="0.15">
      <c r="B44" s="46" t="s">
        <v>72</v>
      </c>
      <c r="C44" s="30">
        <v>4.3</v>
      </c>
    </row>
    <row r="45" spans="2:3" x14ac:dyDescent="0.15">
      <c r="B45" s="29"/>
      <c r="C45" s="30"/>
    </row>
    <row r="46" spans="2:3" x14ac:dyDescent="0.15">
      <c r="B46" s="46" t="s">
        <v>138</v>
      </c>
      <c r="C46" s="30">
        <v>6.1</v>
      </c>
    </row>
    <row r="47" spans="2:3" x14ac:dyDescent="0.15">
      <c r="B47" s="46" t="s">
        <v>45</v>
      </c>
      <c r="C47" s="30">
        <v>6.2</v>
      </c>
    </row>
    <row r="48" spans="2:3" x14ac:dyDescent="0.15">
      <c r="B48" s="46"/>
      <c r="C48" s="30"/>
    </row>
    <row r="49" spans="2:4" x14ac:dyDescent="0.15">
      <c r="B49" s="46" t="s">
        <v>44</v>
      </c>
      <c r="C49" s="30">
        <v>5</v>
      </c>
    </row>
    <row r="50" spans="2:4" x14ac:dyDescent="0.15">
      <c r="B50" s="46"/>
      <c r="C50" s="30"/>
    </row>
    <row r="51" spans="2:4" ht="14" thickBot="1" x14ac:dyDescent="0.2">
      <c r="B51" s="47" t="s">
        <v>73</v>
      </c>
      <c r="C51" s="31">
        <v>7</v>
      </c>
    </row>
    <row r="53" spans="2:4" x14ac:dyDescent="0.15">
      <c r="B53" s="170" t="s">
        <v>171</v>
      </c>
      <c r="C53" s="102">
        <v>29</v>
      </c>
      <c r="D53" s="102"/>
    </row>
    <row r="54" spans="2:4" x14ac:dyDescent="0.15">
      <c r="B54" s="170" t="s">
        <v>172</v>
      </c>
      <c r="C54" s="170" t="s">
        <v>185</v>
      </c>
      <c r="D54" s="102"/>
    </row>
    <row r="55" spans="2:4" x14ac:dyDescent="0.15">
      <c r="B55" s="170" t="s">
        <v>173</v>
      </c>
      <c r="C55" s="170" t="s">
        <v>186</v>
      </c>
      <c r="D55" s="102"/>
    </row>
    <row r="56" spans="2:4" x14ac:dyDescent="0.15">
      <c r="B56" s="170" t="s">
        <v>174</v>
      </c>
      <c r="C56" s="102">
        <v>18419192</v>
      </c>
      <c r="D56" s="102"/>
    </row>
    <row r="57" spans="2:4" x14ac:dyDescent="0.15">
      <c r="B57" s="170" t="s">
        <v>175</v>
      </c>
      <c r="C57" s="170" t="s">
        <v>187</v>
      </c>
      <c r="D57" s="102"/>
    </row>
    <row r="58" spans="2:4" x14ac:dyDescent="0.15">
      <c r="B58" s="170" t="s">
        <v>176</v>
      </c>
      <c r="C58" s="170" t="s">
        <v>188</v>
      </c>
      <c r="D58" s="102"/>
    </row>
    <row r="59" spans="2:4" x14ac:dyDescent="0.15">
      <c r="B59" s="170" t="s">
        <v>177</v>
      </c>
      <c r="C59" s="170" t="s">
        <v>189</v>
      </c>
      <c r="D59" s="102"/>
    </row>
    <row r="60" spans="2:4" x14ac:dyDescent="0.15">
      <c r="B60" s="170" t="s">
        <v>178</v>
      </c>
      <c r="C60" s="170" t="s">
        <v>190</v>
      </c>
      <c r="D60" s="102"/>
    </row>
    <row r="61" spans="2:4" x14ac:dyDescent="0.15">
      <c r="B61" s="170" t="s">
        <v>179</v>
      </c>
      <c r="C61" s="102">
        <v>38</v>
      </c>
      <c r="D61" s="102"/>
    </row>
    <row r="62" spans="2:4" x14ac:dyDescent="0.15">
      <c r="B62" s="170" t="s">
        <v>180</v>
      </c>
      <c r="C62" s="102">
        <v>1</v>
      </c>
      <c r="D62" s="102"/>
    </row>
    <row r="63" spans="2:4" x14ac:dyDescent="0.15">
      <c r="B63" s="170" t="s">
        <v>181</v>
      </c>
      <c r="C63" s="102">
        <v>1990</v>
      </c>
      <c r="D63" s="102"/>
    </row>
    <row r="64" spans="2:4" x14ac:dyDescent="0.15">
      <c r="B64" s="170" t="s">
        <v>182</v>
      </c>
      <c r="C64" s="102">
        <v>1</v>
      </c>
      <c r="D64" s="102"/>
    </row>
    <row r="65" spans="2:4" x14ac:dyDescent="0.15">
      <c r="B65" s="170" t="s">
        <v>183</v>
      </c>
      <c r="C65" s="170" t="s">
        <v>191</v>
      </c>
      <c r="D65" s="102"/>
    </row>
    <row r="66" spans="2:4" x14ac:dyDescent="0.15">
      <c r="B66" s="170" t="s">
        <v>184</v>
      </c>
      <c r="D66" s="102"/>
    </row>
    <row r="67" spans="2:4" x14ac:dyDescent="0.15">
      <c r="B67" s="102"/>
      <c r="C67" s="102"/>
      <c r="D67" s="102"/>
    </row>
    <row r="68" spans="2:4" x14ac:dyDescent="0.15">
      <c r="B68" s="102"/>
      <c r="C68" s="102"/>
      <c r="D68" s="10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78" customWidth="1"/>
    <col min="2" max="3" width="3.33203125" style="78" customWidth="1"/>
    <col min="4" max="4" width="14.33203125" style="78" customWidth="1"/>
    <col min="5" max="5" width="21.6640625" style="78" bestFit="1" customWidth="1"/>
    <col min="6" max="6" width="2.33203125" style="78" bestFit="1" customWidth="1"/>
    <col min="7" max="7" width="13.83203125" style="78" bestFit="1" customWidth="1"/>
    <col min="8" max="9" width="11.83203125" style="78" customWidth="1"/>
    <col min="10" max="10" width="12.83203125" style="78" customWidth="1"/>
    <col min="11" max="11" width="13.83203125" style="78" customWidth="1"/>
    <col min="12" max="12" width="12.5" style="78" customWidth="1"/>
    <col min="13" max="13" width="3.83203125" style="78" customWidth="1"/>
    <col min="14" max="14" width="2.33203125" style="78" customWidth="1"/>
    <col min="16" max="25" width="8.83203125" style="78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8"/>
  </cols>
  <sheetData>
    <row r="1" spans="1:46" s="95" customFormat="1" ht="15" customHeight="1" x14ac:dyDescent="0.15">
      <c r="A1" s="74" t="s">
        <v>18</v>
      </c>
      <c r="C1" s="75" t="s">
        <v>8</v>
      </c>
      <c r="D1" s="74" t="s">
        <v>23</v>
      </c>
      <c r="E1" s="74" t="s">
        <v>0</v>
      </c>
      <c r="F1" s="74" t="s">
        <v>7</v>
      </c>
      <c r="G1" s="76" t="s">
        <v>13</v>
      </c>
      <c r="H1" s="74" t="s">
        <v>1</v>
      </c>
      <c r="I1" s="74" t="s">
        <v>2</v>
      </c>
      <c r="J1" s="74" t="s">
        <v>14</v>
      </c>
      <c r="K1" s="74" t="s">
        <v>3</v>
      </c>
      <c r="L1" s="74" t="s">
        <v>4</v>
      </c>
      <c r="M1" s="74" t="s">
        <v>5</v>
      </c>
      <c r="N1" s="74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5">
        <v>1</v>
      </c>
      <c r="D2"/>
      <c r="E2" s="171" t="s">
        <v>192</v>
      </c>
      <c r="F2" s="78">
        <v>0</v>
      </c>
      <c r="G2" s="78">
        <v>2.0641995600000001E-2</v>
      </c>
      <c r="H2" s="78">
        <v>0.02</v>
      </c>
      <c r="I2" s="6">
        <v>4.3943834300000004</v>
      </c>
      <c r="J2" s="6">
        <v>0.708308041</v>
      </c>
      <c r="K2" s="6">
        <v>4.5512640000000002E-3</v>
      </c>
      <c r="L2" s="6">
        <v>0</v>
      </c>
      <c r="M2" s="78">
        <v>0.2</v>
      </c>
      <c r="N2" s="78">
        <v>0</v>
      </c>
    </row>
    <row r="3" spans="1:46" ht="15" customHeight="1" x14ac:dyDescent="0.15">
      <c r="A3" s="1" t="s">
        <v>9</v>
      </c>
      <c r="B3" s="4">
        <v>37</v>
      </c>
      <c r="C3" s="78">
        <v>2</v>
      </c>
      <c r="D3"/>
      <c r="E3" s="171" t="s">
        <v>193</v>
      </c>
      <c r="F3" s="78">
        <v>0</v>
      </c>
      <c r="G3" s="78">
        <v>4.2855900000000002E-2</v>
      </c>
      <c r="H3" s="78">
        <v>0.02</v>
      </c>
      <c r="I3" s="78">
        <v>6.6890234900000003</v>
      </c>
      <c r="J3" s="78">
        <v>0.43188106999999998</v>
      </c>
      <c r="K3" s="78">
        <v>2.9899729999999999E-3</v>
      </c>
      <c r="L3" s="78">
        <v>0</v>
      </c>
      <c r="M3" s="78">
        <v>0.2</v>
      </c>
      <c r="N3" s="78">
        <v>0</v>
      </c>
    </row>
    <row r="4" spans="1:46" ht="15" customHeight="1" x14ac:dyDescent="0.15">
      <c r="A4" s="1" t="s">
        <v>10</v>
      </c>
      <c r="B4" s="4">
        <v>2</v>
      </c>
      <c r="C4" s="78">
        <v>3</v>
      </c>
      <c r="D4"/>
      <c r="E4" s="171" t="s">
        <v>194</v>
      </c>
      <c r="F4" s="78">
        <v>0</v>
      </c>
      <c r="G4" s="78">
        <v>4.4921799999999998E-4</v>
      </c>
      <c r="H4" s="78">
        <v>0.02</v>
      </c>
      <c r="I4" s="78">
        <v>8.8056830000000001</v>
      </c>
      <c r="J4" s="78">
        <v>0.31907020000000003</v>
      </c>
      <c r="K4" s="78">
        <v>2.27126037E-3</v>
      </c>
      <c r="L4" s="78">
        <v>0</v>
      </c>
      <c r="M4" s="78">
        <v>0.2</v>
      </c>
      <c r="N4" s="78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8">
        <v>4</v>
      </c>
      <c r="D5"/>
      <c r="E5" s="171" t="s">
        <v>195</v>
      </c>
      <c r="F5" s="78">
        <v>0</v>
      </c>
      <c r="G5" s="78">
        <v>1.2505099999999999E-4</v>
      </c>
      <c r="H5" s="78">
        <v>7.8353919999999994E-2</v>
      </c>
      <c r="I5" s="78">
        <v>73.561930000000004</v>
      </c>
      <c r="J5" s="78">
        <v>0.31016272299999997</v>
      </c>
      <c r="K5" s="78">
        <v>1.06514222E-3</v>
      </c>
      <c r="L5" s="78">
        <v>0</v>
      </c>
      <c r="M5" s="78">
        <v>0.2</v>
      </c>
      <c r="N5" s="78">
        <v>0</v>
      </c>
      <c r="P5" s="68"/>
      <c r="Q5" s="68"/>
      <c r="R5" s="68"/>
    </row>
    <row r="6" spans="1:46" ht="15" customHeight="1" thickBot="1" x14ac:dyDescent="0.2">
      <c r="B6" s="1"/>
      <c r="C6" s="78">
        <v>5</v>
      </c>
      <c r="D6"/>
      <c r="E6" s="171" t="s">
        <v>196</v>
      </c>
      <c r="F6" s="78">
        <v>0</v>
      </c>
      <c r="G6" s="78">
        <v>1.7240619100000001E-3</v>
      </c>
      <c r="H6" s="78">
        <v>0.39</v>
      </c>
      <c r="I6" s="78">
        <v>10</v>
      </c>
      <c r="J6" s="78">
        <v>0.9</v>
      </c>
      <c r="K6" s="78">
        <v>3.8999997100000003E-2</v>
      </c>
      <c r="L6" s="78">
        <v>0</v>
      </c>
      <c r="M6" s="78">
        <v>0.2</v>
      </c>
      <c r="N6" s="78">
        <v>0</v>
      </c>
      <c r="P6" s="68"/>
      <c r="Q6" s="68"/>
      <c r="R6" s="68"/>
      <c r="W6" s="33" t="s">
        <v>31</v>
      </c>
      <c r="X6" s="49">
        <f>MAX(MainOutputs!G:G)</f>
        <v>0.97443389892578125</v>
      </c>
    </row>
    <row r="7" spans="1:46" ht="15" customHeight="1" x14ac:dyDescent="0.15">
      <c r="A7" s="2" t="s">
        <v>27</v>
      </c>
      <c r="B7" s="78">
        <f ca="1">COUNTIF(OFFSET(cornerDiets,1,1,NumLiving+NumDead+1,NumLiving+NumDead),"&gt;0")+NumLiving+NumDead+1</f>
        <v>273</v>
      </c>
      <c r="C7" s="78">
        <v>6</v>
      </c>
      <c r="D7"/>
      <c r="E7" s="171" t="s">
        <v>197</v>
      </c>
      <c r="F7" s="78">
        <v>0</v>
      </c>
      <c r="G7" s="78">
        <v>7.8020699999999997E-5</v>
      </c>
      <c r="H7" s="78">
        <v>1.05</v>
      </c>
      <c r="I7" s="78">
        <v>15.53</v>
      </c>
      <c r="J7" s="78">
        <v>0.39606708299999999</v>
      </c>
      <c r="K7" s="78">
        <v>6.7611075899999998E-2</v>
      </c>
      <c r="L7" s="78">
        <v>0</v>
      </c>
      <c r="M7" s="78">
        <v>0.2</v>
      </c>
      <c r="N7" s="78">
        <v>0</v>
      </c>
      <c r="P7" s="68"/>
      <c r="Q7" s="68"/>
      <c r="R7" s="68"/>
    </row>
    <row r="8" spans="1:46" ht="15" customHeight="1" x14ac:dyDescent="0.15">
      <c r="A8" s="2" t="s">
        <v>28</v>
      </c>
      <c r="B8" s="78">
        <f ca="1">COUNTIF(OFFSET(cornerFishing,1,2,NumLiving+NumDead,NumGears),"&gt;0")+NumDead*COUNTIF(OFFSET(cornerDiscards,1,2,NumLiving+NumDead,NumGears),"&gt;0")+NumLiving+NumDead+1</f>
        <v>53</v>
      </c>
      <c r="C8" s="78">
        <v>7</v>
      </c>
      <c r="D8"/>
      <c r="E8" s="171" t="s">
        <v>198</v>
      </c>
      <c r="F8" s="78">
        <v>0</v>
      </c>
      <c r="G8" s="78">
        <v>7.8128700000000006E-6</v>
      </c>
      <c r="H8" s="78">
        <v>0.5</v>
      </c>
      <c r="I8" s="78">
        <v>4</v>
      </c>
      <c r="J8" s="78">
        <v>0.76413315500000001</v>
      </c>
      <c r="K8" s="78">
        <v>0.125</v>
      </c>
      <c r="L8" s="78">
        <v>0</v>
      </c>
      <c r="M8" s="78">
        <v>0.2</v>
      </c>
      <c r="N8" s="78">
        <v>0</v>
      </c>
      <c r="P8" s="68"/>
      <c r="Q8" s="68"/>
      <c r="R8" s="68"/>
    </row>
    <row r="9" spans="1:46" ht="15" customHeight="1" x14ac:dyDescent="0.15">
      <c r="B9" s="1"/>
      <c r="C9" s="78">
        <v>8</v>
      </c>
      <c r="D9"/>
      <c r="E9" s="171" t="s">
        <v>199</v>
      </c>
      <c r="F9" s="78">
        <v>0</v>
      </c>
      <c r="G9" s="78">
        <v>2.6044710000000001E-3</v>
      </c>
      <c r="H9" s="78">
        <v>1.35</v>
      </c>
      <c r="I9" s="78">
        <v>19.61</v>
      </c>
      <c r="J9" s="78">
        <v>0.37794741999999998</v>
      </c>
      <c r="K9" s="78">
        <v>6.8842425900000004E-2</v>
      </c>
      <c r="L9" s="78">
        <v>0</v>
      </c>
      <c r="M9" s="78">
        <v>0.2</v>
      </c>
      <c r="N9" s="78">
        <v>0</v>
      </c>
      <c r="P9" s="68"/>
      <c r="Q9" s="68"/>
      <c r="R9" s="68"/>
    </row>
    <row r="10" spans="1:46" ht="15" customHeight="1" x14ac:dyDescent="0.15">
      <c r="B10" s="1"/>
      <c r="C10" s="78">
        <v>9</v>
      </c>
      <c r="D10"/>
      <c r="E10" s="171" t="s">
        <v>200</v>
      </c>
      <c r="F10" s="78">
        <v>0</v>
      </c>
      <c r="G10" s="78">
        <v>1.5539500000000001E-4</v>
      </c>
      <c r="H10" s="78">
        <v>0.8</v>
      </c>
      <c r="I10" s="78">
        <v>9.6</v>
      </c>
      <c r="J10" s="78">
        <v>0.96344989999999997</v>
      </c>
      <c r="K10" s="78">
        <v>8.3333329999999997E-2</v>
      </c>
      <c r="L10" s="78">
        <v>0</v>
      </c>
      <c r="M10" s="78">
        <v>0.2</v>
      </c>
      <c r="N10" s="78">
        <v>0</v>
      </c>
    </row>
    <row r="11" spans="1:46" ht="15" customHeight="1" x14ac:dyDescent="0.15">
      <c r="C11" s="78">
        <v>10</v>
      </c>
      <c r="D11"/>
      <c r="E11" s="171" t="s">
        <v>201</v>
      </c>
      <c r="F11" s="78">
        <v>0</v>
      </c>
      <c r="G11" s="78">
        <v>8.9415060000000001E-3</v>
      </c>
      <c r="H11" s="78">
        <v>0.75</v>
      </c>
      <c r="I11" s="78">
        <v>17.16</v>
      </c>
      <c r="J11" s="78">
        <v>0.55477149999999997</v>
      </c>
      <c r="K11" s="78">
        <v>4.3706294100000001E-2</v>
      </c>
      <c r="L11" s="78">
        <v>0</v>
      </c>
      <c r="M11" s="78">
        <v>0.2</v>
      </c>
      <c r="N11" s="78">
        <v>0</v>
      </c>
    </row>
    <row r="12" spans="1:46" ht="15" customHeight="1" x14ac:dyDescent="0.15">
      <c r="C12" s="78">
        <v>11</v>
      </c>
      <c r="D12"/>
      <c r="E12" s="171" t="s">
        <v>202</v>
      </c>
      <c r="F12" s="78">
        <v>0</v>
      </c>
      <c r="G12" s="78">
        <v>3.0232600000000001E-4</v>
      </c>
      <c r="H12" s="78">
        <v>0.7</v>
      </c>
      <c r="I12" s="78">
        <v>4</v>
      </c>
      <c r="J12" s="78">
        <v>0.71510039999999997</v>
      </c>
      <c r="K12" s="78">
        <v>0.17499999999999999</v>
      </c>
      <c r="L12" s="78">
        <v>0</v>
      </c>
      <c r="M12" s="78">
        <v>0.2</v>
      </c>
      <c r="N12" s="78">
        <v>0</v>
      </c>
    </row>
    <row r="13" spans="1:46" ht="15" customHeight="1" x14ac:dyDescent="0.15">
      <c r="C13" s="78">
        <v>12</v>
      </c>
      <c r="D13"/>
      <c r="E13" s="171" t="s">
        <v>203</v>
      </c>
      <c r="F13" s="78">
        <v>0</v>
      </c>
      <c r="G13" s="78">
        <v>1.6564660000000001E-3</v>
      </c>
      <c r="H13" s="78">
        <v>0.41587059999999998</v>
      </c>
      <c r="I13" s="78">
        <v>4.136984</v>
      </c>
      <c r="J13" s="78">
        <v>0.48116880000000001</v>
      </c>
      <c r="K13" s="78">
        <v>0.10052507400000001</v>
      </c>
      <c r="L13" s="78">
        <v>0</v>
      </c>
      <c r="M13" s="78">
        <v>0.2</v>
      </c>
      <c r="N13" s="78">
        <v>0</v>
      </c>
    </row>
    <row r="14" spans="1:46" ht="15" customHeight="1" x14ac:dyDescent="0.15">
      <c r="C14" s="78">
        <v>13</v>
      </c>
      <c r="D14"/>
      <c r="E14" s="171" t="s">
        <v>204</v>
      </c>
      <c r="F14" s="78">
        <v>0</v>
      </c>
      <c r="G14" s="78">
        <v>1.5393409400000001E-3</v>
      </c>
      <c r="H14" s="78">
        <v>0.112</v>
      </c>
      <c r="I14" s="78">
        <v>1.8</v>
      </c>
      <c r="J14" s="78">
        <v>0.1</v>
      </c>
      <c r="K14" s="78">
        <v>6.2222227499999998E-2</v>
      </c>
      <c r="L14" s="78">
        <v>0</v>
      </c>
      <c r="M14" s="78">
        <v>0.2</v>
      </c>
      <c r="N14" s="78">
        <v>0</v>
      </c>
    </row>
    <row r="15" spans="1:46" ht="15" customHeight="1" x14ac:dyDescent="0.15">
      <c r="C15" s="78">
        <v>14</v>
      </c>
      <c r="D15"/>
      <c r="E15" s="171" t="s">
        <v>205</v>
      </c>
      <c r="F15" s="78">
        <v>0</v>
      </c>
      <c r="G15" s="78">
        <v>1.11143757E-2</v>
      </c>
      <c r="H15" s="78">
        <v>0.69299999999999995</v>
      </c>
      <c r="I15" s="78">
        <v>8.9376929999999994</v>
      </c>
      <c r="J15" s="78">
        <v>0.9</v>
      </c>
      <c r="K15" s="78">
        <v>7.7536789999999994E-2</v>
      </c>
      <c r="L15" s="78">
        <v>0</v>
      </c>
      <c r="M15" s="78">
        <v>0.2</v>
      </c>
      <c r="N15" s="78">
        <v>0</v>
      </c>
    </row>
    <row r="16" spans="1:46" ht="15" customHeight="1" x14ac:dyDescent="0.15">
      <c r="C16" s="78">
        <v>15</v>
      </c>
      <c r="D16"/>
      <c r="E16" s="171" t="s">
        <v>206</v>
      </c>
      <c r="F16" s="78">
        <v>0</v>
      </c>
      <c r="G16" s="78">
        <v>4.4779967499999997E-2</v>
      </c>
      <c r="H16" s="78">
        <v>1.08</v>
      </c>
      <c r="I16" s="78">
        <v>7.670833</v>
      </c>
      <c r="J16" s="78">
        <v>0.9</v>
      </c>
      <c r="K16" s="78">
        <v>0.140793055</v>
      </c>
      <c r="L16" s="78">
        <v>0</v>
      </c>
      <c r="M16" s="78">
        <v>0.2</v>
      </c>
      <c r="N16" s="78">
        <v>0</v>
      </c>
    </row>
    <row r="17" spans="1:22" ht="15" customHeight="1" x14ac:dyDescent="0.15">
      <c r="C17" s="78">
        <v>16</v>
      </c>
      <c r="D17"/>
      <c r="E17" s="171" t="s">
        <v>207</v>
      </c>
      <c r="F17" s="78">
        <v>0</v>
      </c>
      <c r="G17" s="78">
        <v>0.628894866</v>
      </c>
      <c r="H17" s="78">
        <v>2.0533332799999999</v>
      </c>
      <c r="I17" s="78">
        <v>12.5488892</v>
      </c>
      <c r="J17" s="78">
        <v>0.9</v>
      </c>
      <c r="K17" s="78">
        <v>0.16362670000000001</v>
      </c>
      <c r="L17" s="78">
        <v>0</v>
      </c>
      <c r="M17" s="78">
        <v>0.2</v>
      </c>
      <c r="N17" s="78">
        <v>0</v>
      </c>
      <c r="V17" s="1" t="s">
        <v>30</v>
      </c>
    </row>
    <row r="18" spans="1:22" ht="15" customHeight="1" x14ac:dyDescent="0.15">
      <c r="C18" s="78">
        <v>17</v>
      </c>
      <c r="D18"/>
      <c r="E18" s="171" t="s">
        <v>208</v>
      </c>
      <c r="F18" s="78">
        <v>0</v>
      </c>
      <c r="G18" s="78">
        <v>5.5815119999999996E-4</v>
      </c>
      <c r="H18" s="78">
        <v>0.15</v>
      </c>
      <c r="I18" s="78">
        <v>3.55</v>
      </c>
      <c r="J18" s="78">
        <v>0.9</v>
      </c>
      <c r="K18" s="78">
        <v>4.2253524100000002E-2</v>
      </c>
      <c r="L18" s="78">
        <v>0</v>
      </c>
      <c r="M18" s="78">
        <v>0.2</v>
      </c>
      <c r="N18" s="78">
        <v>0</v>
      </c>
      <c r="V18" s="1"/>
    </row>
    <row r="19" spans="1:22" ht="15" customHeight="1" x14ac:dyDescent="0.15">
      <c r="C19" s="78">
        <v>18</v>
      </c>
      <c r="D19"/>
      <c r="E19" s="171" t="s">
        <v>209</v>
      </c>
      <c r="F19" s="78">
        <v>0</v>
      </c>
      <c r="G19" s="78">
        <v>3.253854</v>
      </c>
      <c r="H19" s="78">
        <v>3.7571427800000001</v>
      </c>
      <c r="I19" s="78">
        <v>18.25</v>
      </c>
      <c r="J19" s="78">
        <v>0.1547288</v>
      </c>
      <c r="K19" s="78">
        <v>0.205870837</v>
      </c>
      <c r="L19" s="78">
        <v>0</v>
      </c>
      <c r="M19" s="78">
        <v>0.2</v>
      </c>
      <c r="N19" s="78">
        <v>0</v>
      </c>
    </row>
    <row r="20" spans="1:22" ht="15" customHeight="1" thickBot="1" x14ac:dyDescent="0.2">
      <c r="C20" s="78">
        <v>19</v>
      </c>
      <c r="D20"/>
      <c r="E20" s="171" t="s">
        <v>210</v>
      </c>
      <c r="F20" s="78">
        <v>0</v>
      </c>
      <c r="G20" s="78">
        <v>2.0715419999999998E-2</v>
      </c>
      <c r="H20" s="78">
        <v>1.04</v>
      </c>
      <c r="I20" s="78">
        <v>3.65</v>
      </c>
      <c r="J20" s="78">
        <v>0.9</v>
      </c>
      <c r="K20" s="78">
        <v>0.28493148099999999</v>
      </c>
      <c r="L20" s="78">
        <v>0</v>
      </c>
      <c r="M20" s="78">
        <v>0.2</v>
      </c>
      <c r="N20" s="78">
        <v>0</v>
      </c>
    </row>
    <row r="21" spans="1:22" ht="15" customHeight="1" thickBot="1" x14ac:dyDescent="0.2">
      <c r="A21" s="44" t="s">
        <v>137</v>
      </c>
      <c r="B21" s="96"/>
      <c r="C21" s="78">
        <v>20</v>
      </c>
      <c r="D21"/>
      <c r="E21" s="171" t="s">
        <v>211</v>
      </c>
      <c r="F21" s="78">
        <v>0</v>
      </c>
      <c r="G21" s="78">
        <v>2.2376928500000001E-2</v>
      </c>
      <c r="H21" s="78">
        <v>0.19</v>
      </c>
      <c r="I21" s="78">
        <v>0.28999999999999998</v>
      </c>
      <c r="J21" s="78">
        <v>0.9</v>
      </c>
      <c r="K21" s="78">
        <v>0.65517239999999999</v>
      </c>
      <c r="L21" s="78">
        <v>0</v>
      </c>
      <c r="M21" s="78">
        <v>0.2</v>
      </c>
      <c r="N21" s="78">
        <v>0</v>
      </c>
    </row>
    <row r="22" spans="1:22" ht="15" customHeight="1" x14ac:dyDescent="0.15">
      <c r="A22" s="97" t="s">
        <v>58</v>
      </c>
      <c r="B22" s="98">
        <v>0</v>
      </c>
      <c r="C22" s="78">
        <v>21</v>
      </c>
      <c r="D22"/>
      <c r="E22" s="171" t="s">
        <v>212</v>
      </c>
      <c r="F22" s="78">
        <v>0</v>
      </c>
      <c r="G22" s="78">
        <v>5.5351640000000004E-3</v>
      </c>
      <c r="H22" s="78">
        <v>0.27</v>
      </c>
      <c r="I22" s="78">
        <v>0.49</v>
      </c>
      <c r="J22" s="78">
        <v>0.9</v>
      </c>
      <c r="K22" s="78">
        <v>0.55102044299999997</v>
      </c>
      <c r="L22" s="78">
        <v>0</v>
      </c>
      <c r="M22" s="78">
        <v>0.2</v>
      </c>
      <c r="N22" s="78">
        <v>0</v>
      </c>
    </row>
    <row r="23" spans="1:22" ht="15" customHeight="1" x14ac:dyDescent="0.15">
      <c r="A23" s="97" t="s">
        <v>59</v>
      </c>
      <c r="B23" s="98">
        <v>1</v>
      </c>
      <c r="C23" s="78">
        <v>22</v>
      </c>
      <c r="D23"/>
      <c r="E23" s="171" t="s">
        <v>213</v>
      </c>
      <c r="F23" s="78">
        <v>0</v>
      </c>
      <c r="G23" s="78">
        <v>1.5937469999999999E-2</v>
      </c>
      <c r="H23" s="78">
        <v>0.35473683499999997</v>
      </c>
      <c r="I23" s="78">
        <v>0.64497610000000005</v>
      </c>
      <c r="J23" s="78">
        <v>0.68215894700000002</v>
      </c>
      <c r="K23" s="78">
        <v>0.55000000000000004</v>
      </c>
      <c r="L23" s="78">
        <v>0</v>
      </c>
      <c r="M23" s="78">
        <v>0.2</v>
      </c>
      <c r="N23" s="78">
        <v>0</v>
      </c>
    </row>
    <row r="24" spans="1:22" ht="15" customHeight="1" x14ac:dyDescent="0.15">
      <c r="A24" s="97" t="s">
        <v>60</v>
      </c>
      <c r="B24" s="98">
        <v>2</v>
      </c>
      <c r="C24" s="78">
        <v>23</v>
      </c>
      <c r="D24"/>
      <c r="E24" s="171" t="s">
        <v>214</v>
      </c>
      <c r="F24" s="78">
        <v>0</v>
      </c>
      <c r="G24" s="78">
        <v>1.8835190000000002E-2</v>
      </c>
      <c r="H24" s="78">
        <v>0.16</v>
      </c>
      <c r="I24" s="78">
        <v>0.29090908199999999</v>
      </c>
      <c r="J24" s="78">
        <v>0.60741513999999996</v>
      </c>
      <c r="K24" s="78">
        <v>0.55000000000000004</v>
      </c>
      <c r="L24" s="78">
        <v>0</v>
      </c>
      <c r="M24" s="78">
        <v>0.2</v>
      </c>
      <c r="N24" s="78">
        <v>0</v>
      </c>
    </row>
    <row r="25" spans="1:22" ht="15" customHeight="1" thickBot="1" x14ac:dyDescent="0.2">
      <c r="A25" s="99" t="s">
        <v>44</v>
      </c>
      <c r="B25" s="100">
        <v>3</v>
      </c>
      <c r="C25" s="78">
        <v>24</v>
      </c>
      <c r="D25"/>
      <c r="E25" s="171" t="s">
        <v>215</v>
      </c>
      <c r="F25" s="78">
        <v>0</v>
      </c>
      <c r="G25" s="78">
        <v>9.3451716000000004E-2</v>
      </c>
      <c r="H25" s="78">
        <v>0.34250000000000003</v>
      </c>
      <c r="I25" s="78">
        <v>0.62272729999999998</v>
      </c>
      <c r="J25" s="78">
        <v>0.52122104199999997</v>
      </c>
      <c r="K25" s="78">
        <v>0.55000000000000004</v>
      </c>
      <c r="L25" s="78">
        <v>0</v>
      </c>
      <c r="M25" s="78">
        <v>0.2</v>
      </c>
      <c r="N25" s="78">
        <v>0</v>
      </c>
    </row>
    <row r="26" spans="1:22" ht="15" customHeight="1" x14ac:dyDescent="0.15">
      <c r="A26" s="101" t="s">
        <v>140</v>
      </c>
      <c r="C26" s="78">
        <v>25</v>
      </c>
      <c r="D26"/>
      <c r="E26" s="171" t="s">
        <v>216</v>
      </c>
      <c r="F26" s="78">
        <v>0</v>
      </c>
      <c r="G26" s="78">
        <v>0.145938292</v>
      </c>
      <c r="H26" s="78">
        <v>0.202222228</v>
      </c>
      <c r="I26" s="78">
        <v>0.36767676500000002</v>
      </c>
      <c r="J26" s="78">
        <v>0.52555200000000002</v>
      </c>
      <c r="K26" s="78">
        <v>0.55000000000000004</v>
      </c>
      <c r="L26" s="78">
        <v>0</v>
      </c>
      <c r="M26" s="78">
        <v>0.2</v>
      </c>
      <c r="N26" s="78">
        <v>0</v>
      </c>
    </row>
    <row r="27" spans="1:22" ht="15" customHeight="1" x14ac:dyDescent="0.15">
      <c r="C27" s="78">
        <v>26</v>
      </c>
      <c r="D27"/>
      <c r="E27" s="171" t="s">
        <v>217</v>
      </c>
      <c r="F27" s="78">
        <v>0</v>
      </c>
      <c r="G27" s="78">
        <v>0.226259127</v>
      </c>
      <c r="H27" s="78">
        <v>4.5999999999999996</v>
      </c>
      <c r="I27" s="78">
        <v>36.5</v>
      </c>
      <c r="J27" s="78">
        <v>0.9</v>
      </c>
      <c r="K27" s="78">
        <v>0.12602738999999999</v>
      </c>
      <c r="L27" s="78">
        <v>0</v>
      </c>
      <c r="M27" s="78">
        <v>0.2</v>
      </c>
      <c r="N27" s="78">
        <v>0</v>
      </c>
    </row>
    <row r="28" spans="1:22" ht="15" customHeight="1" x14ac:dyDescent="0.15">
      <c r="C28" s="78">
        <v>27</v>
      </c>
      <c r="D28"/>
      <c r="E28" s="171" t="s">
        <v>218</v>
      </c>
      <c r="F28" s="78">
        <v>0</v>
      </c>
      <c r="G28" s="78">
        <v>6.7356929999999995E-2</v>
      </c>
      <c r="H28" s="78">
        <v>4.5999999999999996</v>
      </c>
      <c r="I28" s="78">
        <v>36.5</v>
      </c>
      <c r="J28" s="78">
        <v>0.9</v>
      </c>
      <c r="K28" s="78">
        <v>0.12602738999999999</v>
      </c>
      <c r="L28" s="78">
        <v>0</v>
      </c>
      <c r="M28" s="78">
        <v>0.2</v>
      </c>
      <c r="N28" s="78">
        <v>0</v>
      </c>
    </row>
    <row r="29" spans="1:22" customFormat="1" ht="15" customHeight="1" x14ac:dyDescent="0.15">
      <c r="C29" s="78">
        <v>28</v>
      </c>
      <c r="E29" s="171" t="s">
        <v>219</v>
      </c>
      <c r="F29" s="78">
        <v>0</v>
      </c>
      <c r="G29" s="78">
        <v>5.0989626900000001E-3</v>
      </c>
      <c r="H29" s="78">
        <v>1.1499999999999999</v>
      </c>
      <c r="I29" s="78">
        <v>2.2999999999999998</v>
      </c>
      <c r="J29" s="78">
        <v>0.9</v>
      </c>
      <c r="K29" s="78">
        <v>0.5</v>
      </c>
      <c r="L29" s="78">
        <v>0</v>
      </c>
      <c r="M29" s="78">
        <v>0.2</v>
      </c>
      <c r="N29" s="78">
        <v>0</v>
      </c>
    </row>
    <row r="30" spans="1:22" customFormat="1" ht="15" customHeight="1" x14ac:dyDescent="0.15">
      <c r="C30" s="78">
        <v>29</v>
      </c>
      <c r="E30" s="171" t="s">
        <v>220</v>
      </c>
      <c r="F30" s="78">
        <v>0</v>
      </c>
      <c r="G30" s="78">
        <v>0.98399999999999999</v>
      </c>
      <c r="H30" s="78">
        <v>2.25</v>
      </c>
      <c r="I30" s="78">
        <v>22.65</v>
      </c>
      <c r="J30" s="78">
        <v>0.24403559999999999</v>
      </c>
      <c r="K30" s="78">
        <v>9.9337750000000002E-2</v>
      </c>
      <c r="L30" s="78">
        <v>0</v>
      </c>
      <c r="M30" s="78">
        <v>0.2</v>
      </c>
      <c r="N30" s="78">
        <v>0</v>
      </c>
    </row>
    <row r="31" spans="1:22" customFormat="1" ht="15" customHeight="1" x14ac:dyDescent="0.15">
      <c r="C31" s="78">
        <v>30</v>
      </c>
      <c r="E31" s="171" t="s">
        <v>221</v>
      </c>
      <c r="F31" s="78">
        <v>0</v>
      </c>
      <c r="G31" s="78">
        <v>0.36899999999999999</v>
      </c>
      <c r="H31" s="78">
        <v>1</v>
      </c>
      <c r="I31" s="78">
        <v>9.85</v>
      </c>
      <c r="J31" s="78">
        <v>0.18112346500000001</v>
      </c>
      <c r="K31" s="78">
        <v>0.101522841</v>
      </c>
      <c r="L31" s="78">
        <v>0</v>
      </c>
      <c r="M31" s="78">
        <v>0.2</v>
      </c>
      <c r="N31" s="78">
        <v>0</v>
      </c>
    </row>
    <row r="32" spans="1:22" customFormat="1" ht="15" customHeight="1" x14ac:dyDescent="0.15">
      <c r="C32" s="78">
        <v>31</v>
      </c>
      <c r="E32" s="171" t="s">
        <v>222</v>
      </c>
      <c r="F32" s="78">
        <v>0</v>
      </c>
      <c r="G32" s="78">
        <v>0.39400000000000002</v>
      </c>
      <c r="H32" s="78">
        <v>1.1000000000000001</v>
      </c>
      <c r="I32" s="78">
        <v>6.7</v>
      </c>
      <c r="J32" s="78">
        <v>8.9096880000000003E-2</v>
      </c>
      <c r="K32" s="78">
        <v>0.16417911600000001</v>
      </c>
      <c r="L32" s="78">
        <v>0</v>
      </c>
      <c r="M32" s="78">
        <v>0.2</v>
      </c>
      <c r="N32" s="78">
        <v>0</v>
      </c>
    </row>
    <row r="33" spans="3:14" customFormat="1" ht="15" customHeight="1" x14ac:dyDescent="0.15">
      <c r="C33" s="78">
        <v>32</v>
      </c>
      <c r="E33" s="171" t="s">
        <v>223</v>
      </c>
      <c r="F33" s="78">
        <v>0</v>
      </c>
      <c r="G33" s="78">
        <v>22.542999999999999</v>
      </c>
      <c r="H33" s="78">
        <v>18.45</v>
      </c>
      <c r="I33" s="78">
        <v>25</v>
      </c>
      <c r="J33" s="78">
        <v>0.62407559999999995</v>
      </c>
      <c r="K33" s="78">
        <v>0.738000035</v>
      </c>
      <c r="L33" s="78">
        <v>0</v>
      </c>
      <c r="M33" s="78">
        <v>0.2</v>
      </c>
      <c r="N33" s="78">
        <v>0</v>
      </c>
    </row>
    <row r="34" spans="3:14" customFormat="1" ht="15" customHeight="1" x14ac:dyDescent="0.15">
      <c r="C34" s="78">
        <v>33</v>
      </c>
      <c r="E34" s="171" t="s">
        <v>224</v>
      </c>
      <c r="F34" s="78">
        <v>0</v>
      </c>
      <c r="G34" s="78">
        <v>66</v>
      </c>
      <c r="H34" s="78">
        <v>17.3</v>
      </c>
      <c r="I34" s="78">
        <v>57.7</v>
      </c>
      <c r="J34" s="78">
        <v>0.70415269999999996</v>
      </c>
      <c r="K34" s="78">
        <v>0.29982668200000001</v>
      </c>
      <c r="L34" s="78">
        <v>0</v>
      </c>
      <c r="M34" s="78">
        <v>0.2</v>
      </c>
      <c r="N34" s="78">
        <v>0</v>
      </c>
    </row>
    <row r="35" spans="3:14" customFormat="1" ht="15" customHeight="1" x14ac:dyDescent="0.15">
      <c r="C35" s="78">
        <v>34</v>
      </c>
      <c r="E35" s="171" t="s">
        <v>225</v>
      </c>
      <c r="F35" s="78">
        <v>0</v>
      </c>
      <c r="G35" s="78">
        <v>17.567676500000001</v>
      </c>
      <c r="H35" s="78">
        <v>8.6999999999999993</v>
      </c>
      <c r="I35" s="78">
        <v>29</v>
      </c>
      <c r="J35" s="78">
        <v>0.123431452</v>
      </c>
      <c r="K35" s="78">
        <v>0.299999982</v>
      </c>
      <c r="L35" s="78">
        <v>0</v>
      </c>
      <c r="M35" s="78">
        <v>0.2</v>
      </c>
      <c r="N35" s="78">
        <v>0</v>
      </c>
    </row>
    <row r="36" spans="3:14" customFormat="1" ht="15" customHeight="1" x14ac:dyDescent="0.15">
      <c r="C36" s="78">
        <v>35</v>
      </c>
      <c r="E36" s="171" t="s">
        <v>226</v>
      </c>
      <c r="F36" s="78">
        <v>0</v>
      </c>
      <c r="G36" s="78">
        <v>18.858583500000002</v>
      </c>
      <c r="H36" s="78">
        <v>17.3</v>
      </c>
      <c r="I36" s="78">
        <v>57.7</v>
      </c>
      <c r="J36" s="78">
        <v>0.41850087000000002</v>
      </c>
      <c r="K36" s="78">
        <v>0.29982668200000001</v>
      </c>
      <c r="L36" s="78">
        <v>0</v>
      </c>
      <c r="M36" s="78">
        <v>0.2</v>
      </c>
      <c r="N36" s="78">
        <v>0</v>
      </c>
    </row>
    <row r="37" spans="3:14" customFormat="1" ht="15" customHeight="1" x14ac:dyDescent="0.15">
      <c r="C37" s="78">
        <v>36</v>
      </c>
      <c r="E37" s="171" t="s">
        <v>227</v>
      </c>
      <c r="F37" s="78">
        <v>0</v>
      </c>
      <c r="G37" s="78">
        <v>5.9317469999999997</v>
      </c>
      <c r="H37" s="78">
        <v>8.6999999999999993</v>
      </c>
      <c r="I37" s="78">
        <v>29</v>
      </c>
      <c r="J37" s="78">
        <v>5.96737824E-2</v>
      </c>
      <c r="K37" s="78">
        <v>0.299999982</v>
      </c>
      <c r="L37" s="78">
        <v>0</v>
      </c>
      <c r="M37" s="78">
        <v>0.2</v>
      </c>
      <c r="N37" s="78">
        <v>0</v>
      </c>
    </row>
    <row r="38" spans="3:14" customFormat="1" ht="15" customHeight="1" x14ac:dyDescent="0.15">
      <c r="C38" s="78">
        <v>37</v>
      </c>
      <c r="E38" s="171" t="s">
        <v>228</v>
      </c>
      <c r="F38" s="78">
        <v>1</v>
      </c>
      <c r="G38" s="78">
        <v>20.25</v>
      </c>
      <c r="H38" s="78">
        <v>146.382462</v>
      </c>
      <c r="I38" s="78">
        <v>0</v>
      </c>
      <c r="J38" s="78">
        <v>0.7773312</v>
      </c>
      <c r="K38" s="78">
        <v>0</v>
      </c>
      <c r="L38" s="78">
        <v>0</v>
      </c>
      <c r="M38" s="78">
        <v>0</v>
      </c>
      <c r="N38" s="78">
        <v>0</v>
      </c>
    </row>
    <row r="39" spans="3:14" customFormat="1" ht="15" customHeight="1" x14ac:dyDescent="0.15">
      <c r="C39" s="78">
        <v>38</v>
      </c>
      <c r="E39" s="171" t="s">
        <v>229</v>
      </c>
      <c r="F39" s="78">
        <v>2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-7.1317919999999996E-3</v>
      </c>
      <c r="M39" s="78">
        <v>0</v>
      </c>
      <c r="N39" s="78">
        <v>0</v>
      </c>
    </row>
    <row r="40" spans="3:14" customFormat="1" ht="15" customHeight="1" x14ac:dyDescent="0.15">
      <c r="C40" s="78">
        <v>39</v>
      </c>
      <c r="E40" s="171" t="s">
        <v>230</v>
      </c>
      <c r="F40" s="78">
        <v>2</v>
      </c>
      <c r="G40" s="78">
        <v>5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</row>
    <row r="41" spans="3:14" customFormat="1" ht="15" customHeight="1" x14ac:dyDescent="0.15">
      <c r="C41" s="78">
        <v>40</v>
      </c>
      <c r="E41" s="171" t="s">
        <v>231</v>
      </c>
      <c r="F41" s="78">
        <v>3</v>
      </c>
      <c r="G41" s="78">
        <v>0</v>
      </c>
      <c r="H41" s="78">
        <v>0</v>
      </c>
      <c r="I41" s="78">
        <v>0</v>
      </c>
      <c r="J41" s="78">
        <v>0</v>
      </c>
      <c r="K41" s="78">
        <v>0</v>
      </c>
      <c r="L41" s="78">
        <v>0</v>
      </c>
      <c r="M41" s="78">
        <v>0</v>
      </c>
      <c r="N41" s="78">
        <v>0</v>
      </c>
    </row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N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6" bestFit="1" customWidth="1"/>
    <col min="2" max="2" width="7.83203125" style="136" bestFit="1" customWidth="1"/>
    <col min="3" max="3" width="15.83203125" style="136" bestFit="1" customWidth="1"/>
    <col min="4" max="4" width="14.83203125" style="136" bestFit="1" customWidth="1"/>
    <col min="5" max="6" width="7.83203125" style="136" bestFit="1" customWidth="1"/>
    <col min="7" max="8" width="13.83203125" style="136" bestFit="1" customWidth="1"/>
    <col min="9" max="9" width="7.83203125" style="136" bestFit="1" customWidth="1"/>
    <col min="10" max="10" width="13.83203125" style="136" bestFit="1" customWidth="1"/>
    <col min="11" max="11" width="15.5" style="136" bestFit="1" customWidth="1"/>
    <col min="12" max="12" width="7.83203125" style="136" bestFit="1" customWidth="1"/>
    <col min="13" max="13" width="13.83203125" style="136" bestFit="1" customWidth="1"/>
    <col min="14" max="14" width="14.83203125" style="136" bestFit="1" customWidth="1"/>
    <col min="15" max="15" width="15.83203125" style="136" bestFit="1" customWidth="1"/>
    <col min="16" max="20" width="7.83203125" style="136" bestFit="1" customWidth="1"/>
    <col min="21" max="22" width="15.83203125" style="136" bestFit="1" customWidth="1"/>
    <col min="23" max="23" width="15.5" style="136" bestFit="1" customWidth="1"/>
    <col min="24" max="24" width="14.83203125" style="136" bestFit="1" customWidth="1"/>
    <col min="25" max="25" width="13.83203125" style="136" bestFit="1" customWidth="1"/>
    <col min="26" max="26" width="14.83203125" style="136" bestFit="1" customWidth="1"/>
    <col min="27" max="28" width="7.83203125" style="136" bestFit="1" customWidth="1"/>
    <col min="29" max="29" width="3.83203125" style="136" bestFit="1" customWidth="1"/>
    <col min="30" max="30" width="7.83203125" style="136" customWidth="1"/>
    <col min="31" max="32" width="4.83203125" style="136" customWidth="1"/>
    <col min="33" max="33" width="2.33203125" style="136" customWidth="1"/>
    <col min="34" max="34" width="5.83203125" style="136" customWidth="1"/>
    <col min="35" max="35" width="4.83203125" style="136" customWidth="1"/>
    <col min="36" max="36" width="5.83203125" style="136" customWidth="1"/>
    <col min="37" max="37" width="4.83203125" style="136" customWidth="1"/>
    <col min="38" max="40" width="2.33203125" style="136" customWidth="1"/>
    <col min="41" max="16384" width="8.83203125" style="136"/>
  </cols>
  <sheetData>
    <row r="1" spans="1:40" x14ac:dyDescent="0.15">
      <c r="A1" s="135" t="s">
        <v>19</v>
      </c>
      <c r="B1" s="173" t="s">
        <v>192</v>
      </c>
      <c r="C1" s="173" t="s">
        <v>193</v>
      </c>
      <c r="D1" s="173" t="s">
        <v>194</v>
      </c>
      <c r="E1" s="173" t="s">
        <v>195</v>
      </c>
      <c r="F1" s="173" t="s">
        <v>196</v>
      </c>
      <c r="G1" s="173" t="s">
        <v>197</v>
      </c>
      <c r="H1" s="173" t="s">
        <v>198</v>
      </c>
      <c r="I1" s="173" t="s">
        <v>199</v>
      </c>
      <c r="J1" s="173" t="s">
        <v>200</v>
      </c>
      <c r="K1" s="173" t="s">
        <v>201</v>
      </c>
      <c r="L1" s="173" t="s">
        <v>202</v>
      </c>
      <c r="M1" s="173" t="s">
        <v>203</v>
      </c>
      <c r="N1" s="173" t="s">
        <v>204</v>
      </c>
      <c r="O1" s="173" t="s">
        <v>205</v>
      </c>
      <c r="P1" s="173" t="s">
        <v>206</v>
      </c>
      <c r="Q1" s="173" t="s">
        <v>207</v>
      </c>
      <c r="R1" s="173" t="s">
        <v>208</v>
      </c>
      <c r="S1" s="173" t="s">
        <v>209</v>
      </c>
      <c r="T1" s="173" t="s">
        <v>210</v>
      </c>
      <c r="U1" s="173" t="s">
        <v>211</v>
      </c>
      <c r="V1" s="173" t="s">
        <v>212</v>
      </c>
      <c r="W1" s="173" t="s">
        <v>213</v>
      </c>
      <c r="X1" s="173" t="s">
        <v>214</v>
      </c>
      <c r="Y1" s="173" t="s">
        <v>215</v>
      </c>
      <c r="Z1" s="173" t="s">
        <v>216</v>
      </c>
      <c r="AA1" s="173" t="s">
        <v>217</v>
      </c>
      <c r="AB1" s="173" t="s">
        <v>218</v>
      </c>
      <c r="AC1" s="173" t="s">
        <v>219</v>
      </c>
      <c r="AD1" s="173" t="s">
        <v>220</v>
      </c>
      <c r="AE1" s="173" t="s">
        <v>221</v>
      </c>
      <c r="AF1" s="173" t="s">
        <v>222</v>
      </c>
      <c r="AG1" s="173" t="s">
        <v>223</v>
      </c>
      <c r="AH1" s="173" t="s">
        <v>224</v>
      </c>
      <c r="AI1" s="173" t="s">
        <v>225</v>
      </c>
      <c r="AJ1" s="173" t="s">
        <v>226</v>
      </c>
      <c r="AK1" s="173" t="s">
        <v>227</v>
      </c>
      <c r="AL1" s="173" t="s">
        <v>228</v>
      </c>
      <c r="AM1" s="173" t="s">
        <v>229</v>
      </c>
      <c r="AN1" s="173" t="s">
        <v>230</v>
      </c>
    </row>
    <row r="2" spans="1:40" customFormat="1" x14ac:dyDescent="0.15">
      <c r="A2" s="172" t="s">
        <v>192</v>
      </c>
      <c r="B2" s="136">
        <v>0</v>
      </c>
      <c r="C2" s="136">
        <v>9.900000172346126E-4</v>
      </c>
      <c r="D2" s="136">
        <v>0</v>
      </c>
      <c r="E2" s="136">
        <v>0</v>
      </c>
      <c r="F2" s="136">
        <v>5.0000000000000001E-4</v>
      </c>
      <c r="G2" s="136">
        <v>0</v>
      </c>
      <c r="H2" s="136">
        <v>0</v>
      </c>
      <c r="I2" s="136">
        <v>0</v>
      </c>
      <c r="J2" s="136">
        <v>0</v>
      </c>
      <c r="K2" s="136">
        <v>0</v>
      </c>
      <c r="L2" s="136">
        <v>0</v>
      </c>
      <c r="M2" s="136">
        <v>0</v>
      </c>
      <c r="N2" s="136">
        <v>0</v>
      </c>
      <c r="O2" s="136">
        <v>0</v>
      </c>
      <c r="P2" s="136">
        <v>0</v>
      </c>
      <c r="Q2" s="136">
        <v>0</v>
      </c>
      <c r="R2" s="136">
        <v>0</v>
      </c>
      <c r="S2" s="136">
        <v>0</v>
      </c>
      <c r="T2" s="136">
        <v>0</v>
      </c>
      <c r="U2" s="136">
        <v>0</v>
      </c>
      <c r="V2" s="136">
        <v>0</v>
      </c>
      <c r="W2" s="136">
        <v>0</v>
      </c>
      <c r="X2" s="136">
        <v>0</v>
      </c>
      <c r="Y2" s="136">
        <v>0</v>
      </c>
      <c r="Z2" s="136">
        <v>0</v>
      </c>
      <c r="AA2" s="136">
        <v>0</v>
      </c>
      <c r="AB2" s="136">
        <v>0</v>
      </c>
      <c r="AC2" s="136">
        <v>0</v>
      </c>
      <c r="AD2" s="136">
        <v>0</v>
      </c>
      <c r="AE2" s="136">
        <v>0</v>
      </c>
      <c r="AF2" s="136">
        <v>0</v>
      </c>
      <c r="AG2" s="136">
        <v>0</v>
      </c>
      <c r="AH2" s="136">
        <v>0</v>
      </c>
      <c r="AI2" s="136">
        <v>0</v>
      </c>
      <c r="AJ2" s="136">
        <v>0</v>
      </c>
      <c r="AK2" s="136">
        <v>0</v>
      </c>
      <c r="AL2" s="136">
        <v>0</v>
      </c>
      <c r="AM2" s="136">
        <v>0</v>
      </c>
      <c r="AN2" s="136">
        <v>0</v>
      </c>
    </row>
    <row r="3" spans="1:40" customFormat="1" x14ac:dyDescent="0.15">
      <c r="A3" s="172" t="s">
        <v>193</v>
      </c>
      <c r="B3" s="136">
        <v>0</v>
      </c>
      <c r="C3" s="136">
        <v>9.900000172346126E-4</v>
      </c>
      <c r="D3" s="136">
        <v>0</v>
      </c>
      <c r="E3" s="136">
        <v>0</v>
      </c>
      <c r="F3" s="136">
        <v>5.0099999999999997E-3</v>
      </c>
      <c r="G3" s="136">
        <v>0</v>
      </c>
      <c r="H3" s="136">
        <v>0</v>
      </c>
      <c r="I3" s="136">
        <v>0</v>
      </c>
      <c r="J3" s="136">
        <v>0</v>
      </c>
      <c r="K3" s="136">
        <v>0</v>
      </c>
      <c r="L3" s="136">
        <v>0</v>
      </c>
      <c r="M3" s="136">
        <v>0</v>
      </c>
      <c r="N3" s="136">
        <v>0</v>
      </c>
      <c r="O3" s="136">
        <v>0</v>
      </c>
      <c r="P3" s="136">
        <v>0</v>
      </c>
      <c r="Q3" s="136">
        <v>0</v>
      </c>
      <c r="R3" s="136">
        <v>0</v>
      </c>
      <c r="S3" s="136">
        <v>0</v>
      </c>
      <c r="T3" s="136">
        <v>0</v>
      </c>
      <c r="U3" s="136">
        <v>0</v>
      </c>
      <c r="V3" s="136">
        <v>0</v>
      </c>
      <c r="W3" s="136">
        <v>0</v>
      </c>
      <c r="X3" s="136">
        <v>0</v>
      </c>
      <c r="Y3" s="136">
        <v>0</v>
      </c>
      <c r="Z3" s="136">
        <v>0</v>
      </c>
      <c r="AA3" s="136">
        <v>0</v>
      </c>
      <c r="AB3" s="136">
        <v>0</v>
      </c>
      <c r="AC3" s="136">
        <v>0</v>
      </c>
      <c r="AD3" s="136">
        <v>0</v>
      </c>
      <c r="AE3" s="136">
        <v>0</v>
      </c>
      <c r="AF3" s="136">
        <v>0</v>
      </c>
      <c r="AG3" s="136">
        <v>0</v>
      </c>
      <c r="AH3" s="136">
        <v>0</v>
      </c>
      <c r="AI3" s="136">
        <v>0</v>
      </c>
      <c r="AJ3" s="136">
        <v>0</v>
      </c>
      <c r="AK3" s="136">
        <v>0</v>
      </c>
      <c r="AL3" s="136">
        <v>0</v>
      </c>
      <c r="AM3" s="136">
        <v>0</v>
      </c>
      <c r="AN3" s="136">
        <v>0</v>
      </c>
    </row>
    <row r="4" spans="1:40" customFormat="1" x14ac:dyDescent="0.15">
      <c r="A4" s="172" t="s">
        <v>194</v>
      </c>
      <c r="B4" s="136">
        <v>0</v>
      </c>
      <c r="C4" s="136">
        <v>9.9999998639860116E-6</v>
      </c>
      <c r="D4" s="136">
        <v>0</v>
      </c>
      <c r="E4" s="136">
        <v>0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>
        <v>0</v>
      </c>
      <c r="L4" s="136">
        <v>0</v>
      </c>
      <c r="M4" s="136">
        <v>0</v>
      </c>
      <c r="N4" s="136">
        <v>0</v>
      </c>
      <c r="O4" s="136">
        <v>0</v>
      </c>
      <c r="P4" s="136">
        <v>0</v>
      </c>
      <c r="Q4" s="136">
        <v>0</v>
      </c>
      <c r="R4" s="136">
        <v>0</v>
      </c>
      <c r="S4" s="136">
        <v>0</v>
      </c>
      <c r="T4" s="136">
        <v>0</v>
      </c>
      <c r="U4" s="136">
        <v>0</v>
      </c>
      <c r="V4" s="136">
        <v>0</v>
      </c>
      <c r="W4" s="136">
        <v>0</v>
      </c>
      <c r="X4" s="136">
        <v>0</v>
      </c>
      <c r="Y4" s="136">
        <v>0</v>
      </c>
      <c r="Z4" s="136">
        <v>0</v>
      </c>
      <c r="AA4" s="136">
        <v>0</v>
      </c>
      <c r="AB4" s="136">
        <v>0</v>
      </c>
      <c r="AC4" s="136">
        <v>0</v>
      </c>
      <c r="AD4" s="136">
        <v>0</v>
      </c>
      <c r="AE4" s="136">
        <v>0</v>
      </c>
      <c r="AF4" s="136">
        <v>0</v>
      </c>
      <c r="AG4" s="136">
        <v>0</v>
      </c>
      <c r="AH4" s="136">
        <v>0</v>
      </c>
      <c r="AI4" s="136">
        <v>0</v>
      </c>
      <c r="AJ4" s="136">
        <v>0</v>
      </c>
      <c r="AK4" s="136">
        <v>0</v>
      </c>
      <c r="AL4" s="136">
        <v>0</v>
      </c>
      <c r="AM4" s="136">
        <v>0</v>
      </c>
      <c r="AN4" s="136">
        <v>0</v>
      </c>
    </row>
    <row r="5" spans="1:40" customFormat="1" x14ac:dyDescent="0.15">
      <c r="A5" s="172" t="s">
        <v>195</v>
      </c>
      <c r="B5" s="136">
        <v>0</v>
      </c>
      <c r="C5" s="136">
        <v>9.9999998639860116E-6</v>
      </c>
      <c r="D5" s="136">
        <v>0</v>
      </c>
      <c r="E5" s="136">
        <v>0</v>
      </c>
      <c r="F5" s="136">
        <v>1.0000000000000001E-5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  <c r="X5" s="136">
        <v>0</v>
      </c>
      <c r="Y5" s="136">
        <v>0</v>
      </c>
      <c r="Z5" s="136">
        <v>0</v>
      </c>
      <c r="AA5" s="136">
        <v>0</v>
      </c>
      <c r="AB5" s="136">
        <v>0</v>
      </c>
      <c r="AC5" s="136">
        <v>0</v>
      </c>
      <c r="AD5" s="136">
        <v>0</v>
      </c>
      <c r="AE5" s="136">
        <v>0</v>
      </c>
      <c r="AF5" s="136">
        <v>0</v>
      </c>
      <c r="AG5" s="136">
        <v>0</v>
      </c>
      <c r="AH5" s="136">
        <v>0</v>
      </c>
      <c r="AI5" s="136">
        <v>0</v>
      </c>
      <c r="AJ5" s="136">
        <v>0</v>
      </c>
      <c r="AK5" s="136">
        <v>0</v>
      </c>
      <c r="AL5" s="136">
        <v>0</v>
      </c>
      <c r="AM5" s="136">
        <v>0</v>
      </c>
      <c r="AN5" s="136">
        <v>0</v>
      </c>
    </row>
    <row r="6" spans="1:40" customFormat="1" x14ac:dyDescent="0.15">
      <c r="A6" s="172" t="s">
        <v>196</v>
      </c>
      <c r="B6" s="136">
        <v>0</v>
      </c>
      <c r="C6" s="136">
        <v>0</v>
      </c>
      <c r="D6" s="136">
        <v>0</v>
      </c>
      <c r="E6" s="136">
        <v>0</v>
      </c>
      <c r="F6" s="136">
        <v>8.9999999999999993E-3</v>
      </c>
      <c r="G6" s="136">
        <v>0</v>
      </c>
      <c r="H6" s="136">
        <v>0</v>
      </c>
      <c r="I6" s="136">
        <v>0</v>
      </c>
      <c r="J6" s="136">
        <v>0</v>
      </c>
      <c r="K6" s="136">
        <v>0</v>
      </c>
      <c r="L6" s="136">
        <v>0</v>
      </c>
      <c r="M6" s="136">
        <v>1.1410000228200004E-2</v>
      </c>
      <c r="N6" s="136">
        <v>0</v>
      </c>
      <c r="O6" s="136">
        <v>0</v>
      </c>
      <c r="P6" s="136">
        <v>0</v>
      </c>
      <c r="Q6" s="136">
        <v>0</v>
      </c>
      <c r="R6" s="136">
        <v>0</v>
      </c>
      <c r="S6" s="136">
        <v>0</v>
      </c>
      <c r="T6" s="136">
        <v>0</v>
      </c>
      <c r="U6" s="136">
        <v>0</v>
      </c>
      <c r="V6" s="136">
        <v>0</v>
      </c>
      <c r="W6" s="136">
        <v>0</v>
      </c>
      <c r="X6" s="136">
        <v>0</v>
      </c>
      <c r="Y6" s="136">
        <v>0</v>
      </c>
      <c r="Z6" s="136">
        <v>0</v>
      </c>
      <c r="AA6" s="136">
        <v>0</v>
      </c>
      <c r="AB6" s="136">
        <v>0</v>
      </c>
      <c r="AC6" s="136">
        <v>0</v>
      </c>
      <c r="AD6" s="136">
        <v>0</v>
      </c>
      <c r="AE6" s="136">
        <v>0</v>
      </c>
      <c r="AF6" s="136">
        <v>0</v>
      </c>
      <c r="AG6" s="136">
        <v>0</v>
      </c>
      <c r="AH6" s="136">
        <v>0</v>
      </c>
      <c r="AI6" s="136">
        <v>0</v>
      </c>
      <c r="AJ6" s="136">
        <v>0</v>
      </c>
      <c r="AK6" s="136">
        <v>0</v>
      </c>
      <c r="AL6" s="136">
        <v>0</v>
      </c>
      <c r="AM6" s="136">
        <v>0</v>
      </c>
      <c r="AN6" s="136">
        <v>0</v>
      </c>
    </row>
    <row r="7" spans="1:40" customFormat="1" x14ac:dyDescent="0.15">
      <c r="A7" s="172" t="s">
        <v>197</v>
      </c>
      <c r="B7" s="136">
        <v>0</v>
      </c>
      <c r="C7" s="136">
        <v>0</v>
      </c>
      <c r="D7" s="136">
        <v>0</v>
      </c>
      <c r="E7" s="136">
        <v>0</v>
      </c>
      <c r="F7" s="136">
        <v>1.0000000000000001E-5</v>
      </c>
      <c r="G7" s="136">
        <v>0</v>
      </c>
      <c r="H7" s="136">
        <v>0</v>
      </c>
      <c r="I7" s="136">
        <v>0</v>
      </c>
      <c r="J7" s="136">
        <v>0</v>
      </c>
      <c r="K7" s="136">
        <v>0</v>
      </c>
      <c r="L7" s="136">
        <v>0</v>
      </c>
      <c r="M7" s="136">
        <v>0</v>
      </c>
      <c r="N7" s="136">
        <v>0</v>
      </c>
      <c r="O7" s="136">
        <v>5.0000497791478017E-5</v>
      </c>
      <c r="P7" s="136">
        <v>0</v>
      </c>
      <c r="Q7" s="136">
        <v>0</v>
      </c>
      <c r="R7" s="136">
        <v>0</v>
      </c>
      <c r="S7" s="136">
        <v>0</v>
      </c>
      <c r="T7" s="136">
        <v>0</v>
      </c>
      <c r="U7" s="136">
        <v>0</v>
      </c>
      <c r="V7" s="136">
        <v>0</v>
      </c>
      <c r="W7" s="136">
        <v>0</v>
      </c>
      <c r="X7" s="136">
        <v>0</v>
      </c>
      <c r="Y7" s="136">
        <v>0</v>
      </c>
      <c r="Z7" s="136">
        <v>0</v>
      </c>
      <c r="AA7" s="136">
        <v>0</v>
      </c>
      <c r="AB7" s="136">
        <v>0</v>
      </c>
      <c r="AC7" s="136">
        <v>0</v>
      </c>
      <c r="AD7" s="136">
        <v>0</v>
      </c>
      <c r="AE7" s="136">
        <v>0</v>
      </c>
      <c r="AF7" s="136">
        <v>0</v>
      </c>
      <c r="AG7" s="136">
        <v>0</v>
      </c>
      <c r="AH7" s="136">
        <v>0</v>
      </c>
      <c r="AI7" s="136">
        <v>0</v>
      </c>
      <c r="AJ7" s="136">
        <v>0</v>
      </c>
      <c r="AK7" s="136">
        <v>0</v>
      </c>
      <c r="AL7" s="136">
        <v>0</v>
      </c>
      <c r="AM7" s="136">
        <v>0</v>
      </c>
      <c r="AN7" s="136">
        <v>0</v>
      </c>
    </row>
    <row r="8" spans="1:40" customFormat="1" x14ac:dyDescent="0.15">
      <c r="A8" s="172" t="s">
        <v>198</v>
      </c>
      <c r="B8" s="136">
        <v>0</v>
      </c>
      <c r="C8" s="136">
        <v>0</v>
      </c>
      <c r="D8" s="136">
        <v>0</v>
      </c>
      <c r="E8" s="136">
        <v>0</v>
      </c>
      <c r="F8" s="136">
        <v>1.0000000000000001E-5</v>
      </c>
      <c r="G8" s="136">
        <v>0</v>
      </c>
      <c r="H8" s="136">
        <v>0</v>
      </c>
      <c r="I8" s="136">
        <v>0</v>
      </c>
      <c r="J8" s="136">
        <v>0</v>
      </c>
      <c r="K8" s="136">
        <v>0</v>
      </c>
      <c r="L8" s="136">
        <v>0</v>
      </c>
      <c r="M8" s="136">
        <v>0</v>
      </c>
      <c r="N8" s="136">
        <v>0</v>
      </c>
      <c r="O8" s="136">
        <v>0</v>
      </c>
      <c r="P8" s="136">
        <v>0</v>
      </c>
      <c r="Q8" s="136">
        <v>0</v>
      </c>
      <c r="R8" s="136">
        <v>0</v>
      </c>
      <c r="S8" s="136">
        <v>0</v>
      </c>
      <c r="T8" s="136">
        <v>0</v>
      </c>
      <c r="U8" s="136">
        <v>0</v>
      </c>
      <c r="V8" s="136">
        <v>0</v>
      </c>
      <c r="W8" s="136">
        <v>0</v>
      </c>
      <c r="X8" s="136">
        <v>0</v>
      </c>
      <c r="Y8" s="136">
        <v>0</v>
      </c>
      <c r="Z8" s="136">
        <v>0</v>
      </c>
      <c r="AA8" s="136">
        <v>0</v>
      </c>
      <c r="AB8" s="136">
        <v>0</v>
      </c>
      <c r="AC8" s="136">
        <v>0</v>
      </c>
      <c r="AD8" s="136">
        <v>0</v>
      </c>
      <c r="AE8" s="136">
        <v>0</v>
      </c>
      <c r="AF8" s="136">
        <v>0</v>
      </c>
      <c r="AG8" s="136">
        <v>0</v>
      </c>
      <c r="AH8" s="136">
        <v>0</v>
      </c>
      <c r="AI8" s="136">
        <v>0</v>
      </c>
      <c r="AJ8" s="136">
        <v>0</v>
      </c>
      <c r="AK8" s="136">
        <v>0</v>
      </c>
      <c r="AL8" s="136">
        <v>0</v>
      </c>
      <c r="AM8" s="136">
        <v>0</v>
      </c>
      <c r="AN8" s="136">
        <v>0</v>
      </c>
    </row>
    <row r="9" spans="1:40" customFormat="1" x14ac:dyDescent="0.15">
      <c r="A9" s="172" t="s">
        <v>199</v>
      </c>
      <c r="B9" s="136">
        <v>0</v>
      </c>
      <c r="C9" s="136">
        <v>0</v>
      </c>
      <c r="D9" s="136">
        <v>0</v>
      </c>
      <c r="E9" s="136">
        <v>0</v>
      </c>
      <c r="F9" s="136">
        <v>5.9899999999999997E-3</v>
      </c>
      <c r="G9" s="136">
        <v>0.1603884015333131</v>
      </c>
      <c r="H9" s="136">
        <v>0</v>
      </c>
      <c r="I9" s="136">
        <v>0</v>
      </c>
      <c r="J9" s="136">
        <v>3.029999875770005E-2</v>
      </c>
      <c r="K9" s="136">
        <v>0</v>
      </c>
      <c r="L9" s="136">
        <v>0</v>
      </c>
      <c r="M9" s="136">
        <v>0</v>
      </c>
      <c r="N9" s="136">
        <v>0</v>
      </c>
      <c r="O9" s="136">
        <v>7.4999996687250155E-4</v>
      </c>
      <c r="P9" s="136">
        <v>0</v>
      </c>
      <c r="Q9" s="136">
        <v>0</v>
      </c>
      <c r="R9" s="136">
        <v>0</v>
      </c>
      <c r="S9" s="136">
        <v>0</v>
      </c>
      <c r="T9" s="136">
        <v>0</v>
      </c>
      <c r="U9" s="136">
        <v>0</v>
      </c>
      <c r="V9" s="136">
        <v>0</v>
      </c>
      <c r="W9" s="136">
        <v>0</v>
      </c>
      <c r="X9" s="136">
        <v>0</v>
      </c>
      <c r="Y9" s="136">
        <v>0</v>
      </c>
      <c r="Z9" s="136">
        <v>0</v>
      </c>
      <c r="AA9" s="136">
        <v>0</v>
      </c>
      <c r="AB9" s="136">
        <v>0</v>
      </c>
      <c r="AC9" s="136">
        <v>0</v>
      </c>
      <c r="AD9" s="136">
        <v>0</v>
      </c>
      <c r="AE9" s="136">
        <v>0</v>
      </c>
      <c r="AF9" s="136">
        <v>0</v>
      </c>
      <c r="AG9" s="136">
        <v>0</v>
      </c>
      <c r="AH9" s="136">
        <v>0</v>
      </c>
      <c r="AI9" s="136">
        <v>0</v>
      </c>
      <c r="AJ9" s="136">
        <v>0</v>
      </c>
      <c r="AK9" s="136">
        <v>0</v>
      </c>
      <c r="AL9" s="136">
        <v>0</v>
      </c>
      <c r="AM9" s="136">
        <v>0</v>
      </c>
      <c r="AN9" s="136">
        <v>0</v>
      </c>
    </row>
    <row r="10" spans="1:40" customFormat="1" x14ac:dyDescent="0.15">
      <c r="A10" s="172" t="s">
        <v>200</v>
      </c>
      <c r="B10" s="136">
        <v>0</v>
      </c>
      <c r="C10" s="136">
        <v>0</v>
      </c>
      <c r="D10" s="136">
        <v>0</v>
      </c>
      <c r="E10" s="136">
        <v>0</v>
      </c>
      <c r="F10" s="136">
        <v>1E-3</v>
      </c>
      <c r="G10" s="136">
        <v>0</v>
      </c>
      <c r="H10" s="136">
        <v>0</v>
      </c>
      <c r="I10" s="136">
        <v>0</v>
      </c>
      <c r="J10" s="136">
        <v>0</v>
      </c>
      <c r="K10" s="136">
        <v>0</v>
      </c>
      <c r="L10" s="136">
        <v>0</v>
      </c>
      <c r="M10" s="136">
        <v>0</v>
      </c>
      <c r="N10" s="136">
        <v>0</v>
      </c>
      <c r="O10" s="136">
        <v>2.4999998895750052E-4</v>
      </c>
      <c r="P10" s="136">
        <v>0</v>
      </c>
      <c r="Q10" s="136">
        <v>0</v>
      </c>
      <c r="R10" s="136">
        <v>0</v>
      </c>
      <c r="S10" s="136">
        <v>0</v>
      </c>
      <c r="T10" s="136">
        <v>0</v>
      </c>
      <c r="U10" s="136">
        <v>0</v>
      </c>
      <c r="V10" s="136">
        <v>0</v>
      </c>
      <c r="W10" s="136">
        <v>0</v>
      </c>
      <c r="X10" s="136">
        <v>0</v>
      </c>
      <c r="Y10" s="136">
        <v>0</v>
      </c>
      <c r="Z10" s="136">
        <v>0</v>
      </c>
      <c r="AA10" s="136">
        <v>0</v>
      </c>
      <c r="AB10" s="136">
        <v>0</v>
      </c>
      <c r="AC10" s="136">
        <v>0</v>
      </c>
      <c r="AD10" s="136">
        <v>0</v>
      </c>
      <c r="AE10" s="136">
        <v>0</v>
      </c>
      <c r="AF10" s="136">
        <v>0</v>
      </c>
      <c r="AG10" s="136">
        <v>0</v>
      </c>
      <c r="AH10" s="136">
        <v>0</v>
      </c>
      <c r="AI10" s="136">
        <v>0</v>
      </c>
      <c r="AJ10" s="136">
        <v>0</v>
      </c>
      <c r="AK10" s="136">
        <v>0</v>
      </c>
      <c r="AL10" s="136">
        <v>0</v>
      </c>
      <c r="AM10" s="136">
        <v>0</v>
      </c>
      <c r="AN10" s="136">
        <v>0</v>
      </c>
    </row>
    <row r="11" spans="1:40" customFormat="1" x14ac:dyDescent="0.15">
      <c r="A11" s="172" t="s">
        <v>201</v>
      </c>
      <c r="B11" s="136">
        <v>0</v>
      </c>
      <c r="C11" s="136">
        <v>0</v>
      </c>
      <c r="D11" s="136">
        <v>0</v>
      </c>
      <c r="E11" s="136">
        <v>0</v>
      </c>
      <c r="F11" s="136">
        <v>2.436E-2</v>
      </c>
      <c r="G11" s="136">
        <v>0</v>
      </c>
      <c r="H11" s="136">
        <v>0</v>
      </c>
      <c r="I11" s="136">
        <v>0</v>
      </c>
      <c r="J11" s="136">
        <v>0</v>
      </c>
      <c r="K11" s="136">
        <v>0</v>
      </c>
      <c r="L11" s="136">
        <v>0</v>
      </c>
      <c r="M11" s="136">
        <v>0</v>
      </c>
      <c r="N11" s="136">
        <v>0</v>
      </c>
      <c r="O11" s="136">
        <v>1.72001721402684E-3</v>
      </c>
      <c r="P11" s="136">
        <v>0</v>
      </c>
      <c r="Q11" s="136">
        <v>0</v>
      </c>
      <c r="R11" s="136">
        <v>0</v>
      </c>
      <c r="S11" s="136">
        <v>0</v>
      </c>
      <c r="T11" s="136">
        <v>0</v>
      </c>
      <c r="U11" s="136">
        <v>0</v>
      </c>
      <c r="V11" s="136">
        <v>0</v>
      </c>
      <c r="W11" s="136">
        <v>0</v>
      </c>
      <c r="X11" s="136">
        <v>0</v>
      </c>
      <c r="Y11" s="136">
        <v>0</v>
      </c>
      <c r="Z11" s="136">
        <v>0</v>
      </c>
      <c r="AA11" s="136">
        <v>0</v>
      </c>
      <c r="AB11" s="136">
        <v>0</v>
      </c>
      <c r="AC11" s="136">
        <v>0</v>
      </c>
      <c r="AD11" s="136">
        <v>0</v>
      </c>
      <c r="AE11" s="136">
        <v>0</v>
      </c>
      <c r="AF11" s="136">
        <v>0</v>
      </c>
      <c r="AG11" s="136">
        <v>0</v>
      </c>
      <c r="AH11" s="136">
        <v>0</v>
      </c>
      <c r="AI11" s="136">
        <v>0</v>
      </c>
      <c r="AJ11" s="136">
        <v>0</v>
      </c>
      <c r="AK11" s="136">
        <v>0</v>
      </c>
      <c r="AL11" s="136">
        <v>0</v>
      </c>
      <c r="AM11" s="136">
        <v>0</v>
      </c>
      <c r="AN11" s="136">
        <v>0</v>
      </c>
    </row>
    <row r="12" spans="1:40" customFormat="1" x14ac:dyDescent="0.15">
      <c r="A12" s="172" t="s">
        <v>202</v>
      </c>
      <c r="B12" s="136">
        <v>0</v>
      </c>
      <c r="C12" s="136">
        <v>0</v>
      </c>
      <c r="D12" s="136">
        <v>0</v>
      </c>
      <c r="E12" s="136">
        <v>0</v>
      </c>
      <c r="F12" s="136">
        <v>1.0000000000000001E-5</v>
      </c>
      <c r="G12" s="136">
        <v>0</v>
      </c>
      <c r="H12" s="136">
        <v>0</v>
      </c>
      <c r="I12" s="136">
        <v>0</v>
      </c>
      <c r="J12" s="136">
        <v>0</v>
      </c>
      <c r="K12" s="136">
        <v>0</v>
      </c>
      <c r="L12" s="136">
        <v>0</v>
      </c>
      <c r="M12" s="136">
        <v>0</v>
      </c>
      <c r="N12" s="136">
        <v>0</v>
      </c>
      <c r="O12" s="136">
        <v>0</v>
      </c>
      <c r="P12" s="136">
        <v>0</v>
      </c>
      <c r="Q12" s="136">
        <v>0</v>
      </c>
      <c r="R12" s="136">
        <v>0</v>
      </c>
      <c r="S12" s="136">
        <v>0</v>
      </c>
      <c r="T12" s="136">
        <v>0</v>
      </c>
      <c r="U12" s="136">
        <v>0</v>
      </c>
      <c r="V12" s="136">
        <v>0</v>
      </c>
      <c r="W12" s="136">
        <v>0</v>
      </c>
      <c r="X12" s="136">
        <v>0</v>
      </c>
      <c r="Y12" s="136">
        <v>0</v>
      </c>
      <c r="Z12" s="136">
        <v>0</v>
      </c>
      <c r="AA12" s="136">
        <v>0</v>
      </c>
      <c r="AB12" s="136">
        <v>0</v>
      </c>
      <c r="AC12" s="136">
        <v>0</v>
      </c>
      <c r="AD12" s="136">
        <v>0</v>
      </c>
      <c r="AE12" s="136">
        <v>0</v>
      </c>
      <c r="AF12" s="136">
        <v>0</v>
      </c>
      <c r="AG12" s="136">
        <v>0</v>
      </c>
      <c r="AH12" s="136">
        <v>0</v>
      </c>
      <c r="AI12" s="136">
        <v>0</v>
      </c>
      <c r="AJ12" s="136">
        <v>0</v>
      </c>
      <c r="AK12" s="136">
        <v>0</v>
      </c>
      <c r="AL12" s="136">
        <v>0</v>
      </c>
      <c r="AM12" s="136">
        <v>0</v>
      </c>
      <c r="AN12" s="136">
        <v>0</v>
      </c>
    </row>
    <row r="13" spans="1:40" customFormat="1" x14ac:dyDescent="0.15">
      <c r="A13" s="172" t="s">
        <v>203</v>
      </c>
      <c r="B13" s="136">
        <v>0</v>
      </c>
      <c r="C13" s="136">
        <v>0</v>
      </c>
      <c r="D13" s="136">
        <v>0</v>
      </c>
      <c r="E13" s="136">
        <v>0</v>
      </c>
      <c r="F13" s="136">
        <v>1.0000000000000001E-5</v>
      </c>
      <c r="G13" s="136">
        <v>0</v>
      </c>
      <c r="H13" s="136">
        <v>0</v>
      </c>
      <c r="I13" s="136">
        <v>0</v>
      </c>
      <c r="J13" s="136">
        <v>0</v>
      </c>
      <c r="K13" s="136">
        <v>0</v>
      </c>
      <c r="L13" s="136">
        <v>0</v>
      </c>
      <c r="M13" s="136">
        <v>0</v>
      </c>
      <c r="N13" s="136">
        <v>0</v>
      </c>
      <c r="O13" s="136">
        <v>0</v>
      </c>
      <c r="P13" s="136">
        <v>0</v>
      </c>
      <c r="Q13" s="136">
        <v>0</v>
      </c>
      <c r="R13" s="136">
        <v>0</v>
      </c>
      <c r="S13" s="136">
        <v>0</v>
      </c>
      <c r="T13" s="136">
        <v>0</v>
      </c>
      <c r="U13" s="136">
        <v>0</v>
      </c>
      <c r="V13" s="136">
        <v>0</v>
      </c>
      <c r="W13" s="136">
        <v>0</v>
      </c>
      <c r="X13" s="136">
        <v>0</v>
      </c>
      <c r="Y13" s="136">
        <v>0</v>
      </c>
      <c r="Z13" s="136">
        <v>0</v>
      </c>
      <c r="AA13" s="136">
        <v>0</v>
      </c>
      <c r="AB13" s="136">
        <v>0</v>
      </c>
      <c r="AC13" s="136">
        <v>0</v>
      </c>
      <c r="AD13" s="136">
        <v>0</v>
      </c>
      <c r="AE13" s="136">
        <v>0</v>
      </c>
      <c r="AF13" s="136">
        <v>0</v>
      </c>
      <c r="AG13" s="136">
        <v>0</v>
      </c>
      <c r="AH13" s="136">
        <v>0</v>
      </c>
      <c r="AI13" s="136">
        <v>0</v>
      </c>
      <c r="AJ13" s="136">
        <v>0</v>
      </c>
      <c r="AK13" s="136">
        <v>0</v>
      </c>
      <c r="AL13" s="136">
        <v>0</v>
      </c>
      <c r="AM13" s="136">
        <v>0</v>
      </c>
      <c r="AN13" s="136">
        <v>0</v>
      </c>
    </row>
    <row r="14" spans="1:40" customFormat="1" x14ac:dyDescent="0.15">
      <c r="A14" s="172" t="s">
        <v>204</v>
      </c>
      <c r="B14" s="136">
        <v>0</v>
      </c>
      <c r="C14" s="136">
        <v>0</v>
      </c>
      <c r="D14" s="136">
        <v>0</v>
      </c>
      <c r="E14" s="136">
        <v>0</v>
      </c>
      <c r="F14" s="136">
        <v>1E-3</v>
      </c>
      <c r="G14" s="136">
        <v>0</v>
      </c>
      <c r="H14" s="136">
        <v>0</v>
      </c>
      <c r="I14" s="136">
        <v>0</v>
      </c>
      <c r="J14" s="136">
        <v>0</v>
      </c>
      <c r="K14" s="136">
        <v>0</v>
      </c>
      <c r="L14" s="136">
        <v>0</v>
      </c>
      <c r="M14" s="136">
        <v>0</v>
      </c>
      <c r="N14" s="136">
        <v>0</v>
      </c>
      <c r="O14" s="136">
        <v>0</v>
      </c>
      <c r="P14" s="136">
        <v>0</v>
      </c>
      <c r="Q14" s="136">
        <v>0</v>
      </c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</row>
    <row r="15" spans="1:40" customFormat="1" x14ac:dyDescent="0.15">
      <c r="A15" s="172" t="s">
        <v>205</v>
      </c>
      <c r="B15" s="136">
        <v>0</v>
      </c>
      <c r="C15" s="136">
        <v>0</v>
      </c>
      <c r="D15" s="136">
        <v>0</v>
      </c>
      <c r="E15" s="136">
        <v>0</v>
      </c>
      <c r="F15" s="136">
        <v>9.9159999999999998E-2</v>
      </c>
      <c r="G15" s="136">
        <v>0</v>
      </c>
      <c r="H15" s="136">
        <v>0</v>
      </c>
      <c r="I15" s="136">
        <v>0</v>
      </c>
      <c r="J15" s="136">
        <v>0</v>
      </c>
      <c r="K15" s="136">
        <v>0</v>
      </c>
      <c r="L15" s="136">
        <v>0</v>
      </c>
      <c r="M15" s="136">
        <v>0.32150000643000015</v>
      </c>
      <c r="N15" s="136">
        <v>0</v>
      </c>
      <c r="O15" s="136">
        <v>1.0000099558295603E-2</v>
      </c>
      <c r="P15" s="136">
        <v>0</v>
      </c>
      <c r="Q15" s="136">
        <v>0</v>
      </c>
      <c r="R15" s="136">
        <v>0</v>
      </c>
      <c r="S15" s="136">
        <v>0</v>
      </c>
      <c r="T15" s="136">
        <v>0</v>
      </c>
      <c r="U15" s="136">
        <v>0</v>
      </c>
      <c r="V15" s="136">
        <v>0</v>
      </c>
      <c r="W15" s="136">
        <v>0</v>
      </c>
      <c r="X15" s="136">
        <v>0</v>
      </c>
      <c r="Y15" s="136">
        <v>0</v>
      </c>
      <c r="Z15" s="136">
        <v>0</v>
      </c>
      <c r="AA15" s="136">
        <v>0</v>
      </c>
      <c r="AB15" s="136">
        <v>0</v>
      </c>
      <c r="AC15" s="136">
        <v>0</v>
      </c>
      <c r="AD15" s="136">
        <v>0</v>
      </c>
      <c r="AE15" s="136">
        <v>0</v>
      </c>
      <c r="AF15" s="136">
        <v>0</v>
      </c>
      <c r="AG15" s="136">
        <v>0</v>
      </c>
      <c r="AH15" s="136">
        <v>0</v>
      </c>
      <c r="AI15" s="136">
        <v>0</v>
      </c>
      <c r="AJ15" s="136">
        <v>0</v>
      </c>
      <c r="AK15" s="136">
        <v>0</v>
      </c>
      <c r="AL15" s="136">
        <v>0</v>
      </c>
      <c r="AM15" s="136">
        <v>0</v>
      </c>
      <c r="AN15" s="136">
        <v>0</v>
      </c>
    </row>
    <row r="16" spans="1:40" customFormat="1" x14ac:dyDescent="0.15">
      <c r="A16" s="172" t="s">
        <v>206</v>
      </c>
      <c r="B16" s="136">
        <v>0</v>
      </c>
      <c r="C16" s="136">
        <v>0</v>
      </c>
      <c r="D16" s="136">
        <v>0</v>
      </c>
      <c r="E16" s="136">
        <v>0</v>
      </c>
      <c r="F16" s="136">
        <v>6.6540000000000002E-2</v>
      </c>
      <c r="G16" s="136">
        <v>0.1603884015333131</v>
      </c>
      <c r="H16" s="136">
        <v>7.7850004379229676E-2</v>
      </c>
      <c r="I16" s="136">
        <v>0</v>
      </c>
      <c r="J16" s="136">
        <v>0.10100999585859016</v>
      </c>
      <c r="K16" s="136">
        <v>0.14999850284847155</v>
      </c>
      <c r="L16" s="136">
        <v>0.21822</v>
      </c>
      <c r="M16" s="136">
        <v>0.34544000690880017</v>
      </c>
      <c r="N16" s="136">
        <v>0</v>
      </c>
      <c r="O16" s="136">
        <v>0.15689157707009907</v>
      </c>
      <c r="P16" s="136">
        <v>0</v>
      </c>
      <c r="Q16" s="136">
        <v>0</v>
      </c>
      <c r="R16" s="136">
        <v>0</v>
      </c>
      <c r="S16" s="136">
        <v>0</v>
      </c>
      <c r="T16" s="136">
        <v>0</v>
      </c>
      <c r="U16" s="136">
        <v>0</v>
      </c>
      <c r="V16" s="136">
        <v>0</v>
      </c>
      <c r="W16" s="136">
        <v>0</v>
      </c>
      <c r="X16" s="136">
        <v>0</v>
      </c>
      <c r="Y16" s="136">
        <v>0</v>
      </c>
      <c r="Z16" s="136">
        <v>0</v>
      </c>
      <c r="AA16" s="136">
        <v>0</v>
      </c>
      <c r="AB16" s="136">
        <v>0</v>
      </c>
      <c r="AC16" s="136">
        <v>0</v>
      </c>
      <c r="AD16" s="136">
        <v>0</v>
      </c>
      <c r="AE16" s="136">
        <v>0</v>
      </c>
      <c r="AF16" s="136">
        <v>0</v>
      </c>
      <c r="AG16" s="136">
        <v>0</v>
      </c>
      <c r="AH16" s="136">
        <v>0</v>
      </c>
      <c r="AI16" s="136">
        <v>0</v>
      </c>
      <c r="AJ16" s="136">
        <v>0</v>
      </c>
      <c r="AK16" s="136">
        <v>0</v>
      </c>
      <c r="AL16" s="136">
        <v>0</v>
      </c>
      <c r="AM16" s="136">
        <v>0</v>
      </c>
      <c r="AN16" s="136">
        <v>0</v>
      </c>
    </row>
    <row r="17" spans="1:40" customFormat="1" x14ac:dyDescent="0.15">
      <c r="A17" s="172" t="s">
        <v>207</v>
      </c>
      <c r="B17" s="136">
        <v>0.14258000000000001</v>
      </c>
      <c r="C17" s="136">
        <v>3.1970002827263005E-2</v>
      </c>
      <c r="D17" s="136">
        <v>3.9099218348547038E-3</v>
      </c>
      <c r="E17" s="136">
        <v>0.19417999999999994</v>
      </c>
      <c r="F17" s="136">
        <v>0.13678999999999999</v>
      </c>
      <c r="G17" s="136">
        <v>0</v>
      </c>
      <c r="H17" s="136">
        <v>0.61681999246559649</v>
      </c>
      <c r="I17" s="136">
        <v>0</v>
      </c>
      <c r="J17" s="136">
        <v>0.14141000220218991</v>
      </c>
      <c r="K17" s="136">
        <v>4.9999500949490523E-2</v>
      </c>
      <c r="L17" s="136">
        <v>0</v>
      </c>
      <c r="M17" s="136">
        <v>5.6159981123199622E-2</v>
      </c>
      <c r="N17" s="136">
        <v>7.6109235890101254E-2</v>
      </c>
      <c r="O17" s="136">
        <v>0.44520444733531961</v>
      </c>
      <c r="P17" s="136">
        <v>0.24511000000000002</v>
      </c>
      <c r="Q17" s="136">
        <v>0</v>
      </c>
      <c r="R17" s="136">
        <v>0</v>
      </c>
      <c r="S17" s="136">
        <v>0</v>
      </c>
      <c r="T17" s="136">
        <v>0</v>
      </c>
      <c r="U17" s="136">
        <v>0</v>
      </c>
      <c r="V17" s="136">
        <v>0</v>
      </c>
      <c r="W17" s="136">
        <v>0</v>
      </c>
      <c r="X17" s="136">
        <v>0</v>
      </c>
      <c r="Y17" s="136">
        <v>0</v>
      </c>
      <c r="Z17" s="136">
        <v>0</v>
      </c>
      <c r="AA17" s="136">
        <v>7.1370000000000003E-2</v>
      </c>
      <c r="AB17" s="136">
        <v>0.16661000000000001</v>
      </c>
      <c r="AC17" s="136">
        <v>0</v>
      </c>
      <c r="AD17" s="136">
        <v>0</v>
      </c>
      <c r="AE17" s="136">
        <v>0</v>
      </c>
      <c r="AF17" s="136">
        <v>0</v>
      </c>
      <c r="AG17" s="136">
        <v>0</v>
      </c>
      <c r="AH17" s="136">
        <v>0</v>
      </c>
      <c r="AI17" s="136">
        <v>0</v>
      </c>
      <c r="AJ17" s="136">
        <v>0</v>
      </c>
      <c r="AK17" s="136">
        <v>0</v>
      </c>
      <c r="AL17" s="136">
        <v>0</v>
      </c>
      <c r="AM17" s="136">
        <v>0</v>
      </c>
      <c r="AN17" s="136">
        <v>0</v>
      </c>
    </row>
    <row r="18" spans="1:40" customFormat="1" x14ac:dyDescent="0.15">
      <c r="A18" s="172" t="s">
        <v>208</v>
      </c>
      <c r="B18" s="136">
        <v>0</v>
      </c>
      <c r="C18" s="136">
        <v>0</v>
      </c>
      <c r="D18" s="136">
        <v>0</v>
      </c>
      <c r="E18" s="136">
        <v>0</v>
      </c>
      <c r="F18" s="136">
        <v>0</v>
      </c>
      <c r="G18" s="136">
        <v>0</v>
      </c>
      <c r="H18" s="136">
        <v>0</v>
      </c>
      <c r="I18" s="136">
        <v>0</v>
      </c>
      <c r="J18" s="136">
        <v>5.0509997929090084E-2</v>
      </c>
      <c r="K18" s="136">
        <v>0</v>
      </c>
      <c r="L18" s="136">
        <v>0</v>
      </c>
      <c r="M18" s="136">
        <v>0</v>
      </c>
      <c r="N18" s="136">
        <v>0</v>
      </c>
      <c r="O18" s="136">
        <v>0</v>
      </c>
      <c r="P18" s="136">
        <v>0</v>
      </c>
      <c r="Q18" s="136">
        <v>0</v>
      </c>
      <c r="R18" s="136">
        <v>0</v>
      </c>
      <c r="S18" s="136">
        <v>0</v>
      </c>
      <c r="T18" s="136">
        <v>0</v>
      </c>
      <c r="U18" s="136">
        <v>0</v>
      </c>
      <c r="V18" s="136">
        <v>0</v>
      </c>
      <c r="W18" s="136">
        <v>0</v>
      </c>
      <c r="X18" s="136">
        <v>0</v>
      </c>
      <c r="Y18" s="136">
        <v>0</v>
      </c>
      <c r="Z18" s="136">
        <v>0</v>
      </c>
      <c r="AA18" s="136">
        <v>0</v>
      </c>
      <c r="AB18" s="136">
        <v>0</v>
      </c>
      <c r="AC18" s="136">
        <v>0</v>
      </c>
      <c r="AD18" s="136">
        <v>0</v>
      </c>
      <c r="AE18" s="136">
        <v>0</v>
      </c>
      <c r="AF18" s="136">
        <v>0</v>
      </c>
      <c r="AG18" s="136">
        <v>0</v>
      </c>
      <c r="AH18" s="136">
        <v>0</v>
      </c>
      <c r="AI18" s="136">
        <v>0</v>
      </c>
      <c r="AJ18" s="136">
        <v>0</v>
      </c>
      <c r="AK18" s="136">
        <v>0</v>
      </c>
      <c r="AL18" s="136">
        <v>0</v>
      </c>
      <c r="AM18" s="136">
        <v>0</v>
      </c>
      <c r="AN18" s="136">
        <v>0</v>
      </c>
    </row>
    <row r="19" spans="1:40" customFormat="1" x14ac:dyDescent="0.15">
      <c r="A19" s="172" t="s">
        <v>209</v>
      </c>
      <c r="B19" s="136">
        <v>4.0140000000000002E-2</v>
      </c>
      <c r="C19" s="136">
        <v>3.9620001287712425E-2</v>
      </c>
      <c r="D19" s="136">
        <v>6.6658671617139384E-2</v>
      </c>
      <c r="E19" s="136">
        <v>0</v>
      </c>
      <c r="F19" s="136">
        <v>0</v>
      </c>
      <c r="G19" s="136">
        <v>0.32076678006653042</v>
      </c>
      <c r="H19" s="136">
        <v>8.3329999383574049E-2</v>
      </c>
      <c r="I19" s="136">
        <v>0.60704000000000002</v>
      </c>
      <c r="J19" s="136">
        <v>0.20201999171718032</v>
      </c>
      <c r="K19" s="136">
        <v>0.2994270056861188</v>
      </c>
      <c r="L19" s="136">
        <v>0</v>
      </c>
      <c r="M19" s="136">
        <v>0</v>
      </c>
      <c r="N19" s="136">
        <v>7.6109235890101254E-2</v>
      </c>
      <c r="O19" s="136">
        <v>0</v>
      </c>
      <c r="P19" s="136">
        <v>1.8360000000000005E-2</v>
      </c>
      <c r="Q19" s="136">
        <v>0</v>
      </c>
      <c r="R19" s="136">
        <v>0.54334999999999989</v>
      </c>
      <c r="S19" s="136">
        <v>1E-3</v>
      </c>
      <c r="T19" s="136">
        <v>0</v>
      </c>
      <c r="U19" s="136">
        <v>5.0000500324003251E-2</v>
      </c>
      <c r="V19" s="136">
        <v>0</v>
      </c>
      <c r="W19" s="136">
        <v>5.1519476106016079E-2</v>
      </c>
      <c r="X19" s="136">
        <v>6.9822098736220001E-2</v>
      </c>
      <c r="Y19" s="136">
        <v>0</v>
      </c>
      <c r="Z19" s="136">
        <v>0</v>
      </c>
      <c r="AA19" s="136">
        <v>0.15</v>
      </c>
      <c r="AB19" s="136">
        <v>0.2</v>
      </c>
      <c r="AC19" s="136">
        <v>0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0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</row>
    <row r="20" spans="1:40" customFormat="1" x14ac:dyDescent="0.15">
      <c r="A20" s="172" t="s">
        <v>210</v>
      </c>
      <c r="B20" s="136">
        <v>0</v>
      </c>
      <c r="C20" s="136">
        <v>0</v>
      </c>
      <c r="D20" s="136">
        <v>0</v>
      </c>
      <c r="E20" s="136">
        <v>0</v>
      </c>
      <c r="F20" s="136">
        <v>0</v>
      </c>
      <c r="G20" s="136">
        <v>0</v>
      </c>
      <c r="H20" s="136">
        <v>0</v>
      </c>
      <c r="I20" s="136">
        <v>0</v>
      </c>
      <c r="J20" s="136">
        <v>0</v>
      </c>
      <c r="K20" s="136">
        <v>0.11423885316939582</v>
      </c>
      <c r="L20" s="136">
        <v>0</v>
      </c>
      <c r="M20" s="136">
        <v>0</v>
      </c>
      <c r="N20" s="136">
        <v>0</v>
      </c>
      <c r="O20" s="136">
        <v>0</v>
      </c>
      <c r="P20" s="136">
        <v>0</v>
      </c>
      <c r="Q20" s="136">
        <v>0</v>
      </c>
      <c r="R20" s="136">
        <v>2.8069999999999994E-2</v>
      </c>
      <c r="S20" s="136">
        <v>0</v>
      </c>
      <c r="T20" s="136">
        <v>0.01</v>
      </c>
      <c r="U20" s="136">
        <v>9.2070920596619574E-2</v>
      </c>
      <c r="V20" s="136">
        <v>0.16666833006004053</v>
      </c>
      <c r="W20" s="136">
        <v>0</v>
      </c>
      <c r="X20" s="136">
        <v>0</v>
      </c>
      <c r="Y20" s="136">
        <v>0</v>
      </c>
      <c r="Z20" s="136">
        <v>0</v>
      </c>
      <c r="AA20" s="136">
        <v>0</v>
      </c>
      <c r="AB20" s="136">
        <v>0</v>
      </c>
      <c r="AC20" s="136">
        <v>0</v>
      </c>
      <c r="AD20" s="136">
        <v>0</v>
      </c>
      <c r="AE20" s="136">
        <v>0</v>
      </c>
      <c r="AF20" s="136">
        <v>0</v>
      </c>
      <c r="AG20" s="136">
        <v>0</v>
      </c>
      <c r="AH20" s="136">
        <v>0</v>
      </c>
      <c r="AI20" s="136">
        <v>0</v>
      </c>
      <c r="AJ20" s="136">
        <v>0</v>
      </c>
      <c r="AK20" s="136">
        <v>0</v>
      </c>
      <c r="AL20" s="136">
        <v>0</v>
      </c>
      <c r="AM20" s="136">
        <v>0</v>
      </c>
      <c r="AN20" s="136">
        <v>0</v>
      </c>
    </row>
    <row r="21" spans="1:40" customFormat="1" x14ac:dyDescent="0.15">
      <c r="A21" s="172" t="s">
        <v>211</v>
      </c>
      <c r="B21" s="136">
        <v>0</v>
      </c>
      <c r="C21" s="136">
        <v>0</v>
      </c>
      <c r="D21" s="136">
        <v>0</v>
      </c>
      <c r="E21" s="136">
        <v>0</v>
      </c>
      <c r="F21" s="136">
        <v>0</v>
      </c>
      <c r="G21" s="136">
        <v>0</v>
      </c>
      <c r="H21" s="136">
        <v>0</v>
      </c>
      <c r="I21" s="136">
        <v>0</v>
      </c>
      <c r="J21" s="136">
        <v>0</v>
      </c>
      <c r="K21" s="136">
        <v>2.1629784710749608E-2</v>
      </c>
      <c r="L21" s="136">
        <v>0</v>
      </c>
      <c r="M21" s="136">
        <v>0</v>
      </c>
      <c r="N21" s="136">
        <v>0</v>
      </c>
      <c r="O21" s="136">
        <v>0</v>
      </c>
      <c r="P21" s="136">
        <v>0</v>
      </c>
      <c r="Q21" s="136">
        <v>0</v>
      </c>
      <c r="R21" s="136">
        <v>2.8069999999999994E-2</v>
      </c>
      <c r="S21" s="136">
        <v>0</v>
      </c>
      <c r="T21" s="136">
        <v>0</v>
      </c>
      <c r="U21" s="136">
        <v>0</v>
      </c>
      <c r="V21" s="136">
        <v>0.16666833006004053</v>
      </c>
      <c r="W21" s="136">
        <v>0</v>
      </c>
      <c r="X21" s="136">
        <v>0</v>
      </c>
      <c r="Y21" s="136">
        <v>0</v>
      </c>
      <c r="Z21" s="136">
        <v>0</v>
      </c>
      <c r="AA21" s="136">
        <v>0</v>
      </c>
      <c r="AB21" s="136">
        <v>0</v>
      </c>
      <c r="AC21" s="136">
        <v>0</v>
      </c>
      <c r="AD21" s="136">
        <v>0</v>
      </c>
      <c r="AE21" s="136">
        <v>0</v>
      </c>
      <c r="AF21" s="136">
        <v>0</v>
      </c>
      <c r="AG21" s="136">
        <v>0</v>
      </c>
      <c r="AH21" s="136">
        <v>0</v>
      </c>
      <c r="AI21" s="136">
        <v>0</v>
      </c>
      <c r="AJ21" s="136">
        <v>0</v>
      </c>
      <c r="AK21" s="136">
        <v>0</v>
      </c>
      <c r="AL21" s="136">
        <v>0</v>
      </c>
      <c r="AM21" s="136">
        <v>0</v>
      </c>
      <c r="AN21" s="136">
        <v>0</v>
      </c>
    </row>
    <row r="22" spans="1:40" customFormat="1" x14ac:dyDescent="0.15">
      <c r="A22" s="172" t="s">
        <v>212</v>
      </c>
      <c r="B22" s="136">
        <v>0</v>
      </c>
      <c r="C22" s="136">
        <v>0</v>
      </c>
      <c r="D22" s="136">
        <v>0</v>
      </c>
      <c r="E22" s="136">
        <v>0</v>
      </c>
      <c r="F22" s="136">
        <v>7.4789999999999995E-2</v>
      </c>
      <c r="G22" s="136">
        <v>0</v>
      </c>
      <c r="H22" s="136">
        <v>0</v>
      </c>
      <c r="I22" s="136">
        <v>0</v>
      </c>
      <c r="J22" s="136">
        <v>0</v>
      </c>
      <c r="K22" s="136">
        <v>0</v>
      </c>
      <c r="L22" s="136">
        <v>0</v>
      </c>
      <c r="M22" s="136">
        <v>0</v>
      </c>
      <c r="N22" s="136">
        <v>0</v>
      </c>
      <c r="O22" s="136">
        <v>0</v>
      </c>
      <c r="P22" s="136">
        <v>0</v>
      </c>
      <c r="Q22" s="136">
        <v>0</v>
      </c>
      <c r="R22" s="136">
        <v>2.8069999999999994E-2</v>
      </c>
      <c r="S22" s="136">
        <v>0</v>
      </c>
      <c r="T22" s="136">
        <v>0</v>
      </c>
      <c r="U22" s="136">
        <v>0</v>
      </c>
      <c r="V22" s="136">
        <v>0</v>
      </c>
      <c r="W22" s="136">
        <v>0</v>
      </c>
      <c r="X22" s="136">
        <v>0</v>
      </c>
      <c r="Y22" s="136">
        <v>0</v>
      </c>
      <c r="Z22" s="136">
        <v>0</v>
      </c>
      <c r="AA22" s="136">
        <v>0</v>
      </c>
      <c r="AB22" s="136">
        <v>0</v>
      </c>
      <c r="AC22" s="136">
        <v>0</v>
      </c>
      <c r="AD22" s="136">
        <v>0</v>
      </c>
      <c r="AE22" s="136">
        <v>0</v>
      </c>
      <c r="AF22" s="136">
        <v>0</v>
      </c>
      <c r="AG22" s="136">
        <v>0</v>
      </c>
      <c r="AH22" s="136">
        <v>0</v>
      </c>
      <c r="AI22" s="136">
        <v>0</v>
      </c>
      <c r="AJ22" s="136">
        <v>0</v>
      </c>
      <c r="AK22" s="136">
        <v>0</v>
      </c>
      <c r="AL22" s="136">
        <v>0</v>
      </c>
      <c r="AM22" s="136">
        <v>0</v>
      </c>
      <c r="AN22" s="136">
        <v>0</v>
      </c>
    </row>
    <row r="23" spans="1:40" customFormat="1" x14ac:dyDescent="0.15">
      <c r="A23" s="172" t="s">
        <v>213</v>
      </c>
      <c r="B23" s="136">
        <v>0</v>
      </c>
      <c r="C23" s="136">
        <v>0</v>
      </c>
      <c r="D23" s="136">
        <v>2.6479470642391961E-2</v>
      </c>
      <c r="E23" s="136">
        <v>0</v>
      </c>
      <c r="F23" s="136">
        <v>0</v>
      </c>
      <c r="G23" s="136">
        <v>0</v>
      </c>
      <c r="H23" s="136">
        <v>4.7180000993603935E-2</v>
      </c>
      <c r="I23" s="136">
        <v>0</v>
      </c>
      <c r="J23" s="136">
        <v>0</v>
      </c>
      <c r="K23" s="136">
        <v>1.1899881325978746E-3</v>
      </c>
      <c r="L23" s="136">
        <v>0.10538</v>
      </c>
      <c r="M23" s="136">
        <v>0</v>
      </c>
      <c r="N23" s="136">
        <v>0</v>
      </c>
      <c r="O23" s="136">
        <v>0</v>
      </c>
      <c r="P23" s="136">
        <v>0</v>
      </c>
      <c r="Q23" s="136">
        <v>0</v>
      </c>
      <c r="R23" s="136">
        <v>0</v>
      </c>
      <c r="S23" s="136">
        <v>0</v>
      </c>
      <c r="T23" s="136">
        <v>0</v>
      </c>
      <c r="U23" s="136">
        <v>5.0000503324003267E-4</v>
      </c>
      <c r="V23" s="136">
        <v>4.9999501217987857E-4</v>
      </c>
      <c r="W23" s="136">
        <v>4.4899553279544334E-2</v>
      </c>
      <c r="X23" s="136">
        <v>0.22373671395036543</v>
      </c>
      <c r="Y23" s="136">
        <v>0</v>
      </c>
      <c r="Z23" s="136">
        <v>0</v>
      </c>
      <c r="AA23" s="136">
        <v>0</v>
      </c>
      <c r="AB23" s="136">
        <v>0</v>
      </c>
      <c r="AC23" s="136">
        <v>0.1</v>
      </c>
      <c r="AD23" s="136">
        <v>0</v>
      </c>
      <c r="AE23" s="136">
        <v>0</v>
      </c>
      <c r="AF23" s="136">
        <v>0</v>
      </c>
      <c r="AG23" s="136">
        <v>0</v>
      </c>
      <c r="AH23" s="136">
        <v>0</v>
      </c>
      <c r="AI23" s="136">
        <v>0</v>
      </c>
      <c r="AJ23" s="136">
        <v>0</v>
      </c>
      <c r="AK23" s="136">
        <v>0</v>
      </c>
      <c r="AL23" s="136">
        <v>0</v>
      </c>
      <c r="AM23" s="136">
        <v>0</v>
      </c>
      <c r="AN23" s="136">
        <v>0</v>
      </c>
    </row>
    <row r="24" spans="1:40" customFormat="1" x14ac:dyDescent="0.15">
      <c r="A24" s="172" t="s">
        <v>214</v>
      </c>
      <c r="B24" s="136">
        <v>0</v>
      </c>
      <c r="C24" s="136">
        <v>5.0000005819929522E-4</v>
      </c>
      <c r="D24" s="136">
        <v>2.6479470642391961E-2</v>
      </c>
      <c r="E24" s="136">
        <v>0</v>
      </c>
      <c r="F24" s="136">
        <v>5.0000000000000001E-3</v>
      </c>
      <c r="G24" s="136">
        <v>0</v>
      </c>
      <c r="H24" s="136">
        <v>0</v>
      </c>
      <c r="I24" s="136">
        <v>0</v>
      </c>
      <c r="J24" s="136">
        <v>0</v>
      </c>
      <c r="K24" s="136">
        <v>3.9999600759592417E-5</v>
      </c>
      <c r="L24" s="136">
        <v>0.24632000000000001</v>
      </c>
      <c r="M24" s="136">
        <v>1.1410000228200004E-2</v>
      </c>
      <c r="N24" s="136">
        <v>0</v>
      </c>
      <c r="O24" s="136">
        <v>0</v>
      </c>
      <c r="P24" s="136">
        <v>0</v>
      </c>
      <c r="Q24" s="136">
        <v>0</v>
      </c>
      <c r="R24" s="136">
        <v>0</v>
      </c>
      <c r="S24" s="136">
        <v>0</v>
      </c>
      <c r="T24" s="136">
        <v>0</v>
      </c>
      <c r="U24" s="136">
        <v>0</v>
      </c>
      <c r="V24" s="136">
        <v>0</v>
      </c>
      <c r="W24" s="136">
        <v>0</v>
      </c>
      <c r="X24" s="136">
        <v>7.1102138713051277E-3</v>
      </c>
      <c r="Y24" s="136">
        <v>0</v>
      </c>
      <c r="Z24" s="136">
        <v>0</v>
      </c>
      <c r="AA24" s="136">
        <v>0</v>
      </c>
      <c r="AB24" s="136">
        <v>0</v>
      </c>
      <c r="AC24" s="136">
        <v>0</v>
      </c>
      <c r="AD24" s="136">
        <v>0</v>
      </c>
      <c r="AE24" s="136">
        <v>0</v>
      </c>
      <c r="AF24" s="136">
        <v>0</v>
      </c>
      <c r="AG24" s="136">
        <v>0</v>
      </c>
      <c r="AH24" s="136">
        <v>0</v>
      </c>
      <c r="AI24" s="136">
        <v>0</v>
      </c>
      <c r="AJ24" s="136">
        <v>0</v>
      </c>
      <c r="AK24" s="136">
        <v>0</v>
      </c>
      <c r="AL24" s="136">
        <v>0</v>
      </c>
      <c r="AM24" s="136">
        <v>0</v>
      </c>
      <c r="AN24" s="136">
        <v>0</v>
      </c>
    </row>
    <row r="25" spans="1:40" customFormat="1" x14ac:dyDescent="0.15">
      <c r="A25" s="172" t="s">
        <v>215</v>
      </c>
      <c r="B25" s="136">
        <v>0</v>
      </c>
      <c r="C25" s="136">
        <v>5.3739990307261579E-2</v>
      </c>
      <c r="D25" s="136">
        <v>2.6479470642391961E-2</v>
      </c>
      <c r="E25" s="136">
        <v>0</v>
      </c>
      <c r="F25" s="136">
        <v>0</v>
      </c>
      <c r="G25" s="136">
        <v>0</v>
      </c>
      <c r="H25" s="136">
        <v>0</v>
      </c>
      <c r="I25" s="136">
        <v>0</v>
      </c>
      <c r="J25" s="136">
        <v>0</v>
      </c>
      <c r="K25" s="136">
        <v>0</v>
      </c>
      <c r="L25" s="136">
        <v>0</v>
      </c>
      <c r="M25" s="136">
        <v>0</v>
      </c>
      <c r="N25" s="136">
        <v>0</v>
      </c>
      <c r="O25" s="136">
        <v>0</v>
      </c>
      <c r="P25" s="136">
        <v>0</v>
      </c>
      <c r="Q25" s="136">
        <v>0</v>
      </c>
      <c r="R25" s="136">
        <v>0</v>
      </c>
      <c r="S25" s="136">
        <v>0</v>
      </c>
      <c r="T25" s="136">
        <v>0</v>
      </c>
      <c r="U25" s="136">
        <v>0</v>
      </c>
      <c r="V25" s="136">
        <v>0</v>
      </c>
      <c r="W25" s="136">
        <v>0</v>
      </c>
      <c r="X25" s="136">
        <v>0</v>
      </c>
      <c r="Y25" s="136">
        <v>0</v>
      </c>
      <c r="Z25" s="136">
        <v>0</v>
      </c>
      <c r="AA25" s="136">
        <v>0</v>
      </c>
      <c r="AB25" s="136">
        <v>0</v>
      </c>
      <c r="AC25" s="136">
        <v>0.1</v>
      </c>
      <c r="AD25" s="136">
        <v>0</v>
      </c>
      <c r="AE25" s="136">
        <v>0</v>
      </c>
      <c r="AF25" s="136">
        <v>0</v>
      </c>
      <c r="AG25" s="136">
        <v>0</v>
      </c>
      <c r="AH25" s="136">
        <v>0</v>
      </c>
      <c r="AI25" s="136">
        <v>0</v>
      </c>
      <c r="AJ25" s="136">
        <v>0</v>
      </c>
      <c r="AK25" s="136">
        <v>0</v>
      </c>
      <c r="AL25" s="136">
        <v>0</v>
      </c>
      <c r="AM25" s="136">
        <v>0</v>
      </c>
      <c r="AN25" s="136">
        <v>0</v>
      </c>
    </row>
    <row r="26" spans="1:40" customFormat="1" x14ac:dyDescent="0.15">
      <c r="A26" s="172" t="s">
        <v>216</v>
      </c>
      <c r="B26" s="136">
        <v>0</v>
      </c>
      <c r="C26" s="136">
        <v>5.3739990307261579E-2</v>
      </c>
      <c r="D26" s="136">
        <v>2.6479470642391961E-2</v>
      </c>
      <c r="E26" s="136">
        <v>0</v>
      </c>
      <c r="F26" s="136">
        <v>0</v>
      </c>
      <c r="G26" s="136">
        <v>0</v>
      </c>
      <c r="H26" s="136">
        <v>0</v>
      </c>
      <c r="I26" s="136">
        <v>0</v>
      </c>
      <c r="J26" s="136">
        <v>0</v>
      </c>
      <c r="K26" s="136">
        <v>0</v>
      </c>
      <c r="L26" s="136">
        <v>0</v>
      </c>
      <c r="M26" s="136">
        <v>0</v>
      </c>
      <c r="N26" s="136">
        <v>0</v>
      </c>
      <c r="O26" s="136">
        <v>0</v>
      </c>
      <c r="P26" s="136">
        <v>0</v>
      </c>
      <c r="Q26" s="136">
        <v>0</v>
      </c>
      <c r="R26" s="136">
        <v>0</v>
      </c>
      <c r="S26" s="136">
        <v>0</v>
      </c>
      <c r="T26" s="136">
        <v>0</v>
      </c>
      <c r="U26" s="136">
        <v>0</v>
      </c>
      <c r="V26" s="136">
        <v>0</v>
      </c>
      <c r="W26" s="136">
        <v>0</v>
      </c>
      <c r="X26" s="136">
        <v>0</v>
      </c>
      <c r="Y26" s="136">
        <v>0</v>
      </c>
      <c r="Z26" s="136">
        <v>0</v>
      </c>
      <c r="AA26" s="136">
        <v>0</v>
      </c>
      <c r="AB26" s="136">
        <v>0</v>
      </c>
      <c r="AC26" s="136">
        <v>0</v>
      </c>
      <c r="AD26" s="136">
        <v>0</v>
      </c>
      <c r="AE26" s="136">
        <v>0</v>
      </c>
      <c r="AF26" s="136">
        <v>0</v>
      </c>
      <c r="AG26" s="136">
        <v>0</v>
      </c>
      <c r="AH26" s="136">
        <v>0</v>
      </c>
      <c r="AI26" s="136">
        <v>0</v>
      </c>
      <c r="AJ26" s="136">
        <v>0</v>
      </c>
      <c r="AK26" s="136">
        <v>0</v>
      </c>
      <c r="AL26" s="136">
        <v>0</v>
      </c>
      <c r="AM26" s="136">
        <v>0</v>
      </c>
      <c r="AN26" s="136">
        <v>0</v>
      </c>
    </row>
    <row r="27" spans="1:40" customFormat="1" x14ac:dyDescent="0.15">
      <c r="A27" s="172" t="s">
        <v>217</v>
      </c>
      <c r="B27" s="136">
        <v>2.6890000000000001E-2</v>
      </c>
      <c r="C27" s="136">
        <v>0.25483001169585429</v>
      </c>
      <c r="D27" s="136">
        <v>0.34405312734672888</v>
      </c>
      <c r="E27" s="136">
        <v>0.26417999999999997</v>
      </c>
      <c r="F27" s="136">
        <v>0.52097000000000004</v>
      </c>
      <c r="G27" s="136">
        <v>0.14256857436295559</v>
      </c>
      <c r="H27" s="136">
        <v>9.1490003394421759E-2</v>
      </c>
      <c r="I27" s="136">
        <v>0.15640000000000001</v>
      </c>
      <c r="J27" s="136">
        <v>0.35354001850485922</v>
      </c>
      <c r="K27" s="136">
        <v>0.1485585148211262</v>
      </c>
      <c r="L27" s="136">
        <v>0.43008000000000002</v>
      </c>
      <c r="M27" s="136">
        <v>0.25408000508160006</v>
      </c>
      <c r="N27" s="136">
        <v>8.4449155439745599E-2</v>
      </c>
      <c r="O27" s="136">
        <v>0.10492105336563708</v>
      </c>
      <c r="P27" s="136">
        <v>6.4720000000000014E-2</v>
      </c>
      <c r="Q27" s="136">
        <v>0</v>
      </c>
      <c r="R27" s="136">
        <v>0.20534999999999995</v>
      </c>
      <c r="S27" s="136">
        <v>0</v>
      </c>
      <c r="T27" s="136">
        <v>0.01</v>
      </c>
      <c r="U27" s="136">
        <v>2.1500215039321397E-3</v>
      </c>
      <c r="V27" s="136">
        <v>9.9998992435975445E-3</v>
      </c>
      <c r="W27" s="136">
        <v>1.0799893243186613E-2</v>
      </c>
      <c r="X27" s="136">
        <v>7.7732328593044839E-2</v>
      </c>
      <c r="Y27" s="136">
        <v>0</v>
      </c>
      <c r="Z27" s="136">
        <v>0</v>
      </c>
      <c r="AA27" s="136">
        <v>0.01</v>
      </c>
      <c r="AB27" s="136">
        <v>0.28359000000000001</v>
      </c>
      <c r="AC27" s="136">
        <v>0</v>
      </c>
      <c r="AD27" s="136">
        <v>0</v>
      </c>
      <c r="AE27" s="136">
        <v>0</v>
      </c>
      <c r="AF27" s="136">
        <v>0</v>
      </c>
      <c r="AG27" s="136">
        <v>0</v>
      </c>
      <c r="AH27" s="136">
        <v>0</v>
      </c>
      <c r="AI27" s="136">
        <v>0</v>
      </c>
      <c r="AJ27" s="136">
        <v>0</v>
      </c>
      <c r="AK27" s="136">
        <v>0</v>
      </c>
      <c r="AL27" s="136">
        <v>0</v>
      </c>
      <c r="AM27" s="136">
        <v>0</v>
      </c>
      <c r="AN27" s="136">
        <v>0</v>
      </c>
    </row>
    <row r="28" spans="1:40" customFormat="1" x14ac:dyDescent="0.15">
      <c r="A28" s="172" t="s">
        <v>218</v>
      </c>
      <c r="B28" s="136">
        <v>0</v>
      </c>
      <c r="C28" s="136">
        <v>0.53932000691209236</v>
      </c>
      <c r="D28" s="136">
        <v>0.348043033443524</v>
      </c>
      <c r="E28" s="136">
        <v>0</v>
      </c>
      <c r="F28" s="136">
        <v>0</v>
      </c>
      <c r="G28" s="136">
        <v>0</v>
      </c>
      <c r="H28" s="136">
        <v>0</v>
      </c>
      <c r="I28" s="136">
        <v>0</v>
      </c>
      <c r="J28" s="136">
        <v>0</v>
      </c>
      <c r="K28" s="136">
        <v>0</v>
      </c>
      <c r="L28" s="136">
        <v>0</v>
      </c>
      <c r="M28" s="136">
        <v>0</v>
      </c>
      <c r="N28" s="136">
        <v>0</v>
      </c>
      <c r="O28" s="136">
        <v>0</v>
      </c>
      <c r="P28" s="136">
        <v>0</v>
      </c>
      <c r="Q28" s="136">
        <v>0</v>
      </c>
      <c r="R28" s="136">
        <v>0</v>
      </c>
      <c r="S28" s="136">
        <v>0</v>
      </c>
      <c r="T28" s="136">
        <v>0</v>
      </c>
      <c r="U28" s="136">
        <v>0</v>
      </c>
      <c r="V28" s="136">
        <v>0</v>
      </c>
      <c r="W28" s="136">
        <v>0</v>
      </c>
      <c r="X28" s="136">
        <v>0</v>
      </c>
      <c r="Y28" s="136">
        <v>0</v>
      </c>
      <c r="Z28" s="136">
        <v>0</v>
      </c>
      <c r="AA28" s="136">
        <v>0</v>
      </c>
      <c r="AB28" s="136">
        <v>4.9979999999999997E-2</v>
      </c>
      <c r="AC28" s="136">
        <v>0</v>
      </c>
      <c r="AD28" s="136">
        <v>0</v>
      </c>
      <c r="AE28" s="136">
        <v>0</v>
      </c>
      <c r="AF28" s="136">
        <v>0</v>
      </c>
      <c r="AG28" s="136">
        <v>0</v>
      </c>
      <c r="AH28" s="136">
        <v>0</v>
      </c>
      <c r="AI28" s="136">
        <v>0</v>
      </c>
      <c r="AJ28" s="136">
        <v>0</v>
      </c>
      <c r="AK28" s="136">
        <v>0</v>
      </c>
      <c r="AL28" s="136">
        <v>0</v>
      </c>
      <c r="AM28" s="136">
        <v>0</v>
      </c>
      <c r="AN28" s="136">
        <v>0</v>
      </c>
    </row>
    <row r="29" spans="1:40" customFormat="1" x14ac:dyDescent="0.15">
      <c r="A29" s="172" t="s">
        <v>219</v>
      </c>
      <c r="B29" s="136">
        <v>0</v>
      </c>
      <c r="C29" s="136">
        <v>1.2139998285079149E-2</v>
      </c>
      <c r="D29" s="136">
        <v>6.5708681594092627E-2</v>
      </c>
      <c r="E29" s="136">
        <v>0</v>
      </c>
      <c r="F29" s="136">
        <v>0</v>
      </c>
      <c r="G29" s="136">
        <v>0</v>
      </c>
      <c r="H29" s="136">
        <v>0</v>
      </c>
      <c r="I29" s="136">
        <v>0</v>
      </c>
      <c r="J29" s="136">
        <v>0</v>
      </c>
      <c r="K29" s="136">
        <v>9.9699001893284039E-3</v>
      </c>
      <c r="L29" s="136">
        <v>0</v>
      </c>
      <c r="M29" s="136">
        <v>0</v>
      </c>
      <c r="N29" s="136">
        <v>0</v>
      </c>
      <c r="O29" s="136">
        <v>0</v>
      </c>
      <c r="P29" s="136">
        <v>0</v>
      </c>
      <c r="Q29" s="136">
        <v>0</v>
      </c>
      <c r="R29" s="136">
        <v>0</v>
      </c>
      <c r="S29" s="136">
        <v>0</v>
      </c>
      <c r="T29" s="136">
        <v>0</v>
      </c>
      <c r="U29" s="136">
        <v>0</v>
      </c>
      <c r="V29" s="136">
        <v>0</v>
      </c>
      <c r="W29" s="136">
        <v>1.9999801279975205E-5</v>
      </c>
      <c r="X29" s="136">
        <v>1.3600408353832605E-3</v>
      </c>
      <c r="Y29" s="136">
        <v>0</v>
      </c>
      <c r="Z29" s="136">
        <v>0</v>
      </c>
      <c r="AA29" s="136">
        <v>0</v>
      </c>
      <c r="AB29" s="136">
        <v>0</v>
      </c>
      <c r="AC29" s="136">
        <v>0</v>
      </c>
      <c r="AD29" s="136">
        <v>0</v>
      </c>
      <c r="AE29" s="136">
        <v>0</v>
      </c>
      <c r="AF29" s="136">
        <v>0</v>
      </c>
      <c r="AG29" s="136">
        <v>0</v>
      </c>
      <c r="AH29" s="136">
        <v>0</v>
      </c>
      <c r="AI29" s="136">
        <v>0</v>
      </c>
      <c r="AJ29" s="136">
        <v>0</v>
      </c>
      <c r="AK29" s="136">
        <v>0</v>
      </c>
      <c r="AL29" s="136">
        <v>0</v>
      </c>
      <c r="AM29" s="136">
        <v>0</v>
      </c>
      <c r="AN29" s="136">
        <v>0</v>
      </c>
    </row>
    <row r="30" spans="1:40" customFormat="1" x14ac:dyDescent="0.15">
      <c r="A30" s="172" t="s">
        <v>220</v>
      </c>
      <c r="B30" s="136">
        <v>0</v>
      </c>
      <c r="C30" s="136">
        <v>0</v>
      </c>
      <c r="D30" s="136">
        <v>0</v>
      </c>
      <c r="E30" s="136">
        <v>0</v>
      </c>
      <c r="F30" s="136">
        <v>0</v>
      </c>
      <c r="G30" s="136">
        <v>0</v>
      </c>
      <c r="H30" s="136">
        <v>0</v>
      </c>
      <c r="I30" s="136">
        <v>0</v>
      </c>
      <c r="J30" s="136">
        <v>0</v>
      </c>
      <c r="K30" s="136">
        <v>0</v>
      </c>
      <c r="L30" s="136">
        <v>0</v>
      </c>
      <c r="M30" s="136">
        <v>0</v>
      </c>
      <c r="N30" s="136">
        <v>0</v>
      </c>
      <c r="O30" s="136">
        <v>0</v>
      </c>
      <c r="P30" s="136">
        <v>0</v>
      </c>
      <c r="Q30" s="136">
        <v>0</v>
      </c>
      <c r="R30" s="136">
        <v>0</v>
      </c>
      <c r="S30" s="136">
        <v>0</v>
      </c>
      <c r="T30" s="136">
        <v>0</v>
      </c>
      <c r="U30" s="136">
        <v>0</v>
      </c>
      <c r="V30" s="136">
        <v>0</v>
      </c>
      <c r="W30" s="136">
        <v>2.1999780087972719E-3</v>
      </c>
      <c r="X30" s="136">
        <v>1.3400402157452717E-3</v>
      </c>
      <c r="Y30" s="136">
        <v>0</v>
      </c>
      <c r="Z30" s="136">
        <v>2.7600278672357819E-3</v>
      </c>
      <c r="AA30" s="136">
        <v>0</v>
      </c>
      <c r="AB30" s="136">
        <v>0</v>
      </c>
      <c r="AC30" s="136">
        <v>0.3</v>
      </c>
      <c r="AD30" s="136">
        <v>0.01</v>
      </c>
      <c r="AE30" s="136">
        <v>0.05</v>
      </c>
      <c r="AF30" s="136">
        <v>0.05</v>
      </c>
      <c r="AG30" s="136">
        <v>0</v>
      </c>
      <c r="AH30" s="136">
        <v>0</v>
      </c>
      <c r="AI30" s="136">
        <v>0</v>
      </c>
      <c r="AJ30" s="136">
        <v>0</v>
      </c>
      <c r="AK30" s="136">
        <v>0</v>
      </c>
      <c r="AL30" s="136">
        <v>0</v>
      </c>
      <c r="AM30" s="136">
        <v>0</v>
      </c>
      <c r="AN30" s="136">
        <v>0</v>
      </c>
    </row>
    <row r="31" spans="1:40" customFormat="1" x14ac:dyDescent="0.15">
      <c r="A31" s="172" t="s">
        <v>221</v>
      </c>
      <c r="B31" s="136">
        <v>0</v>
      </c>
      <c r="C31" s="136">
        <v>1.2139998285079149E-2</v>
      </c>
      <c r="D31" s="136">
        <v>6.5708681594092627E-2</v>
      </c>
      <c r="E31" s="136">
        <v>0</v>
      </c>
      <c r="F31" s="136">
        <v>2.96E-3</v>
      </c>
      <c r="G31" s="136">
        <v>0</v>
      </c>
      <c r="H31" s="136">
        <v>0</v>
      </c>
      <c r="I31" s="136">
        <v>0</v>
      </c>
      <c r="J31" s="136">
        <v>0</v>
      </c>
      <c r="K31" s="136">
        <v>0</v>
      </c>
      <c r="L31" s="136">
        <v>0</v>
      </c>
      <c r="M31" s="136">
        <v>0</v>
      </c>
      <c r="N31" s="136">
        <v>6.3329366580214194E-2</v>
      </c>
      <c r="O31" s="136">
        <v>1.4300143168362678E-3</v>
      </c>
      <c r="P31" s="136">
        <v>2.6020000000000005E-2</v>
      </c>
      <c r="Q31" s="136">
        <v>0</v>
      </c>
      <c r="R31" s="136">
        <v>0</v>
      </c>
      <c r="S31" s="136">
        <v>0</v>
      </c>
      <c r="T31" s="136">
        <v>7.5130000000000002E-2</v>
      </c>
      <c r="U31" s="136">
        <v>9.2070920596619574E-2</v>
      </c>
      <c r="V31" s="136">
        <v>0</v>
      </c>
      <c r="W31" s="136">
        <v>0.22792767091143715</v>
      </c>
      <c r="X31" s="136">
        <v>0.15740471815097457</v>
      </c>
      <c r="Y31" s="136">
        <v>0.65475346097669374</v>
      </c>
      <c r="Z31" s="136">
        <v>5.0000501761517685E-2</v>
      </c>
      <c r="AA31" s="136">
        <v>0</v>
      </c>
      <c r="AB31" s="136">
        <v>0</v>
      </c>
      <c r="AC31" s="136">
        <v>0.3</v>
      </c>
      <c r="AD31" s="136">
        <v>0</v>
      </c>
      <c r="AE31" s="136">
        <v>0</v>
      </c>
      <c r="AF31" s="136">
        <v>0</v>
      </c>
      <c r="AG31" s="136">
        <v>0</v>
      </c>
      <c r="AH31" s="136">
        <v>0</v>
      </c>
      <c r="AI31" s="136">
        <v>0</v>
      </c>
      <c r="AJ31" s="136">
        <v>0</v>
      </c>
      <c r="AK31" s="136">
        <v>0</v>
      </c>
      <c r="AL31" s="136">
        <v>0</v>
      </c>
      <c r="AM31" s="136">
        <v>0</v>
      </c>
      <c r="AN31" s="136">
        <v>0</v>
      </c>
    </row>
    <row r="32" spans="1:40" customFormat="1" x14ac:dyDescent="0.15">
      <c r="A32" s="172" t="s">
        <v>222</v>
      </c>
      <c r="B32" s="136">
        <v>0</v>
      </c>
      <c r="C32" s="136">
        <v>0</v>
      </c>
      <c r="D32" s="136">
        <v>0</v>
      </c>
      <c r="E32" s="136">
        <v>0</v>
      </c>
      <c r="F32" s="136">
        <v>0</v>
      </c>
      <c r="G32" s="136">
        <v>0</v>
      </c>
      <c r="H32" s="136">
        <v>0</v>
      </c>
      <c r="I32" s="136">
        <v>0</v>
      </c>
      <c r="J32" s="136">
        <v>0</v>
      </c>
      <c r="K32" s="136">
        <v>0</v>
      </c>
      <c r="L32" s="136">
        <v>0</v>
      </c>
      <c r="M32" s="136">
        <v>0</v>
      </c>
      <c r="N32" s="136">
        <v>0</v>
      </c>
      <c r="O32" s="136">
        <v>0</v>
      </c>
      <c r="P32" s="136">
        <v>0</v>
      </c>
      <c r="Q32" s="136">
        <v>0</v>
      </c>
      <c r="R32" s="136">
        <v>0</v>
      </c>
      <c r="S32" s="136">
        <v>0</v>
      </c>
      <c r="T32" s="136">
        <v>0</v>
      </c>
      <c r="U32" s="136">
        <v>0</v>
      </c>
      <c r="V32" s="136">
        <v>0</v>
      </c>
      <c r="W32" s="136">
        <v>0.15059851160221333</v>
      </c>
      <c r="X32" s="136">
        <v>0.204466130299163</v>
      </c>
      <c r="Y32" s="136">
        <v>9.1959074519239153E-2</v>
      </c>
      <c r="Z32" s="136">
        <v>0.526465255547371</v>
      </c>
      <c r="AA32" s="136">
        <v>0</v>
      </c>
      <c r="AB32" s="136">
        <v>0</v>
      </c>
      <c r="AC32" s="136">
        <v>0.2</v>
      </c>
      <c r="AD32" s="136">
        <v>0</v>
      </c>
      <c r="AE32" s="136">
        <v>0</v>
      </c>
      <c r="AF32" s="136">
        <v>0</v>
      </c>
      <c r="AG32" s="136">
        <v>0</v>
      </c>
      <c r="AH32" s="136">
        <v>0</v>
      </c>
      <c r="AI32" s="136">
        <v>0</v>
      </c>
      <c r="AJ32" s="136">
        <v>0</v>
      </c>
      <c r="AK32" s="136">
        <v>0</v>
      </c>
      <c r="AL32" s="136">
        <v>0</v>
      </c>
      <c r="AM32" s="136">
        <v>0</v>
      </c>
      <c r="AN32" s="136">
        <v>0</v>
      </c>
    </row>
    <row r="33" spans="1:40" customFormat="1" x14ac:dyDescent="0.15">
      <c r="A33" s="172" t="s">
        <v>223</v>
      </c>
      <c r="B33" s="136">
        <v>0</v>
      </c>
      <c r="C33" s="136">
        <v>0</v>
      </c>
      <c r="D33" s="136">
        <v>0</v>
      </c>
      <c r="E33" s="136">
        <v>0</v>
      </c>
      <c r="F33" s="136">
        <v>0</v>
      </c>
      <c r="G33" s="136">
        <v>0</v>
      </c>
      <c r="H33" s="136">
        <v>0</v>
      </c>
      <c r="I33" s="136">
        <v>0</v>
      </c>
      <c r="J33" s="136">
        <v>0</v>
      </c>
      <c r="K33" s="136">
        <v>0</v>
      </c>
      <c r="L33" s="136">
        <v>0</v>
      </c>
      <c r="M33" s="136">
        <v>0</v>
      </c>
      <c r="N33" s="136">
        <v>0</v>
      </c>
      <c r="O33" s="136">
        <v>0</v>
      </c>
      <c r="P33" s="136">
        <v>0</v>
      </c>
      <c r="Q33" s="136">
        <v>0</v>
      </c>
      <c r="R33" s="136">
        <v>0</v>
      </c>
      <c r="S33" s="136">
        <v>0</v>
      </c>
      <c r="T33" s="136">
        <v>0</v>
      </c>
      <c r="U33" s="136">
        <v>0</v>
      </c>
      <c r="V33" s="136">
        <v>0</v>
      </c>
      <c r="W33" s="136">
        <v>0</v>
      </c>
      <c r="X33" s="136">
        <v>0</v>
      </c>
      <c r="Y33" s="136">
        <v>0</v>
      </c>
      <c r="Z33" s="136">
        <v>0</v>
      </c>
      <c r="AA33" s="136">
        <v>0</v>
      </c>
      <c r="AB33" s="136">
        <v>0</v>
      </c>
      <c r="AC33" s="136">
        <v>0</v>
      </c>
      <c r="AD33" s="136">
        <v>0.54908000000000001</v>
      </c>
      <c r="AE33" s="136">
        <v>0.4</v>
      </c>
      <c r="AF33" s="136">
        <v>0.4</v>
      </c>
      <c r="AG33" s="136">
        <v>0</v>
      </c>
      <c r="AH33" s="136">
        <v>0.05</v>
      </c>
      <c r="AI33" s="136">
        <v>0</v>
      </c>
      <c r="AJ33" s="136">
        <v>0.05</v>
      </c>
      <c r="AK33" s="136">
        <v>0</v>
      </c>
      <c r="AL33" s="136">
        <v>0</v>
      </c>
      <c r="AM33" s="136">
        <v>0</v>
      </c>
      <c r="AN33" s="136">
        <v>0</v>
      </c>
    </row>
    <row r="34" spans="1:40" customFormat="1" x14ac:dyDescent="0.15">
      <c r="A34" s="172" t="s">
        <v>224</v>
      </c>
      <c r="B34" s="136">
        <v>7.8350000000000003E-2</v>
      </c>
      <c r="C34" s="136">
        <v>0</v>
      </c>
      <c r="D34" s="136">
        <v>0</v>
      </c>
      <c r="E34" s="136">
        <v>0.11922999999999997</v>
      </c>
      <c r="F34" s="136">
        <v>0</v>
      </c>
      <c r="G34" s="136">
        <v>2.0399794595022036E-3</v>
      </c>
      <c r="H34" s="136">
        <v>0</v>
      </c>
      <c r="I34" s="136">
        <v>0</v>
      </c>
      <c r="J34" s="136">
        <v>0</v>
      </c>
      <c r="K34" s="136">
        <v>0</v>
      </c>
      <c r="L34" s="136">
        <v>0</v>
      </c>
      <c r="M34" s="136">
        <v>0</v>
      </c>
      <c r="N34" s="136">
        <v>2.6099738590614117E-3</v>
      </c>
      <c r="O34" s="136">
        <v>7.1500716841813349E-3</v>
      </c>
      <c r="P34" s="136">
        <v>6.4370000000000011E-2</v>
      </c>
      <c r="Q34" s="136">
        <v>0.7827900000000001</v>
      </c>
      <c r="R34" s="136">
        <v>0</v>
      </c>
      <c r="S34" s="136">
        <v>0.77702000000000004</v>
      </c>
      <c r="T34" s="136">
        <v>0</v>
      </c>
      <c r="U34" s="136">
        <v>0</v>
      </c>
      <c r="V34" s="136">
        <v>0</v>
      </c>
      <c r="W34" s="136">
        <v>0</v>
      </c>
      <c r="X34" s="136">
        <v>0</v>
      </c>
      <c r="Y34" s="136">
        <v>0</v>
      </c>
      <c r="Z34" s="136">
        <v>0</v>
      </c>
      <c r="AA34" s="136">
        <v>0.19064999999999999</v>
      </c>
      <c r="AB34" s="136">
        <v>0</v>
      </c>
      <c r="AC34" s="136">
        <v>0</v>
      </c>
      <c r="AD34" s="136">
        <v>0</v>
      </c>
      <c r="AE34" s="136">
        <v>0</v>
      </c>
      <c r="AF34" s="136">
        <v>0</v>
      </c>
      <c r="AG34" s="136">
        <v>0</v>
      </c>
      <c r="AH34" s="136">
        <v>0.01</v>
      </c>
      <c r="AI34" s="136">
        <v>0.99</v>
      </c>
      <c r="AJ34" s="136">
        <v>0.17499999999999999</v>
      </c>
      <c r="AK34" s="136">
        <v>0.1</v>
      </c>
      <c r="AL34" s="136">
        <v>0</v>
      </c>
      <c r="AM34" s="136">
        <v>0</v>
      </c>
      <c r="AN34" s="136">
        <v>0</v>
      </c>
    </row>
    <row r="35" spans="1:40" customFormat="1" x14ac:dyDescent="0.15">
      <c r="A35" s="172" t="s">
        <v>225</v>
      </c>
      <c r="B35" s="136">
        <v>0.71204000000000001</v>
      </c>
      <c r="C35" s="136">
        <v>0</v>
      </c>
      <c r="D35" s="136">
        <v>0</v>
      </c>
      <c r="E35" s="136">
        <v>0.33355999999999997</v>
      </c>
      <c r="F35" s="136">
        <v>2.461E-2</v>
      </c>
      <c r="G35" s="136">
        <v>0.21384786304438558</v>
      </c>
      <c r="H35" s="136">
        <v>8.3329999383574049E-2</v>
      </c>
      <c r="I35" s="136">
        <v>0.23655999999999999</v>
      </c>
      <c r="J35" s="136">
        <v>0.12120999503039019</v>
      </c>
      <c r="K35" s="136">
        <v>0.20069799181125483</v>
      </c>
      <c r="L35" s="136">
        <v>0</v>
      </c>
      <c r="M35" s="136">
        <v>0</v>
      </c>
      <c r="N35" s="136">
        <v>0.67451326357628372</v>
      </c>
      <c r="O35" s="136">
        <v>0.27163271900198283</v>
      </c>
      <c r="P35" s="136">
        <v>0.50617000000000012</v>
      </c>
      <c r="Q35" s="136">
        <v>0.16165000000000002</v>
      </c>
      <c r="R35" s="136">
        <v>0.15037999999999999</v>
      </c>
      <c r="S35" s="136">
        <v>0.12037</v>
      </c>
      <c r="T35" s="136">
        <v>0</v>
      </c>
      <c r="U35" s="136">
        <v>0</v>
      </c>
      <c r="V35" s="136">
        <v>0</v>
      </c>
      <c r="W35" s="136">
        <v>0</v>
      </c>
      <c r="X35" s="136">
        <v>0</v>
      </c>
      <c r="Y35" s="136">
        <v>0</v>
      </c>
      <c r="Z35" s="136">
        <v>0</v>
      </c>
      <c r="AA35" s="136">
        <v>0.52507000000000004</v>
      </c>
      <c r="AB35" s="136">
        <v>0.28316000000000002</v>
      </c>
      <c r="AC35" s="136">
        <v>0</v>
      </c>
      <c r="AD35" s="136">
        <v>0</v>
      </c>
      <c r="AE35" s="136">
        <v>0</v>
      </c>
      <c r="AF35" s="136">
        <v>0</v>
      </c>
      <c r="AG35" s="136">
        <v>0</v>
      </c>
      <c r="AH35" s="136">
        <v>0</v>
      </c>
      <c r="AI35" s="136">
        <v>0.01</v>
      </c>
      <c r="AJ35" s="136">
        <v>0</v>
      </c>
      <c r="AK35" s="136">
        <v>0</v>
      </c>
      <c r="AL35" s="136">
        <v>0</v>
      </c>
      <c r="AM35" s="136">
        <v>0</v>
      </c>
      <c r="AN35" s="136">
        <v>0</v>
      </c>
    </row>
    <row r="36" spans="1:40" customFormat="1" x14ac:dyDescent="0.15">
      <c r="A36" s="172" t="s">
        <v>226</v>
      </c>
      <c r="B36" s="136">
        <v>0</v>
      </c>
      <c r="C36" s="136">
        <v>0</v>
      </c>
      <c r="D36" s="136">
        <v>0</v>
      </c>
      <c r="E36" s="136">
        <v>0</v>
      </c>
      <c r="F36" s="136">
        <v>0</v>
      </c>
      <c r="G36" s="136">
        <v>0</v>
      </c>
      <c r="H36" s="136">
        <v>0</v>
      </c>
      <c r="I36" s="136">
        <v>0</v>
      </c>
      <c r="J36" s="136">
        <v>0</v>
      </c>
      <c r="K36" s="136">
        <v>0</v>
      </c>
      <c r="L36" s="136">
        <v>0</v>
      </c>
      <c r="M36" s="136">
        <v>0</v>
      </c>
      <c r="N36" s="136">
        <v>0</v>
      </c>
      <c r="O36" s="136">
        <v>0</v>
      </c>
      <c r="P36" s="136">
        <v>0</v>
      </c>
      <c r="Q36" s="136">
        <v>0</v>
      </c>
      <c r="R36" s="136">
        <v>0</v>
      </c>
      <c r="S36" s="136">
        <v>8.6110000000000006E-2</v>
      </c>
      <c r="T36" s="136">
        <v>9.325E-2</v>
      </c>
      <c r="U36" s="136">
        <v>0.19115190123866435</v>
      </c>
      <c r="V36" s="136">
        <v>4.4999547496188978E-3</v>
      </c>
      <c r="W36" s="136">
        <v>0.17904822571597803</v>
      </c>
      <c r="X36" s="136">
        <v>9.820294822252662E-2</v>
      </c>
      <c r="Y36" s="136">
        <v>1.5849842655349378E-2</v>
      </c>
      <c r="Z36" s="136">
        <v>0</v>
      </c>
      <c r="AA36" s="136">
        <v>1.41E-2</v>
      </c>
      <c r="AB36" s="136">
        <v>0</v>
      </c>
      <c r="AC36" s="136">
        <v>0</v>
      </c>
      <c r="AD36" s="136">
        <v>0</v>
      </c>
      <c r="AE36" s="136">
        <v>0</v>
      </c>
      <c r="AF36" s="136">
        <v>0</v>
      </c>
      <c r="AG36" s="136">
        <v>0</v>
      </c>
      <c r="AH36" s="136">
        <v>0</v>
      </c>
      <c r="AI36" s="136">
        <v>0</v>
      </c>
      <c r="AJ36" s="136">
        <v>0.01</v>
      </c>
      <c r="AK36" s="136">
        <v>0.7</v>
      </c>
      <c r="AL36" s="136">
        <v>0</v>
      </c>
      <c r="AM36" s="136">
        <v>0</v>
      </c>
      <c r="AN36" s="136">
        <v>0</v>
      </c>
    </row>
    <row r="37" spans="1:40" customFormat="1" x14ac:dyDescent="0.15">
      <c r="A37" s="172" t="s">
        <v>227</v>
      </c>
      <c r="B37" s="136">
        <v>0</v>
      </c>
      <c r="C37" s="136">
        <v>0</v>
      </c>
      <c r="D37" s="136">
        <v>0</v>
      </c>
      <c r="E37" s="136">
        <v>0</v>
      </c>
      <c r="F37" s="136">
        <v>0</v>
      </c>
      <c r="G37" s="136">
        <v>0</v>
      </c>
      <c r="H37" s="136">
        <v>0</v>
      </c>
      <c r="I37" s="136">
        <v>0</v>
      </c>
      <c r="J37" s="136">
        <v>0</v>
      </c>
      <c r="K37" s="136">
        <v>4.2499580807067033E-3</v>
      </c>
      <c r="L37" s="136">
        <v>0</v>
      </c>
      <c r="M37" s="136">
        <v>0</v>
      </c>
      <c r="N37" s="136">
        <v>0</v>
      </c>
      <c r="O37" s="136">
        <v>0</v>
      </c>
      <c r="P37" s="136">
        <v>0</v>
      </c>
      <c r="Q37" s="136">
        <v>0</v>
      </c>
      <c r="R37" s="136">
        <v>1.6709999999999996E-2</v>
      </c>
      <c r="S37" s="136">
        <v>1.306E-2</v>
      </c>
      <c r="T37" s="136">
        <v>0.43774999999999997</v>
      </c>
      <c r="U37" s="136">
        <v>0.43469435281681945</v>
      </c>
      <c r="V37" s="136">
        <v>0.16166837893824171</v>
      </c>
      <c r="W37" s="136">
        <v>0.29756704118991106</v>
      </c>
      <c r="X37" s="136">
        <v>8.8662658395205873E-2</v>
      </c>
      <c r="Y37" s="136">
        <v>0</v>
      </c>
      <c r="Z37" s="136">
        <v>0</v>
      </c>
      <c r="AA37" s="136">
        <v>3.8809999999999997E-2</v>
      </c>
      <c r="AB37" s="136">
        <v>1.6660000000000001E-2</v>
      </c>
      <c r="AC37" s="136">
        <v>0</v>
      </c>
      <c r="AD37" s="136">
        <v>0</v>
      </c>
      <c r="AE37" s="136">
        <v>0.05</v>
      </c>
      <c r="AF37" s="136">
        <v>0</v>
      </c>
      <c r="AG37" s="136">
        <v>0</v>
      </c>
      <c r="AH37" s="136">
        <v>0</v>
      </c>
      <c r="AI37" s="136">
        <v>0</v>
      </c>
      <c r="AJ37" s="136">
        <v>0</v>
      </c>
      <c r="AK37" s="136">
        <v>0.01</v>
      </c>
      <c r="AL37" s="136">
        <v>0</v>
      </c>
      <c r="AM37" s="136">
        <v>0</v>
      </c>
      <c r="AN37" s="136">
        <v>0</v>
      </c>
    </row>
    <row r="38" spans="1:40" customFormat="1" x14ac:dyDescent="0.15">
      <c r="A38" s="172" t="s">
        <v>228</v>
      </c>
      <c r="B38" s="136">
        <v>0</v>
      </c>
      <c r="C38" s="136">
        <v>0</v>
      </c>
      <c r="D38" s="136">
        <v>0</v>
      </c>
      <c r="E38" s="136">
        <v>0</v>
      </c>
      <c r="F38" s="136">
        <v>0</v>
      </c>
      <c r="G38" s="136">
        <v>0</v>
      </c>
      <c r="H38" s="136">
        <v>0</v>
      </c>
      <c r="I38" s="136">
        <v>0</v>
      </c>
      <c r="J38" s="136">
        <v>0</v>
      </c>
      <c r="K38" s="136">
        <v>0</v>
      </c>
      <c r="L38" s="136">
        <v>0</v>
      </c>
      <c r="M38" s="136">
        <v>0</v>
      </c>
      <c r="N38" s="136">
        <v>2.2879768764492488E-2</v>
      </c>
      <c r="O38" s="136">
        <v>0</v>
      </c>
      <c r="P38" s="136">
        <v>3.7750000000000006E-2</v>
      </c>
      <c r="Q38" s="136">
        <v>2.8620000000000003E-2</v>
      </c>
      <c r="R38" s="136">
        <v>0</v>
      </c>
      <c r="S38" s="136">
        <v>0</v>
      </c>
      <c r="T38" s="136">
        <v>0</v>
      </c>
      <c r="U38" s="136">
        <v>0</v>
      </c>
      <c r="V38" s="136">
        <v>0</v>
      </c>
      <c r="W38" s="136">
        <v>0</v>
      </c>
      <c r="X38" s="136">
        <v>0</v>
      </c>
      <c r="Y38" s="136">
        <v>0</v>
      </c>
      <c r="Z38" s="136">
        <v>0</v>
      </c>
      <c r="AA38" s="136">
        <v>0</v>
      </c>
      <c r="AB38" s="136">
        <v>0</v>
      </c>
      <c r="AC38" s="136">
        <v>0</v>
      </c>
      <c r="AD38" s="136">
        <v>0</v>
      </c>
      <c r="AE38" s="136">
        <v>0</v>
      </c>
      <c r="AF38" s="136">
        <v>0</v>
      </c>
      <c r="AG38" s="136">
        <v>0</v>
      </c>
      <c r="AH38" s="136">
        <v>0.60499999999999998</v>
      </c>
      <c r="AI38" s="136">
        <v>0</v>
      </c>
      <c r="AJ38" s="136">
        <v>0</v>
      </c>
      <c r="AK38" s="136">
        <v>0</v>
      </c>
      <c r="AL38" s="136">
        <v>0</v>
      </c>
      <c r="AM38" s="136">
        <v>0</v>
      </c>
      <c r="AN38" s="136">
        <v>0</v>
      </c>
    </row>
    <row r="39" spans="1:40" x14ac:dyDescent="0.15">
      <c r="A39" s="172" t="s">
        <v>229</v>
      </c>
      <c r="B39" s="136">
        <v>0</v>
      </c>
      <c r="C39" s="136">
        <v>0</v>
      </c>
      <c r="D39" s="136">
        <v>0</v>
      </c>
      <c r="E39" s="136">
        <v>8.8849999999999985E-2</v>
      </c>
      <c r="F39" s="136">
        <v>2.2270000000000002E-2</v>
      </c>
      <c r="G39" s="136">
        <v>0</v>
      </c>
      <c r="H39" s="136">
        <v>0</v>
      </c>
      <c r="I39" s="136">
        <v>0</v>
      </c>
      <c r="J39" s="136">
        <v>0</v>
      </c>
      <c r="K39" s="136">
        <v>0</v>
      </c>
      <c r="L39" s="136">
        <v>0</v>
      </c>
      <c r="M39" s="136">
        <v>0</v>
      </c>
      <c r="N39" s="136">
        <v>0</v>
      </c>
      <c r="O39" s="136">
        <v>0</v>
      </c>
      <c r="P39" s="136">
        <v>3.7500000000000006E-2</v>
      </c>
      <c r="Q39" s="136">
        <v>2.6940000000000002E-2</v>
      </c>
      <c r="R39" s="136">
        <v>0</v>
      </c>
      <c r="S39" s="136">
        <v>2.4399999999999999E-3</v>
      </c>
      <c r="T39" s="136">
        <v>0.37386999999999998</v>
      </c>
      <c r="U39" s="136">
        <v>0.13736137789010175</v>
      </c>
      <c r="V39" s="136">
        <v>0.48999511193628092</v>
      </c>
      <c r="W39" s="136">
        <v>3.5419650141636096E-2</v>
      </c>
      <c r="X39" s="136">
        <v>7.0162108730065814E-2</v>
      </c>
      <c r="Y39" s="136">
        <v>0.23743762184871772</v>
      </c>
      <c r="Z39" s="136">
        <v>0.42077421482387561</v>
      </c>
      <c r="AA39" s="136">
        <v>0</v>
      </c>
      <c r="AB39" s="136">
        <v>0</v>
      </c>
      <c r="AC39" s="136">
        <v>0</v>
      </c>
      <c r="AD39" s="136">
        <v>0.44091999999999998</v>
      </c>
      <c r="AE39" s="136">
        <v>0.5</v>
      </c>
      <c r="AF39" s="136">
        <v>0.55000000000000004</v>
      </c>
      <c r="AG39" s="136">
        <v>1</v>
      </c>
      <c r="AH39" s="136">
        <v>0.33500000000000002</v>
      </c>
      <c r="AI39" s="136">
        <v>0</v>
      </c>
      <c r="AJ39" s="136">
        <v>0.76500000000000001</v>
      </c>
      <c r="AK39" s="136">
        <v>0.19</v>
      </c>
      <c r="AL39" s="136">
        <v>0</v>
      </c>
      <c r="AM39" s="136">
        <v>0</v>
      </c>
      <c r="AN39" s="136">
        <v>0</v>
      </c>
    </row>
    <row r="40" spans="1:40" x14ac:dyDescent="0.15">
      <c r="A40" s="172" t="s">
        <v>230</v>
      </c>
      <c r="B40" s="136">
        <v>0</v>
      </c>
      <c r="C40" s="136">
        <v>0</v>
      </c>
      <c r="D40" s="136">
        <v>0</v>
      </c>
      <c r="E40" s="136">
        <v>0</v>
      </c>
      <c r="F40" s="136">
        <v>0</v>
      </c>
      <c r="G40" s="136">
        <v>0</v>
      </c>
      <c r="H40" s="136">
        <v>0</v>
      </c>
      <c r="I40" s="136">
        <v>0</v>
      </c>
      <c r="J40" s="136">
        <v>0</v>
      </c>
      <c r="K40" s="136">
        <v>0</v>
      </c>
      <c r="L40" s="136">
        <v>0</v>
      </c>
      <c r="M40" s="136">
        <v>0</v>
      </c>
      <c r="N40" s="136">
        <v>0</v>
      </c>
      <c r="O40" s="136">
        <v>0</v>
      </c>
      <c r="P40" s="136">
        <v>0</v>
      </c>
      <c r="Q40" s="136">
        <v>0</v>
      </c>
      <c r="R40" s="136">
        <v>0</v>
      </c>
      <c r="S40" s="136">
        <v>0</v>
      </c>
      <c r="T40" s="136">
        <v>0</v>
      </c>
      <c r="U40" s="136">
        <v>0</v>
      </c>
      <c r="V40" s="136">
        <v>0</v>
      </c>
      <c r="W40" s="136">
        <v>0</v>
      </c>
      <c r="X40" s="136">
        <v>0</v>
      </c>
      <c r="Y40" s="136">
        <v>0</v>
      </c>
      <c r="Z40" s="136">
        <v>0</v>
      </c>
      <c r="AA40" s="136">
        <v>0</v>
      </c>
      <c r="AB40" s="136">
        <v>0</v>
      </c>
      <c r="AC40" s="136">
        <v>0</v>
      </c>
      <c r="AD40" s="136">
        <v>0</v>
      </c>
      <c r="AE40" s="136">
        <v>0</v>
      </c>
      <c r="AF40" s="136">
        <v>0</v>
      </c>
      <c r="AG40" s="136">
        <v>0</v>
      </c>
      <c r="AH40" s="136">
        <v>0</v>
      </c>
      <c r="AI40" s="136">
        <v>0</v>
      </c>
      <c r="AJ40" s="136">
        <v>0</v>
      </c>
      <c r="AK40" s="136">
        <v>0</v>
      </c>
      <c r="AL40" s="136">
        <v>0</v>
      </c>
      <c r="AM40" s="136">
        <v>0</v>
      </c>
      <c r="AN40" s="136">
        <v>0</v>
      </c>
    </row>
    <row r="41" spans="1:40" x14ac:dyDescent="0.15">
      <c r="A41" s="172" t="s">
        <v>232</v>
      </c>
      <c r="B41" s="136">
        <v>0</v>
      </c>
      <c r="C41" s="136">
        <v>0</v>
      </c>
      <c r="D41" s="136">
        <v>0</v>
      </c>
      <c r="E41" s="136">
        <v>0</v>
      </c>
      <c r="F41" s="136">
        <v>0</v>
      </c>
      <c r="G41" s="136">
        <v>0</v>
      </c>
      <c r="H41" s="136">
        <v>0</v>
      </c>
      <c r="I41" s="136">
        <v>0</v>
      </c>
      <c r="J41" s="136">
        <v>0</v>
      </c>
      <c r="K41" s="136">
        <v>0</v>
      </c>
      <c r="L41" s="136">
        <v>0</v>
      </c>
      <c r="M41" s="136">
        <v>0</v>
      </c>
      <c r="N41" s="136">
        <v>0</v>
      </c>
      <c r="O41" s="136">
        <v>0</v>
      </c>
      <c r="P41" s="136">
        <v>0</v>
      </c>
      <c r="Q41" s="136">
        <v>0</v>
      </c>
      <c r="R41" s="136">
        <v>0</v>
      </c>
      <c r="S41" s="136">
        <v>0</v>
      </c>
      <c r="T41" s="136">
        <v>0</v>
      </c>
      <c r="U41" s="136">
        <v>0</v>
      </c>
      <c r="V41" s="136">
        <v>0</v>
      </c>
      <c r="W41" s="136">
        <v>0</v>
      </c>
      <c r="X41" s="136">
        <v>0</v>
      </c>
      <c r="Y41" s="136">
        <v>0</v>
      </c>
      <c r="Z41" s="136">
        <v>0</v>
      </c>
      <c r="AA41" s="136">
        <v>0</v>
      </c>
      <c r="AB41" s="136">
        <v>0</v>
      </c>
      <c r="AC41" s="136">
        <v>0</v>
      </c>
      <c r="AD41" s="136">
        <v>0</v>
      </c>
      <c r="AE41" s="136">
        <v>0</v>
      </c>
      <c r="AF41" s="136">
        <v>0</v>
      </c>
      <c r="AG41" s="136">
        <v>0</v>
      </c>
      <c r="AH41" s="136">
        <v>0</v>
      </c>
      <c r="AI41" s="136">
        <v>0</v>
      </c>
      <c r="AJ41" s="136">
        <v>0</v>
      </c>
      <c r="AK41" s="136">
        <v>0</v>
      </c>
      <c r="AL41" s="136">
        <v>0</v>
      </c>
      <c r="AM41" s="136">
        <v>0</v>
      </c>
      <c r="AN41" s="136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5" activePane="bottomRight" state="frozen"/>
      <selection pane="topRight" activeCell="C1" sqref="C1"/>
      <selection pane="bottomLeft" activeCell="A2" sqref="A2"/>
      <selection pane="bottomRight" activeCell="E46" sqref="E46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2.6640625" style="104" customWidth="1"/>
    <col min="5" max="6" width="12.6640625" style="103" customWidth="1"/>
    <col min="7" max="8" width="8.83203125" style="104"/>
  </cols>
  <sheetData>
    <row r="1" spans="1:8" ht="70" x14ac:dyDescent="0.15">
      <c r="A1" s="5" t="s">
        <v>20</v>
      </c>
      <c r="B1" s="1" t="s">
        <v>0</v>
      </c>
      <c r="C1" s="175" t="s">
        <v>229</v>
      </c>
      <c r="D1" s="175" t="s">
        <v>230</v>
      </c>
      <c r="E1" s="175" t="s">
        <v>233</v>
      </c>
      <c r="F1" s="175" t="s">
        <v>234</v>
      </c>
      <c r="G1"/>
      <c r="H1"/>
    </row>
    <row r="2" spans="1:8" x14ac:dyDescent="0.15">
      <c r="A2">
        <v>1</v>
      </c>
      <c r="B2" s="174" t="s">
        <v>192</v>
      </c>
      <c r="C2" s="104">
        <v>1</v>
      </c>
      <c r="D2" s="104">
        <v>0</v>
      </c>
      <c r="E2" s="103">
        <v>0</v>
      </c>
      <c r="F2" s="103">
        <v>1</v>
      </c>
      <c r="G2"/>
      <c r="H2"/>
    </row>
    <row r="3" spans="1:8" x14ac:dyDescent="0.15">
      <c r="A3">
        <v>2</v>
      </c>
      <c r="B3" s="174" t="s">
        <v>193</v>
      </c>
      <c r="C3" s="104">
        <v>1</v>
      </c>
      <c r="D3" s="104">
        <v>0</v>
      </c>
      <c r="E3" s="103">
        <v>0</v>
      </c>
      <c r="F3" s="103">
        <v>1</v>
      </c>
      <c r="G3"/>
      <c r="H3"/>
    </row>
    <row r="4" spans="1:8" x14ac:dyDescent="0.15">
      <c r="A4">
        <v>3</v>
      </c>
      <c r="B4" s="174" t="s">
        <v>194</v>
      </c>
      <c r="C4" s="104">
        <v>1</v>
      </c>
      <c r="D4" s="104">
        <v>0</v>
      </c>
      <c r="E4" s="103">
        <v>0</v>
      </c>
      <c r="F4" s="103">
        <v>1</v>
      </c>
      <c r="G4"/>
      <c r="H4"/>
    </row>
    <row r="5" spans="1:8" x14ac:dyDescent="0.15">
      <c r="A5">
        <v>4</v>
      </c>
      <c r="B5" s="174" t="s">
        <v>195</v>
      </c>
      <c r="C5" s="104">
        <v>1</v>
      </c>
      <c r="D5" s="104">
        <v>0</v>
      </c>
      <c r="E5" s="103">
        <v>0</v>
      </c>
      <c r="F5" s="103">
        <v>1</v>
      </c>
      <c r="G5"/>
      <c r="H5"/>
    </row>
    <row r="6" spans="1:8" x14ac:dyDescent="0.15">
      <c r="A6">
        <v>5</v>
      </c>
      <c r="B6" s="174" t="s">
        <v>196</v>
      </c>
      <c r="C6" s="104">
        <v>1</v>
      </c>
      <c r="D6" s="104">
        <v>0</v>
      </c>
      <c r="E6" s="103">
        <v>0</v>
      </c>
      <c r="F6" s="103">
        <v>1</v>
      </c>
      <c r="G6"/>
      <c r="H6"/>
    </row>
    <row r="7" spans="1:8" x14ac:dyDescent="0.15">
      <c r="A7">
        <v>6</v>
      </c>
      <c r="B7" s="174" t="s">
        <v>197</v>
      </c>
      <c r="C7" s="104">
        <v>1</v>
      </c>
      <c r="D7" s="104">
        <v>0</v>
      </c>
      <c r="E7" s="103">
        <v>0</v>
      </c>
      <c r="F7" s="103">
        <v>1</v>
      </c>
      <c r="G7"/>
      <c r="H7"/>
    </row>
    <row r="8" spans="1:8" x14ac:dyDescent="0.15">
      <c r="A8">
        <v>7</v>
      </c>
      <c r="B8" s="174" t="s">
        <v>198</v>
      </c>
      <c r="C8" s="104">
        <v>1</v>
      </c>
      <c r="D8" s="104">
        <v>0</v>
      </c>
      <c r="E8" s="103">
        <v>0</v>
      </c>
      <c r="F8" s="103">
        <v>1</v>
      </c>
      <c r="G8"/>
      <c r="H8"/>
    </row>
    <row r="9" spans="1:8" x14ac:dyDescent="0.15">
      <c r="A9">
        <v>8</v>
      </c>
      <c r="B9" s="174" t="s">
        <v>199</v>
      </c>
      <c r="C9" s="104">
        <v>1</v>
      </c>
      <c r="D9" s="104">
        <v>0</v>
      </c>
      <c r="E9" s="103">
        <v>0</v>
      </c>
      <c r="F9" s="103">
        <v>1</v>
      </c>
      <c r="G9"/>
      <c r="H9"/>
    </row>
    <row r="10" spans="1:8" x14ac:dyDescent="0.15">
      <c r="A10">
        <v>9</v>
      </c>
      <c r="B10" s="174" t="s">
        <v>200</v>
      </c>
      <c r="C10" s="104">
        <v>1</v>
      </c>
      <c r="D10" s="104">
        <v>0</v>
      </c>
      <c r="E10" s="103">
        <v>0</v>
      </c>
      <c r="F10" s="103">
        <v>1</v>
      </c>
      <c r="G10"/>
      <c r="H10"/>
    </row>
    <row r="11" spans="1:8" x14ac:dyDescent="0.15">
      <c r="A11">
        <v>10</v>
      </c>
      <c r="B11" s="174" t="s">
        <v>201</v>
      </c>
      <c r="C11" s="104">
        <v>1</v>
      </c>
      <c r="D11" s="104">
        <v>0</v>
      </c>
      <c r="E11" s="103">
        <v>0</v>
      </c>
      <c r="F11" s="103">
        <v>1</v>
      </c>
      <c r="G11"/>
      <c r="H11"/>
    </row>
    <row r="12" spans="1:8" x14ac:dyDescent="0.15">
      <c r="A12">
        <v>11</v>
      </c>
      <c r="B12" s="174" t="s">
        <v>202</v>
      </c>
      <c r="C12" s="104">
        <v>1</v>
      </c>
      <c r="D12" s="104">
        <v>0</v>
      </c>
      <c r="E12" s="103">
        <v>0</v>
      </c>
      <c r="F12" s="103">
        <v>1</v>
      </c>
      <c r="G12"/>
      <c r="H12"/>
    </row>
    <row r="13" spans="1:8" x14ac:dyDescent="0.15">
      <c r="A13">
        <v>12</v>
      </c>
      <c r="B13" s="174" t="s">
        <v>203</v>
      </c>
      <c r="C13" s="104">
        <v>1</v>
      </c>
      <c r="D13" s="104">
        <v>0</v>
      </c>
      <c r="E13" s="103">
        <v>0</v>
      </c>
      <c r="F13" s="103">
        <v>1</v>
      </c>
      <c r="G13"/>
      <c r="H13"/>
    </row>
    <row r="14" spans="1:8" x14ac:dyDescent="0.15">
      <c r="A14">
        <v>13</v>
      </c>
      <c r="B14" s="174" t="s">
        <v>204</v>
      </c>
      <c r="C14" s="104">
        <v>1</v>
      </c>
      <c r="D14" s="104">
        <v>0</v>
      </c>
      <c r="E14" s="103">
        <v>0</v>
      </c>
      <c r="F14" s="103">
        <v>1</v>
      </c>
      <c r="G14"/>
      <c r="H14"/>
    </row>
    <row r="15" spans="1:8" x14ac:dyDescent="0.15">
      <c r="A15">
        <v>14</v>
      </c>
      <c r="B15" s="174" t="s">
        <v>205</v>
      </c>
      <c r="C15" s="104">
        <v>1</v>
      </c>
      <c r="D15" s="104">
        <v>0</v>
      </c>
      <c r="E15" s="103">
        <v>0</v>
      </c>
      <c r="F15" s="103">
        <v>1</v>
      </c>
      <c r="G15"/>
      <c r="H15"/>
    </row>
    <row r="16" spans="1:8" x14ac:dyDescent="0.15">
      <c r="A16">
        <v>15</v>
      </c>
      <c r="B16" s="174" t="s">
        <v>206</v>
      </c>
      <c r="C16" s="104">
        <v>1</v>
      </c>
      <c r="D16" s="104">
        <v>0</v>
      </c>
      <c r="E16" s="103">
        <v>0</v>
      </c>
      <c r="F16" s="103">
        <v>1</v>
      </c>
      <c r="G16"/>
      <c r="H16"/>
    </row>
    <row r="17" spans="1:8" ht="15" customHeight="1" x14ac:dyDescent="0.15">
      <c r="A17">
        <v>16</v>
      </c>
      <c r="B17" s="174" t="s">
        <v>207</v>
      </c>
      <c r="C17" s="104">
        <v>1</v>
      </c>
      <c r="D17" s="104">
        <v>0</v>
      </c>
      <c r="E17" s="103">
        <v>0</v>
      </c>
      <c r="F17" s="103">
        <v>1</v>
      </c>
      <c r="G17"/>
      <c r="H17"/>
    </row>
    <row r="18" spans="1:8" ht="15" customHeight="1" x14ac:dyDescent="0.15">
      <c r="A18">
        <v>17</v>
      </c>
      <c r="B18" s="174" t="s">
        <v>208</v>
      </c>
      <c r="C18" s="104">
        <v>1</v>
      </c>
      <c r="D18" s="104">
        <v>0</v>
      </c>
      <c r="E18" s="103">
        <v>0</v>
      </c>
      <c r="F18" s="103">
        <v>1</v>
      </c>
      <c r="G18"/>
      <c r="H18"/>
    </row>
    <row r="19" spans="1:8" ht="15" customHeight="1" x14ac:dyDescent="0.15">
      <c r="A19">
        <v>18</v>
      </c>
      <c r="B19" s="174" t="s">
        <v>209</v>
      </c>
      <c r="C19" s="104">
        <v>1</v>
      </c>
      <c r="D19" s="104">
        <v>0</v>
      </c>
      <c r="E19" s="103">
        <v>0</v>
      </c>
      <c r="F19" s="103">
        <v>1</v>
      </c>
      <c r="G19"/>
      <c r="H19"/>
    </row>
    <row r="20" spans="1:8" ht="15" customHeight="1" x14ac:dyDescent="0.15">
      <c r="A20">
        <v>19</v>
      </c>
      <c r="B20" s="174" t="s">
        <v>210</v>
      </c>
      <c r="C20" s="104">
        <v>1</v>
      </c>
      <c r="D20" s="104">
        <v>0</v>
      </c>
      <c r="E20" s="103">
        <v>0</v>
      </c>
      <c r="F20" s="103">
        <v>1</v>
      </c>
      <c r="G20"/>
      <c r="H20"/>
    </row>
    <row r="21" spans="1:8" ht="15" customHeight="1" x14ac:dyDescent="0.15">
      <c r="A21">
        <v>20</v>
      </c>
      <c r="B21" s="174" t="s">
        <v>211</v>
      </c>
      <c r="C21" s="104">
        <v>1</v>
      </c>
      <c r="D21" s="104">
        <v>0</v>
      </c>
      <c r="E21" s="103">
        <v>0</v>
      </c>
      <c r="F21" s="103">
        <v>1</v>
      </c>
      <c r="G21"/>
      <c r="H21"/>
    </row>
    <row r="22" spans="1:8" ht="15" customHeight="1" x14ac:dyDescent="0.15">
      <c r="A22">
        <v>21</v>
      </c>
      <c r="B22" s="174" t="s">
        <v>212</v>
      </c>
      <c r="C22" s="104">
        <v>1</v>
      </c>
      <c r="D22" s="104">
        <v>0</v>
      </c>
      <c r="E22" s="103">
        <v>0</v>
      </c>
      <c r="F22" s="103">
        <v>1</v>
      </c>
      <c r="G22"/>
      <c r="H22"/>
    </row>
    <row r="23" spans="1:8" ht="15" customHeight="1" x14ac:dyDescent="0.15">
      <c r="A23">
        <v>22</v>
      </c>
      <c r="B23" s="174" t="s">
        <v>213</v>
      </c>
      <c r="C23" s="104">
        <v>1</v>
      </c>
      <c r="D23" s="104">
        <v>0</v>
      </c>
      <c r="E23" s="103">
        <v>0</v>
      </c>
      <c r="F23" s="103">
        <v>1</v>
      </c>
      <c r="G23"/>
      <c r="H23"/>
    </row>
    <row r="24" spans="1:8" ht="15" customHeight="1" x14ac:dyDescent="0.15">
      <c r="A24">
        <v>23</v>
      </c>
      <c r="B24" s="174" t="s">
        <v>214</v>
      </c>
      <c r="C24" s="104">
        <v>1</v>
      </c>
      <c r="D24" s="104">
        <v>0</v>
      </c>
      <c r="E24" s="103">
        <v>0</v>
      </c>
      <c r="F24" s="103">
        <v>1</v>
      </c>
      <c r="G24"/>
      <c r="H24"/>
    </row>
    <row r="25" spans="1:8" ht="15" customHeight="1" x14ac:dyDescent="0.15">
      <c r="A25">
        <v>24</v>
      </c>
      <c r="B25" s="174" t="s">
        <v>215</v>
      </c>
      <c r="C25" s="104">
        <v>1</v>
      </c>
      <c r="D25" s="104">
        <v>0</v>
      </c>
      <c r="E25" s="103">
        <v>0</v>
      </c>
      <c r="F25" s="103">
        <v>1</v>
      </c>
      <c r="G25"/>
      <c r="H25"/>
    </row>
    <row r="26" spans="1:8" ht="15" customHeight="1" x14ac:dyDescent="0.15">
      <c r="A26">
        <v>25</v>
      </c>
      <c r="B26" s="174" t="s">
        <v>216</v>
      </c>
      <c r="C26" s="104">
        <v>1</v>
      </c>
      <c r="D26" s="104">
        <v>0</v>
      </c>
      <c r="E26" s="103">
        <v>0</v>
      </c>
      <c r="F26" s="103">
        <v>1</v>
      </c>
      <c r="G26"/>
      <c r="H26"/>
    </row>
    <row r="27" spans="1:8" ht="15" customHeight="1" x14ac:dyDescent="0.15">
      <c r="A27">
        <v>26</v>
      </c>
      <c r="B27" s="174" t="s">
        <v>217</v>
      </c>
      <c r="C27" s="104">
        <v>1</v>
      </c>
      <c r="D27" s="104">
        <v>0</v>
      </c>
      <c r="E27" s="103">
        <v>0</v>
      </c>
      <c r="F27" s="103">
        <v>1</v>
      </c>
      <c r="G27"/>
      <c r="H27"/>
    </row>
    <row r="28" spans="1:8" ht="15" customHeight="1" x14ac:dyDescent="0.15">
      <c r="A28">
        <v>27</v>
      </c>
      <c r="B28" s="174" t="s">
        <v>218</v>
      </c>
      <c r="C28" s="104">
        <v>1</v>
      </c>
      <c r="D28" s="104">
        <v>0</v>
      </c>
      <c r="E28" s="103">
        <v>0</v>
      </c>
      <c r="F28" s="103">
        <v>1</v>
      </c>
      <c r="G28"/>
      <c r="H28"/>
    </row>
    <row r="29" spans="1:8" ht="15" customHeight="1" x14ac:dyDescent="0.15">
      <c r="A29">
        <v>28</v>
      </c>
      <c r="B29" s="174" t="s">
        <v>219</v>
      </c>
      <c r="C29" s="104">
        <v>1</v>
      </c>
      <c r="D29" s="104">
        <v>0</v>
      </c>
      <c r="E29" s="103">
        <v>0</v>
      </c>
      <c r="F29" s="103">
        <v>1</v>
      </c>
      <c r="G29"/>
      <c r="H29"/>
    </row>
    <row r="30" spans="1:8" ht="15" customHeight="1" x14ac:dyDescent="0.15">
      <c r="A30">
        <v>29</v>
      </c>
      <c r="B30" s="174" t="s">
        <v>220</v>
      </c>
      <c r="C30" s="104">
        <v>1</v>
      </c>
      <c r="D30" s="104">
        <v>0</v>
      </c>
      <c r="E30" s="103">
        <v>0</v>
      </c>
      <c r="F30" s="103">
        <v>1</v>
      </c>
      <c r="G30"/>
      <c r="H30"/>
    </row>
    <row r="31" spans="1:8" ht="15" customHeight="1" x14ac:dyDescent="0.15">
      <c r="A31">
        <v>30</v>
      </c>
      <c r="B31" s="174" t="s">
        <v>221</v>
      </c>
      <c r="C31" s="104">
        <v>1</v>
      </c>
      <c r="D31" s="104">
        <v>0</v>
      </c>
      <c r="E31" s="103">
        <v>0</v>
      </c>
      <c r="F31" s="103">
        <v>1</v>
      </c>
      <c r="G31"/>
      <c r="H31"/>
    </row>
    <row r="32" spans="1:8" ht="15" customHeight="1" x14ac:dyDescent="0.15">
      <c r="A32">
        <v>31</v>
      </c>
      <c r="B32" s="174" t="s">
        <v>222</v>
      </c>
      <c r="C32" s="104">
        <v>1</v>
      </c>
      <c r="D32" s="104">
        <v>0</v>
      </c>
      <c r="E32" s="103">
        <v>0</v>
      </c>
      <c r="F32" s="103">
        <v>1</v>
      </c>
    </row>
    <row r="33" spans="1:8" ht="15" customHeight="1" x14ac:dyDescent="0.15">
      <c r="A33">
        <v>32</v>
      </c>
      <c r="B33" s="174" t="s">
        <v>223</v>
      </c>
      <c r="C33" s="104">
        <v>1</v>
      </c>
      <c r="D33" s="104">
        <v>0</v>
      </c>
      <c r="E33" s="103">
        <v>0</v>
      </c>
      <c r="F33" s="103">
        <v>1</v>
      </c>
    </row>
    <row r="34" spans="1:8" ht="15" customHeight="1" x14ac:dyDescent="0.15">
      <c r="A34">
        <v>33</v>
      </c>
      <c r="B34" s="174" t="s">
        <v>224</v>
      </c>
      <c r="C34" s="104">
        <v>1</v>
      </c>
      <c r="D34" s="104">
        <v>0</v>
      </c>
      <c r="E34" s="103">
        <v>0</v>
      </c>
      <c r="F34" s="103">
        <v>1</v>
      </c>
    </row>
    <row r="35" spans="1:8" ht="15" customHeight="1" x14ac:dyDescent="0.15">
      <c r="A35">
        <v>34</v>
      </c>
      <c r="B35" s="174" t="s">
        <v>225</v>
      </c>
      <c r="C35" s="104">
        <v>1</v>
      </c>
      <c r="D35" s="104">
        <v>0</v>
      </c>
      <c r="E35" s="103">
        <v>0</v>
      </c>
      <c r="F35" s="103">
        <v>1</v>
      </c>
    </row>
    <row r="36" spans="1:8" ht="15" customHeight="1" x14ac:dyDescent="0.15">
      <c r="A36">
        <v>35</v>
      </c>
      <c r="B36" s="174" t="s">
        <v>226</v>
      </c>
      <c r="C36" s="104">
        <v>1</v>
      </c>
      <c r="D36" s="104">
        <v>0</v>
      </c>
      <c r="E36" s="104">
        <v>0</v>
      </c>
      <c r="F36" s="104">
        <v>1</v>
      </c>
      <c r="G36"/>
      <c r="H36"/>
    </row>
    <row r="37" spans="1:8" ht="15" customHeight="1" x14ac:dyDescent="0.15">
      <c r="A37">
        <v>36</v>
      </c>
      <c r="B37" s="174" t="s">
        <v>227</v>
      </c>
      <c r="C37" s="104">
        <v>1</v>
      </c>
      <c r="D37" s="104">
        <v>0</v>
      </c>
      <c r="E37" s="104">
        <v>0</v>
      </c>
      <c r="F37" s="104">
        <v>1</v>
      </c>
      <c r="G37"/>
      <c r="H37"/>
    </row>
    <row r="38" spans="1:8" ht="15" customHeight="1" x14ac:dyDescent="0.15">
      <c r="A38">
        <v>37</v>
      </c>
      <c r="B38" s="174" t="s">
        <v>228</v>
      </c>
      <c r="C38" s="104">
        <v>1</v>
      </c>
      <c r="D38" s="104">
        <v>0</v>
      </c>
      <c r="E38" s="104">
        <v>0</v>
      </c>
      <c r="F38" s="104">
        <v>1</v>
      </c>
      <c r="G38"/>
      <c r="H38"/>
    </row>
    <row r="39" spans="1:8" ht="15" customHeight="1" x14ac:dyDescent="0.15">
      <c r="A39">
        <v>38</v>
      </c>
      <c r="B39" s="174" t="s">
        <v>229</v>
      </c>
      <c r="C39" s="104">
        <v>0</v>
      </c>
      <c r="D39" s="104">
        <v>1</v>
      </c>
      <c r="E39" s="104">
        <v>0</v>
      </c>
      <c r="F39" s="104">
        <v>1</v>
      </c>
      <c r="G39"/>
      <c r="H39"/>
    </row>
    <row r="40" spans="1:8" ht="15" customHeight="1" x14ac:dyDescent="0.15">
      <c r="A40">
        <v>39</v>
      </c>
      <c r="B40" s="174" t="s">
        <v>230</v>
      </c>
      <c r="C40" s="104">
        <v>0</v>
      </c>
      <c r="D40" s="104">
        <v>0</v>
      </c>
      <c r="E40" s="104">
        <v>1</v>
      </c>
      <c r="F40" s="104">
        <v>1</v>
      </c>
      <c r="G40"/>
      <c r="H40"/>
    </row>
    <row r="41" spans="1:8" ht="15" customHeight="1" x14ac:dyDescent="0.15">
      <c r="A41">
        <v>40</v>
      </c>
      <c r="B41" s="174" t="s">
        <v>231</v>
      </c>
      <c r="C41" s="104">
        <v>0</v>
      </c>
      <c r="D41" s="104">
        <v>1</v>
      </c>
      <c r="E41" s="104">
        <v>0</v>
      </c>
      <c r="F41" s="104">
        <v>1</v>
      </c>
      <c r="G41"/>
      <c r="H41"/>
    </row>
    <row r="42" spans="1:8" ht="15" customHeight="1" x14ac:dyDescent="0.15">
      <c r="C42"/>
      <c r="D42"/>
      <c r="E42" s="104"/>
      <c r="F42" s="104"/>
      <c r="G42"/>
      <c r="H42"/>
    </row>
    <row r="43" spans="1:8" ht="15" customHeight="1" x14ac:dyDescent="0.15">
      <c r="C43"/>
      <c r="D43"/>
      <c r="E43" s="104"/>
      <c r="F43" s="104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4"/>
      <c r="F46" s="104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33203125" bestFit="1" customWidth="1"/>
    <col min="3" max="4" width="11.83203125" bestFit="1" customWidth="1"/>
    <col min="5" max="5" width="12.1640625" bestFit="1" customWidth="1"/>
  </cols>
  <sheetData>
    <row r="1" spans="1:5" s="105" customFormat="1" ht="112" x14ac:dyDescent="0.15">
      <c r="A1" s="5" t="s">
        <v>21</v>
      </c>
      <c r="B1" s="3" t="s">
        <v>0</v>
      </c>
      <c r="C1" s="177" t="s">
        <v>231</v>
      </c>
      <c r="D1" s="177" t="s">
        <v>235</v>
      </c>
      <c r="E1"/>
    </row>
    <row r="2" spans="1:5" ht="15" customHeight="1" x14ac:dyDescent="0.15">
      <c r="A2">
        <v>1</v>
      </c>
      <c r="B2" s="176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76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76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76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76" t="s">
        <v>196</v>
      </c>
      <c r="C6">
        <v>3.7178999999999999E-4</v>
      </c>
      <c r="D6">
        <v>3.7178999999999999E-4</v>
      </c>
    </row>
    <row r="7" spans="1:5" ht="15" customHeight="1" x14ac:dyDescent="0.15">
      <c r="A7">
        <v>6</v>
      </c>
      <c r="B7" s="176" t="s">
        <v>197</v>
      </c>
      <c r="C7">
        <v>2.7307199999999998E-5</v>
      </c>
      <c r="D7">
        <v>2.7307199999999998E-5</v>
      </c>
    </row>
    <row r="8" spans="1:5" ht="15" customHeight="1" x14ac:dyDescent="0.15">
      <c r="A8">
        <v>7</v>
      </c>
      <c r="B8" s="176" t="s">
        <v>198</v>
      </c>
      <c r="C8">
        <v>2.81263E-6</v>
      </c>
      <c r="D8">
        <v>2.81263E-6</v>
      </c>
    </row>
    <row r="9" spans="1:5" ht="15" customHeight="1" x14ac:dyDescent="0.15">
      <c r="A9">
        <v>8</v>
      </c>
      <c r="B9" s="176" t="s">
        <v>199</v>
      </c>
      <c r="C9">
        <v>9.1156500000000003E-4</v>
      </c>
      <c r="D9">
        <v>9.1156500000000003E-4</v>
      </c>
    </row>
    <row r="10" spans="1:5" ht="15" customHeight="1" x14ac:dyDescent="0.15">
      <c r="A10">
        <v>9</v>
      </c>
      <c r="B10" s="176" t="s">
        <v>200</v>
      </c>
      <c r="C10">
        <v>7.7697399999999999E-5</v>
      </c>
      <c r="D10">
        <v>7.7697399999999999E-5</v>
      </c>
    </row>
    <row r="11" spans="1:5" ht="15" customHeight="1" x14ac:dyDescent="0.15">
      <c r="A11">
        <v>10</v>
      </c>
      <c r="B11" s="176" t="s">
        <v>201</v>
      </c>
      <c r="C11">
        <v>3.129527E-3</v>
      </c>
      <c r="D11">
        <v>3.129527E-3</v>
      </c>
    </row>
    <row r="12" spans="1:5" ht="15" customHeight="1" x14ac:dyDescent="0.15">
      <c r="A12">
        <v>11</v>
      </c>
      <c r="B12" s="176" t="s">
        <v>202</v>
      </c>
      <c r="C12">
        <v>1.51163E-4</v>
      </c>
      <c r="D12">
        <v>1.51163E-4</v>
      </c>
    </row>
    <row r="13" spans="1:5" ht="15" customHeight="1" x14ac:dyDescent="0.15">
      <c r="A13">
        <v>12</v>
      </c>
      <c r="B13" s="176" t="s">
        <v>203</v>
      </c>
      <c r="C13">
        <v>3.3129299999999997E-4</v>
      </c>
      <c r="D13">
        <v>3.3129299999999997E-4</v>
      </c>
    </row>
    <row r="14" spans="1:5" ht="15" customHeight="1" x14ac:dyDescent="0.15">
      <c r="A14">
        <v>13</v>
      </c>
      <c r="B14" s="176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76" t="s">
        <v>205</v>
      </c>
      <c r="C15">
        <v>2.025911E-3</v>
      </c>
      <c r="D15">
        <v>2.025911E-3</v>
      </c>
    </row>
    <row r="16" spans="1:5" ht="15" customHeight="1" x14ac:dyDescent="0.15">
      <c r="A16">
        <v>15</v>
      </c>
      <c r="B16" s="176" t="s">
        <v>206</v>
      </c>
      <c r="C16">
        <v>8.0004000000000002E-4</v>
      </c>
      <c r="D16">
        <v>8.0004000000000002E-4</v>
      </c>
    </row>
    <row r="17" spans="1:4" ht="15" customHeight="1" x14ac:dyDescent="0.15">
      <c r="A17">
        <v>16</v>
      </c>
      <c r="B17" s="176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76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76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76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76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76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76" t="s">
        <v>213</v>
      </c>
      <c r="C23">
        <v>5.7559199999999999E-4</v>
      </c>
      <c r="D23">
        <v>5.7559199999999999E-4</v>
      </c>
    </row>
    <row r="24" spans="1:4" ht="15" customHeight="1" x14ac:dyDescent="0.15">
      <c r="A24">
        <v>23</v>
      </c>
      <c r="B24" s="176" t="s">
        <v>214</v>
      </c>
      <c r="C24">
        <v>1.0750829999999999E-3</v>
      </c>
      <c r="D24">
        <v>1.0750829999999999E-3</v>
      </c>
    </row>
    <row r="25" spans="1:4" ht="15" customHeight="1" x14ac:dyDescent="0.15">
      <c r="A25">
        <v>24</v>
      </c>
      <c r="B25" s="176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76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76" t="s">
        <v>217</v>
      </c>
      <c r="C27">
        <v>2.7620100000000001E-4</v>
      </c>
      <c r="D27">
        <v>2.7620100000000001E-4</v>
      </c>
    </row>
    <row r="28" spans="1:4" ht="15" customHeight="1" x14ac:dyDescent="0.15">
      <c r="A28">
        <v>27</v>
      </c>
      <c r="B28" s="176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6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76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76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76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76" t="s">
        <v>223</v>
      </c>
      <c r="C33">
        <v>0</v>
      </c>
      <c r="D33">
        <v>0</v>
      </c>
    </row>
    <row r="34" spans="1:4" ht="15" customHeight="1" x14ac:dyDescent="0.15">
      <c r="A34">
        <v>33</v>
      </c>
      <c r="B34" s="176" t="s">
        <v>224</v>
      </c>
      <c r="C34">
        <v>0</v>
      </c>
      <c r="D34">
        <v>0</v>
      </c>
    </row>
    <row r="35" spans="1:4" ht="15" customHeight="1" x14ac:dyDescent="0.15">
      <c r="A35">
        <v>34</v>
      </c>
      <c r="B35" s="176" t="s">
        <v>225</v>
      </c>
      <c r="C35">
        <v>0</v>
      </c>
      <c r="D35">
        <v>0</v>
      </c>
    </row>
    <row r="36" spans="1:4" ht="15" customHeight="1" x14ac:dyDescent="0.15">
      <c r="A36">
        <v>35</v>
      </c>
      <c r="B36" s="176" t="s">
        <v>226</v>
      </c>
      <c r="C36">
        <v>0</v>
      </c>
      <c r="D36">
        <v>0</v>
      </c>
    </row>
    <row r="37" spans="1:4" ht="15" customHeight="1" x14ac:dyDescent="0.15">
      <c r="A37">
        <v>36</v>
      </c>
      <c r="B37" s="176" t="s">
        <v>227</v>
      </c>
      <c r="C37">
        <v>0</v>
      </c>
      <c r="D37">
        <v>0</v>
      </c>
    </row>
    <row r="38" spans="1:4" ht="15" customHeight="1" x14ac:dyDescent="0.15">
      <c r="A38">
        <v>37</v>
      </c>
      <c r="B38" s="176" t="s">
        <v>228</v>
      </c>
      <c r="C38">
        <v>0</v>
      </c>
      <c r="D38">
        <v>0</v>
      </c>
    </row>
    <row r="39" spans="1:4" ht="15" customHeight="1" x14ac:dyDescent="0.15">
      <c r="A39">
        <v>38</v>
      </c>
      <c r="B39" s="176" t="s">
        <v>229</v>
      </c>
      <c r="C39">
        <v>0</v>
      </c>
      <c r="D39">
        <v>0</v>
      </c>
    </row>
    <row r="40" spans="1:4" ht="15" customHeight="1" x14ac:dyDescent="0.15">
      <c r="A40">
        <v>39</v>
      </c>
      <c r="B40" s="176" t="s">
        <v>230</v>
      </c>
      <c r="C40">
        <v>0</v>
      </c>
      <c r="D40">
        <v>0</v>
      </c>
    </row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4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33203125" bestFit="1" customWidth="1"/>
    <col min="3" max="4" width="2.33203125" bestFit="1" customWidth="1"/>
    <col min="5" max="5" width="12.1640625" bestFit="1" customWidth="1"/>
  </cols>
  <sheetData>
    <row r="1" spans="1:4" s="105" customFormat="1" ht="112" x14ac:dyDescent="0.15">
      <c r="A1" s="5" t="s">
        <v>22</v>
      </c>
      <c r="B1" s="3" t="s">
        <v>0</v>
      </c>
      <c r="C1" s="179" t="s">
        <v>231</v>
      </c>
      <c r="D1" s="179" t="s">
        <v>235</v>
      </c>
    </row>
    <row r="2" spans="1:4" x14ac:dyDescent="0.15">
      <c r="A2">
        <v>1</v>
      </c>
      <c r="B2" s="178" t="s">
        <v>192</v>
      </c>
      <c r="C2">
        <v>0</v>
      </c>
      <c r="D2">
        <v>0</v>
      </c>
    </row>
    <row r="3" spans="1:4" x14ac:dyDescent="0.15">
      <c r="A3">
        <v>2</v>
      </c>
      <c r="B3" s="178" t="s">
        <v>193</v>
      </c>
      <c r="C3">
        <v>0</v>
      </c>
      <c r="D3">
        <v>0</v>
      </c>
    </row>
    <row r="4" spans="1:4" x14ac:dyDescent="0.15">
      <c r="A4">
        <v>3</v>
      </c>
      <c r="B4" s="178" t="s">
        <v>194</v>
      </c>
      <c r="C4">
        <v>0</v>
      </c>
      <c r="D4">
        <v>0</v>
      </c>
    </row>
    <row r="5" spans="1:4" x14ac:dyDescent="0.15">
      <c r="A5">
        <v>4</v>
      </c>
      <c r="B5" s="178" t="s">
        <v>195</v>
      </c>
      <c r="C5">
        <v>0</v>
      </c>
      <c r="D5">
        <v>0</v>
      </c>
    </row>
    <row r="6" spans="1:4" x14ac:dyDescent="0.15">
      <c r="A6">
        <v>5</v>
      </c>
      <c r="B6" s="178" t="s">
        <v>196</v>
      </c>
      <c r="C6">
        <v>0</v>
      </c>
      <c r="D6">
        <v>0</v>
      </c>
    </row>
    <row r="7" spans="1:4" x14ac:dyDescent="0.15">
      <c r="A7">
        <v>6</v>
      </c>
      <c r="B7" s="178" t="s">
        <v>197</v>
      </c>
      <c r="C7">
        <v>0</v>
      </c>
      <c r="D7">
        <v>0</v>
      </c>
    </row>
    <row r="8" spans="1:4" x14ac:dyDescent="0.15">
      <c r="A8">
        <v>7</v>
      </c>
      <c r="B8" s="178" t="s">
        <v>198</v>
      </c>
      <c r="C8">
        <v>0</v>
      </c>
      <c r="D8">
        <v>0</v>
      </c>
    </row>
    <row r="9" spans="1:4" x14ac:dyDescent="0.15">
      <c r="A9">
        <v>8</v>
      </c>
      <c r="B9" s="178" t="s">
        <v>199</v>
      </c>
      <c r="C9">
        <v>0</v>
      </c>
      <c r="D9">
        <v>0</v>
      </c>
    </row>
    <row r="10" spans="1:4" x14ac:dyDescent="0.15">
      <c r="A10">
        <v>9</v>
      </c>
      <c r="B10" s="178" t="s">
        <v>200</v>
      </c>
      <c r="C10">
        <v>0</v>
      </c>
      <c r="D10">
        <v>0</v>
      </c>
    </row>
    <row r="11" spans="1:4" x14ac:dyDescent="0.15">
      <c r="A11">
        <v>10</v>
      </c>
      <c r="B11" s="178" t="s">
        <v>201</v>
      </c>
      <c r="C11">
        <v>0</v>
      </c>
      <c r="D11">
        <v>0</v>
      </c>
    </row>
    <row r="12" spans="1:4" x14ac:dyDescent="0.15">
      <c r="A12">
        <v>11</v>
      </c>
      <c r="B12" s="178" t="s">
        <v>202</v>
      </c>
      <c r="C12">
        <v>0</v>
      </c>
      <c r="D12">
        <v>0</v>
      </c>
    </row>
    <row r="13" spans="1:4" x14ac:dyDescent="0.15">
      <c r="A13">
        <v>12</v>
      </c>
      <c r="B13" s="178" t="s">
        <v>203</v>
      </c>
      <c r="C13">
        <v>0</v>
      </c>
      <c r="D13">
        <v>0</v>
      </c>
    </row>
    <row r="14" spans="1:4" x14ac:dyDescent="0.15">
      <c r="A14">
        <v>13</v>
      </c>
      <c r="B14" s="178" t="s">
        <v>204</v>
      </c>
      <c r="C14">
        <v>0</v>
      </c>
      <c r="D14">
        <v>0</v>
      </c>
    </row>
    <row r="15" spans="1:4" x14ac:dyDescent="0.15">
      <c r="A15">
        <v>14</v>
      </c>
      <c r="B15" s="178" t="s">
        <v>205</v>
      </c>
      <c r="C15">
        <v>0</v>
      </c>
      <c r="D15">
        <v>0</v>
      </c>
    </row>
    <row r="16" spans="1:4" x14ac:dyDescent="0.15">
      <c r="A16">
        <v>15</v>
      </c>
      <c r="B16" s="178" t="s">
        <v>206</v>
      </c>
      <c r="C16">
        <v>0</v>
      </c>
      <c r="D16">
        <v>0</v>
      </c>
    </row>
    <row r="17" spans="1:4" x14ac:dyDescent="0.15">
      <c r="A17">
        <v>16</v>
      </c>
      <c r="B17" s="178" t="s">
        <v>207</v>
      </c>
      <c r="C17">
        <v>0</v>
      </c>
      <c r="D17">
        <v>0</v>
      </c>
    </row>
    <row r="18" spans="1:4" x14ac:dyDescent="0.15">
      <c r="A18">
        <v>17</v>
      </c>
      <c r="B18" s="178" t="s">
        <v>208</v>
      </c>
      <c r="C18">
        <v>0</v>
      </c>
      <c r="D18">
        <v>0</v>
      </c>
    </row>
    <row r="19" spans="1:4" x14ac:dyDescent="0.15">
      <c r="A19">
        <v>18</v>
      </c>
      <c r="B19" s="178" t="s">
        <v>209</v>
      </c>
      <c r="C19">
        <v>0</v>
      </c>
      <c r="D19">
        <v>0</v>
      </c>
    </row>
    <row r="20" spans="1:4" x14ac:dyDescent="0.15">
      <c r="A20">
        <v>19</v>
      </c>
      <c r="B20" s="178" t="s">
        <v>210</v>
      </c>
      <c r="C20">
        <v>0</v>
      </c>
      <c r="D20">
        <v>0</v>
      </c>
    </row>
    <row r="21" spans="1:4" x14ac:dyDescent="0.15">
      <c r="A21">
        <v>20</v>
      </c>
      <c r="B21" s="178" t="s">
        <v>211</v>
      </c>
      <c r="C21">
        <v>0</v>
      </c>
      <c r="D21">
        <v>0</v>
      </c>
    </row>
    <row r="22" spans="1:4" x14ac:dyDescent="0.15">
      <c r="A22">
        <v>21</v>
      </c>
      <c r="B22" s="178" t="s">
        <v>212</v>
      </c>
      <c r="C22">
        <v>0</v>
      </c>
      <c r="D22">
        <v>0</v>
      </c>
    </row>
    <row r="23" spans="1:4" x14ac:dyDescent="0.15">
      <c r="A23">
        <v>22</v>
      </c>
      <c r="B23" s="178" t="s">
        <v>213</v>
      </c>
      <c r="C23">
        <v>0</v>
      </c>
      <c r="D23">
        <v>0</v>
      </c>
    </row>
    <row r="24" spans="1:4" x14ac:dyDescent="0.15">
      <c r="A24">
        <v>23</v>
      </c>
      <c r="B24" s="178" t="s">
        <v>214</v>
      </c>
      <c r="C24">
        <v>0</v>
      </c>
      <c r="D24">
        <v>0</v>
      </c>
    </row>
    <row r="25" spans="1:4" x14ac:dyDescent="0.15">
      <c r="A25">
        <v>24</v>
      </c>
      <c r="B25" s="178" t="s">
        <v>215</v>
      </c>
      <c r="C25">
        <v>0</v>
      </c>
      <c r="D25">
        <v>0</v>
      </c>
    </row>
    <row r="26" spans="1:4" x14ac:dyDescent="0.15">
      <c r="A26">
        <v>25</v>
      </c>
      <c r="B26" s="178" t="s">
        <v>216</v>
      </c>
      <c r="C26">
        <v>0</v>
      </c>
      <c r="D26">
        <v>0</v>
      </c>
    </row>
    <row r="27" spans="1:4" x14ac:dyDescent="0.15">
      <c r="A27">
        <v>26</v>
      </c>
      <c r="B27" s="178" t="s">
        <v>217</v>
      </c>
      <c r="C27">
        <v>0</v>
      </c>
      <c r="D27">
        <v>0</v>
      </c>
    </row>
    <row r="28" spans="1:4" x14ac:dyDescent="0.15">
      <c r="A28">
        <v>27</v>
      </c>
      <c r="B28" s="178" t="s">
        <v>218</v>
      </c>
      <c r="C28">
        <v>0</v>
      </c>
      <c r="D28">
        <v>0</v>
      </c>
    </row>
    <row r="29" spans="1:4" x14ac:dyDescent="0.15">
      <c r="A29">
        <v>28</v>
      </c>
      <c r="B29" s="178" t="s">
        <v>219</v>
      </c>
      <c r="C29">
        <v>0</v>
      </c>
      <c r="D29">
        <v>0</v>
      </c>
    </row>
    <row r="30" spans="1:4" x14ac:dyDescent="0.15">
      <c r="A30">
        <v>29</v>
      </c>
      <c r="B30" s="178" t="s">
        <v>220</v>
      </c>
      <c r="C30">
        <v>0</v>
      </c>
      <c r="D30">
        <v>0</v>
      </c>
    </row>
    <row r="31" spans="1:4" x14ac:dyDescent="0.15">
      <c r="A31">
        <v>30</v>
      </c>
      <c r="B31" s="178" t="s">
        <v>221</v>
      </c>
      <c r="C31">
        <v>0</v>
      </c>
      <c r="D31">
        <v>0</v>
      </c>
    </row>
    <row r="32" spans="1:4" x14ac:dyDescent="0.15">
      <c r="A32">
        <v>31</v>
      </c>
      <c r="B32" s="178" t="s">
        <v>222</v>
      </c>
      <c r="C32">
        <v>0</v>
      </c>
      <c r="D32">
        <v>0</v>
      </c>
    </row>
    <row r="33" spans="1:4" x14ac:dyDescent="0.15">
      <c r="A33">
        <v>32</v>
      </c>
      <c r="B33" s="178" t="s">
        <v>223</v>
      </c>
      <c r="C33">
        <v>0</v>
      </c>
      <c r="D33">
        <v>0</v>
      </c>
    </row>
    <row r="34" spans="1:4" x14ac:dyDescent="0.15">
      <c r="A34">
        <v>33</v>
      </c>
      <c r="B34" s="178" t="s">
        <v>224</v>
      </c>
      <c r="C34">
        <v>0</v>
      </c>
      <c r="D34">
        <v>0</v>
      </c>
    </row>
    <row r="35" spans="1:4" x14ac:dyDescent="0.15">
      <c r="A35">
        <v>34</v>
      </c>
      <c r="B35" s="178" t="s">
        <v>225</v>
      </c>
      <c r="C35">
        <v>0</v>
      </c>
      <c r="D35">
        <v>0</v>
      </c>
    </row>
    <row r="36" spans="1:4" x14ac:dyDescent="0.15">
      <c r="A36">
        <v>35</v>
      </c>
      <c r="B36" s="178" t="s">
        <v>226</v>
      </c>
      <c r="C36">
        <v>0</v>
      </c>
      <c r="D36">
        <v>0</v>
      </c>
    </row>
    <row r="37" spans="1:4" x14ac:dyDescent="0.15">
      <c r="A37">
        <v>36</v>
      </c>
      <c r="B37" s="178" t="s">
        <v>227</v>
      </c>
      <c r="C37">
        <v>0</v>
      </c>
      <c r="D37">
        <v>0</v>
      </c>
    </row>
    <row r="38" spans="1:4" x14ac:dyDescent="0.15">
      <c r="A38">
        <v>37</v>
      </c>
      <c r="B38" s="178" t="s">
        <v>228</v>
      </c>
      <c r="C38">
        <v>0</v>
      </c>
      <c r="D38">
        <v>0</v>
      </c>
    </row>
    <row r="39" spans="1:4" x14ac:dyDescent="0.15">
      <c r="A39">
        <v>38</v>
      </c>
      <c r="B39" s="178" t="s">
        <v>229</v>
      </c>
      <c r="C39">
        <v>0</v>
      </c>
      <c r="D39">
        <v>0</v>
      </c>
    </row>
    <row r="40" spans="1:4" x14ac:dyDescent="0.15">
      <c r="A40">
        <v>39</v>
      </c>
      <c r="B40" s="178" t="s">
        <v>230</v>
      </c>
      <c r="C40">
        <v>0</v>
      </c>
      <c r="D4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33203125" bestFit="1" customWidth="1"/>
    <col min="6" max="6" width="4.83203125" bestFit="1" customWidth="1"/>
    <col min="7" max="9" width="3.83203125" bestFit="1" customWidth="1"/>
    <col min="10" max="11" width="4.83203125" style="10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6" customFormat="1" ht="14" thickBot="1" x14ac:dyDescent="0.2">
      <c r="D1" s="107" t="s">
        <v>8</v>
      </c>
      <c r="E1" s="107" t="s">
        <v>0</v>
      </c>
      <c r="F1" s="108" t="s">
        <v>99</v>
      </c>
      <c r="G1" s="109" t="s">
        <v>84</v>
      </c>
      <c r="H1" s="109" t="s">
        <v>85</v>
      </c>
      <c r="I1" s="109" t="s">
        <v>86</v>
      </c>
      <c r="J1" s="109" t="s">
        <v>87</v>
      </c>
      <c r="K1" s="109" t="s">
        <v>88</v>
      </c>
      <c r="L1" s="110" t="s">
        <v>89</v>
      </c>
      <c r="M1" s="110" t="s">
        <v>93</v>
      </c>
      <c r="N1" s="110" t="s">
        <v>92</v>
      </c>
      <c r="O1" s="110" t="s">
        <v>90</v>
      </c>
      <c r="P1" s="110" t="s">
        <v>91</v>
      </c>
      <c r="Q1" s="111" t="s">
        <v>94</v>
      </c>
      <c r="R1" s="111" t="s">
        <v>95</v>
      </c>
      <c r="S1" s="111" t="s">
        <v>96</v>
      </c>
      <c r="T1" s="111" t="s">
        <v>97</v>
      </c>
      <c r="U1" s="111" t="s">
        <v>98</v>
      </c>
      <c r="V1" s="109" t="s">
        <v>100</v>
      </c>
      <c r="W1" s="109" t="s">
        <v>101</v>
      </c>
      <c r="X1" s="109" t="s">
        <v>102</v>
      </c>
      <c r="Y1" s="109" t="s">
        <v>134</v>
      </c>
      <c r="Z1" s="110" t="s">
        <v>103</v>
      </c>
      <c r="AA1" s="110" t="s">
        <v>104</v>
      </c>
      <c r="AB1" s="110" t="s">
        <v>105</v>
      </c>
      <c r="AC1" s="112" t="s">
        <v>135</v>
      </c>
      <c r="AD1" s="111" t="s">
        <v>106</v>
      </c>
      <c r="AE1" s="111" t="s">
        <v>107</v>
      </c>
      <c r="AF1" s="111" t="s">
        <v>108</v>
      </c>
      <c r="AG1" s="111" t="s">
        <v>136</v>
      </c>
      <c r="AH1" s="109" t="s">
        <v>109</v>
      </c>
      <c r="AI1" s="109" t="s">
        <v>111</v>
      </c>
      <c r="AJ1" s="109" t="s">
        <v>110</v>
      </c>
      <c r="AK1" s="110" t="s">
        <v>115</v>
      </c>
      <c r="AL1" s="110" t="s">
        <v>116</v>
      </c>
      <c r="AM1" s="110" t="s">
        <v>117</v>
      </c>
      <c r="AN1" s="111" t="s">
        <v>112</v>
      </c>
      <c r="AO1" s="111" t="s">
        <v>113</v>
      </c>
      <c r="AP1" s="111" t="s">
        <v>114</v>
      </c>
    </row>
    <row r="2" spans="1:42" x14ac:dyDescent="0.15">
      <c r="A2" s="113" t="s">
        <v>74</v>
      </c>
      <c r="B2" s="114">
        <v>1</v>
      </c>
      <c r="D2">
        <v>1</v>
      </c>
      <c r="E2" s="180" t="s">
        <v>192</v>
      </c>
      <c r="F2">
        <v>0.98</v>
      </c>
      <c r="G2">
        <v>0.8</v>
      </c>
      <c r="H2">
        <v>0.8</v>
      </c>
      <c r="I2">
        <v>0.8</v>
      </c>
      <c r="J2" s="104">
        <v>0.25</v>
      </c>
      <c r="K2" s="104">
        <v>0.05</v>
      </c>
    </row>
    <row r="3" spans="1:42" x14ac:dyDescent="0.15">
      <c r="A3" s="113" t="s">
        <v>75</v>
      </c>
      <c r="B3" s="115">
        <v>1</v>
      </c>
      <c r="D3">
        <v>2</v>
      </c>
      <c r="E3" s="180" t="s">
        <v>193</v>
      </c>
      <c r="F3">
        <v>0.98</v>
      </c>
      <c r="G3">
        <v>0.8</v>
      </c>
      <c r="H3">
        <v>0.8</v>
      </c>
      <c r="I3">
        <v>0.8</v>
      </c>
      <c r="J3" s="104">
        <v>0.25</v>
      </c>
      <c r="K3" s="104">
        <v>0.05</v>
      </c>
    </row>
    <row r="4" spans="1:42" x14ac:dyDescent="0.15">
      <c r="A4" s="113" t="s">
        <v>76</v>
      </c>
      <c r="B4" s="115">
        <v>1</v>
      </c>
      <c r="D4">
        <v>3</v>
      </c>
      <c r="E4" s="180" t="s">
        <v>194</v>
      </c>
      <c r="F4">
        <v>0.98</v>
      </c>
      <c r="G4">
        <v>0.8</v>
      </c>
      <c r="H4">
        <v>0.8</v>
      </c>
      <c r="I4">
        <v>0.8</v>
      </c>
      <c r="J4" s="104">
        <v>0.25</v>
      </c>
      <c r="K4" s="104">
        <v>0.05</v>
      </c>
    </row>
    <row r="5" spans="1:42" x14ac:dyDescent="0.15">
      <c r="A5" s="113" t="s">
        <v>77</v>
      </c>
      <c r="B5" s="115">
        <v>1</v>
      </c>
      <c r="D5">
        <v>4</v>
      </c>
      <c r="E5" s="180" t="s">
        <v>195</v>
      </c>
      <c r="F5">
        <v>0.98</v>
      </c>
      <c r="G5">
        <v>0.8</v>
      </c>
      <c r="H5">
        <v>0.8</v>
      </c>
      <c r="I5">
        <v>0.8</v>
      </c>
      <c r="J5" s="104">
        <v>0.25</v>
      </c>
      <c r="K5" s="104">
        <v>0.05</v>
      </c>
    </row>
    <row r="6" spans="1:42" x14ac:dyDescent="0.15">
      <c r="A6" s="113" t="s">
        <v>78</v>
      </c>
      <c r="B6" s="115">
        <v>1</v>
      </c>
      <c r="D6">
        <v>5</v>
      </c>
      <c r="E6" s="180" t="s">
        <v>196</v>
      </c>
      <c r="F6">
        <v>0.98</v>
      </c>
      <c r="G6">
        <v>0.8</v>
      </c>
      <c r="H6">
        <v>0.8</v>
      </c>
      <c r="I6">
        <v>0.8</v>
      </c>
      <c r="J6" s="104">
        <v>0.25</v>
      </c>
      <c r="K6" s="104">
        <v>0.05</v>
      </c>
    </row>
    <row r="7" spans="1:42" x14ac:dyDescent="0.15">
      <c r="A7" s="113" t="s">
        <v>79</v>
      </c>
      <c r="B7" s="115">
        <v>1</v>
      </c>
      <c r="D7">
        <v>6</v>
      </c>
      <c r="E7" s="180" t="s">
        <v>197</v>
      </c>
      <c r="F7">
        <v>0.98</v>
      </c>
      <c r="G7">
        <v>0.8</v>
      </c>
      <c r="H7">
        <v>0.8</v>
      </c>
      <c r="I7">
        <v>0.8</v>
      </c>
      <c r="J7" s="104">
        <v>0.25</v>
      </c>
      <c r="K7" s="104">
        <v>0.05</v>
      </c>
    </row>
    <row r="8" spans="1:42" x14ac:dyDescent="0.15">
      <c r="A8" s="113" t="s">
        <v>80</v>
      </c>
      <c r="B8" s="115">
        <v>1</v>
      </c>
      <c r="D8">
        <v>7</v>
      </c>
      <c r="E8" s="180" t="s">
        <v>198</v>
      </c>
      <c r="F8">
        <v>0.98</v>
      </c>
      <c r="G8">
        <v>0.8</v>
      </c>
      <c r="H8">
        <v>0.8</v>
      </c>
      <c r="I8">
        <v>0.8</v>
      </c>
      <c r="J8" s="104">
        <v>0.25</v>
      </c>
      <c r="K8" s="104">
        <v>0.05</v>
      </c>
    </row>
    <row r="9" spans="1:42" x14ac:dyDescent="0.15">
      <c r="A9" s="113" t="s">
        <v>81</v>
      </c>
      <c r="B9" s="115">
        <v>0.1</v>
      </c>
      <c r="C9" s="58" t="s">
        <v>150</v>
      </c>
      <c r="D9">
        <v>8</v>
      </c>
      <c r="E9" s="180" t="s">
        <v>199</v>
      </c>
      <c r="F9">
        <v>0.98</v>
      </c>
      <c r="G9">
        <v>0.8</v>
      </c>
      <c r="H9">
        <v>0.8</v>
      </c>
      <c r="I9">
        <v>0.8</v>
      </c>
      <c r="J9" s="104">
        <v>0.25</v>
      </c>
      <c r="K9" s="104">
        <v>0.05</v>
      </c>
    </row>
    <row r="10" spans="1:42" ht="14" thickBot="1" x14ac:dyDescent="0.2">
      <c r="A10" s="113" t="s">
        <v>149</v>
      </c>
      <c r="B10" s="116">
        <f>1/3</f>
        <v>0.33333333333333331</v>
      </c>
      <c r="C10" s="58" t="s">
        <v>150</v>
      </c>
      <c r="D10">
        <v>9</v>
      </c>
      <c r="E10" s="180" t="s">
        <v>200</v>
      </c>
      <c r="F10">
        <v>0.98</v>
      </c>
      <c r="G10">
        <v>0.8</v>
      </c>
      <c r="H10">
        <v>0.8</v>
      </c>
      <c r="I10">
        <v>0.8</v>
      </c>
      <c r="J10" s="104">
        <v>0.25</v>
      </c>
      <c r="K10" s="104">
        <v>0.05</v>
      </c>
    </row>
    <row r="11" spans="1:42" x14ac:dyDescent="0.15">
      <c r="D11">
        <v>10</v>
      </c>
      <c r="E11" s="180" t="s">
        <v>201</v>
      </c>
      <c r="F11">
        <v>0.98</v>
      </c>
      <c r="G11">
        <v>0.8</v>
      </c>
      <c r="H11">
        <v>0.8</v>
      </c>
      <c r="I11">
        <v>0.8</v>
      </c>
      <c r="J11" s="104">
        <v>0.25</v>
      </c>
      <c r="K11" s="104">
        <v>0.05</v>
      </c>
    </row>
    <row r="12" spans="1:42" x14ac:dyDescent="0.15">
      <c r="D12">
        <v>11</v>
      </c>
      <c r="E12" s="180" t="s">
        <v>202</v>
      </c>
      <c r="F12">
        <v>0.98</v>
      </c>
      <c r="G12">
        <v>0.8</v>
      </c>
      <c r="H12">
        <v>0.8</v>
      </c>
      <c r="I12">
        <v>0.8</v>
      </c>
      <c r="J12" s="104">
        <v>0.25</v>
      </c>
      <c r="K12" s="104">
        <v>0.05</v>
      </c>
    </row>
    <row r="13" spans="1:42" x14ac:dyDescent="0.15">
      <c r="D13">
        <v>12</v>
      </c>
      <c r="E13" s="180" t="s">
        <v>203</v>
      </c>
      <c r="F13">
        <v>0.98</v>
      </c>
      <c r="G13">
        <v>0.8</v>
      </c>
      <c r="H13">
        <v>0.8</v>
      </c>
      <c r="I13">
        <v>0.8</v>
      </c>
      <c r="J13" s="104">
        <v>0.25</v>
      </c>
      <c r="K13" s="104">
        <v>0.05</v>
      </c>
    </row>
    <row r="14" spans="1:42" x14ac:dyDescent="0.15">
      <c r="D14">
        <v>13</v>
      </c>
      <c r="E14" s="180" t="s">
        <v>204</v>
      </c>
      <c r="F14">
        <v>0.98</v>
      </c>
      <c r="G14">
        <v>0.8</v>
      </c>
      <c r="H14">
        <v>0.8</v>
      </c>
      <c r="I14">
        <v>0.8</v>
      </c>
      <c r="J14" s="104">
        <v>0.25</v>
      </c>
      <c r="K14" s="104">
        <v>0.05</v>
      </c>
    </row>
    <row r="15" spans="1:42" x14ac:dyDescent="0.15">
      <c r="D15">
        <v>14</v>
      </c>
      <c r="E15" s="180" t="s">
        <v>205</v>
      </c>
      <c r="F15">
        <v>0.98</v>
      </c>
      <c r="G15">
        <v>0.8</v>
      </c>
      <c r="H15">
        <v>0.8</v>
      </c>
      <c r="I15">
        <v>0.8</v>
      </c>
      <c r="J15" s="104">
        <v>0.25</v>
      </c>
      <c r="K15" s="104">
        <v>0.05</v>
      </c>
    </row>
    <row r="16" spans="1:42" x14ac:dyDescent="0.15">
      <c r="D16">
        <v>15</v>
      </c>
      <c r="E16" s="180" t="s">
        <v>206</v>
      </c>
      <c r="F16">
        <v>0.98</v>
      </c>
      <c r="G16">
        <v>0.8</v>
      </c>
      <c r="H16">
        <v>0.8</v>
      </c>
      <c r="I16">
        <v>0.8</v>
      </c>
      <c r="J16" s="104">
        <v>0.25</v>
      </c>
      <c r="K16" s="104">
        <v>0.05</v>
      </c>
    </row>
    <row r="17" spans="4:33" ht="15" customHeight="1" x14ac:dyDescent="0.15">
      <c r="D17">
        <v>16</v>
      </c>
      <c r="E17" s="180" t="s">
        <v>207</v>
      </c>
      <c r="F17">
        <v>0.98</v>
      </c>
      <c r="G17">
        <v>0.8</v>
      </c>
      <c r="H17">
        <v>0.8</v>
      </c>
      <c r="I17">
        <v>0.8</v>
      </c>
      <c r="J17" s="104">
        <v>0.25</v>
      </c>
      <c r="K17" s="104">
        <v>0.05</v>
      </c>
    </row>
    <row r="18" spans="4:33" ht="15" customHeight="1" x14ac:dyDescent="0.15">
      <c r="D18">
        <v>17</v>
      </c>
      <c r="E18" s="180" t="s">
        <v>208</v>
      </c>
      <c r="F18">
        <v>0.98</v>
      </c>
      <c r="G18">
        <v>0.8</v>
      </c>
      <c r="H18">
        <v>0.8</v>
      </c>
      <c r="I18">
        <v>0.8</v>
      </c>
      <c r="J18" s="104">
        <v>0.25</v>
      </c>
      <c r="K18" s="104">
        <v>0.05</v>
      </c>
    </row>
    <row r="19" spans="4:33" ht="15" customHeight="1" x14ac:dyDescent="0.15">
      <c r="D19">
        <v>18</v>
      </c>
      <c r="E19" s="180" t="s">
        <v>209</v>
      </c>
      <c r="F19">
        <v>0.98</v>
      </c>
      <c r="G19">
        <v>0.8</v>
      </c>
      <c r="H19">
        <v>0.8</v>
      </c>
      <c r="I19">
        <v>0.8</v>
      </c>
      <c r="J19" s="104">
        <v>0.25</v>
      </c>
      <c r="K19" s="104">
        <v>0.05</v>
      </c>
    </row>
    <row r="20" spans="4:33" ht="15" customHeight="1" x14ac:dyDescent="0.15">
      <c r="D20">
        <v>19</v>
      </c>
      <c r="E20" s="180" t="s">
        <v>210</v>
      </c>
      <c r="F20">
        <v>0.98</v>
      </c>
      <c r="G20">
        <v>0.8</v>
      </c>
      <c r="H20">
        <v>0.8</v>
      </c>
      <c r="I20">
        <v>0.8</v>
      </c>
      <c r="J20" s="104">
        <v>0.25</v>
      </c>
      <c r="K20" s="104">
        <v>0.05</v>
      </c>
    </row>
    <row r="21" spans="4:33" ht="15" customHeight="1" x14ac:dyDescent="0.15">
      <c r="D21">
        <v>20</v>
      </c>
      <c r="E21" s="180" t="s">
        <v>211</v>
      </c>
      <c r="F21">
        <v>0.98</v>
      </c>
      <c r="G21">
        <v>0.8</v>
      </c>
      <c r="H21">
        <v>0.8</v>
      </c>
      <c r="I21">
        <v>0.8</v>
      </c>
      <c r="J21" s="104">
        <v>0.25</v>
      </c>
      <c r="K21" s="104">
        <v>0.05</v>
      </c>
    </row>
    <row r="22" spans="4:33" ht="15" customHeight="1" x14ac:dyDescent="0.15">
      <c r="D22">
        <v>21</v>
      </c>
      <c r="E22" s="180" t="s">
        <v>212</v>
      </c>
      <c r="F22">
        <v>0.98</v>
      </c>
      <c r="G22">
        <v>0.8</v>
      </c>
      <c r="H22">
        <v>0.8</v>
      </c>
      <c r="I22">
        <v>0.8</v>
      </c>
      <c r="J22" s="104">
        <v>0.25</v>
      </c>
      <c r="K22" s="104">
        <v>0.05</v>
      </c>
    </row>
    <row r="23" spans="4:33" ht="15" customHeight="1" x14ac:dyDescent="0.15">
      <c r="D23">
        <v>22</v>
      </c>
      <c r="E23" s="180" t="s">
        <v>213</v>
      </c>
      <c r="F23">
        <v>0.98</v>
      </c>
      <c r="G23">
        <v>0.8</v>
      </c>
      <c r="H23">
        <v>0.8</v>
      </c>
      <c r="I23">
        <v>0.8</v>
      </c>
      <c r="J23" s="104">
        <v>0.25</v>
      </c>
      <c r="K23" s="104">
        <v>0.05</v>
      </c>
    </row>
    <row r="24" spans="4:33" ht="15" customHeight="1" x14ac:dyDescent="0.15">
      <c r="D24">
        <v>23</v>
      </c>
      <c r="E24" s="180" t="s">
        <v>214</v>
      </c>
      <c r="F24">
        <v>0.98</v>
      </c>
      <c r="G24">
        <v>0.8</v>
      </c>
      <c r="H24">
        <v>0.8</v>
      </c>
      <c r="I24">
        <v>0.8</v>
      </c>
      <c r="J24" s="104">
        <v>0.25</v>
      </c>
      <c r="K24" s="104">
        <v>0.05</v>
      </c>
    </row>
    <row r="25" spans="4:33" ht="15" customHeight="1" x14ac:dyDescent="0.15">
      <c r="D25">
        <v>24</v>
      </c>
      <c r="E25" s="180" t="s">
        <v>215</v>
      </c>
      <c r="F25">
        <v>0.98</v>
      </c>
      <c r="G25">
        <v>0.8</v>
      </c>
      <c r="H25">
        <v>0.8</v>
      </c>
      <c r="I25">
        <v>0.8</v>
      </c>
      <c r="J25" s="104">
        <v>0.25</v>
      </c>
      <c r="K25" s="104">
        <v>0.05</v>
      </c>
    </row>
    <row r="26" spans="4:33" ht="15" customHeight="1" x14ac:dyDescent="0.15">
      <c r="D26">
        <v>25</v>
      </c>
      <c r="E26" s="180" t="s">
        <v>216</v>
      </c>
      <c r="F26">
        <v>0.98</v>
      </c>
      <c r="G26">
        <v>0.8</v>
      </c>
      <c r="H26">
        <v>0.8</v>
      </c>
      <c r="I26">
        <v>0.8</v>
      </c>
      <c r="J26" s="104">
        <v>0.25</v>
      </c>
      <c r="K26" s="104">
        <v>0.05</v>
      </c>
    </row>
    <row r="27" spans="4:33" ht="15" customHeight="1" x14ac:dyDescent="0.15">
      <c r="D27">
        <v>26</v>
      </c>
      <c r="E27" s="180" t="s">
        <v>217</v>
      </c>
      <c r="F27">
        <v>0.98</v>
      </c>
      <c r="G27">
        <v>0.8</v>
      </c>
      <c r="H27">
        <v>0.8</v>
      </c>
      <c r="I27">
        <v>0.8</v>
      </c>
      <c r="J27" s="104">
        <v>0.25</v>
      </c>
      <c r="K27" s="104">
        <v>0.05</v>
      </c>
    </row>
    <row r="28" spans="4:33" ht="15" customHeight="1" x14ac:dyDescent="0.15">
      <c r="D28">
        <v>27</v>
      </c>
      <c r="E28" s="180" t="s">
        <v>218</v>
      </c>
      <c r="F28">
        <v>0.98</v>
      </c>
      <c r="G28">
        <v>0.8</v>
      </c>
      <c r="H28">
        <v>0.8</v>
      </c>
      <c r="I28">
        <v>0.8</v>
      </c>
      <c r="J28" s="104">
        <v>0.25</v>
      </c>
      <c r="K28" s="104">
        <v>0.05</v>
      </c>
    </row>
    <row r="29" spans="4:33" ht="15" customHeight="1" x14ac:dyDescent="0.15">
      <c r="D29">
        <v>28</v>
      </c>
      <c r="E29" s="180" t="s">
        <v>219</v>
      </c>
      <c r="F29">
        <v>0.98</v>
      </c>
      <c r="G29">
        <v>0.8</v>
      </c>
      <c r="H29">
        <v>0.8</v>
      </c>
      <c r="I29">
        <v>0.8</v>
      </c>
      <c r="J29" s="104">
        <v>0.25</v>
      </c>
      <c r="K29" s="104">
        <v>0.05</v>
      </c>
      <c r="Y29"/>
      <c r="AC29"/>
      <c r="AG29"/>
    </row>
    <row r="30" spans="4:33" ht="15" customHeight="1" x14ac:dyDescent="0.15">
      <c r="D30">
        <v>29</v>
      </c>
      <c r="E30" s="180" t="s">
        <v>220</v>
      </c>
      <c r="F30">
        <v>0.98</v>
      </c>
      <c r="G30">
        <v>0.8</v>
      </c>
      <c r="H30">
        <v>0.8</v>
      </c>
      <c r="I30">
        <v>0.8</v>
      </c>
      <c r="J30" s="104">
        <v>0.25</v>
      </c>
      <c r="K30" s="104">
        <v>0.05</v>
      </c>
      <c r="Y30"/>
      <c r="AC30"/>
      <c r="AG30"/>
    </row>
    <row r="31" spans="4:33" ht="15" customHeight="1" x14ac:dyDescent="0.15">
      <c r="D31">
        <v>30</v>
      </c>
      <c r="E31" s="180" t="s">
        <v>221</v>
      </c>
      <c r="F31">
        <v>0.98</v>
      </c>
      <c r="G31">
        <v>0.8</v>
      </c>
      <c r="H31">
        <v>0.8</v>
      </c>
      <c r="I31">
        <v>0.8</v>
      </c>
      <c r="J31" s="104">
        <v>0.25</v>
      </c>
      <c r="K31" s="104">
        <v>0.05</v>
      </c>
      <c r="Y31"/>
      <c r="AC31"/>
      <c r="AG31"/>
    </row>
    <row r="32" spans="4:33" ht="15" customHeight="1" x14ac:dyDescent="0.15">
      <c r="D32">
        <v>31</v>
      </c>
      <c r="E32" s="180" t="s">
        <v>222</v>
      </c>
      <c r="F32">
        <v>0.98</v>
      </c>
      <c r="G32">
        <v>0.8</v>
      </c>
      <c r="H32">
        <v>0.8</v>
      </c>
      <c r="I32">
        <v>0.8</v>
      </c>
      <c r="J32" s="104">
        <v>0.25</v>
      </c>
      <c r="K32" s="104">
        <v>0.05</v>
      </c>
      <c r="Y32"/>
      <c r="AC32"/>
      <c r="AG32"/>
    </row>
    <row r="33" spans="4:33" ht="15" customHeight="1" x14ac:dyDescent="0.15">
      <c r="D33">
        <v>32</v>
      </c>
      <c r="E33" s="180" t="s">
        <v>223</v>
      </c>
      <c r="F33">
        <v>0.98</v>
      </c>
      <c r="G33">
        <v>0.8</v>
      </c>
      <c r="H33">
        <v>0.8</v>
      </c>
      <c r="I33">
        <v>0.8</v>
      </c>
      <c r="J33" s="104">
        <v>0.25</v>
      </c>
      <c r="K33" s="104">
        <v>0.05</v>
      </c>
      <c r="Y33"/>
      <c r="AC33"/>
      <c r="AG33"/>
    </row>
    <row r="34" spans="4:33" ht="15" customHeight="1" x14ac:dyDescent="0.15">
      <c r="D34">
        <v>33</v>
      </c>
      <c r="E34" s="180" t="s">
        <v>224</v>
      </c>
      <c r="F34">
        <v>0.98</v>
      </c>
      <c r="G34">
        <v>0.8</v>
      </c>
      <c r="H34">
        <v>0.8</v>
      </c>
      <c r="I34">
        <v>0.8</v>
      </c>
      <c r="J34" s="104">
        <v>0.25</v>
      </c>
      <c r="K34" s="104">
        <v>0.05</v>
      </c>
      <c r="Y34"/>
      <c r="AC34"/>
      <c r="AG34"/>
    </row>
    <row r="35" spans="4:33" ht="15" customHeight="1" x14ac:dyDescent="0.15">
      <c r="D35">
        <v>34</v>
      </c>
      <c r="E35" s="180" t="s">
        <v>225</v>
      </c>
      <c r="F35">
        <v>0.98</v>
      </c>
      <c r="G35">
        <v>0.8</v>
      </c>
      <c r="H35">
        <v>0.8</v>
      </c>
      <c r="I35">
        <v>0.8</v>
      </c>
      <c r="J35" s="104">
        <v>0.25</v>
      </c>
      <c r="K35" s="104">
        <v>0.05</v>
      </c>
      <c r="Y35"/>
      <c r="AC35"/>
      <c r="AG35"/>
    </row>
    <row r="36" spans="4:33" ht="15" customHeight="1" x14ac:dyDescent="0.15">
      <c r="D36">
        <v>35</v>
      </c>
      <c r="E36" s="180" t="s">
        <v>226</v>
      </c>
      <c r="F36">
        <v>0.98</v>
      </c>
      <c r="G36">
        <v>0.8</v>
      </c>
      <c r="H36">
        <v>0.8</v>
      </c>
      <c r="I36">
        <v>0.8</v>
      </c>
      <c r="J36" s="104">
        <v>0.25</v>
      </c>
      <c r="K36" s="104">
        <v>0.05</v>
      </c>
      <c r="Y36"/>
      <c r="AC36"/>
      <c r="AG36"/>
    </row>
    <row r="37" spans="4:33" ht="15" customHeight="1" x14ac:dyDescent="0.15">
      <c r="D37">
        <v>36</v>
      </c>
      <c r="E37" s="180" t="s">
        <v>227</v>
      </c>
      <c r="F37">
        <v>0.98</v>
      </c>
      <c r="G37">
        <v>0.8</v>
      </c>
      <c r="H37">
        <v>0.8</v>
      </c>
      <c r="I37">
        <v>0.8</v>
      </c>
      <c r="J37" s="104">
        <v>0.25</v>
      </c>
      <c r="K37" s="104">
        <v>0.05</v>
      </c>
      <c r="Y37"/>
      <c r="AC37"/>
      <c r="AG37"/>
    </row>
    <row r="38" spans="4:33" ht="15" customHeight="1" x14ac:dyDescent="0.15">
      <c r="D38">
        <v>37</v>
      </c>
      <c r="E38" s="180" t="s">
        <v>228</v>
      </c>
      <c r="F38">
        <v>0.98</v>
      </c>
      <c r="G38">
        <v>0.8</v>
      </c>
      <c r="H38">
        <v>0.8</v>
      </c>
      <c r="I38">
        <v>0</v>
      </c>
      <c r="J38" s="104">
        <v>0</v>
      </c>
      <c r="K38" s="104">
        <v>0</v>
      </c>
      <c r="Y38"/>
      <c r="AC38"/>
      <c r="AG38"/>
    </row>
    <row r="39" spans="4:33" ht="15" customHeight="1" x14ac:dyDescent="0.15">
      <c r="D39">
        <v>38</v>
      </c>
      <c r="E39" s="180" t="s">
        <v>229</v>
      </c>
      <c r="F39">
        <v>0.98</v>
      </c>
      <c r="G39">
        <v>0.8</v>
      </c>
      <c r="H39">
        <v>0</v>
      </c>
      <c r="I39">
        <v>0</v>
      </c>
      <c r="J39" s="104">
        <v>0</v>
      </c>
      <c r="K39" s="104">
        <v>0</v>
      </c>
    </row>
    <row r="40" spans="4:33" ht="15" customHeight="1" x14ac:dyDescent="0.15">
      <c r="D40">
        <v>39</v>
      </c>
      <c r="E40" s="180" t="s">
        <v>230</v>
      </c>
      <c r="F40">
        <v>0.98</v>
      </c>
      <c r="G40">
        <v>0.8</v>
      </c>
      <c r="H40">
        <v>0</v>
      </c>
      <c r="I40">
        <v>0</v>
      </c>
      <c r="J40" s="104">
        <v>0</v>
      </c>
      <c r="K40" s="104">
        <v>0</v>
      </c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37" width="3.83203125" style="102" customWidth="1"/>
    <col min="38" max="40" width="2.33203125" style="102" customWidth="1"/>
    <col min="41" max="16384" width="10.83203125" style="102"/>
  </cols>
  <sheetData>
    <row r="1" spans="1:40" x14ac:dyDescent="0.15">
      <c r="A1" s="60" t="s">
        <v>118</v>
      </c>
      <c r="B1" s="182" t="s">
        <v>192</v>
      </c>
      <c r="C1" s="182" t="s">
        <v>193</v>
      </c>
      <c r="D1" s="182" t="s">
        <v>194</v>
      </c>
      <c r="E1" s="182" t="s">
        <v>195</v>
      </c>
      <c r="F1" s="182" t="s">
        <v>196</v>
      </c>
      <c r="G1" s="182" t="s">
        <v>197</v>
      </c>
      <c r="H1" s="182" t="s">
        <v>198</v>
      </c>
      <c r="I1" s="182" t="s">
        <v>199</v>
      </c>
      <c r="J1" s="182" t="s">
        <v>200</v>
      </c>
      <c r="K1" s="182" t="s">
        <v>201</v>
      </c>
      <c r="L1" s="182" t="s">
        <v>202</v>
      </c>
      <c r="M1" s="182" t="s">
        <v>203</v>
      </c>
      <c r="N1" s="182" t="s">
        <v>204</v>
      </c>
      <c r="O1" s="182" t="s">
        <v>205</v>
      </c>
      <c r="P1" s="182" t="s">
        <v>206</v>
      </c>
      <c r="Q1" s="182" t="s">
        <v>207</v>
      </c>
      <c r="R1" s="182" t="s">
        <v>208</v>
      </c>
      <c r="S1" s="182" t="s">
        <v>209</v>
      </c>
      <c r="T1" s="182" t="s">
        <v>210</v>
      </c>
      <c r="U1" s="182" t="s">
        <v>211</v>
      </c>
      <c r="V1" s="182" t="s">
        <v>212</v>
      </c>
      <c r="W1" s="182" t="s">
        <v>213</v>
      </c>
      <c r="X1" s="182" t="s">
        <v>214</v>
      </c>
      <c r="Y1" s="182" t="s">
        <v>215</v>
      </c>
      <c r="Z1" s="182" t="s">
        <v>216</v>
      </c>
      <c r="AA1" s="182" t="s">
        <v>217</v>
      </c>
      <c r="AB1" s="182" t="s">
        <v>218</v>
      </c>
      <c r="AC1" s="182" t="s">
        <v>219</v>
      </c>
      <c r="AD1" s="182" t="s">
        <v>220</v>
      </c>
      <c r="AE1" s="182" t="s">
        <v>221</v>
      </c>
      <c r="AF1" s="182" t="s">
        <v>222</v>
      </c>
      <c r="AG1" s="182" t="s">
        <v>223</v>
      </c>
      <c r="AH1" s="182" t="s">
        <v>224</v>
      </c>
      <c r="AI1" s="182" t="s">
        <v>225</v>
      </c>
      <c r="AJ1" s="182" t="s">
        <v>226</v>
      </c>
      <c r="AK1" s="182" t="s">
        <v>227</v>
      </c>
      <c r="AL1" s="182" t="s">
        <v>228</v>
      </c>
      <c r="AM1" s="182" t="s">
        <v>229</v>
      </c>
      <c r="AN1" s="182" t="s">
        <v>230</v>
      </c>
    </row>
    <row r="2" spans="1:40" customFormat="1" x14ac:dyDescent="0.15">
      <c r="A2" s="181" t="s">
        <v>192</v>
      </c>
      <c r="B2" s="102">
        <v>0</v>
      </c>
      <c r="C2" s="102">
        <v>0.8</v>
      </c>
      <c r="D2" s="102">
        <v>0</v>
      </c>
      <c r="E2" s="102">
        <v>0</v>
      </c>
      <c r="F2" s="102">
        <v>0.8</v>
      </c>
      <c r="G2" s="102">
        <v>0</v>
      </c>
      <c r="H2" s="102">
        <v>0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  <c r="W2" s="102">
        <v>0</v>
      </c>
      <c r="X2" s="102">
        <v>0</v>
      </c>
      <c r="Y2" s="102">
        <v>0</v>
      </c>
      <c r="Z2" s="102">
        <v>0</v>
      </c>
      <c r="AA2" s="102">
        <v>0</v>
      </c>
      <c r="AB2" s="102">
        <v>0</v>
      </c>
      <c r="AC2" s="102">
        <v>0</v>
      </c>
      <c r="AD2" s="102">
        <v>0</v>
      </c>
      <c r="AE2" s="102">
        <v>0</v>
      </c>
      <c r="AF2" s="102">
        <v>0</v>
      </c>
      <c r="AG2" s="102">
        <v>0</v>
      </c>
      <c r="AH2" s="102">
        <v>0</v>
      </c>
      <c r="AI2" s="102">
        <v>0</v>
      </c>
      <c r="AJ2" s="102">
        <v>0</v>
      </c>
      <c r="AK2" s="102">
        <v>0</v>
      </c>
      <c r="AL2" s="102">
        <v>0</v>
      </c>
      <c r="AM2" s="102">
        <v>0</v>
      </c>
      <c r="AN2" s="102">
        <v>0</v>
      </c>
    </row>
    <row r="3" spans="1:40" customFormat="1" x14ac:dyDescent="0.15">
      <c r="A3" s="181" t="s">
        <v>193</v>
      </c>
      <c r="B3" s="102">
        <v>0</v>
      </c>
      <c r="C3" s="102">
        <v>0.8</v>
      </c>
      <c r="D3" s="102">
        <v>0</v>
      </c>
      <c r="E3" s="102">
        <v>0</v>
      </c>
      <c r="F3" s="102">
        <v>0.8</v>
      </c>
      <c r="G3" s="102">
        <v>0</v>
      </c>
      <c r="H3" s="102">
        <v>0</v>
      </c>
      <c r="I3" s="102">
        <v>0</v>
      </c>
      <c r="J3" s="102">
        <v>0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  <c r="X3" s="102">
        <v>0</v>
      </c>
      <c r="Y3" s="102">
        <v>0</v>
      </c>
      <c r="Z3" s="102">
        <v>0</v>
      </c>
      <c r="AA3" s="102">
        <v>0</v>
      </c>
      <c r="AB3" s="102">
        <v>0</v>
      </c>
      <c r="AC3" s="102">
        <v>0</v>
      </c>
      <c r="AD3" s="102">
        <v>0</v>
      </c>
      <c r="AE3" s="102">
        <v>0</v>
      </c>
      <c r="AF3" s="102">
        <v>0</v>
      </c>
      <c r="AG3" s="102">
        <v>0</v>
      </c>
      <c r="AH3" s="102">
        <v>0</v>
      </c>
      <c r="AI3" s="102">
        <v>0</v>
      </c>
      <c r="AJ3" s="102">
        <v>0</v>
      </c>
      <c r="AK3" s="102">
        <v>0</v>
      </c>
      <c r="AL3" s="102">
        <v>0</v>
      </c>
      <c r="AM3" s="102">
        <v>0</v>
      </c>
      <c r="AN3" s="102">
        <v>0</v>
      </c>
    </row>
    <row r="4" spans="1:40" customFormat="1" x14ac:dyDescent="0.15">
      <c r="A4" s="181" t="s">
        <v>194</v>
      </c>
      <c r="B4" s="102">
        <v>0</v>
      </c>
      <c r="C4" s="102">
        <v>0.8</v>
      </c>
      <c r="D4" s="102">
        <v>0</v>
      </c>
      <c r="E4" s="102">
        <v>0</v>
      </c>
      <c r="F4" s="102">
        <v>0</v>
      </c>
      <c r="G4" s="102">
        <v>0</v>
      </c>
      <c r="H4" s="102">
        <v>0</v>
      </c>
      <c r="I4" s="102">
        <v>0</v>
      </c>
      <c r="J4" s="102">
        <v>0</v>
      </c>
      <c r="K4" s="102">
        <v>0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  <c r="W4" s="102">
        <v>0</v>
      </c>
      <c r="X4" s="102">
        <v>0</v>
      </c>
      <c r="Y4" s="102">
        <v>0</v>
      </c>
      <c r="Z4" s="102">
        <v>0</v>
      </c>
      <c r="AA4" s="102">
        <v>0</v>
      </c>
      <c r="AB4" s="102">
        <v>0</v>
      </c>
      <c r="AC4" s="102">
        <v>0</v>
      </c>
      <c r="AD4" s="102">
        <v>0</v>
      </c>
      <c r="AE4" s="102">
        <v>0</v>
      </c>
      <c r="AF4" s="102">
        <v>0</v>
      </c>
      <c r="AG4" s="102">
        <v>0</v>
      </c>
      <c r="AH4" s="102">
        <v>0</v>
      </c>
      <c r="AI4" s="102">
        <v>0</v>
      </c>
      <c r="AJ4" s="102">
        <v>0</v>
      </c>
      <c r="AK4" s="102">
        <v>0</v>
      </c>
      <c r="AL4" s="102">
        <v>0</v>
      </c>
      <c r="AM4" s="102">
        <v>0</v>
      </c>
      <c r="AN4" s="102">
        <v>0</v>
      </c>
    </row>
    <row r="5" spans="1:40" customFormat="1" x14ac:dyDescent="0.15">
      <c r="A5" s="181" t="s">
        <v>195</v>
      </c>
      <c r="B5" s="102">
        <v>0</v>
      </c>
      <c r="C5" s="102">
        <v>0.8</v>
      </c>
      <c r="D5" s="102">
        <v>0</v>
      </c>
      <c r="E5" s="102">
        <v>0</v>
      </c>
      <c r="F5" s="102">
        <v>0.8</v>
      </c>
      <c r="G5" s="102">
        <v>0</v>
      </c>
      <c r="H5" s="102">
        <v>0</v>
      </c>
      <c r="I5" s="102">
        <v>0</v>
      </c>
      <c r="J5" s="102">
        <v>0</v>
      </c>
      <c r="K5" s="102">
        <v>0</v>
      </c>
      <c r="L5" s="102">
        <v>0</v>
      </c>
      <c r="M5" s="102">
        <v>0</v>
      </c>
      <c r="N5" s="102">
        <v>0</v>
      </c>
      <c r="O5" s="102">
        <v>0</v>
      </c>
      <c r="P5" s="102">
        <v>0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0</v>
      </c>
      <c r="W5" s="102">
        <v>0</v>
      </c>
      <c r="X5" s="102">
        <v>0</v>
      </c>
      <c r="Y5" s="102">
        <v>0</v>
      </c>
      <c r="Z5" s="102">
        <v>0</v>
      </c>
      <c r="AA5" s="102">
        <v>0</v>
      </c>
      <c r="AB5" s="102">
        <v>0</v>
      </c>
      <c r="AC5" s="102">
        <v>0</v>
      </c>
      <c r="AD5" s="102">
        <v>0</v>
      </c>
      <c r="AE5" s="102">
        <v>0</v>
      </c>
      <c r="AF5" s="102">
        <v>0</v>
      </c>
      <c r="AG5" s="102">
        <v>0</v>
      </c>
      <c r="AH5" s="102">
        <v>0</v>
      </c>
      <c r="AI5" s="102">
        <v>0</v>
      </c>
      <c r="AJ5" s="102">
        <v>0</v>
      </c>
      <c r="AK5" s="102">
        <v>0</v>
      </c>
      <c r="AL5" s="102">
        <v>0</v>
      </c>
      <c r="AM5" s="102">
        <v>0</v>
      </c>
      <c r="AN5" s="102">
        <v>0</v>
      </c>
    </row>
    <row r="6" spans="1:40" customFormat="1" x14ac:dyDescent="0.15">
      <c r="A6" s="181" t="s">
        <v>196</v>
      </c>
      <c r="B6" s="102">
        <v>0</v>
      </c>
      <c r="C6" s="102">
        <v>0</v>
      </c>
      <c r="D6" s="102">
        <v>0</v>
      </c>
      <c r="E6" s="102">
        <v>0</v>
      </c>
      <c r="F6" s="102">
        <v>0.8</v>
      </c>
      <c r="G6" s="102">
        <v>0</v>
      </c>
      <c r="H6" s="102">
        <v>0</v>
      </c>
      <c r="I6" s="102">
        <v>0</v>
      </c>
      <c r="J6" s="102">
        <v>0</v>
      </c>
      <c r="K6" s="102">
        <v>0</v>
      </c>
      <c r="L6" s="102">
        <v>0</v>
      </c>
      <c r="M6" s="102">
        <v>0.8</v>
      </c>
      <c r="N6" s="102">
        <v>0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  <c r="AD6" s="102">
        <v>0</v>
      </c>
      <c r="AE6" s="102">
        <v>0</v>
      </c>
      <c r="AF6" s="102">
        <v>0</v>
      </c>
      <c r="AG6" s="102">
        <v>0</v>
      </c>
      <c r="AH6" s="102">
        <v>0</v>
      </c>
      <c r="AI6" s="102">
        <v>0</v>
      </c>
      <c r="AJ6" s="102">
        <v>0</v>
      </c>
      <c r="AK6" s="102">
        <v>0</v>
      </c>
      <c r="AL6" s="102">
        <v>0</v>
      </c>
      <c r="AM6" s="102">
        <v>0</v>
      </c>
      <c r="AN6" s="102">
        <v>0</v>
      </c>
    </row>
    <row r="7" spans="1:40" customFormat="1" x14ac:dyDescent="0.15">
      <c r="A7" s="181" t="s">
        <v>197</v>
      </c>
      <c r="B7" s="102">
        <v>0</v>
      </c>
      <c r="C7" s="102">
        <v>0</v>
      </c>
      <c r="D7" s="102">
        <v>0</v>
      </c>
      <c r="E7" s="102">
        <v>0</v>
      </c>
      <c r="F7" s="102">
        <v>0.8</v>
      </c>
      <c r="G7" s="102">
        <v>0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0.8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</v>
      </c>
      <c r="W7" s="102">
        <v>0</v>
      </c>
      <c r="X7" s="102">
        <v>0</v>
      </c>
      <c r="Y7" s="102">
        <v>0</v>
      </c>
      <c r="Z7" s="102">
        <v>0</v>
      </c>
      <c r="AA7" s="102">
        <v>0</v>
      </c>
      <c r="AB7" s="102">
        <v>0</v>
      </c>
      <c r="AC7" s="102">
        <v>0</v>
      </c>
      <c r="AD7" s="102">
        <v>0</v>
      </c>
      <c r="AE7" s="102">
        <v>0</v>
      </c>
      <c r="AF7" s="102">
        <v>0</v>
      </c>
      <c r="AG7" s="102">
        <v>0</v>
      </c>
      <c r="AH7" s="102">
        <v>0</v>
      </c>
      <c r="AI7" s="102">
        <v>0</v>
      </c>
      <c r="AJ7" s="102">
        <v>0</v>
      </c>
      <c r="AK7" s="102">
        <v>0</v>
      </c>
      <c r="AL7" s="102">
        <v>0</v>
      </c>
      <c r="AM7" s="102">
        <v>0</v>
      </c>
      <c r="AN7" s="102">
        <v>0</v>
      </c>
    </row>
    <row r="8" spans="1:40" customFormat="1" x14ac:dyDescent="0.15">
      <c r="A8" s="181" t="s">
        <v>198</v>
      </c>
      <c r="B8" s="102">
        <v>0</v>
      </c>
      <c r="C8" s="102">
        <v>0</v>
      </c>
      <c r="D8" s="102">
        <v>0</v>
      </c>
      <c r="E8" s="102">
        <v>0</v>
      </c>
      <c r="F8" s="102">
        <v>0.8</v>
      </c>
      <c r="G8" s="102">
        <v>0</v>
      </c>
      <c r="H8" s="102">
        <v>0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</v>
      </c>
      <c r="U8" s="102">
        <v>0</v>
      </c>
      <c r="V8" s="102">
        <v>0</v>
      </c>
      <c r="W8" s="102">
        <v>0</v>
      </c>
      <c r="X8" s="102">
        <v>0</v>
      </c>
      <c r="Y8" s="102">
        <v>0</v>
      </c>
      <c r="Z8" s="102">
        <v>0</v>
      </c>
      <c r="AA8" s="102">
        <v>0</v>
      </c>
      <c r="AB8" s="102">
        <v>0</v>
      </c>
      <c r="AC8" s="102">
        <v>0</v>
      </c>
      <c r="AD8" s="102">
        <v>0</v>
      </c>
      <c r="AE8" s="102">
        <v>0</v>
      </c>
      <c r="AF8" s="102">
        <v>0</v>
      </c>
      <c r="AG8" s="102">
        <v>0</v>
      </c>
      <c r="AH8" s="102">
        <v>0</v>
      </c>
      <c r="AI8" s="102">
        <v>0</v>
      </c>
      <c r="AJ8" s="102">
        <v>0</v>
      </c>
      <c r="AK8" s="102">
        <v>0</v>
      </c>
      <c r="AL8" s="102">
        <v>0</v>
      </c>
      <c r="AM8" s="102">
        <v>0</v>
      </c>
      <c r="AN8" s="102">
        <v>0</v>
      </c>
    </row>
    <row r="9" spans="1:40" customFormat="1" x14ac:dyDescent="0.15">
      <c r="A9" s="181" t="s">
        <v>199</v>
      </c>
      <c r="B9" s="102">
        <v>0</v>
      </c>
      <c r="C9" s="102">
        <v>0</v>
      </c>
      <c r="D9" s="102">
        <v>0</v>
      </c>
      <c r="E9" s="102">
        <v>0</v>
      </c>
      <c r="F9" s="102">
        <v>0.8</v>
      </c>
      <c r="G9" s="102">
        <v>0.8</v>
      </c>
      <c r="H9" s="102">
        <v>0</v>
      </c>
      <c r="I9" s="102">
        <v>0</v>
      </c>
      <c r="J9" s="102">
        <v>0.8</v>
      </c>
      <c r="K9" s="102">
        <v>0</v>
      </c>
      <c r="L9" s="102">
        <v>0</v>
      </c>
      <c r="M9" s="102">
        <v>0</v>
      </c>
      <c r="N9" s="102">
        <v>0</v>
      </c>
      <c r="O9" s="102">
        <v>0.8</v>
      </c>
      <c r="P9" s="102">
        <v>0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</v>
      </c>
      <c r="W9" s="102">
        <v>0</v>
      </c>
      <c r="X9" s="102">
        <v>0</v>
      </c>
      <c r="Y9" s="102">
        <v>0</v>
      </c>
      <c r="Z9" s="102">
        <v>0</v>
      </c>
      <c r="AA9" s="102">
        <v>0</v>
      </c>
      <c r="AB9" s="102">
        <v>0</v>
      </c>
      <c r="AC9" s="102">
        <v>0</v>
      </c>
      <c r="AD9" s="102">
        <v>0</v>
      </c>
      <c r="AE9" s="102">
        <v>0</v>
      </c>
      <c r="AF9" s="102">
        <v>0</v>
      </c>
      <c r="AG9" s="102">
        <v>0</v>
      </c>
      <c r="AH9" s="102">
        <v>0</v>
      </c>
      <c r="AI9" s="102">
        <v>0</v>
      </c>
      <c r="AJ9" s="102">
        <v>0</v>
      </c>
      <c r="AK9" s="102">
        <v>0</v>
      </c>
      <c r="AL9" s="102">
        <v>0</v>
      </c>
      <c r="AM9" s="102">
        <v>0</v>
      </c>
      <c r="AN9" s="102">
        <v>0</v>
      </c>
    </row>
    <row r="10" spans="1:40" customFormat="1" x14ac:dyDescent="0.15">
      <c r="A10" s="181" t="s">
        <v>200</v>
      </c>
      <c r="B10" s="102">
        <v>0</v>
      </c>
      <c r="C10" s="102">
        <v>0</v>
      </c>
      <c r="D10" s="102">
        <v>0</v>
      </c>
      <c r="E10" s="102">
        <v>0</v>
      </c>
      <c r="F10" s="102">
        <v>0.8</v>
      </c>
      <c r="G10" s="102">
        <v>0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0</v>
      </c>
      <c r="N10" s="102">
        <v>0</v>
      </c>
      <c r="O10" s="102">
        <v>0.8</v>
      </c>
      <c r="P10" s="102">
        <v>0</v>
      </c>
      <c r="Q10" s="102">
        <v>0</v>
      </c>
      <c r="R10" s="102">
        <v>0</v>
      </c>
      <c r="S10" s="102">
        <v>0</v>
      </c>
      <c r="T10" s="102">
        <v>0</v>
      </c>
      <c r="U10" s="102">
        <v>0</v>
      </c>
      <c r="V10" s="102">
        <v>0</v>
      </c>
      <c r="W10" s="102">
        <v>0</v>
      </c>
      <c r="X10" s="102">
        <v>0</v>
      </c>
      <c r="Y10" s="102">
        <v>0</v>
      </c>
      <c r="Z10" s="102">
        <v>0</v>
      </c>
      <c r="AA10" s="102">
        <v>0</v>
      </c>
      <c r="AB10" s="102">
        <v>0</v>
      </c>
      <c r="AC10" s="102">
        <v>0</v>
      </c>
      <c r="AD10" s="102">
        <v>0</v>
      </c>
      <c r="AE10" s="102">
        <v>0</v>
      </c>
      <c r="AF10" s="102">
        <v>0</v>
      </c>
      <c r="AG10" s="102">
        <v>0</v>
      </c>
      <c r="AH10" s="102">
        <v>0</v>
      </c>
      <c r="AI10" s="102">
        <v>0</v>
      </c>
      <c r="AJ10" s="102">
        <v>0</v>
      </c>
      <c r="AK10" s="102">
        <v>0</v>
      </c>
      <c r="AL10" s="102">
        <v>0</v>
      </c>
      <c r="AM10" s="102">
        <v>0</v>
      </c>
      <c r="AN10" s="102">
        <v>0</v>
      </c>
    </row>
    <row r="11" spans="1:40" customFormat="1" x14ac:dyDescent="0.15">
      <c r="A11" s="181" t="s">
        <v>201</v>
      </c>
      <c r="B11" s="102">
        <v>0</v>
      </c>
      <c r="C11" s="102">
        <v>0</v>
      </c>
      <c r="D11" s="102">
        <v>0</v>
      </c>
      <c r="E11" s="102">
        <v>0</v>
      </c>
      <c r="F11" s="102">
        <v>0.8</v>
      </c>
      <c r="G11" s="102">
        <v>0</v>
      </c>
      <c r="H11" s="102">
        <v>0</v>
      </c>
      <c r="I11" s="102">
        <v>0</v>
      </c>
      <c r="J11" s="102">
        <v>0</v>
      </c>
      <c r="K11" s="102">
        <v>0</v>
      </c>
      <c r="L11" s="102">
        <v>0</v>
      </c>
      <c r="M11" s="102">
        <v>0</v>
      </c>
      <c r="N11" s="102">
        <v>0</v>
      </c>
      <c r="O11" s="102">
        <v>0.8</v>
      </c>
      <c r="P11" s="102">
        <v>0</v>
      </c>
      <c r="Q11" s="102">
        <v>0</v>
      </c>
      <c r="R11" s="102">
        <v>0</v>
      </c>
      <c r="S11" s="102">
        <v>0</v>
      </c>
      <c r="T11" s="102">
        <v>0</v>
      </c>
      <c r="U11" s="102">
        <v>0</v>
      </c>
      <c r="V11" s="102">
        <v>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0</v>
      </c>
      <c r="AC11" s="102">
        <v>0</v>
      </c>
      <c r="AD11" s="102">
        <v>0</v>
      </c>
      <c r="AE11" s="102">
        <v>0</v>
      </c>
      <c r="AF11" s="102">
        <v>0</v>
      </c>
      <c r="AG11" s="102">
        <v>0</v>
      </c>
      <c r="AH11" s="102">
        <v>0</v>
      </c>
      <c r="AI11" s="102">
        <v>0</v>
      </c>
      <c r="AJ11" s="102">
        <v>0</v>
      </c>
      <c r="AK11" s="102">
        <v>0</v>
      </c>
      <c r="AL11" s="102">
        <v>0</v>
      </c>
      <c r="AM11" s="102">
        <v>0</v>
      </c>
      <c r="AN11" s="102">
        <v>0</v>
      </c>
    </row>
    <row r="12" spans="1:40" customFormat="1" x14ac:dyDescent="0.15">
      <c r="A12" s="181" t="s">
        <v>202</v>
      </c>
      <c r="B12" s="102">
        <v>0</v>
      </c>
      <c r="C12" s="102">
        <v>0</v>
      </c>
      <c r="D12" s="102">
        <v>0</v>
      </c>
      <c r="E12" s="102">
        <v>0</v>
      </c>
      <c r="F12" s="102">
        <v>0.8</v>
      </c>
      <c r="G12" s="102">
        <v>0</v>
      </c>
      <c r="H12" s="102">
        <v>0</v>
      </c>
      <c r="I12" s="102">
        <v>0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>
        <v>0</v>
      </c>
      <c r="AD12" s="102">
        <v>0</v>
      </c>
      <c r="AE12" s="102">
        <v>0</v>
      </c>
      <c r="AF12" s="102">
        <v>0</v>
      </c>
      <c r="AG12" s="102">
        <v>0</v>
      </c>
      <c r="AH12" s="102">
        <v>0</v>
      </c>
      <c r="AI12" s="102">
        <v>0</v>
      </c>
      <c r="AJ12" s="102">
        <v>0</v>
      </c>
      <c r="AK12" s="102">
        <v>0</v>
      </c>
      <c r="AL12" s="102">
        <v>0</v>
      </c>
      <c r="AM12" s="102">
        <v>0</v>
      </c>
      <c r="AN12" s="102">
        <v>0</v>
      </c>
    </row>
    <row r="13" spans="1:40" customFormat="1" x14ac:dyDescent="0.15">
      <c r="A13" s="181" t="s">
        <v>203</v>
      </c>
      <c r="B13" s="102">
        <v>0</v>
      </c>
      <c r="C13" s="102">
        <v>0</v>
      </c>
      <c r="D13" s="102">
        <v>0</v>
      </c>
      <c r="E13" s="102">
        <v>0</v>
      </c>
      <c r="F13" s="102">
        <v>0.8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</v>
      </c>
      <c r="N13" s="102">
        <v>0</v>
      </c>
      <c r="O13" s="102">
        <v>0</v>
      </c>
      <c r="P13" s="102">
        <v>0</v>
      </c>
      <c r="Q13" s="102">
        <v>0</v>
      </c>
      <c r="R13" s="102">
        <v>0</v>
      </c>
      <c r="S13" s="102">
        <v>0</v>
      </c>
      <c r="T13" s="102">
        <v>0</v>
      </c>
      <c r="U13" s="102">
        <v>0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>
        <v>0</v>
      </c>
      <c r="AD13" s="102">
        <v>0</v>
      </c>
      <c r="AE13" s="102">
        <v>0</v>
      </c>
      <c r="AF13" s="102">
        <v>0</v>
      </c>
      <c r="AG13" s="102">
        <v>0</v>
      </c>
      <c r="AH13" s="102">
        <v>0</v>
      </c>
      <c r="AI13" s="102">
        <v>0</v>
      </c>
      <c r="AJ13" s="102">
        <v>0</v>
      </c>
      <c r="AK13" s="102">
        <v>0</v>
      </c>
      <c r="AL13" s="102">
        <v>0</v>
      </c>
      <c r="AM13" s="102">
        <v>0</v>
      </c>
      <c r="AN13" s="102">
        <v>0</v>
      </c>
    </row>
    <row r="14" spans="1:40" customFormat="1" x14ac:dyDescent="0.15">
      <c r="A14" s="181" t="s">
        <v>204</v>
      </c>
      <c r="B14" s="102">
        <v>0</v>
      </c>
      <c r="C14" s="102">
        <v>0</v>
      </c>
      <c r="D14" s="102">
        <v>0</v>
      </c>
      <c r="E14" s="102">
        <v>0</v>
      </c>
      <c r="F14" s="102">
        <v>0.8</v>
      </c>
      <c r="G14" s="102">
        <v>0</v>
      </c>
      <c r="H14" s="102">
        <v>0</v>
      </c>
      <c r="I14" s="102">
        <v>0</v>
      </c>
      <c r="J14" s="102">
        <v>0</v>
      </c>
      <c r="K14" s="102">
        <v>0</v>
      </c>
      <c r="L14" s="102">
        <v>0</v>
      </c>
      <c r="M14" s="102">
        <v>0</v>
      </c>
      <c r="N14" s="102">
        <v>0</v>
      </c>
      <c r="O14" s="102">
        <v>0</v>
      </c>
      <c r="P14" s="102">
        <v>0</v>
      </c>
      <c r="Q14" s="102">
        <v>0</v>
      </c>
      <c r="R14" s="102">
        <v>0</v>
      </c>
      <c r="S14" s="102">
        <v>0</v>
      </c>
      <c r="T14" s="102">
        <v>0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>
        <v>0</v>
      </c>
      <c r="AD14" s="102">
        <v>0</v>
      </c>
      <c r="AE14" s="102">
        <v>0</v>
      </c>
      <c r="AF14" s="102">
        <v>0</v>
      </c>
      <c r="AG14" s="102">
        <v>0</v>
      </c>
      <c r="AH14" s="102">
        <v>0</v>
      </c>
      <c r="AI14" s="102">
        <v>0</v>
      </c>
      <c r="AJ14" s="102">
        <v>0</v>
      </c>
      <c r="AK14" s="102">
        <v>0</v>
      </c>
      <c r="AL14" s="102">
        <v>0</v>
      </c>
      <c r="AM14" s="102">
        <v>0</v>
      </c>
      <c r="AN14" s="102">
        <v>0</v>
      </c>
    </row>
    <row r="15" spans="1:40" customFormat="1" x14ac:dyDescent="0.15">
      <c r="A15" s="181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0.8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0.8</v>
      </c>
      <c r="N15" s="102">
        <v>0</v>
      </c>
      <c r="O15" s="102">
        <v>0.8</v>
      </c>
      <c r="P15" s="102">
        <v>0</v>
      </c>
      <c r="Q15" s="102">
        <v>0</v>
      </c>
      <c r="R15" s="102">
        <v>0</v>
      </c>
      <c r="S15" s="102">
        <v>0</v>
      </c>
      <c r="T15" s="102">
        <v>0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>
        <v>0</v>
      </c>
      <c r="AD15" s="102">
        <v>0</v>
      </c>
      <c r="AE15" s="102">
        <v>0</v>
      </c>
      <c r="AF15" s="102">
        <v>0</v>
      </c>
      <c r="AG15" s="102">
        <v>0</v>
      </c>
      <c r="AH15" s="102">
        <v>0</v>
      </c>
      <c r="AI15" s="102">
        <v>0</v>
      </c>
      <c r="AJ15" s="102">
        <v>0</v>
      </c>
      <c r="AK15" s="102">
        <v>0</v>
      </c>
      <c r="AL15" s="102">
        <v>0</v>
      </c>
      <c r="AM15" s="102">
        <v>0</v>
      </c>
      <c r="AN15" s="102">
        <v>0</v>
      </c>
    </row>
    <row r="16" spans="1:40" customFormat="1" x14ac:dyDescent="0.15">
      <c r="A16" s="181" t="s">
        <v>206</v>
      </c>
      <c r="B16" s="102">
        <v>0</v>
      </c>
      <c r="C16" s="102">
        <v>0</v>
      </c>
      <c r="D16" s="102">
        <v>0</v>
      </c>
      <c r="E16" s="102">
        <v>0</v>
      </c>
      <c r="F16" s="102">
        <v>0.8</v>
      </c>
      <c r="G16" s="102">
        <v>0.8</v>
      </c>
      <c r="H16" s="102">
        <v>0.8</v>
      </c>
      <c r="I16" s="102">
        <v>0</v>
      </c>
      <c r="J16" s="102">
        <v>0.8</v>
      </c>
      <c r="K16" s="102">
        <v>0.8</v>
      </c>
      <c r="L16" s="102">
        <v>0.8</v>
      </c>
      <c r="M16" s="102">
        <v>0.8</v>
      </c>
      <c r="N16" s="102">
        <v>0</v>
      </c>
      <c r="O16" s="102">
        <v>0.8</v>
      </c>
      <c r="P16" s="102">
        <v>0</v>
      </c>
      <c r="Q16" s="102">
        <v>0</v>
      </c>
      <c r="R16" s="102">
        <v>0</v>
      </c>
      <c r="S16" s="102">
        <v>0</v>
      </c>
      <c r="T16" s="102">
        <v>0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>
        <v>0</v>
      </c>
      <c r="AD16" s="102">
        <v>0</v>
      </c>
      <c r="AE16" s="102">
        <v>0</v>
      </c>
      <c r="AF16" s="102">
        <v>0</v>
      </c>
      <c r="AG16" s="102">
        <v>0</v>
      </c>
      <c r="AH16" s="102">
        <v>0</v>
      </c>
      <c r="AI16" s="102">
        <v>0</v>
      </c>
      <c r="AJ16" s="102">
        <v>0</v>
      </c>
      <c r="AK16" s="102">
        <v>0</v>
      </c>
      <c r="AL16" s="102">
        <v>0</v>
      </c>
      <c r="AM16" s="102">
        <v>0</v>
      </c>
      <c r="AN16" s="102">
        <v>0</v>
      </c>
    </row>
    <row r="17" spans="1:40" customFormat="1" x14ac:dyDescent="0.15">
      <c r="A17" s="181" t="s">
        <v>207</v>
      </c>
      <c r="B17" s="102">
        <v>0.8</v>
      </c>
      <c r="C17" s="102">
        <v>0.8</v>
      </c>
      <c r="D17" s="102">
        <v>0.8</v>
      </c>
      <c r="E17" s="102">
        <v>0.8</v>
      </c>
      <c r="F17" s="102">
        <v>0.8</v>
      </c>
      <c r="G17" s="102">
        <v>0</v>
      </c>
      <c r="H17" s="102">
        <v>0.8</v>
      </c>
      <c r="I17" s="102">
        <v>0</v>
      </c>
      <c r="J17" s="102">
        <v>0.8</v>
      </c>
      <c r="K17" s="102">
        <v>0.8</v>
      </c>
      <c r="L17" s="102">
        <v>0</v>
      </c>
      <c r="M17" s="102">
        <v>0.8</v>
      </c>
      <c r="N17" s="102">
        <v>0.8</v>
      </c>
      <c r="O17" s="102">
        <v>0.8</v>
      </c>
      <c r="P17" s="102">
        <v>0.8</v>
      </c>
      <c r="Q17" s="102">
        <v>0</v>
      </c>
      <c r="R17" s="102">
        <v>0</v>
      </c>
      <c r="S17" s="102">
        <v>0</v>
      </c>
      <c r="T17" s="102">
        <v>0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0.8</v>
      </c>
      <c r="AB17" s="102">
        <v>0.8</v>
      </c>
      <c r="AC17" s="102">
        <v>0</v>
      </c>
      <c r="AD17" s="102">
        <v>0</v>
      </c>
      <c r="AE17" s="102">
        <v>0</v>
      </c>
      <c r="AF17" s="102">
        <v>0</v>
      </c>
      <c r="AG17" s="102">
        <v>0</v>
      </c>
      <c r="AH17" s="102">
        <v>0</v>
      </c>
      <c r="AI17" s="102">
        <v>0</v>
      </c>
      <c r="AJ17" s="102">
        <v>0</v>
      </c>
      <c r="AK17" s="102">
        <v>0</v>
      </c>
      <c r="AL17" s="102">
        <v>0</v>
      </c>
      <c r="AM17" s="102">
        <v>0</v>
      </c>
      <c r="AN17" s="102">
        <v>0</v>
      </c>
    </row>
    <row r="18" spans="1:40" customFormat="1" x14ac:dyDescent="0.15">
      <c r="A18" s="181" t="s">
        <v>208</v>
      </c>
      <c r="B18" s="102">
        <v>0</v>
      </c>
      <c r="C18" s="102">
        <v>0</v>
      </c>
      <c r="D18" s="102">
        <v>0</v>
      </c>
      <c r="E18" s="102">
        <v>0</v>
      </c>
      <c r="F18" s="102">
        <v>0</v>
      </c>
      <c r="G18" s="102">
        <v>0</v>
      </c>
      <c r="H18" s="102">
        <v>0</v>
      </c>
      <c r="I18" s="102">
        <v>0</v>
      </c>
      <c r="J18" s="102">
        <v>0.8</v>
      </c>
      <c r="K18" s="102">
        <v>0</v>
      </c>
      <c r="L18" s="102">
        <v>0</v>
      </c>
      <c r="M18" s="102">
        <v>0</v>
      </c>
      <c r="N18" s="102">
        <v>0</v>
      </c>
      <c r="O18" s="102">
        <v>0</v>
      </c>
      <c r="P18" s="102">
        <v>0</v>
      </c>
      <c r="Q18" s="102">
        <v>0</v>
      </c>
      <c r="R18" s="102">
        <v>0</v>
      </c>
      <c r="S18" s="102">
        <v>0</v>
      </c>
      <c r="T18" s="102">
        <v>0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>
        <v>0</v>
      </c>
      <c r="AD18" s="102">
        <v>0</v>
      </c>
      <c r="AE18" s="102">
        <v>0</v>
      </c>
      <c r="AF18" s="102">
        <v>0</v>
      </c>
      <c r="AG18" s="102">
        <v>0</v>
      </c>
      <c r="AH18" s="102">
        <v>0</v>
      </c>
      <c r="AI18" s="102">
        <v>0</v>
      </c>
      <c r="AJ18" s="102">
        <v>0</v>
      </c>
      <c r="AK18" s="102">
        <v>0</v>
      </c>
      <c r="AL18" s="102">
        <v>0</v>
      </c>
      <c r="AM18" s="102">
        <v>0</v>
      </c>
      <c r="AN18" s="102">
        <v>0</v>
      </c>
    </row>
    <row r="19" spans="1:40" customFormat="1" x14ac:dyDescent="0.15">
      <c r="A19" s="181" t="s">
        <v>209</v>
      </c>
      <c r="B19" s="102">
        <v>0.8</v>
      </c>
      <c r="C19" s="102">
        <v>0.8</v>
      </c>
      <c r="D19" s="102">
        <v>0.8</v>
      </c>
      <c r="E19" s="102">
        <v>0</v>
      </c>
      <c r="F19" s="102">
        <v>0</v>
      </c>
      <c r="G19" s="102">
        <v>0.8</v>
      </c>
      <c r="H19" s="102">
        <v>0.8</v>
      </c>
      <c r="I19" s="102">
        <v>0.8</v>
      </c>
      <c r="J19" s="102">
        <v>0.8</v>
      </c>
      <c r="K19" s="102">
        <v>0.8</v>
      </c>
      <c r="L19" s="102">
        <v>0</v>
      </c>
      <c r="M19" s="102">
        <v>0</v>
      </c>
      <c r="N19" s="102">
        <v>0.8</v>
      </c>
      <c r="O19" s="102">
        <v>0</v>
      </c>
      <c r="P19" s="102">
        <v>0.8</v>
      </c>
      <c r="Q19" s="102">
        <v>0</v>
      </c>
      <c r="R19" s="102">
        <v>0.8</v>
      </c>
      <c r="S19" s="102">
        <v>0.8</v>
      </c>
      <c r="T19" s="102">
        <v>0</v>
      </c>
      <c r="U19" s="102">
        <v>0.8</v>
      </c>
      <c r="V19" s="102">
        <v>0</v>
      </c>
      <c r="W19" s="102">
        <v>0.8</v>
      </c>
      <c r="X19" s="102">
        <v>0.8</v>
      </c>
      <c r="Y19" s="102">
        <v>0</v>
      </c>
      <c r="Z19" s="102">
        <v>0</v>
      </c>
      <c r="AA19" s="102">
        <v>0.8</v>
      </c>
      <c r="AB19" s="102">
        <v>0.8</v>
      </c>
      <c r="AC19" s="102">
        <v>0</v>
      </c>
      <c r="AD19" s="102">
        <v>0</v>
      </c>
      <c r="AE19" s="102">
        <v>0</v>
      </c>
      <c r="AF19" s="102">
        <v>0</v>
      </c>
      <c r="AG19" s="102">
        <v>0</v>
      </c>
      <c r="AH19" s="102">
        <v>0</v>
      </c>
      <c r="AI19" s="102">
        <v>0</v>
      </c>
      <c r="AJ19" s="102">
        <v>0</v>
      </c>
      <c r="AK19" s="102">
        <v>0</v>
      </c>
      <c r="AL19" s="102">
        <v>0</v>
      </c>
      <c r="AM19" s="102">
        <v>0</v>
      </c>
      <c r="AN19" s="102">
        <v>0</v>
      </c>
    </row>
    <row r="20" spans="1:40" customFormat="1" x14ac:dyDescent="0.15">
      <c r="A20" s="181" t="s">
        <v>210</v>
      </c>
      <c r="B20" s="102">
        <v>0</v>
      </c>
      <c r="C20" s="102">
        <v>0</v>
      </c>
      <c r="D20" s="102">
        <v>0</v>
      </c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0.8</v>
      </c>
      <c r="L20" s="102">
        <v>0</v>
      </c>
      <c r="M20" s="102">
        <v>0</v>
      </c>
      <c r="N20" s="102">
        <v>0</v>
      </c>
      <c r="O20" s="102">
        <v>0</v>
      </c>
      <c r="P20" s="102">
        <v>0</v>
      </c>
      <c r="Q20" s="102">
        <v>0</v>
      </c>
      <c r="R20" s="102">
        <v>0.8</v>
      </c>
      <c r="S20" s="102">
        <v>0</v>
      </c>
      <c r="T20" s="102">
        <v>0.8</v>
      </c>
      <c r="U20" s="102">
        <v>0.8</v>
      </c>
      <c r="V20" s="102">
        <v>0.8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>
        <v>0</v>
      </c>
      <c r="AD20" s="102">
        <v>0</v>
      </c>
      <c r="AE20" s="102">
        <v>0</v>
      </c>
      <c r="AF20" s="102">
        <v>0</v>
      </c>
      <c r="AG20" s="102">
        <v>0</v>
      </c>
      <c r="AH20" s="102">
        <v>0</v>
      </c>
      <c r="AI20" s="102">
        <v>0</v>
      </c>
      <c r="AJ20" s="102">
        <v>0</v>
      </c>
      <c r="AK20" s="102">
        <v>0</v>
      </c>
      <c r="AL20" s="102">
        <v>0</v>
      </c>
      <c r="AM20" s="102">
        <v>0</v>
      </c>
      <c r="AN20" s="102">
        <v>0</v>
      </c>
    </row>
    <row r="21" spans="1:40" customFormat="1" x14ac:dyDescent="0.15">
      <c r="A21" s="181" t="s">
        <v>211</v>
      </c>
      <c r="B21" s="102">
        <v>0</v>
      </c>
      <c r="C21" s="102">
        <v>0</v>
      </c>
      <c r="D21" s="102">
        <v>0</v>
      </c>
      <c r="E21" s="102">
        <v>0</v>
      </c>
      <c r="F21" s="102">
        <v>0</v>
      </c>
      <c r="G21" s="102">
        <v>0</v>
      </c>
      <c r="H21" s="102">
        <v>0</v>
      </c>
      <c r="I21" s="102">
        <v>0</v>
      </c>
      <c r="J21" s="102">
        <v>0</v>
      </c>
      <c r="K21" s="102">
        <v>0.8</v>
      </c>
      <c r="L21" s="102">
        <v>0</v>
      </c>
      <c r="M21" s="102">
        <v>0</v>
      </c>
      <c r="N21" s="102">
        <v>0</v>
      </c>
      <c r="O21" s="102">
        <v>0</v>
      </c>
      <c r="P21" s="102">
        <v>0</v>
      </c>
      <c r="Q21" s="102">
        <v>0</v>
      </c>
      <c r="R21" s="102">
        <v>0.8</v>
      </c>
      <c r="S21" s="102">
        <v>0</v>
      </c>
      <c r="T21" s="102">
        <v>0</v>
      </c>
      <c r="U21" s="102">
        <v>0</v>
      </c>
      <c r="V21" s="102">
        <v>0.8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>
        <v>0</v>
      </c>
      <c r="AD21" s="102">
        <v>0</v>
      </c>
      <c r="AE21" s="102">
        <v>0</v>
      </c>
      <c r="AF21" s="102">
        <v>0</v>
      </c>
      <c r="AG21" s="102">
        <v>0</v>
      </c>
      <c r="AH21" s="102">
        <v>0</v>
      </c>
      <c r="AI21" s="102">
        <v>0</v>
      </c>
      <c r="AJ21" s="102">
        <v>0</v>
      </c>
      <c r="AK21" s="102">
        <v>0</v>
      </c>
      <c r="AL21" s="102">
        <v>0</v>
      </c>
      <c r="AM21" s="102">
        <v>0</v>
      </c>
      <c r="AN21" s="102">
        <v>0</v>
      </c>
    </row>
    <row r="22" spans="1:40" customFormat="1" x14ac:dyDescent="0.15">
      <c r="A22" s="181" t="s">
        <v>212</v>
      </c>
      <c r="B22" s="102">
        <v>0</v>
      </c>
      <c r="C22" s="102">
        <v>0</v>
      </c>
      <c r="D22" s="102">
        <v>0</v>
      </c>
      <c r="E22" s="102">
        <v>0</v>
      </c>
      <c r="F22" s="102">
        <v>0.8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0</v>
      </c>
      <c r="R22" s="102">
        <v>0.8</v>
      </c>
      <c r="S22" s="102">
        <v>0</v>
      </c>
      <c r="T22" s="102">
        <v>0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>
        <v>0</v>
      </c>
      <c r="AD22" s="102">
        <v>0</v>
      </c>
      <c r="AE22" s="102">
        <v>0</v>
      </c>
      <c r="AF22" s="102">
        <v>0</v>
      </c>
      <c r="AG22" s="102">
        <v>0</v>
      </c>
      <c r="AH22" s="102">
        <v>0</v>
      </c>
      <c r="AI22" s="102">
        <v>0</v>
      </c>
      <c r="AJ22" s="102">
        <v>0</v>
      </c>
      <c r="AK22" s="102">
        <v>0</v>
      </c>
      <c r="AL22" s="102">
        <v>0</v>
      </c>
      <c r="AM22" s="102">
        <v>0</v>
      </c>
      <c r="AN22" s="102">
        <v>0</v>
      </c>
    </row>
    <row r="23" spans="1:40" customFormat="1" x14ac:dyDescent="0.15">
      <c r="A23" s="181" t="s">
        <v>213</v>
      </c>
      <c r="B23" s="102">
        <v>0</v>
      </c>
      <c r="C23" s="102">
        <v>0</v>
      </c>
      <c r="D23" s="102">
        <v>0.8</v>
      </c>
      <c r="E23" s="102">
        <v>0</v>
      </c>
      <c r="F23" s="102">
        <v>0</v>
      </c>
      <c r="G23" s="102">
        <v>0</v>
      </c>
      <c r="H23" s="102">
        <v>0.8</v>
      </c>
      <c r="I23" s="102">
        <v>0</v>
      </c>
      <c r="J23" s="102">
        <v>0</v>
      </c>
      <c r="K23" s="102">
        <v>0.8</v>
      </c>
      <c r="L23" s="102">
        <v>0.8</v>
      </c>
      <c r="M23" s="102">
        <v>0</v>
      </c>
      <c r="N23" s="102">
        <v>0</v>
      </c>
      <c r="O23" s="102">
        <v>0</v>
      </c>
      <c r="P23" s="102">
        <v>0</v>
      </c>
      <c r="Q23" s="102">
        <v>0</v>
      </c>
      <c r="R23" s="102">
        <v>0</v>
      </c>
      <c r="S23" s="102">
        <v>0</v>
      </c>
      <c r="T23" s="102">
        <v>0</v>
      </c>
      <c r="U23" s="102">
        <v>0.8</v>
      </c>
      <c r="V23" s="102">
        <v>0.8</v>
      </c>
      <c r="W23" s="102">
        <v>0.8</v>
      </c>
      <c r="X23" s="102">
        <v>0.8</v>
      </c>
      <c r="Y23" s="102">
        <v>0</v>
      </c>
      <c r="Z23" s="102">
        <v>0</v>
      </c>
      <c r="AA23" s="102">
        <v>0</v>
      </c>
      <c r="AB23" s="102">
        <v>0</v>
      </c>
      <c r="AC23" s="102">
        <v>0.8</v>
      </c>
      <c r="AD23" s="102">
        <v>0</v>
      </c>
      <c r="AE23" s="102">
        <v>0</v>
      </c>
      <c r="AF23" s="102">
        <v>0</v>
      </c>
      <c r="AG23" s="102">
        <v>0</v>
      </c>
      <c r="AH23" s="102">
        <v>0</v>
      </c>
      <c r="AI23" s="102">
        <v>0</v>
      </c>
      <c r="AJ23" s="102">
        <v>0</v>
      </c>
      <c r="AK23" s="102">
        <v>0</v>
      </c>
      <c r="AL23" s="102">
        <v>0</v>
      </c>
      <c r="AM23" s="102">
        <v>0</v>
      </c>
      <c r="AN23" s="102">
        <v>0</v>
      </c>
    </row>
    <row r="24" spans="1:40" customFormat="1" x14ac:dyDescent="0.15">
      <c r="A24" s="181" t="s">
        <v>214</v>
      </c>
      <c r="B24" s="102">
        <v>0</v>
      </c>
      <c r="C24" s="102">
        <v>0.8</v>
      </c>
      <c r="D24" s="102">
        <v>0.8</v>
      </c>
      <c r="E24" s="102">
        <v>0</v>
      </c>
      <c r="F24" s="102">
        <v>0.8</v>
      </c>
      <c r="G24" s="102">
        <v>0</v>
      </c>
      <c r="H24" s="102">
        <v>0</v>
      </c>
      <c r="I24" s="102">
        <v>0</v>
      </c>
      <c r="J24" s="102">
        <v>0</v>
      </c>
      <c r="K24" s="102">
        <v>0.8</v>
      </c>
      <c r="L24" s="102">
        <v>0.8</v>
      </c>
      <c r="M24" s="102">
        <v>0.8</v>
      </c>
      <c r="N24" s="102">
        <v>0</v>
      </c>
      <c r="O24" s="102">
        <v>0</v>
      </c>
      <c r="P24" s="102">
        <v>0</v>
      </c>
      <c r="Q24" s="102">
        <v>0</v>
      </c>
      <c r="R24" s="102">
        <v>0</v>
      </c>
      <c r="S24" s="102">
        <v>0</v>
      </c>
      <c r="T24" s="102">
        <v>0</v>
      </c>
      <c r="U24" s="102">
        <v>0</v>
      </c>
      <c r="V24" s="102">
        <v>0</v>
      </c>
      <c r="W24" s="102">
        <v>0</v>
      </c>
      <c r="X24" s="102">
        <v>0.8</v>
      </c>
      <c r="Y24" s="102">
        <v>0</v>
      </c>
      <c r="Z24" s="102">
        <v>0</v>
      </c>
      <c r="AA24" s="102">
        <v>0</v>
      </c>
      <c r="AB24" s="102">
        <v>0</v>
      </c>
      <c r="AC24" s="102">
        <v>0</v>
      </c>
      <c r="AD24" s="102">
        <v>0</v>
      </c>
      <c r="AE24" s="102">
        <v>0</v>
      </c>
      <c r="AF24" s="102">
        <v>0</v>
      </c>
      <c r="AG24" s="102">
        <v>0</v>
      </c>
      <c r="AH24" s="102">
        <v>0</v>
      </c>
      <c r="AI24" s="102">
        <v>0</v>
      </c>
      <c r="AJ24" s="102">
        <v>0</v>
      </c>
      <c r="AK24" s="102">
        <v>0</v>
      </c>
      <c r="AL24" s="102">
        <v>0</v>
      </c>
      <c r="AM24" s="102">
        <v>0</v>
      </c>
      <c r="AN24" s="102">
        <v>0</v>
      </c>
    </row>
    <row r="25" spans="1:40" customFormat="1" x14ac:dyDescent="0.15">
      <c r="A25" s="181" t="s">
        <v>215</v>
      </c>
      <c r="B25" s="102">
        <v>0</v>
      </c>
      <c r="C25" s="102">
        <v>0.8</v>
      </c>
      <c r="D25" s="102">
        <v>0.8</v>
      </c>
      <c r="E25" s="102">
        <v>0</v>
      </c>
      <c r="F25" s="102">
        <v>0</v>
      </c>
      <c r="G25" s="102">
        <v>0</v>
      </c>
      <c r="H25" s="102">
        <v>0</v>
      </c>
      <c r="I25" s="102">
        <v>0</v>
      </c>
      <c r="J25" s="102">
        <v>0</v>
      </c>
      <c r="K25" s="102">
        <v>0</v>
      </c>
      <c r="L25" s="102">
        <v>0</v>
      </c>
      <c r="M25" s="102">
        <v>0</v>
      </c>
      <c r="N25" s="102">
        <v>0</v>
      </c>
      <c r="O25" s="102">
        <v>0</v>
      </c>
      <c r="P25" s="102">
        <v>0</v>
      </c>
      <c r="Q25" s="102">
        <v>0</v>
      </c>
      <c r="R25" s="102">
        <v>0</v>
      </c>
      <c r="S25" s="102">
        <v>0</v>
      </c>
      <c r="T25" s="102">
        <v>0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>
        <v>0.8</v>
      </c>
      <c r="AD25" s="102">
        <v>0</v>
      </c>
      <c r="AE25" s="102">
        <v>0</v>
      </c>
      <c r="AF25" s="102">
        <v>0</v>
      </c>
      <c r="AG25" s="102">
        <v>0</v>
      </c>
      <c r="AH25" s="102">
        <v>0</v>
      </c>
      <c r="AI25" s="102">
        <v>0</v>
      </c>
      <c r="AJ25" s="102">
        <v>0</v>
      </c>
      <c r="AK25" s="102">
        <v>0</v>
      </c>
      <c r="AL25" s="102">
        <v>0</v>
      </c>
      <c r="AM25" s="102">
        <v>0</v>
      </c>
      <c r="AN25" s="102">
        <v>0</v>
      </c>
    </row>
    <row r="26" spans="1:40" customFormat="1" x14ac:dyDescent="0.15">
      <c r="A26" s="181" t="s">
        <v>216</v>
      </c>
      <c r="B26" s="102">
        <v>0</v>
      </c>
      <c r="C26" s="102">
        <v>0.8</v>
      </c>
      <c r="D26" s="102">
        <v>0.8</v>
      </c>
      <c r="E26" s="102">
        <v>0</v>
      </c>
      <c r="F26" s="102">
        <v>0</v>
      </c>
      <c r="G26" s="102">
        <v>0</v>
      </c>
      <c r="H26" s="102">
        <v>0</v>
      </c>
      <c r="I26" s="102">
        <v>0</v>
      </c>
      <c r="J26" s="102">
        <v>0</v>
      </c>
      <c r="K26" s="102">
        <v>0</v>
      </c>
      <c r="L26" s="102">
        <v>0</v>
      </c>
      <c r="M26" s="102">
        <v>0</v>
      </c>
      <c r="N26" s="102">
        <v>0</v>
      </c>
      <c r="O26" s="102">
        <v>0</v>
      </c>
      <c r="P26" s="102">
        <v>0</v>
      </c>
      <c r="Q26" s="102">
        <v>0</v>
      </c>
      <c r="R26" s="102">
        <v>0</v>
      </c>
      <c r="S26" s="102">
        <v>0</v>
      </c>
      <c r="T26" s="102">
        <v>0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>
        <v>0</v>
      </c>
      <c r="AD26" s="102">
        <v>0</v>
      </c>
      <c r="AE26" s="102">
        <v>0</v>
      </c>
      <c r="AF26" s="102">
        <v>0</v>
      </c>
      <c r="AG26" s="102">
        <v>0</v>
      </c>
      <c r="AH26" s="102">
        <v>0</v>
      </c>
      <c r="AI26" s="102">
        <v>0</v>
      </c>
      <c r="AJ26" s="102">
        <v>0</v>
      </c>
      <c r="AK26" s="102">
        <v>0</v>
      </c>
      <c r="AL26" s="102">
        <v>0</v>
      </c>
      <c r="AM26" s="102">
        <v>0</v>
      </c>
      <c r="AN26" s="102">
        <v>0</v>
      </c>
    </row>
    <row r="27" spans="1:40" customFormat="1" x14ac:dyDescent="0.15">
      <c r="A27" s="181" t="s">
        <v>217</v>
      </c>
      <c r="B27" s="102">
        <v>0.8</v>
      </c>
      <c r="C27" s="102">
        <v>0.8</v>
      </c>
      <c r="D27" s="102">
        <v>0.8</v>
      </c>
      <c r="E27" s="102">
        <v>0.8</v>
      </c>
      <c r="F27" s="102">
        <v>0.8</v>
      </c>
      <c r="G27" s="102">
        <v>0.8</v>
      </c>
      <c r="H27" s="102">
        <v>0.8</v>
      </c>
      <c r="I27" s="102">
        <v>0.8</v>
      </c>
      <c r="J27" s="102">
        <v>0.8</v>
      </c>
      <c r="K27" s="102">
        <v>0.8</v>
      </c>
      <c r="L27" s="102">
        <v>0.8</v>
      </c>
      <c r="M27" s="102">
        <v>0.8</v>
      </c>
      <c r="N27" s="102">
        <v>0.8</v>
      </c>
      <c r="O27" s="102">
        <v>0.8</v>
      </c>
      <c r="P27" s="102">
        <v>0.8</v>
      </c>
      <c r="Q27" s="102">
        <v>0</v>
      </c>
      <c r="R27" s="102">
        <v>0.8</v>
      </c>
      <c r="S27" s="102">
        <v>0</v>
      </c>
      <c r="T27" s="102">
        <v>0.8</v>
      </c>
      <c r="U27" s="102">
        <v>0.8</v>
      </c>
      <c r="V27" s="102">
        <v>0.8</v>
      </c>
      <c r="W27" s="102">
        <v>0.8</v>
      </c>
      <c r="X27" s="102">
        <v>0.8</v>
      </c>
      <c r="Y27" s="102">
        <v>0</v>
      </c>
      <c r="Z27" s="102">
        <v>0</v>
      </c>
      <c r="AA27" s="102">
        <v>0.8</v>
      </c>
      <c r="AB27" s="102">
        <v>0.8</v>
      </c>
      <c r="AC27" s="102">
        <v>0</v>
      </c>
      <c r="AD27" s="102">
        <v>0</v>
      </c>
      <c r="AE27" s="102">
        <v>0</v>
      </c>
      <c r="AF27" s="102">
        <v>0</v>
      </c>
      <c r="AG27" s="102">
        <v>0</v>
      </c>
      <c r="AH27" s="102">
        <v>0</v>
      </c>
      <c r="AI27" s="102">
        <v>0</v>
      </c>
      <c r="AJ27" s="102">
        <v>0</v>
      </c>
      <c r="AK27" s="102">
        <v>0</v>
      </c>
      <c r="AL27" s="102">
        <v>0</v>
      </c>
      <c r="AM27" s="102">
        <v>0</v>
      </c>
      <c r="AN27" s="102">
        <v>0</v>
      </c>
    </row>
    <row r="28" spans="1:40" customFormat="1" x14ac:dyDescent="0.15">
      <c r="A28" s="181" t="s">
        <v>218</v>
      </c>
      <c r="B28" s="102">
        <v>0</v>
      </c>
      <c r="C28" s="102">
        <v>0.8</v>
      </c>
      <c r="D28" s="102">
        <v>0.8</v>
      </c>
      <c r="E28" s="102">
        <v>0</v>
      </c>
      <c r="F28" s="102">
        <v>0</v>
      </c>
      <c r="G28" s="102">
        <v>0</v>
      </c>
      <c r="H28" s="102">
        <v>0</v>
      </c>
      <c r="I28" s="102">
        <v>0</v>
      </c>
      <c r="J28" s="102">
        <v>0</v>
      </c>
      <c r="K28" s="102">
        <v>0</v>
      </c>
      <c r="L28" s="102">
        <v>0</v>
      </c>
      <c r="M28" s="102">
        <v>0</v>
      </c>
      <c r="N28" s="102">
        <v>0</v>
      </c>
      <c r="O28" s="102">
        <v>0</v>
      </c>
      <c r="P28" s="102">
        <v>0</v>
      </c>
      <c r="Q28" s="102">
        <v>0</v>
      </c>
      <c r="R28" s="102">
        <v>0</v>
      </c>
      <c r="S28" s="102">
        <v>0</v>
      </c>
      <c r="T28" s="102">
        <v>0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0.8</v>
      </c>
      <c r="AC28" s="102">
        <v>0</v>
      </c>
      <c r="AD28" s="102">
        <v>0</v>
      </c>
      <c r="AE28" s="102">
        <v>0</v>
      </c>
      <c r="AF28" s="102">
        <v>0</v>
      </c>
      <c r="AG28" s="102">
        <v>0</v>
      </c>
      <c r="AH28" s="102">
        <v>0</v>
      </c>
      <c r="AI28" s="102">
        <v>0</v>
      </c>
      <c r="AJ28" s="102">
        <v>0</v>
      </c>
      <c r="AK28" s="102">
        <v>0</v>
      </c>
      <c r="AL28" s="102">
        <v>0</v>
      </c>
      <c r="AM28" s="102">
        <v>0</v>
      </c>
      <c r="AN28" s="102">
        <v>0</v>
      </c>
    </row>
    <row r="29" spans="1:40" customFormat="1" x14ac:dyDescent="0.15">
      <c r="A29" s="181" t="s">
        <v>219</v>
      </c>
      <c r="B29" s="102">
        <v>0</v>
      </c>
      <c r="C29" s="102">
        <v>0.8</v>
      </c>
      <c r="D29" s="102">
        <v>0.8</v>
      </c>
      <c r="E29" s="102">
        <v>0</v>
      </c>
      <c r="F29" s="102">
        <v>0</v>
      </c>
      <c r="G29" s="102">
        <v>0</v>
      </c>
      <c r="H29" s="102">
        <v>0</v>
      </c>
      <c r="I29" s="102">
        <v>0</v>
      </c>
      <c r="J29" s="102">
        <v>0</v>
      </c>
      <c r="K29" s="102">
        <v>0.8</v>
      </c>
      <c r="L29" s="102">
        <v>0</v>
      </c>
      <c r="M29" s="102">
        <v>0</v>
      </c>
      <c r="N29" s="102">
        <v>0</v>
      </c>
      <c r="O29" s="102">
        <v>0</v>
      </c>
      <c r="P29" s="102">
        <v>0</v>
      </c>
      <c r="Q29" s="102">
        <v>0</v>
      </c>
      <c r="R29" s="102">
        <v>0</v>
      </c>
      <c r="S29" s="102">
        <v>0</v>
      </c>
      <c r="T29" s="102">
        <v>0</v>
      </c>
      <c r="U29" s="102">
        <v>0</v>
      </c>
      <c r="V29" s="102">
        <v>0</v>
      </c>
      <c r="W29" s="102">
        <v>0.8</v>
      </c>
      <c r="X29" s="102">
        <v>0.8</v>
      </c>
      <c r="Y29" s="102">
        <v>0</v>
      </c>
      <c r="Z29" s="102">
        <v>0</v>
      </c>
      <c r="AA29" s="102">
        <v>0</v>
      </c>
      <c r="AB29" s="102">
        <v>0</v>
      </c>
      <c r="AC29" s="102">
        <v>0</v>
      </c>
      <c r="AD29" s="102">
        <v>0</v>
      </c>
      <c r="AE29" s="102">
        <v>0</v>
      </c>
      <c r="AF29" s="102">
        <v>0</v>
      </c>
      <c r="AG29" s="102">
        <v>0</v>
      </c>
      <c r="AH29" s="102">
        <v>0</v>
      </c>
      <c r="AI29" s="102">
        <v>0</v>
      </c>
      <c r="AJ29" s="102">
        <v>0</v>
      </c>
      <c r="AK29" s="102">
        <v>0</v>
      </c>
      <c r="AL29" s="102">
        <v>0</v>
      </c>
      <c r="AM29" s="102">
        <v>0</v>
      </c>
      <c r="AN29" s="102">
        <v>0</v>
      </c>
    </row>
    <row r="30" spans="1:40" customFormat="1" x14ac:dyDescent="0.15">
      <c r="A30" s="181" t="s">
        <v>220</v>
      </c>
      <c r="B30" s="102">
        <v>0</v>
      </c>
      <c r="C30" s="102">
        <v>0</v>
      </c>
      <c r="D30" s="102">
        <v>0</v>
      </c>
      <c r="E30" s="102">
        <v>0</v>
      </c>
      <c r="F30" s="102">
        <v>0</v>
      </c>
      <c r="G30" s="102">
        <v>0</v>
      </c>
      <c r="H30" s="102">
        <v>0</v>
      </c>
      <c r="I30" s="102">
        <v>0</v>
      </c>
      <c r="J30" s="102">
        <v>0</v>
      </c>
      <c r="K30" s="102">
        <v>0</v>
      </c>
      <c r="L30" s="102">
        <v>0</v>
      </c>
      <c r="M30" s="102">
        <v>0</v>
      </c>
      <c r="N30" s="102">
        <v>0</v>
      </c>
      <c r="O30" s="102">
        <v>0</v>
      </c>
      <c r="P30" s="102">
        <v>0</v>
      </c>
      <c r="Q30" s="102">
        <v>0</v>
      </c>
      <c r="R30" s="102">
        <v>0</v>
      </c>
      <c r="S30" s="102">
        <v>0</v>
      </c>
      <c r="T30" s="102">
        <v>0</v>
      </c>
      <c r="U30" s="102">
        <v>0</v>
      </c>
      <c r="V30" s="102">
        <v>0</v>
      </c>
      <c r="W30" s="102">
        <v>0.8</v>
      </c>
      <c r="X30" s="102">
        <v>0.8</v>
      </c>
      <c r="Y30" s="102">
        <v>0</v>
      </c>
      <c r="Z30" s="102">
        <v>0.8</v>
      </c>
      <c r="AA30" s="102">
        <v>0</v>
      </c>
      <c r="AB30" s="102">
        <v>0</v>
      </c>
      <c r="AC30" s="102">
        <v>0.8</v>
      </c>
      <c r="AD30" s="102">
        <v>0.8</v>
      </c>
      <c r="AE30" s="102">
        <v>0.8</v>
      </c>
      <c r="AF30" s="102">
        <v>0.8</v>
      </c>
      <c r="AG30" s="102">
        <v>0</v>
      </c>
      <c r="AH30" s="102">
        <v>0</v>
      </c>
      <c r="AI30" s="102">
        <v>0</v>
      </c>
      <c r="AJ30" s="102">
        <v>0</v>
      </c>
      <c r="AK30" s="102">
        <v>0</v>
      </c>
      <c r="AL30" s="102">
        <v>0</v>
      </c>
      <c r="AM30" s="102">
        <v>0</v>
      </c>
      <c r="AN30" s="102">
        <v>0</v>
      </c>
    </row>
    <row r="31" spans="1:40" customFormat="1" x14ac:dyDescent="0.15">
      <c r="A31" s="181" t="s">
        <v>221</v>
      </c>
      <c r="B31" s="102">
        <v>0</v>
      </c>
      <c r="C31" s="102">
        <v>0.8</v>
      </c>
      <c r="D31" s="102">
        <v>0.8</v>
      </c>
      <c r="E31" s="102">
        <v>0</v>
      </c>
      <c r="F31" s="102">
        <v>0.8</v>
      </c>
      <c r="G31" s="102">
        <v>0</v>
      </c>
      <c r="H31" s="102">
        <v>0</v>
      </c>
      <c r="I31" s="102">
        <v>0</v>
      </c>
      <c r="J31" s="102">
        <v>0</v>
      </c>
      <c r="K31" s="102">
        <v>0</v>
      </c>
      <c r="L31" s="102">
        <v>0</v>
      </c>
      <c r="M31" s="102">
        <v>0</v>
      </c>
      <c r="N31" s="102">
        <v>0.8</v>
      </c>
      <c r="O31" s="102">
        <v>0.8</v>
      </c>
      <c r="P31" s="102">
        <v>0.8</v>
      </c>
      <c r="Q31" s="102">
        <v>0</v>
      </c>
      <c r="R31" s="102">
        <v>0</v>
      </c>
      <c r="S31" s="102">
        <v>0</v>
      </c>
      <c r="T31" s="102">
        <v>0.8</v>
      </c>
      <c r="U31" s="102">
        <v>0.8</v>
      </c>
      <c r="V31" s="102">
        <v>0</v>
      </c>
      <c r="W31" s="102">
        <v>0.8</v>
      </c>
      <c r="X31" s="102">
        <v>0.8</v>
      </c>
      <c r="Y31" s="102">
        <v>0.8</v>
      </c>
      <c r="Z31" s="102">
        <v>0.8</v>
      </c>
      <c r="AA31" s="102">
        <v>0</v>
      </c>
      <c r="AB31" s="102">
        <v>0</v>
      </c>
      <c r="AC31" s="102">
        <v>0.8</v>
      </c>
      <c r="AD31" s="102">
        <v>0</v>
      </c>
      <c r="AE31" s="102">
        <v>0</v>
      </c>
      <c r="AF31" s="102">
        <v>0</v>
      </c>
      <c r="AG31" s="102">
        <v>0</v>
      </c>
      <c r="AH31" s="102">
        <v>0</v>
      </c>
      <c r="AI31" s="102">
        <v>0</v>
      </c>
      <c r="AJ31" s="102">
        <v>0</v>
      </c>
      <c r="AK31" s="102">
        <v>0</v>
      </c>
      <c r="AL31" s="102">
        <v>0</v>
      </c>
      <c r="AM31" s="102">
        <v>0</v>
      </c>
      <c r="AN31" s="102">
        <v>0</v>
      </c>
    </row>
    <row r="32" spans="1:40" customFormat="1" x14ac:dyDescent="0.15">
      <c r="A32" s="181" t="s">
        <v>222</v>
      </c>
      <c r="B32" s="102">
        <v>0</v>
      </c>
      <c r="C32" s="102">
        <v>0</v>
      </c>
      <c r="D32" s="102">
        <v>0</v>
      </c>
      <c r="E32" s="102">
        <v>0</v>
      </c>
      <c r="F32" s="102">
        <v>0</v>
      </c>
      <c r="G32" s="102">
        <v>0</v>
      </c>
      <c r="H32" s="102">
        <v>0</v>
      </c>
      <c r="I32" s="102">
        <v>0</v>
      </c>
      <c r="J32" s="102">
        <v>0</v>
      </c>
      <c r="K32" s="102">
        <v>0</v>
      </c>
      <c r="L32" s="102">
        <v>0</v>
      </c>
      <c r="M32" s="102">
        <v>0</v>
      </c>
      <c r="N32" s="102">
        <v>0</v>
      </c>
      <c r="O32" s="102">
        <v>0</v>
      </c>
      <c r="P32" s="102">
        <v>0</v>
      </c>
      <c r="Q32" s="102">
        <v>0</v>
      </c>
      <c r="R32" s="102">
        <v>0</v>
      </c>
      <c r="S32" s="102">
        <v>0</v>
      </c>
      <c r="T32" s="102">
        <v>0</v>
      </c>
      <c r="U32" s="102">
        <v>0</v>
      </c>
      <c r="V32" s="102">
        <v>0</v>
      </c>
      <c r="W32" s="102">
        <v>0.8</v>
      </c>
      <c r="X32" s="102">
        <v>0.8</v>
      </c>
      <c r="Y32" s="102">
        <v>0.8</v>
      </c>
      <c r="Z32" s="102">
        <v>0.8</v>
      </c>
      <c r="AA32" s="102">
        <v>0</v>
      </c>
      <c r="AB32" s="102">
        <v>0</v>
      </c>
      <c r="AC32" s="102">
        <v>0.8</v>
      </c>
      <c r="AD32" s="102">
        <v>0</v>
      </c>
      <c r="AE32" s="102">
        <v>0</v>
      </c>
      <c r="AF32" s="102">
        <v>0</v>
      </c>
      <c r="AG32" s="102">
        <v>0</v>
      </c>
      <c r="AH32" s="102">
        <v>0</v>
      </c>
      <c r="AI32" s="102">
        <v>0</v>
      </c>
      <c r="AJ32" s="102">
        <v>0</v>
      </c>
      <c r="AK32" s="102">
        <v>0</v>
      </c>
      <c r="AL32" s="102">
        <v>0</v>
      </c>
      <c r="AM32" s="102">
        <v>0</v>
      </c>
      <c r="AN32" s="102">
        <v>0</v>
      </c>
    </row>
    <row r="33" spans="1:40" x14ac:dyDescent="0.15">
      <c r="A33" s="181" t="s">
        <v>223</v>
      </c>
      <c r="B33" s="102">
        <v>0</v>
      </c>
      <c r="C33" s="102">
        <v>0</v>
      </c>
      <c r="D33" s="102">
        <v>0</v>
      </c>
      <c r="E33" s="102">
        <v>0</v>
      </c>
      <c r="F33" s="102">
        <v>0</v>
      </c>
      <c r="G33" s="102">
        <v>0</v>
      </c>
      <c r="H33" s="102">
        <v>0</v>
      </c>
      <c r="I33" s="102">
        <v>0</v>
      </c>
      <c r="J33" s="102">
        <v>0</v>
      </c>
      <c r="K33" s="102">
        <v>0</v>
      </c>
      <c r="L33" s="102">
        <v>0</v>
      </c>
      <c r="M33" s="102">
        <v>0</v>
      </c>
      <c r="N33" s="102">
        <v>0</v>
      </c>
      <c r="O33" s="102">
        <v>0</v>
      </c>
      <c r="P33" s="102">
        <v>0</v>
      </c>
      <c r="Q33" s="102">
        <v>0</v>
      </c>
      <c r="R33" s="102">
        <v>0</v>
      </c>
      <c r="S33" s="102">
        <v>0</v>
      </c>
      <c r="T33" s="102">
        <v>0</v>
      </c>
      <c r="U33" s="102">
        <v>0</v>
      </c>
      <c r="V33" s="102">
        <v>0</v>
      </c>
      <c r="W33" s="102">
        <v>0</v>
      </c>
      <c r="X33" s="102">
        <v>0</v>
      </c>
      <c r="Y33" s="102">
        <v>0</v>
      </c>
      <c r="Z33" s="102">
        <v>0</v>
      </c>
      <c r="AA33" s="102">
        <v>0</v>
      </c>
      <c r="AB33" s="102">
        <v>0</v>
      </c>
      <c r="AC33" s="102">
        <v>0</v>
      </c>
      <c r="AD33" s="102">
        <v>0.8</v>
      </c>
      <c r="AE33" s="102">
        <v>0.8</v>
      </c>
      <c r="AF33" s="102">
        <v>0.8</v>
      </c>
      <c r="AG33" s="102">
        <v>0</v>
      </c>
      <c r="AH33" s="102">
        <v>0.8</v>
      </c>
      <c r="AI33" s="102">
        <v>0</v>
      </c>
      <c r="AJ33" s="102">
        <v>0.8</v>
      </c>
      <c r="AK33" s="102">
        <v>0</v>
      </c>
      <c r="AL33" s="102">
        <v>0</v>
      </c>
      <c r="AM33" s="102">
        <v>0</v>
      </c>
      <c r="AN33" s="102">
        <v>0</v>
      </c>
    </row>
    <row r="34" spans="1:40" x14ac:dyDescent="0.15">
      <c r="A34" s="181" t="s">
        <v>224</v>
      </c>
      <c r="B34" s="102">
        <v>0.8</v>
      </c>
      <c r="C34" s="102">
        <v>0</v>
      </c>
      <c r="D34" s="102">
        <v>0</v>
      </c>
      <c r="E34" s="102">
        <v>0.8</v>
      </c>
      <c r="F34" s="102">
        <v>0</v>
      </c>
      <c r="G34" s="102">
        <v>0.8</v>
      </c>
      <c r="H34" s="102">
        <v>0</v>
      </c>
      <c r="I34" s="102">
        <v>0</v>
      </c>
      <c r="J34" s="102">
        <v>0</v>
      </c>
      <c r="K34" s="102">
        <v>0</v>
      </c>
      <c r="L34" s="102">
        <v>0</v>
      </c>
      <c r="M34" s="102">
        <v>0</v>
      </c>
      <c r="N34" s="102">
        <v>0.8</v>
      </c>
      <c r="O34" s="102">
        <v>0.8</v>
      </c>
      <c r="P34" s="102">
        <v>0.8</v>
      </c>
      <c r="Q34" s="102">
        <v>0.8</v>
      </c>
      <c r="R34" s="102">
        <v>0</v>
      </c>
      <c r="S34" s="102">
        <v>0.8</v>
      </c>
      <c r="T34" s="102">
        <v>0</v>
      </c>
      <c r="U34" s="102">
        <v>0</v>
      </c>
      <c r="V34" s="102">
        <v>0</v>
      </c>
      <c r="W34" s="102">
        <v>0</v>
      </c>
      <c r="X34" s="102">
        <v>0</v>
      </c>
      <c r="Y34" s="102">
        <v>0</v>
      </c>
      <c r="Z34" s="102">
        <v>0</v>
      </c>
      <c r="AA34" s="102">
        <v>0.8</v>
      </c>
      <c r="AB34" s="102">
        <v>0</v>
      </c>
      <c r="AC34" s="102">
        <v>0</v>
      </c>
      <c r="AD34" s="102">
        <v>0</v>
      </c>
      <c r="AE34" s="102">
        <v>0</v>
      </c>
      <c r="AF34" s="102">
        <v>0</v>
      </c>
      <c r="AG34" s="102">
        <v>0</v>
      </c>
      <c r="AH34" s="102">
        <v>0.8</v>
      </c>
      <c r="AI34" s="102">
        <v>0.8</v>
      </c>
      <c r="AJ34" s="102">
        <v>0.8</v>
      </c>
      <c r="AK34" s="102">
        <v>0.8</v>
      </c>
      <c r="AL34" s="102">
        <v>0</v>
      </c>
      <c r="AM34" s="102">
        <v>0</v>
      </c>
      <c r="AN34" s="102">
        <v>0</v>
      </c>
    </row>
    <row r="35" spans="1:40" x14ac:dyDescent="0.15">
      <c r="A35" s="181" t="s">
        <v>225</v>
      </c>
      <c r="B35" s="102">
        <v>0.8</v>
      </c>
      <c r="C35" s="102">
        <v>0</v>
      </c>
      <c r="D35" s="102">
        <v>0</v>
      </c>
      <c r="E35" s="102">
        <v>0.8</v>
      </c>
      <c r="F35" s="102">
        <v>0.8</v>
      </c>
      <c r="G35" s="102">
        <v>0.8</v>
      </c>
      <c r="H35" s="102">
        <v>0.8</v>
      </c>
      <c r="I35" s="102">
        <v>0.8</v>
      </c>
      <c r="J35" s="102">
        <v>0.8</v>
      </c>
      <c r="K35" s="102">
        <v>0.8</v>
      </c>
      <c r="L35" s="102">
        <v>0</v>
      </c>
      <c r="M35" s="102">
        <v>0</v>
      </c>
      <c r="N35" s="102">
        <v>0.8</v>
      </c>
      <c r="O35" s="102">
        <v>0.8</v>
      </c>
      <c r="P35" s="102">
        <v>0.8</v>
      </c>
      <c r="Q35" s="102">
        <v>0.8</v>
      </c>
      <c r="R35" s="102">
        <v>0.8</v>
      </c>
      <c r="S35" s="102">
        <v>0.8</v>
      </c>
      <c r="T35" s="102">
        <v>0</v>
      </c>
      <c r="U35" s="102">
        <v>0</v>
      </c>
      <c r="V35" s="102">
        <v>0</v>
      </c>
      <c r="W35" s="102">
        <v>0</v>
      </c>
      <c r="X35" s="102">
        <v>0</v>
      </c>
      <c r="Y35" s="102">
        <v>0</v>
      </c>
      <c r="Z35" s="102">
        <v>0</v>
      </c>
      <c r="AA35" s="102">
        <v>0.8</v>
      </c>
      <c r="AB35" s="102">
        <v>0.8</v>
      </c>
      <c r="AC35" s="102">
        <v>0</v>
      </c>
      <c r="AD35" s="102">
        <v>0</v>
      </c>
      <c r="AE35" s="102">
        <v>0</v>
      </c>
      <c r="AF35" s="102">
        <v>0</v>
      </c>
      <c r="AG35" s="102">
        <v>0</v>
      </c>
      <c r="AH35" s="102">
        <v>0</v>
      </c>
      <c r="AI35" s="102">
        <v>0.8</v>
      </c>
      <c r="AJ35" s="102">
        <v>0</v>
      </c>
      <c r="AK35" s="102">
        <v>0</v>
      </c>
      <c r="AL35" s="102">
        <v>0</v>
      </c>
      <c r="AM35" s="102">
        <v>0</v>
      </c>
      <c r="AN35" s="102">
        <v>0</v>
      </c>
    </row>
    <row r="36" spans="1:40" x14ac:dyDescent="0.15">
      <c r="A36" s="181" t="s">
        <v>226</v>
      </c>
      <c r="B36" s="102">
        <v>0</v>
      </c>
      <c r="C36" s="102">
        <v>0</v>
      </c>
      <c r="D36" s="102">
        <v>0</v>
      </c>
      <c r="E36" s="102">
        <v>0</v>
      </c>
      <c r="F36" s="102">
        <v>0</v>
      </c>
      <c r="G36" s="102">
        <v>0</v>
      </c>
      <c r="H36" s="102">
        <v>0</v>
      </c>
      <c r="I36" s="102">
        <v>0</v>
      </c>
      <c r="J36" s="102">
        <v>0</v>
      </c>
      <c r="K36" s="102">
        <v>0</v>
      </c>
      <c r="L36" s="102">
        <v>0</v>
      </c>
      <c r="M36" s="102">
        <v>0</v>
      </c>
      <c r="N36" s="102">
        <v>0</v>
      </c>
      <c r="O36" s="102">
        <v>0</v>
      </c>
      <c r="P36" s="102">
        <v>0</v>
      </c>
      <c r="Q36" s="102">
        <v>0</v>
      </c>
      <c r="R36" s="102">
        <v>0</v>
      </c>
      <c r="S36" s="102">
        <v>0.8</v>
      </c>
      <c r="T36" s="102">
        <v>0.8</v>
      </c>
      <c r="U36" s="102">
        <v>0.8</v>
      </c>
      <c r="V36" s="102">
        <v>0.8</v>
      </c>
      <c r="W36" s="102">
        <v>0.8</v>
      </c>
      <c r="X36" s="102">
        <v>0.8</v>
      </c>
      <c r="Y36" s="102">
        <v>0.8</v>
      </c>
      <c r="Z36" s="102">
        <v>0</v>
      </c>
      <c r="AA36" s="102">
        <v>0.8</v>
      </c>
      <c r="AB36" s="102">
        <v>0</v>
      </c>
      <c r="AC36" s="102">
        <v>0</v>
      </c>
      <c r="AD36" s="102">
        <v>0</v>
      </c>
      <c r="AE36" s="102">
        <v>0</v>
      </c>
      <c r="AF36" s="102">
        <v>0</v>
      </c>
      <c r="AG36" s="102">
        <v>0</v>
      </c>
      <c r="AH36" s="102">
        <v>0</v>
      </c>
      <c r="AI36" s="102">
        <v>0</v>
      </c>
      <c r="AJ36" s="102">
        <v>0.8</v>
      </c>
      <c r="AK36" s="102">
        <v>0.8</v>
      </c>
      <c r="AL36" s="102">
        <v>0</v>
      </c>
      <c r="AM36" s="102">
        <v>0</v>
      </c>
      <c r="AN36" s="102">
        <v>0</v>
      </c>
    </row>
    <row r="37" spans="1:40" x14ac:dyDescent="0.15">
      <c r="A37" s="181" t="s">
        <v>227</v>
      </c>
      <c r="B37" s="102">
        <v>0</v>
      </c>
      <c r="C37" s="102">
        <v>0</v>
      </c>
      <c r="D37" s="102">
        <v>0</v>
      </c>
      <c r="E37" s="102">
        <v>0</v>
      </c>
      <c r="F37" s="102">
        <v>0</v>
      </c>
      <c r="G37" s="102">
        <v>0</v>
      </c>
      <c r="H37" s="102">
        <v>0</v>
      </c>
      <c r="I37" s="102">
        <v>0</v>
      </c>
      <c r="J37" s="102">
        <v>0</v>
      </c>
      <c r="K37" s="102">
        <v>0.8</v>
      </c>
      <c r="L37" s="102">
        <v>0</v>
      </c>
      <c r="M37" s="102">
        <v>0</v>
      </c>
      <c r="N37" s="102">
        <v>0</v>
      </c>
      <c r="O37" s="102">
        <v>0</v>
      </c>
      <c r="P37" s="102">
        <v>0</v>
      </c>
      <c r="Q37" s="102">
        <v>0</v>
      </c>
      <c r="R37" s="102">
        <v>0.8</v>
      </c>
      <c r="S37" s="102">
        <v>0.8</v>
      </c>
      <c r="T37" s="102">
        <v>0.8</v>
      </c>
      <c r="U37" s="102">
        <v>0.8</v>
      </c>
      <c r="V37" s="102">
        <v>0.8</v>
      </c>
      <c r="W37" s="102">
        <v>0.8</v>
      </c>
      <c r="X37" s="102">
        <v>0.8</v>
      </c>
      <c r="Y37" s="102">
        <v>0</v>
      </c>
      <c r="Z37" s="102">
        <v>0</v>
      </c>
      <c r="AA37" s="102">
        <v>0.8</v>
      </c>
      <c r="AB37" s="102">
        <v>0.8</v>
      </c>
      <c r="AC37" s="102">
        <v>0</v>
      </c>
      <c r="AD37" s="102">
        <v>0</v>
      </c>
      <c r="AE37" s="102">
        <v>0.8</v>
      </c>
      <c r="AF37" s="102">
        <v>0</v>
      </c>
      <c r="AG37" s="102">
        <v>0</v>
      </c>
      <c r="AH37" s="102">
        <v>0</v>
      </c>
      <c r="AI37" s="102">
        <v>0</v>
      </c>
      <c r="AJ37" s="102">
        <v>0</v>
      </c>
      <c r="AK37" s="102">
        <v>0.8</v>
      </c>
      <c r="AL37" s="102">
        <v>0</v>
      </c>
      <c r="AM37" s="102">
        <v>0</v>
      </c>
      <c r="AN37" s="102">
        <v>0</v>
      </c>
    </row>
    <row r="38" spans="1:40" x14ac:dyDescent="0.15">
      <c r="A38" s="181" t="s">
        <v>228</v>
      </c>
      <c r="B38" s="102">
        <v>0</v>
      </c>
      <c r="C38" s="102">
        <v>0</v>
      </c>
      <c r="D38" s="102">
        <v>0</v>
      </c>
      <c r="E38" s="102">
        <v>0</v>
      </c>
      <c r="F38" s="102">
        <v>0</v>
      </c>
      <c r="G38" s="102">
        <v>0</v>
      </c>
      <c r="H38" s="102">
        <v>0</v>
      </c>
      <c r="I38" s="102">
        <v>0</v>
      </c>
      <c r="J38" s="102">
        <v>0</v>
      </c>
      <c r="K38" s="102">
        <v>0</v>
      </c>
      <c r="L38" s="102">
        <v>0</v>
      </c>
      <c r="M38" s="102">
        <v>0</v>
      </c>
      <c r="N38" s="102">
        <v>0.8</v>
      </c>
      <c r="O38" s="102">
        <v>0</v>
      </c>
      <c r="P38" s="102">
        <v>0.8</v>
      </c>
      <c r="Q38" s="102">
        <v>0.8</v>
      </c>
      <c r="R38" s="102">
        <v>0</v>
      </c>
      <c r="S38" s="102">
        <v>0</v>
      </c>
      <c r="T38" s="102">
        <v>0</v>
      </c>
      <c r="U38" s="102">
        <v>0</v>
      </c>
      <c r="V38" s="102">
        <v>0</v>
      </c>
      <c r="W38" s="102">
        <v>0</v>
      </c>
      <c r="X38" s="102">
        <v>0</v>
      </c>
      <c r="Y38" s="102">
        <v>0</v>
      </c>
      <c r="Z38" s="102">
        <v>0</v>
      </c>
      <c r="AA38" s="102">
        <v>0</v>
      </c>
      <c r="AB38" s="102">
        <v>0</v>
      </c>
      <c r="AC38" s="102">
        <v>0</v>
      </c>
      <c r="AD38" s="102">
        <v>0</v>
      </c>
      <c r="AE38" s="102">
        <v>0</v>
      </c>
      <c r="AF38" s="102">
        <v>0</v>
      </c>
      <c r="AG38" s="102">
        <v>0</v>
      </c>
      <c r="AH38" s="102">
        <v>0.8</v>
      </c>
      <c r="AI38" s="102">
        <v>0</v>
      </c>
      <c r="AJ38" s="102">
        <v>0</v>
      </c>
      <c r="AK38" s="102">
        <v>0</v>
      </c>
      <c r="AL38" s="102">
        <v>0</v>
      </c>
      <c r="AM38" s="102">
        <v>0</v>
      </c>
      <c r="AN38" s="102">
        <v>0</v>
      </c>
    </row>
    <row r="39" spans="1:40" x14ac:dyDescent="0.15">
      <c r="A39" s="181" t="s">
        <v>229</v>
      </c>
      <c r="B39" s="102">
        <v>0</v>
      </c>
      <c r="C39" s="102">
        <v>0</v>
      </c>
      <c r="D39" s="102">
        <v>0</v>
      </c>
      <c r="E39" s="102">
        <v>0.8</v>
      </c>
      <c r="F39" s="102">
        <v>0.8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2">
        <v>0</v>
      </c>
      <c r="M39" s="102">
        <v>0</v>
      </c>
      <c r="N39" s="102">
        <v>0</v>
      </c>
      <c r="O39" s="102">
        <v>0</v>
      </c>
      <c r="P39" s="102">
        <v>0.8</v>
      </c>
      <c r="Q39" s="102">
        <v>0.8</v>
      </c>
      <c r="R39" s="102">
        <v>0</v>
      </c>
      <c r="S39" s="102">
        <v>0.8</v>
      </c>
      <c r="T39" s="102">
        <v>0.8</v>
      </c>
      <c r="U39" s="102">
        <v>0.8</v>
      </c>
      <c r="V39" s="102">
        <v>0.8</v>
      </c>
      <c r="W39" s="102">
        <v>0.8</v>
      </c>
      <c r="X39" s="102">
        <v>0.8</v>
      </c>
      <c r="Y39" s="102">
        <v>0.8</v>
      </c>
      <c r="Z39" s="102">
        <v>0.8</v>
      </c>
      <c r="AA39" s="102">
        <v>0</v>
      </c>
      <c r="AB39" s="102">
        <v>0</v>
      </c>
      <c r="AC39" s="102">
        <v>0</v>
      </c>
      <c r="AD39" s="102">
        <v>0.8</v>
      </c>
      <c r="AE39" s="102">
        <v>0.8</v>
      </c>
      <c r="AF39" s="102">
        <v>0.8</v>
      </c>
      <c r="AG39" s="102">
        <v>0.8</v>
      </c>
      <c r="AH39" s="102">
        <v>0.8</v>
      </c>
      <c r="AI39" s="102">
        <v>0</v>
      </c>
      <c r="AJ39" s="102">
        <v>0.8</v>
      </c>
      <c r="AK39" s="102">
        <v>0.8</v>
      </c>
      <c r="AL39" s="102">
        <v>0</v>
      </c>
      <c r="AM39" s="102">
        <v>0</v>
      </c>
      <c r="AN39" s="102">
        <v>0</v>
      </c>
    </row>
    <row r="40" spans="1:40" x14ac:dyDescent="0.15">
      <c r="A40" s="181" t="s">
        <v>230</v>
      </c>
      <c r="B40" s="102">
        <v>0</v>
      </c>
      <c r="C40" s="102">
        <v>0</v>
      </c>
      <c r="D40" s="102">
        <v>0</v>
      </c>
      <c r="E40" s="102">
        <v>0</v>
      </c>
      <c r="F40" s="102">
        <v>0</v>
      </c>
      <c r="G40" s="102">
        <v>0</v>
      </c>
      <c r="H40" s="102">
        <v>0</v>
      </c>
      <c r="I40" s="102">
        <v>0</v>
      </c>
      <c r="J40" s="102">
        <v>0</v>
      </c>
      <c r="K40" s="102">
        <v>0</v>
      </c>
      <c r="L40" s="102">
        <v>0</v>
      </c>
      <c r="M40" s="102">
        <v>0</v>
      </c>
      <c r="N40" s="102">
        <v>0</v>
      </c>
      <c r="O40" s="102">
        <v>0</v>
      </c>
      <c r="P40" s="102">
        <v>0</v>
      </c>
      <c r="Q40" s="102">
        <v>0</v>
      </c>
      <c r="R40" s="102">
        <v>0</v>
      </c>
      <c r="S40" s="102">
        <v>0</v>
      </c>
      <c r="T40" s="102">
        <v>0</v>
      </c>
      <c r="U40" s="102">
        <v>0</v>
      </c>
      <c r="V40" s="102">
        <v>0</v>
      </c>
      <c r="W40" s="102">
        <v>0</v>
      </c>
      <c r="X40" s="102">
        <v>0</v>
      </c>
      <c r="Y40" s="102">
        <v>0</v>
      </c>
      <c r="Z40" s="102">
        <v>0</v>
      </c>
      <c r="AA40" s="102">
        <v>0</v>
      </c>
      <c r="AB40" s="102">
        <v>0</v>
      </c>
      <c r="AC40" s="102">
        <v>0</v>
      </c>
      <c r="AD40" s="102">
        <v>0</v>
      </c>
      <c r="AE40" s="102">
        <v>0</v>
      </c>
      <c r="AF40" s="102">
        <v>0</v>
      </c>
      <c r="AG40" s="102">
        <v>0</v>
      </c>
      <c r="AH40" s="102">
        <v>0</v>
      </c>
      <c r="AI40" s="102">
        <v>0</v>
      </c>
      <c r="AJ40" s="102">
        <v>0</v>
      </c>
      <c r="AK40" s="102">
        <v>0</v>
      </c>
      <c r="AL40" s="102">
        <v>0</v>
      </c>
      <c r="AM40" s="102">
        <v>0</v>
      </c>
      <c r="AN40" s="102">
        <v>0</v>
      </c>
    </row>
    <row r="41" spans="1:40" x14ac:dyDescent="0.15">
      <c r="A41" s="181" t="s">
        <v>232</v>
      </c>
      <c r="B41" s="102">
        <v>0</v>
      </c>
      <c r="C41" s="102">
        <v>0</v>
      </c>
      <c r="D41" s="102">
        <v>0</v>
      </c>
      <c r="E41" s="102">
        <v>0</v>
      </c>
      <c r="F41" s="102">
        <v>0</v>
      </c>
      <c r="G41" s="102">
        <v>0</v>
      </c>
      <c r="H41" s="102">
        <v>0</v>
      </c>
      <c r="I41" s="102">
        <v>0</v>
      </c>
      <c r="J41" s="102">
        <v>0</v>
      </c>
      <c r="K41" s="102">
        <v>0</v>
      </c>
      <c r="L41" s="102">
        <v>0</v>
      </c>
      <c r="M41" s="102">
        <v>0</v>
      </c>
      <c r="N41" s="102">
        <v>0</v>
      </c>
      <c r="O41" s="102">
        <v>0</v>
      </c>
      <c r="P41" s="102">
        <v>0</v>
      </c>
      <c r="Q41" s="102">
        <v>0</v>
      </c>
      <c r="R41" s="102">
        <v>0</v>
      </c>
      <c r="S41" s="102">
        <v>0</v>
      </c>
      <c r="T41" s="102">
        <v>0</v>
      </c>
      <c r="U41" s="102">
        <v>0</v>
      </c>
      <c r="V41" s="102">
        <v>0</v>
      </c>
      <c r="W41" s="102">
        <v>0</v>
      </c>
      <c r="X41" s="102">
        <v>0</v>
      </c>
      <c r="Y41" s="102">
        <v>0</v>
      </c>
      <c r="Z41" s="102">
        <v>0</v>
      </c>
      <c r="AA41" s="102">
        <v>0</v>
      </c>
      <c r="AB41" s="102">
        <v>0</v>
      </c>
      <c r="AC41" s="102">
        <v>0</v>
      </c>
      <c r="AD41" s="102">
        <v>0</v>
      </c>
      <c r="AE41" s="102">
        <v>0</v>
      </c>
      <c r="AF41" s="102">
        <v>0</v>
      </c>
      <c r="AG41" s="102">
        <v>0</v>
      </c>
      <c r="AH41" s="102">
        <v>0</v>
      </c>
      <c r="AI41" s="102">
        <v>0</v>
      </c>
      <c r="AJ41" s="102">
        <v>0</v>
      </c>
      <c r="AK41" s="102">
        <v>0</v>
      </c>
      <c r="AL41" s="102">
        <v>0</v>
      </c>
      <c r="AM41" s="102">
        <v>0</v>
      </c>
      <c r="AN41" s="10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40" width="2.33203125" style="102" customWidth="1"/>
    <col min="41" max="16384" width="10.83203125" style="102"/>
  </cols>
  <sheetData>
    <row r="1" spans="1:40" x14ac:dyDescent="0.15">
      <c r="A1" s="60" t="s">
        <v>139</v>
      </c>
      <c r="B1" s="184" t="s">
        <v>192</v>
      </c>
      <c r="C1" s="184" t="s">
        <v>193</v>
      </c>
      <c r="D1" s="184" t="s">
        <v>194</v>
      </c>
      <c r="E1" s="184" t="s">
        <v>195</v>
      </c>
      <c r="F1" s="184" t="s">
        <v>196</v>
      </c>
      <c r="G1" s="184" t="s">
        <v>197</v>
      </c>
      <c r="H1" s="184" t="s">
        <v>198</v>
      </c>
      <c r="I1" s="184" t="s">
        <v>199</v>
      </c>
      <c r="J1" s="184" t="s">
        <v>200</v>
      </c>
      <c r="K1" s="184" t="s">
        <v>201</v>
      </c>
      <c r="L1" s="184" t="s">
        <v>202</v>
      </c>
      <c r="M1" s="184" t="s">
        <v>203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 s="184" t="s">
        <v>219</v>
      </c>
      <c r="AD1" s="184" t="s">
        <v>220</v>
      </c>
      <c r="AE1" s="184" t="s">
        <v>221</v>
      </c>
      <c r="AF1" s="184" t="s">
        <v>222</v>
      </c>
      <c r="AG1" s="184" t="s">
        <v>223</v>
      </c>
      <c r="AH1" s="184" t="s">
        <v>224</v>
      </c>
      <c r="AI1" s="184" t="s">
        <v>225</v>
      </c>
      <c r="AJ1" s="184" t="s">
        <v>226</v>
      </c>
      <c r="AK1" s="184" t="s">
        <v>227</v>
      </c>
      <c r="AL1" s="184" t="s">
        <v>228</v>
      </c>
      <c r="AM1" s="184" t="s">
        <v>229</v>
      </c>
      <c r="AN1" s="184" t="s">
        <v>230</v>
      </c>
    </row>
    <row r="2" spans="1:40" customFormat="1" x14ac:dyDescent="0.15">
      <c r="A2" s="183" t="s">
        <v>192</v>
      </c>
      <c r="B2" s="102">
        <v>0</v>
      </c>
      <c r="C2" s="102">
        <v>1</v>
      </c>
      <c r="D2" s="102">
        <v>0</v>
      </c>
      <c r="E2" s="102">
        <v>0</v>
      </c>
      <c r="F2" s="102">
        <v>1</v>
      </c>
      <c r="G2" s="102">
        <v>0</v>
      </c>
      <c r="H2" s="102">
        <v>0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  <c r="W2" s="102">
        <v>0</v>
      </c>
      <c r="X2" s="102">
        <v>0</v>
      </c>
      <c r="Y2" s="102">
        <v>0</v>
      </c>
      <c r="Z2" s="102">
        <v>0</v>
      </c>
      <c r="AA2" s="102">
        <v>0</v>
      </c>
      <c r="AB2" s="102">
        <v>0</v>
      </c>
      <c r="AC2" s="102">
        <v>0</v>
      </c>
      <c r="AD2" s="102">
        <v>0</v>
      </c>
      <c r="AE2" s="102">
        <v>0</v>
      </c>
      <c r="AF2" s="102">
        <v>0</v>
      </c>
      <c r="AG2" s="102">
        <v>0</v>
      </c>
      <c r="AH2" s="102">
        <v>0</v>
      </c>
      <c r="AI2" s="102">
        <v>0</v>
      </c>
      <c r="AJ2" s="102">
        <v>0</v>
      </c>
      <c r="AK2" s="102">
        <v>0</v>
      </c>
      <c r="AL2" s="102">
        <v>0</v>
      </c>
      <c r="AM2" s="102">
        <v>0</v>
      </c>
      <c r="AN2" s="102">
        <v>0</v>
      </c>
    </row>
    <row r="3" spans="1:40" customFormat="1" x14ac:dyDescent="0.15">
      <c r="A3" s="183" t="s">
        <v>193</v>
      </c>
      <c r="B3" s="102">
        <v>0</v>
      </c>
      <c r="C3" s="102">
        <v>1</v>
      </c>
      <c r="D3" s="102">
        <v>0</v>
      </c>
      <c r="E3" s="102">
        <v>0</v>
      </c>
      <c r="F3" s="102">
        <v>1</v>
      </c>
      <c r="G3" s="102">
        <v>0</v>
      </c>
      <c r="H3" s="102">
        <v>0</v>
      </c>
      <c r="I3" s="102">
        <v>0</v>
      </c>
      <c r="J3" s="102">
        <v>0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  <c r="X3" s="102">
        <v>0</v>
      </c>
      <c r="Y3" s="102">
        <v>0</v>
      </c>
      <c r="Z3" s="102">
        <v>0</v>
      </c>
      <c r="AA3" s="102">
        <v>0</v>
      </c>
      <c r="AB3" s="102">
        <v>0</v>
      </c>
      <c r="AC3" s="102">
        <v>0</v>
      </c>
      <c r="AD3" s="102">
        <v>0</v>
      </c>
      <c r="AE3" s="102">
        <v>0</v>
      </c>
      <c r="AF3" s="102">
        <v>0</v>
      </c>
      <c r="AG3" s="102">
        <v>0</v>
      </c>
      <c r="AH3" s="102">
        <v>0</v>
      </c>
      <c r="AI3" s="102">
        <v>0</v>
      </c>
      <c r="AJ3" s="102">
        <v>0</v>
      </c>
      <c r="AK3" s="102">
        <v>0</v>
      </c>
      <c r="AL3" s="102">
        <v>0</v>
      </c>
      <c r="AM3" s="102">
        <v>0</v>
      </c>
      <c r="AN3" s="102">
        <v>0</v>
      </c>
    </row>
    <row r="4" spans="1:40" customFormat="1" x14ac:dyDescent="0.15">
      <c r="A4" s="183" t="s">
        <v>194</v>
      </c>
      <c r="B4" s="102">
        <v>0</v>
      </c>
      <c r="C4" s="102">
        <v>1</v>
      </c>
      <c r="D4" s="102">
        <v>0</v>
      </c>
      <c r="E4" s="102">
        <v>0</v>
      </c>
      <c r="F4" s="102">
        <v>0</v>
      </c>
      <c r="G4" s="102">
        <v>0</v>
      </c>
      <c r="H4" s="102">
        <v>0</v>
      </c>
      <c r="I4" s="102">
        <v>0</v>
      </c>
      <c r="J4" s="102">
        <v>0</v>
      </c>
      <c r="K4" s="102">
        <v>0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  <c r="W4" s="102">
        <v>0</v>
      </c>
      <c r="X4" s="102">
        <v>0</v>
      </c>
      <c r="Y4" s="102">
        <v>0</v>
      </c>
      <c r="Z4" s="102">
        <v>0</v>
      </c>
      <c r="AA4" s="102">
        <v>0</v>
      </c>
      <c r="AB4" s="102">
        <v>0</v>
      </c>
      <c r="AC4" s="102">
        <v>0</v>
      </c>
      <c r="AD4" s="102">
        <v>0</v>
      </c>
      <c r="AE4" s="102">
        <v>0</v>
      </c>
      <c r="AF4" s="102">
        <v>0</v>
      </c>
      <c r="AG4" s="102">
        <v>0</v>
      </c>
      <c r="AH4" s="102">
        <v>0</v>
      </c>
      <c r="AI4" s="102">
        <v>0</v>
      </c>
      <c r="AJ4" s="102">
        <v>0</v>
      </c>
      <c r="AK4" s="102">
        <v>0</v>
      </c>
      <c r="AL4" s="102">
        <v>0</v>
      </c>
      <c r="AM4" s="102">
        <v>0</v>
      </c>
      <c r="AN4" s="102">
        <v>0</v>
      </c>
    </row>
    <row r="5" spans="1:40" customFormat="1" x14ac:dyDescent="0.15">
      <c r="A5" s="183" t="s">
        <v>195</v>
      </c>
      <c r="B5" s="102">
        <v>0</v>
      </c>
      <c r="C5" s="102">
        <v>1</v>
      </c>
      <c r="D5" s="102">
        <v>0</v>
      </c>
      <c r="E5" s="102">
        <v>0</v>
      </c>
      <c r="F5" s="102">
        <v>1</v>
      </c>
      <c r="G5" s="102">
        <v>0</v>
      </c>
      <c r="H5" s="102">
        <v>0</v>
      </c>
      <c r="I5" s="102">
        <v>0</v>
      </c>
      <c r="J5" s="102">
        <v>0</v>
      </c>
      <c r="K5" s="102">
        <v>0</v>
      </c>
      <c r="L5" s="102">
        <v>0</v>
      </c>
      <c r="M5" s="102">
        <v>0</v>
      </c>
      <c r="N5" s="102">
        <v>0</v>
      </c>
      <c r="O5" s="102">
        <v>0</v>
      </c>
      <c r="P5" s="102">
        <v>0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0</v>
      </c>
      <c r="W5" s="102">
        <v>0</v>
      </c>
      <c r="X5" s="102">
        <v>0</v>
      </c>
      <c r="Y5" s="102">
        <v>0</v>
      </c>
      <c r="Z5" s="102">
        <v>0</v>
      </c>
      <c r="AA5" s="102">
        <v>0</v>
      </c>
      <c r="AB5" s="102">
        <v>0</v>
      </c>
      <c r="AC5" s="102">
        <v>0</v>
      </c>
      <c r="AD5" s="102">
        <v>0</v>
      </c>
      <c r="AE5" s="102">
        <v>0</v>
      </c>
      <c r="AF5" s="102">
        <v>0</v>
      </c>
      <c r="AG5" s="102">
        <v>0</v>
      </c>
      <c r="AH5" s="102">
        <v>0</v>
      </c>
      <c r="AI5" s="102">
        <v>0</v>
      </c>
      <c r="AJ5" s="102">
        <v>0</v>
      </c>
      <c r="AK5" s="102">
        <v>0</v>
      </c>
      <c r="AL5" s="102">
        <v>0</v>
      </c>
      <c r="AM5" s="102">
        <v>0</v>
      </c>
      <c r="AN5" s="102">
        <v>0</v>
      </c>
    </row>
    <row r="6" spans="1:40" customFormat="1" x14ac:dyDescent="0.15">
      <c r="A6" s="183" t="s">
        <v>196</v>
      </c>
      <c r="B6" s="102">
        <v>0</v>
      </c>
      <c r="C6" s="102">
        <v>0</v>
      </c>
      <c r="D6" s="102">
        <v>0</v>
      </c>
      <c r="E6" s="102">
        <v>0</v>
      </c>
      <c r="F6" s="102">
        <v>1</v>
      </c>
      <c r="G6" s="102">
        <v>0</v>
      </c>
      <c r="H6" s="102">
        <v>0</v>
      </c>
      <c r="I6" s="102">
        <v>0</v>
      </c>
      <c r="J6" s="102">
        <v>0</v>
      </c>
      <c r="K6" s="102">
        <v>0</v>
      </c>
      <c r="L6" s="102">
        <v>0</v>
      </c>
      <c r="M6" s="102">
        <v>1</v>
      </c>
      <c r="N6" s="102">
        <v>0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  <c r="AD6" s="102">
        <v>0</v>
      </c>
      <c r="AE6" s="102">
        <v>0</v>
      </c>
      <c r="AF6" s="102">
        <v>0</v>
      </c>
      <c r="AG6" s="102">
        <v>0</v>
      </c>
      <c r="AH6" s="102">
        <v>0</v>
      </c>
      <c r="AI6" s="102">
        <v>0</v>
      </c>
      <c r="AJ6" s="102">
        <v>0</v>
      </c>
      <c r="AK6" s="102">
        <v>0</v>
      </c>
      <c r="AL6" s="102">
        <v>0</v>
      </c>
      <c r="AM6" s="102">
        <v>0</v>
      </c>
      <c r="AN6" s="102">
        <v>0</v>
      </c>
    </row>
    <row r="7" spans="1:40" customFormat="1" x14ac:dyDescent="0.15">
      <c r="A7" s="183" t="s">
        <v>197</v>
      </c>
      <c r="B7" s="102">
        <v>0</v>
      </c>
      <c r="C7" s="102">
        <v>0</v>
      </c>
      <c r="D7" s="102">
        <v>0</v>
      </c>
      <c r="E7" s="102">
        <v>0</v>
      </c>
      <c r="F7" s="102">
        <v>1</v>
      </c>
      <c r="G7" s="102">
        <v>0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1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</v>
      </c>
      <c r="W7" s="102">
        <v>0</v>
      </c>
      <c r="X7" s="102">
        <v>0</v>
      </c>
      <c r="Y7" s="102">
        <v>0</v>
      </c>
      <c r="Z7" s="102">
        <v>0</v>
      </c>
      <c r="AA7" s="102">
        <v>0</v>
      </c>
      <c r="AB7" s="102">
        <v>0</v>
      </c>
      <c r="AC7" s="102">
        <v>0</v>
      </c>
      <c r="AD7" s="102">
        <v>0</v>
      </c>
      <c r="AE7" s="102">
        <v>0</v>
      </c>
      <c r="AF7" s="102">
        <v>0</v>
      </c>
      <c r="AG7" s="102">
        <v>0</v>
      </c>
      <c r="AH7" s="102">
        <v>0</v>
      </c>
      <c r="AI7" s="102">
        <v>0</v>
      </c>
      <c r="AJ7" s="102">
        <v>0</v>
      </c>
      <c r="AK7" s="102">
        <v>0</v>
      </c>
      <c r="AL7" s="102">
        <v>0</v>
      </c>
      <c r="AM7" s="102">
        <v>0</v>
      </c>
      <c r="AN7" s="102">
        <v>0</v>
      </c>
    </row>
    <row r="8" spans="1:40" customFormat="1" x14ac:dyDescent="0.15">
      <c r="A8" s="183" t="s">
        <v>198</v>
      </c>
      <c r="B8" s="102">
        <v>0</v>
      </c>
      <c r="C8" s="102">
        <v>0</v>
      </c>
      <c r="D8" s="102">
        <v>0</v>
      </c>
      <c r="E8" s="102">
        <v>0</v>
      </c>
      <c r="F8" s="102">
        <v>1</v>
      </c>
      <c r="G8" s="102">
        <v>0</v>
      </c>
      <c r="H8" s="102">
        <v>0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</v>
      </c>
      <c r="U8" s="102">
        <v>0</v>
      </c>
      <c r="V8" s="102">
        <v>0</v>
      </c>
      <c r="W8" s="102">
        <v>0</v>
      </c>
      <c r="X8" s="102">
        <v>0</v>
      </c>
      <c r="Y8" s="102">
        <v>0</v>
      </c>
      <c r="Z8" s="102">
        <v>0</v>
      </c>
      <c r="AA8" s="102">
        <v>0</v>
      </c>
      <c r="AB8" s="102">
        <v>0</v>
      </c>
      <c r="AC8" s="102">
        <v>0</v>
      </c>
      <c r="AD8" s="102">
        <v>0</v>
      </c>
      <c r="AE8" s="102">
        <v>0</v>
      </c>
      <c r="AF8" s="102">
        <v>0</v>
      </c>
      <c r="AG8" s="102">
        <v>0</v>
      </c>
      <c r="AH8" s="102">
        <v>0</v>
      </c>
      <c r="AI8" s="102">
        <v>0</v>
      </c>
      <c r="AJ8" s="102">
        <v>0</v>
      </c>
      <c r="AK8" s="102">
        <v>0</v>
      </c>
      <c r="AL8" s="102">
        <v>0</v>
      </c>
      <c r="AM8" s="102">
        <v>0</v>
      </c>
      <c r="AN8" s="102">
        <v>0</v>
      </c>
    </row>
    <row r="9" spans="1:40" customFormat="1" x14ac:dyDescent="0.15">
      <c r="A9" s="183" t="s">
        <v>199</v>
      </c>
      <c r="B9" s="102">
        <v>0</v>
      </c>
      <c r="C9" s="102">
        <v>0</v>
      </c>
      <c r="D9" s="102">
        <v>0</v>
      </c>
      <c r="E9" s="102">
        <v>0</v>
      </c>
      <c r="F9" s="102">
        <v>1</v>
      </c>
      <c r="G9" s="102">
        <v>1</v>
      </c>
      <c r="H9" s="102">
        <v>0</v>
      </c>
      <c r="I9" s="102">
        <v>0</v>
      </c>
      <c r="J9" s="102">
        <v>1</v>
      </c>
      <c r="K9" s="102">
        <v>0</v>
      </c>
      <c r="L9" s="102">
        <v>0</v>
      </c>
      <c r="M9" s="102">
        <v>0</v>
      </c>
      <c r="N9" s="102">
        <v>0</v>
      </c>
      <c r="O9" s="102">
        <v>1</v>
      </c>
      <c r="P9" s="102">
        <v>0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</v>
      </c>
      <c r="W9" s="102">
        <v>0</v>
      </c>
      <c r="X9" s="102">
        <v>0</v>
      </c>
      <c r="Y9" s="102">
        <v>0</v>
      </c>
      <c r="Z9" s="102">
        <v>0</v>
      </c>
      <c r="AA9" s="102">
        <v>0</v>
      </c>
      <c r="AB9" s="102">
        <v>0</v>
      </c>
      <c r="AC9" s="102">
        <v>0</v>
      </c>
      <c r="AD9" s="102">
        <v>0</v>
      </c>
      <c r="AE9" s="102">
        <v>0</v>
      </c>
      <c r="AF9" s="102">
        <v>0</v>
      </c>
      <c r="AG9" s="102">
        <v>0</v>
      </c>
      <c r="AH9" s="102">
        <v>0</v>
      </c>
      <c r="AI9" s="102">
        <v>0</v>
      </c>
      <c r="AJ9" s="102">
        <v>0</v>
      </c>
      <c r="AK9" s="102">
        <v>0</v>
      </c>
      <c r="AL9" s="102">
        <v>0</v>
      </c>
      <c r="AM9" s="102">
        <v>0</v>
      </c>
      <c r="AN9" s="102">
        <v>0</v>
      </c>
    </row>
    <row r="10" spans="1:40" customFormat="1" x14ac:dyDescent="0.15">
      <c r="A10" s="183" t="s">
        <v>200</v>
      </c>
      <c r="B10" s="102">
        <v>0</v>
      </c>
      <c r="C10" s="102">
        <v>0</v>
      </c>
      <c r="D10" s="102">
        <v>0</v>
      </c>
      <c r="E10" s="102">
        <v>0</v>
      </c>
      <c r="F10" s="102">
        <v>1</v>
      </c>
      <c r="G10" s="102">
        <v>0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0</v>
      </c>
      <c r="N10" s="102">
        <v>0</v>
      </c>
      <c r="O10" s="102">
        <v>1</v>
      </c>
      <c r="P10" s="102">
        <v>0</v>
      </c>
      <c r="Q10" s="102">
        <v>0</v>
      </c>
      <c r="R10" s="102">
        <v>0</v>
      </c>
      <c r="S10" s="102">
        <v>0</v>
      </c>
      <c r="T10" s="102">
        <v>0</v>
      </c>
      <c r="U10" s="102">
        <v>0</v>
      </c>
      <c r="V10" s="102">
        <v>0</v>
      </c>
      <c r="W10" s="102">
        <v>0</v>
      </c>
      <c r="X10" s="102">
        <v>0</v>
      </c>
      <c r="Y10" s="102">
        <v>0</v>
      </c>
      <c r="Z10" s="102">
        <v>0</v>
      </c>
      <c r="AA10" s="102">
        <v>0</v>
      </c>
      <c r="AB10" s="102">
        <v>0</v>
      </c>
      <c r="AC10" s="102">
        <v>0</v>
      </c>
      <c r="AD10" s="102">
        <v>0</v>
      </c>
      <c r="AE10" s="102">
        <v>0</v>
      </c>
      <c r="AF10" s="102">
        <v>0</v>
      </c>
      <c r="AG10" s="102">
        <v>0</v>
      </c>
      <c r="AH10" s="102">
        <v>0</v>
      </c>
      <c r="AI10" s="102">
        <v>0</v>
      </c>
      <c r="AJ10" s="102">
        <v>0</v>
      </c>
      <c r="AK10" s="102">
        <v>0</v>
      </c>
      <c r="AL10" s="102">
        <v>0</v>
      </c>
      <c r="AM10" s="102">
        <v>0</v>
      </c>
      <c r="AN10" s="102">
        <v>0</v>
      </c>
    </row>
    <row r="11" spans="1:40" customFormat="1" x14ac:dyDescent="0.15">
      <c r="A11" s="183" t="s">
        <v>201</v>
      </c>
      <c r="B11" s="102">
        <v>0</v>
      </c>
      <c r="C11" s="102">
        <v>0</v>
      </c>
      <c r="D11" s="102">
        <v>0</v>
      </c>
      <c r="E11" s="102">
        <v>0</v>
      </c>
      <c r="F11" s="102">
        <v>1</v>
      </c>
      <c r="G11" s="102">
        <v>0</v>
      </c>
      <c r="H11" s="102">
        <v>0</v>
      </c>
      <c r="I11" s="102">
        <v>0</v>
      </c>
      <c r="J11" s="102">
        <v>0</v>
      </c>
      <c r="K11" s="102">
        <v>0</v>
      </c>
      <c r="L11" s="102">
        <v>0</v>
      </c>
      <c r="M11" s="102">
        <v>0</v>
      </c>
      <c r="N11" s="102">
        <v>0</v>
      </c>
      <c r="O11" s="102">
        <v>1</v>
      </c>
      <c r="P11" s="102">
        <v>0</v>
      </c>
      <c r="Q11" s="102">
        <v>0</v>
      </c>
      <c r="R11" s="102">
        <v>0</v>
      </c>
      <c r="S11" s="102">
        <v>0</v>
      </c>
      <c r="T11" s="102">
        <v>0</v>
      </c>
      <c r="U11" s="102">
        <v>0</v>
      </c>
      <c r="V11" s="102">
        <v>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0</v>
      </c>
      <c r="AC11" s="102">
        <v>0</v>
      </c>
      <c r="AD11" s="102">
        <v>0</v>
      </c>
      <c r="AE11" s="102">
        <v>0</v>
      </c>
      <c r="AF11" s="102">
        <v>0</v>
      </c>
      <c r="AG11" s="102">
        <v>0</v>
      </c>
      <c r="AH11" s="102">
        <v>0</v>
      </c>
      <c r="AI11" s="102">
        <v>0</v>
      </c>
      <c r="AJ11" s="102">
        <v>0</v>
      </c>
      <c r="AK11" s="102">
        <v>0</v>
      </c>
      <c r="AL11" s="102">
        <v>0</v>
      </c>
      <c r="AM11" s="102">
        <v>0</v>
      </c>
      <c r="AN11" s="102">
        <v>0</v>
      </c>
    </row>
    <row r="12" spans="1:40" customFormat="1" x14ac:dyDescent="0.15">
      <c r="A12" s="183" t="s">
        <v>202</v>
      </c>
      <c r="B12" s="102">
        <v>0</v>
      </c>
      <c r="C12" s="102">
        <v>0</v>
      </c>
      <c r="D12" s="102">
        <v>0</v>
      </c>
      <c r="E12" s="102">
        <v>0</v>
      </c>
      <c r="F12" s="102">
        <v>1</v>
      </c>
      <c r="G12" s="102">
        <v>0</v>
      </c>
      <c r="H12" s="102">
        <v>0</v>
      </c>
      <c r="I12" s="102">
        <v>0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>
        <v>0</v>
      </c>
      <c r="AD12" s="102">
        <v>0</v>
      </c>
      <c r="AE12" s="102">
        <v>0</v>
      </c>
      <c r="AF12" s="102">
        <v>0</v>
      </c>
      <c r="AG12" s="102">
        <v>0</v>
      </c>
      <c r="AH12" s="102">
        <v>0</v>
      </c>
      <c r="AI12" s="102">
        <v>0</v>
      </c>
      <c r="AJ12" s="102">
        <v>0</v>
      </c>
      <c r="AK12" s="102">
        <v>0</v>
      </c>
      <c r="AL12" s="102">
        <v>0</v>
      </c>
      <c r="AM12" s="102">
        <v>0</v>
      </c>
      <c r="AN12" s="102">
        <v>0</v>
      </c>
    </row>
    <row r="13" spans="1:40" customFormat="1" x14ac:dyDescent="0.15">
      <c r="A13" s="183" t="s">
        <v>203</v>
      </c>
      <c r="B13" s="102">
        <v>0</v>
      </c>
      <c r="C13" s="102">
        <v>0</v>
      </c>
      <c r="D13" s="102">
        <v>0</v>
      </c>
      <c r="E13" s="102">
        <v>0</v>
      </c>
      <c r="F13" s="102">
        <v>1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</v>
      </c>
      <c r="N13" s="102">
        <v>0</v>
      </c>
      <c r="O13" s="102">
        <v>0</v>
      </c>
      <c r="P13" s="102">
        <v>0</v>
      </c>
      <c r="Q13" s="102">
        <v>0</v>
      </c>
      <c r="R13" s="102">
        <v>0</v>
      </c>
      <c r="S13" s="102">
        <v>0</v>
      </c>
      <c r="T13" s="102">
        <v>0</v>
      </c>
      <c r="U13" s="102">
        <v>0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>
        <v>0</v>
      </c>
      <c r="AD13" s="102">
        <v>0</v>
      </c>
      <c r="AE13" s="102">
        <v>0</v>
      </c>
      <c r="AF13" s="102">
        <v>0</v>
      </c>
      <c r="AG13" s="102">
        <v>0</v>
      </c>
      <c r="AH13" s="102">
        <v>0</v>
      </c>
      <c r="AI13" s="102">
        <v>0</v>
      </c>
      <c r="AJ13" s="102">
        <v>0</v>
      </c>
      <c r="AK13" s="102">
        <v>0</v>
      </c>
      <c r="AL13" s="102">
        <v>0</v>
      </c>
      <c r="AM13" s="102">
        <v>0</v>
      </c>
      <c r="AN13" s="102">
        <v>0</v>
      </c>
    </row>
    <row r="14" spans="1:40" customFormat="1" x14ac:dyDescent="0.15">
      <c r="A14" s="183" t="s">
        <v>204</v>
      </c>
      <c r="B14" s="102">
        <v>0</v>
      </c>
      <c r="C14" s="102">
        <v>0</v>
      </c>
      <c r="D14" s="102">
        <v>0</v>
      </c>
      <c r="E14" s="102">
        <v>0</v>
      </c>
      <c r="F14" s="102">
        <v>1</v>
      </c>
      <c r="G14" s="102">
        <v>0</v>
      </c>
      <c r="H14" s="102">
        <v>0</v>
      </c>
      <c r="I14" s="102">
        <v>0</v>
      </c>
      <c r="J14" s="102">
        <v>0</v>
      </c>
      <c r="K14" s="102">
        <v>0</v>
      </c>
      <c r="L14" s="102">
        <v>0</v>
      </c>
      <c r="M14" s="102">
        <v>0</v>
      </c>
      <c r="N14" s="102">
        <v>0</v>
      </c>
      <c r="O14" s="102">
        <v>0</v>
      </c>
      <c r="P14" s="102">
        <v>0</v>
      </c>
      <c r="Q14" s="102">
        <v>0</v>
      </c>
      <c r="R14" s="102">
        <v>0</v>
      </c>
      <c r="S14" s="102">
        <v>0</v>
      </c>
      <c r="T14" s="102">
        <v>0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>
        <v>0</v>
      </c>
      <c r="AD14" s="102">
        <v>0</v>
      </c>
      <c r="AE14" s="102">
        <v>0</v>
      </c>
      <c r="AF14" s="102">
        <v>0</v>
      </c>
      <c r="AG14" s="102">
        <v>0</v>
      </c>
      <c r="AH14" s="102">
        <v>0</v>
      </c>
      <c r="AI14" s="102">
        <v>0</v>
      </c>
      <c r="AJ14" s="102">
        <v>0</v>
      </c>
      <c r="AK14" s="102">
        <v>0</v>
      </c>
      <c r="AL14" s="102">
        <v>0</v>
      </c>
      <c r="AM14" s="102">
        <v>0</v>
      </c>
      <c r="AN14" s="102">
        <v>0</v>
      </c>
    </row>
    <row r="15" spans="1:40" customFormat="1" x14ac:dyDescent="0.15">
      <c r="A15" s="183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1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1</v>
      </c>
      <c r="N15" s="102">
        <v>0</v>
      </c>
      <c r="O15" s="102">
        <v>1</v>
      </c>
      <c r="P15" s="102">
        <v>0</v>
      </c>
      <c r="Q15" s="102">
        <v>0</v>
      </c>
      <c r="R15" s="102">
        <v>0</v>
      </c>
      <c r="S15" s="102">
        <v>0</v>
      </c>
      <c r="T15" s="102">
        <v>0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>
        <v>0</v>
      </c>
      <c r="AD15" s="102">
        <v>0</v>
      </c>
      <c r="AE15" s="102">
        <v>0</v>
      </c>
      <c r="AF15" s="102">
        <v>0</v>
      </c>
      <c r="AG15" s="102">
        <v>0</v>
      </c>
      <c r="AH15" s="102">
        <v>0</v>
      </c>
      <c r="AI15" s="102">
        <v>0</v>
      </c>
      <c r="AJ15" s="102">
        <v>0</v>
      </c>
      <c r="AK15" s="102">
        <v>0</v>
      </c>
      <c r="AL15" s="102">
        <v>0</v>
      </c>
      <c r="AM15" s="102">
        <v>0</v>
      </c>
      <c r="AN15" s="102">
        <v>0</v>
      </c>
    </row>
    <row r="16" spans="1:40" customFormat="1" x14ac:dyDescent="0.15">
      <c r="A16" s="183" t="s">
        <v>206</v>
      </c>
      <c r="B16" s="102">
        <v>0</v>
      </c>
      <c r="C16" s="102">
        <v>0</v>
      </c>
      <c r="D16" s="102">
        <v>0</v>
      </c>
      <c r="E16" s="102">
        <v>0</v>
      </c>
      <c r="F16" s="102">
        <v>1</v>
      </c>
      <c r="G16" s="102">
        <v>1</v>
      </c>
      <c r="H16" s="102">
        <v>1</v>
      </c>
      <c r="I16" s="102">
        <v>0</v>
      </c>
      <c r="J16" s="102">
        <v>1</v>
      </c>
      <c r="K16" s="102">
        <v>1</v>
      </c>
      <c r="L16" s="102">
        <v>1</v>
      </c>
      <c r="M16" s="102">
        <v>1</v>
      </c>
      <c r="N16" s="102">
        <v>0</v>
      </c>
      <c r="O16" s="102">
        <v>1</v>
      </c>
      <c r="P16" s="102">
        <v>0</v>
      </c>
      <c r="Q16" s="102">
        <v>0</v>
      </c>
      <c r="R16" s="102">
        <v>0</v>
      </c>
      <c r="S16" s="102">
        <v>0</v>
      </c>
      <c r="T16" s="102">
        <v>0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>
        <v>0</v>
      </c>
      <c r="AD16" s="102">
        <v>0</v>
      </c>
      <c r="AE16" s="102">
        <v>0</v>
      </c>
      <c r="AF16" s="102">
        <v>0</v>
      </c>
      <c r="AG16" s="102">
        <v>0</v>
      </c>
      <c r="AH16" s="102">
        <v>0</v>
      </c>
      <c r="AI16" s="102">
        <v>0</v>
      </c>
      <c r="AJ16" s="102">
        <v>0</v>
      </c>
      <c r="AK16" s="102">
        <v>0</v>
      </c>
      <c r="AL16" s="102">
        <v>0</v>
      </c>
      <c r="AM16" s="102">
        <v>0</v>
      </c>
      <c r="AN16" s="102">
        <v>0</v>
      </c>
    </row>
    <row r="17" spans="1:40" customFormat="1" x14ac:dyDescent="0.15">
      <c r="A17" s="183" t="s">
        <v>207</v>
      </c>
      <c r="B17" s="102">
        <v>1</v>
      </c>
      <c r="C17" s="102">
        <v>1</v>
      </c>
      <c r="D17" s="102">
        <v>1</v>
      </c>
      <c r="E17" s="102">
        <v>1</v>
      </c>
      <c r="F17" s="102">
        <v>1</v>
      </c>
      <c r="G17" s="102">
        <v>0</v>
      </c>
      <c r="H17" s="102">
        <v>1</v>
      </c>
      <c r="I17" s="102">
        <v>0</v>
      </c>
      <c r="J17" s="102">
        <v>1</v>
      </c>
      <c r="K17" s="102">
        <v>1</v>
      </c>
      <c r="L17" s="102">
        <v>0</v>
      </c>
      <c r="M17" s="102">
        <v>1</v>
      </c>
      <c r="N17" s="102">
        <v>1</v>
      </c>
      <c r="O17" s="102">
        <v>1</v>
      </c>
      <c r="P17" s="102">
        <v>1</v>
      </c>
      <c r="Q17" s="102">
        <v>0</v>
      </c>
      <c r="R17" s="102">
        <v>0</v>
      </c>
      <c r="S17" s="102">
        <v>0</v>
      </c>
      <c r="T17" s="102">
        <v>0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1</v>
      </c>
      <c r="AB17" s="102">
        <v>1</v>
      </c>
      <c r="AC17" s="102">
        <v>0</v>
      </c>
      <c r="AD17" s="102">
        <v>0</v>
      </c>
      <c r="AE17" s="102">
        <v>0</v>
      </c>
      <c r="AF17" s="102">
        <v>0</v>
      </c>
      <c r="AG17" s="102">
        <v>0</v>
      </c>
      <c r="AH17" s="102">
        <v>0</v>
      </c>
      <c r="AI17" s="102">
        <v>0</v>
      </c>
      <c r="AJ17" s="102">
        <v>0</v>
      </c>
      <c r="AK17" s="102">
        <v>0</v>
      </c>
      <c r="AL17" s="102">
        <v>0</v>
      </c>
      <c r="AM17" s="102">
        <v>0</v>
      </c>
      <c r="AN17" s="102">
        <v>0</v>
      </c>
    </row>
    <row r="18" spans="1:40" customFormat="1" x14ac:dyDescent="0.15">
      <c r="A18" s="183" t="s">
        <v>208</v>
      </c>
      <c r="B18" s="102">
        <v>0</v>
      </c>
      <c r="C18" s="102">
        <v>0</v>
      </c>
      <c r="D18" s="102">
        <v>0</v>
      </c>
      <c r="E18" s="102">
        <v>0</v>
      </c>
      <c r="F18" s="102">
        <v>0</v>
      </c>
      <c r="G18" s="102">
        <v>0</v>
      </c>
      <c r="H18" s="102">
        <v>0</v>
      </c>
      <c r="I18" s="102">
        <v>0</v>
      </c>
      <c r="J18" s="102">
        <v>1</v>
      </c>
      <c r="K18" s="102">
        <v>0</v>
      </c>
      <c r="L18" s="102">
        <v>0</v>
      </c>
      <c r="M18" s="102">
        <v>0</v>
      </c>
      <c r="N18" s="102">
        <v>0</v>
      </c>
      <c r="O18" s="102">
        <v>0</v>
      </c>
      <c r="P18" s="102">
        <v>0</v>
      </c>
      <c r="Q18" s="102">
        <v>0</v>
      </c>
      <c r="R18" s="102">
        <v>0</v>
      </c>
      <c r="S18" s="102">
        <v>0</v>
      </c>
      <c r="T18" s="102">
        <v>0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>
        <v>0</v>
      </c>
      <c r="AD18" s="102">
        <v>0</v>
      </c>
      <c r="AE18" s="102">
        <v>0</v>
      </c>
      <c r="AF18" s="102">
        <v>0</v>
      </c>
      <c r="AG18" s="102">
        <v>0</v>
      </c>
      <c r="AH18" s="102">
        <v>0</v>
      </c>
      <c r="AI18" s="102">
        <v>0</v>
      </c>
      <c r="AJ18" s="102">
        <v>0</v>
      </c>
      <c r="AK18" s="102">
        <v>0</v>
      </c>
      <c r="AL18" s="102">
        <v>0</v>
      </c>
      <c r="AM18" s="102">
        <v>0</v>
      </c>
      <c r="AN18" s="102">
        <v>0</v>
      </c>
    </row>
    <row r="19" spans="1:40" customFormat="1" x14ac:dyDescent="0.15">
      <c r="A19" s="183" t="s">
        <v>209</v>
      </c>
      <c r="B19" s="102">
        <v>1</v>
      </c>
      <c r="C19" s="102">
        <v>1</v>
      </c>
      <c r="D19" s="102">
        <v>1</v>
      </c>
      <c r="E19" s="102">
        <v>0</v>
      </c>
      <c r="F19" s="102">
        <v>0</v>
      </c>
      <c r="G19" s="102">
        <v>1</v>
      </c>
      <c r="H19" s="102">
        <v>1</v>
      </c>
      <c r="I19" s="102">
        <v>1</v>
      </c>
      <c r="J19" s="102">
        <v>1</v>
      </c>
      <c r="K19" s="102">
        <v>1</v>
      </c>
      <c r="L19" s="102">
        <v>0</v>
      </c>
      <c r="M19" s="102">
        <v>0</v>
      </c>
      <c r="N19" s="102">
        <v>1</v>
      </c>
      <c r="O19" s="102">
        <v>0</v>
      </c>
      <c r="P19" s="102">
        <v>1</v>
      </c>
      <c r="Q19" s="102">
        <v>0</v>
      </c>
      <c r="R19" s="102">
        <v>1</v>
      </c>
      <c r="S19" s="102">
        <v>1</v>
      </c>
      <c r="T19" s="102">
        <v>0</v>
      </c>
      <c r="U19" s="102">
        <v>1</v>
      </c>
      <c r="V19" s="102">
        <v>0</v>
      </c>
      <c r="W19" s="102">
        <v>1</v>
      </c>
      <c r="X19" s="102">
        <v>1</v>
      </c>
      <c r="Y19" s="102">
        <v>0</v>
      </c>
      <c r="Z19" s="102">
        <v>0</v>
      </c>
      <c r="AA19" s="102">
        <v>1</v>
      </c>
      <c r="AB19" s="102">
        <v>1</v>
      </c>
      <c r="AC19" s="102">
        <v>0</v>
      </c>
      <c r="AD19" s="102">
        <v>0</v>
      </c>
      <c r="AE19" s="102">
        <v>0</v>
      </c>
      <c r="AF19" s="102">
        <v>0</v>
      </c>
      <c r="AG19" s="102">
        <v>0</v>
      </c>
      <c r="AH19" s="102">
        <v>0</v>
      </c>
      <c r="AI19" s="102">
        <v>0</v>
      </c>
      <c r="AJ19" s="102">
        <v>0</v>
      </c>
      <c r="AK19" s="102">
        <v>0</v>
      </c>
      <c r="AL19" s="102">
        <v>0</v>
      </c>
      <c r="AM19" s="102">
        <v>0</v>
      </c>
      <c r="AN19" s="102">
        <v>0</v>
      </c>
    </row>
    <row r="20" spans="1:40" customFormat="1" x14ac:dyDescent="0.15">
      <c r="A20" s="183" t="s">
        <v>210</v>
      </c>
      <c r="B20" s="102">
        <v>0</v>
      </c>
      <c r="C20" s="102">
        <v>0</v>
      </c>
      <c r="D20" s="102">
        <v>0</v>
      </c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1</v>
      </c>
      <c r="L20" s="102">
        <v>0</v>
      </c>
      <c r="M20" s="102">
        <v>0</v>
      </c>
      <c r="N20" s="102">
        <v>0</v>
      </c>
      <c r="O20" s="102">
        <v>0</v>
      </c>
      <c r="P20" s="102">
        <v>0</v>
      </c>
      <c r="Q20" s="102">
        <v>0</v>
      </c>
      <c r="R20" s="102">
        <v>1</v>
      </c>
      <c r="S20" s="102">
        <v>0</v>
      </c>
      <c r="T20" s="102">
        <v>1</v>
      </c>
      <c r="U20" s="102">
        <v>1</v>
      </c>
      <c r="V20" s="102">
        <v>1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>
        <v>0</v>
      </c>
      <c r="AD20" s="102">
        <v>0</v>
      </c>
      <c r="AE20" s="102">
        <v>0</v>
      </c>
      <c r="AF20" s="102">
        <v>0</v>
      </c>
      <c r="AG20" s="102">
        <v>0</v>
      </c>
      <c r="AH20" s="102">
        <v>0</v>
      </c>
      <c r="AI20" s="102">
        <v>0</v>
      </c>
      <c r="AJ20" s="102">
        <v>0</v>
      </c>
      <c r="AK20" s="102">
        <v>0</v>
      </c>
      <c r="AL20" s="102">
        <v>0</v>
      </c>
      <c r="AM20" s="102">
        <v>0</v>
      </c>
      <c r="AN20" s="102">
        <v>0</v>
      </c>
    </row>
    <row r="21" spans="1:40" customFormat="1" x14ac:dyDescent="0.15">
      <c r="A21" s="183" t="s">
        <v>211</v>
      </c>
      <c r="B21" s="102">
        <v>0</v>
      </c>
      <c r="C21" s="102">
        <v>0</v>
      </c>
      <c r="D21" s="102">
        <v>0</v>
      </c>
      <c r="E21" s="102">
        <v>0</v>
      </c>
      <c r="F21" s="102">
        <v>0</v>
      </c>
      <c r="G21" s="102">
        <v>0</v>
      </c>
      <c r="H21" s="102">
        <v>0</v>
      </c>
      <c r="I21" s="102">
        <v>0</v>
      </c>
      <c r="J21" s="102">
        <v>0</v>
      </c>
      <c r="K21" s="102">
        <v>1</v>
      </c>
      <c r="L21" s="102">
        <v>0</v>
      </c>
      <c r="M21" s="102">
        <v>0</v>
      </c>
      <c r="N21" s="102">
        <v>0</v>
      </c>
      <c r="O21" s="102">
        <v>0</v>
      </c>
      <c r="P21" s="102">
        <v>0</v>
      </c>
      <c r="Q21" s="102">
        <v>0</v>
      </c>
      <c r="R21" s="102">
        <v>1</v>
      </c>
      <c r="S21" s="102">
        <v>0</v>
      </c>
      <c r="T21" s="102">
        <v>0</v>
      </c>
      <c r="U21" s="102">
        <v>0</v>
      </c>
      <c r="V21" s="102">
        <v>1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>
        <v>0</v>
      </c>
      <c r="AD21" s="102">
        <v>0</v>
      </c>
      <c r="AE21" s="102">
        <v>0</v>
      </c>
      <c r="AF21" s="102">
        <v>0</v>
      </c>
      <c r="AG21" s="102">
        <v>0</v>
      </c>
      <c r="AH21" s="102">
        <v>0</v>
      </c>
      <c r="AI21" s="102">
        <v>0</v>
      </c>
      <c r="AJ21" s="102">
        <v>0</v>
      </c>
      <c r="AK21" s="102">
        <v>0</v>
      </c>
      <c r="AL21" s="102">
        <v>0</v>
      </c>
      <c r="AM21" s="102">
        <v>0</v>
      </c>
      <c r="AN21" s="102">
        <v>0</v>
      </c>
    </row>
    <row r="22" spans="1:40" customFormat="1" x14ac:dyDescent="0.15">
      <c r="A22" s="183" t="s">
        <v>212</v>
      </c>
      <c r="B22" s="102">
        <v>0</v>
      </c>
      <c r="C22" s="102">
        <v>0</v>
      </c>
      <c r="D22" s="102">
        <v>0</v>
      </c>
      <c r="E22" s="102">
        <v>0</v>
      </c>
      <c r="F22" s="102">
        <v>1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0</v>
      </c>
      <c r="R22" s="102">
        <v>1</v>
      </c>
      <c r="S22" s="102">
        <v>0</v>
      </c>
      <c r="T22" s="102">
        <v>0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>
        <v>0</v>
      </c>
      <c r="AD22" s="102">
        <v>0</v>
      </c>
      <c r="AE22" s="102">
        <v>0</v>
      </c>
      <c r="AF22" s="102">
        <v>0</v>
      </c>
      <c r="AG22" s="102">
        <v>0</v>
      </c>
      <c r="AH22" s="102">
        <v>0</v>
      </c>
      <c r="AI22" s="102">
        <v>0</v>
      </c>
      <c r="AJ22" s="102">
        <v>0</v>
      </c>
      <c r="AK22" s="102">
        <v>0</v>
      </c>
      <c r="AL22" s="102">
        <v>0</v>
      </c>
      <c r="AM22" s="102">
        <v>0</v>
      </c>
      <c r="AN22" s="102">
        <v>0</v>
      </c>
    </row>
    <row r="23" spans="1:40" customFormat="1" x14ac:dyDescent="0.15">
      <c r="A23" s="183" t="s">
        <v>213</v>
      </c>
      <c r="B23" s="102">
        <v>0</v>
      </c>
      <c r="C23" s="102">
        <v>0</v>
      </c>
      <c r="D23" s="102">
        <v>1</v>
      </c>
      <c r="E23" s="102">
        <v>0</v>
      </c>
      <c r="F23" s="102">
        <v>0</v>
      </c>
      <c r="G23" s="102">
        <v>0</v>
      </c>
      <c r="H23" s="102">
        <v>1</v>
      </c>
      <c r="I23" s="102">
        <v>0</v>
      </c>
      <c r="J23" s="102">
        <v>0</v>
      </c>
      <c r="K23" s="102">
        <v>1</v>
      </c>
      <c r="L23" s="102">
        <v>1</v>
      </c>
      <c r="M23" s="102">
        <v>0</v>
      </c>
      <c r="N23" s="102">
        <v>0</v>
      </c>
      <c r="O23" s="102">
        <v>0</v>
      </c>
      <c r="P23" s="102">
        <v>0</v>
      </c>
      <c r="Q23" s="102">
        <v>0</v>
      </c>
      <c r="R23" s="102">
        <v>0</v>
      </c>
      <c r="S23" s="102">
        <v>0</v>
      </c>
      <c r="T23" s="102">
        <v>0</v>
      </c>
      <c r="U23" s="102">
        <v>1</v>
      </c>
      <c r="V23" s="102">
        <v>1</v>
      </c>
      <c r="W23" s="102">
        <v>1</v>
      </c>
      <c r="X23" s="102">
        <v>1</v>
      </c>
      <c r="Y23" s="102">
        <v>0</v>
      </c>
      <c r="Z23" s="102">
        <v>0</v>
      </c>
      <c r="AA23" s="102">
        <v>0</v>
      </c>
      <c r="AB23" s="102">
        <v>0</v>
      </c>
      <c r="AC23" s="102">
        <v>1</v>
      </c>
      <c r="AD23" s="102">
        <v>0</v>
      </c>
      <c r="AE23" s="102">
        <v>0</v>
      </c>
      <c r="AF23" s="102">
        <v>0</v>
      </c>
      <c r="AG23" s="102">
        <v>0</v>
      </c>
      <c r="AH23" s="102">
        <v>0</v>
      </c>
      <c r="AI23" s="102">
        <v>0</v>
      </c>
      <c r="AJ23" s="102">
        <v>0</v>
      </c>
      <c r="AK23" s="102">
        <v>0</v>
      </c>
      <c r="AL23" s="102">
        <v>0</v>
      </c>
      <c r="AM23" s="102">
        <v>0</v>
      </c>
      <c r="AN23" s="102">
        <v>0</v>
      </c>
    </row>
    <row r="24" spans="1:40" customFormat="1" x14ac:dyDescent="0.15">
      <c r="A24" s="183" t="s">
        <v>214</v>
      </c>
      <c r="B24" s="102">
        <v>0</v>
      </c>
      <c r="C24" s="102">
        <v>1</v>
      </c>
      <c r="D24" s="102">
        <v>1</v>
      </c>
      <c r="E24" s="102">
        <v>0</v>
      </c>
      <c r="F24" s="102">
        <v>1</v>
      </c>
      <c r="G24" s="102">
        <v>0</v>
      </c>
      <c r="H24" s="102">
        <v>0</v>
      </c>
      <c r="I24" s="102">
        <v>0</v>
      </c>
      <c r="J24" s="102">
        <v>0</v>
      </c>
      <c r="K24" s="102">
        <v>1</v>
      </c>
      <c r="L24" s="102">
        <v>1</v>
      </c>
      <c r="M24" s="102">
        <v>1</v>
      </c>
      <c r="N24" s="102">
        <v>0</v>
      </c>
      <c r="O24" s="102">
        <v>0</v>
      </c>
      <c r="P24" s="102">
        <v>0</v>
      </c>
      <c r="Q24" s="102">
        <v>0</v>
      </c>
      <c r="R24" s="102">
        <v>0</v>
      </c>
      <c r="S24" s="102">
        <v>0</v>
      </c>
      <c r="T24" s="102">
        <v>0</v>
      </c>
      <c r="U24" s="102">
        <v>0</v>
      </c>
      <c r="V24" s="102">
        <v>0</v>
      </c>
      <c r="W24" s="102">
        <v>0</v>
      </c>
      <c r="X24" s="102">
        <v>1</v>
      </c>
      <c r="Y24" s="102">
        <v>0</v>
      </c>
      <c r="Z24" s="102">
        <v>0</v>
      </c>
      <c r="AA24" s="102">
        <v>0</v>
      </c>
      <c r="AB24" s="102">
        <v>0</v>
      </c>
      <c r="AC24" s="102">
        <v>0</v>
      </c>
      <c r="AD24" s="102">
        <v>0</v>
      </c>
      <c r="AE24" s="102">
        <v>0</v>
      </c>
      <c r="AF24" s="102">
        <v>0</v>
      </c>
      <c r="AG24" s="102">
        <v>0</v>
      </c>
      <c r="AH24" s="102">
        <v>0</v>
      </c>
      <c r="AI24" s="102">
        <v>0</v>
      </c>
      <c r="AJ24" s="102">
        <v>0</v>
      </c>
      <c r="AK24" s="102">
        <v>0</v>
      </c>
      <c r="AL24" s="102">
        <v>0</v>
      </c>
      <c r="AM24" s="102">
        <v>0</v>
      </c>
      <c r="AN24" s="102">
        <v>0</v>
      </c>
    </row>
    <row r="25" spans="1:40" customFormat="1" x14ac:dyDescent="0.15">
      <c r="A25" s="183" t="s">
        <v>215</v>
      </c>
      <c r="B25" s="102">
        <v>0</v>
      </c>
      <c r="C25" s="102">
        <v>1</v>
      </c>
      <c r="D25" s="102">
        <v>1</v>
      </c>
      <c r="E25" s="102">
        <v>0</v>
      </c>
      <c r="F25" s="102">
        <v>0</v>
      </c>
      <c r="G25" s="102">
        <v>0</v>
      </c>
      <c r="H25" s="102">
        <v>0</v>
      </c>
      <c r="I25" s="102">
        <v>0</v>
      </c>
      <c r="J25" s="102">
        <v>0</v>
      </c>
      <c r="K25" s="102">
        <v>0</v>
      </c>
      <c r="L25" s="102">
        <v>0</v>
      </c>
      <c r="M25" s="102">
        <v>0</v>
      </c>
      <c r="N25" s="102">
        <v>0</v>
      </c>
      <c r="O25" s="102">
        <v>0</v>
      </c>
      <c r="P25" s="102">
        <v>0</v>
      </c>
      <c r="Q25" s="102">
        <v>0</v>
      </c>
      <c r="R25" s="102">
        <v>0</v>
      </c>
      <c r="S25" s="102">
        <v>0</v>
      </c>
      <c r="T25" s="102">
        <v>0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>
        <v>1</v>
      </c>
      <c r="AD25" s="102">
        <v>0</v>
      </c>
      <c r="AE25" s="102">
        <v>0</v>
      </c>
      <c r="AF25" s="102">
        <v>0</v>
      </c>
      <c r="AG25" s="102">
        <v>0</v>
      </c>
      <c r="AH25" s="102">
        <v>0</v>
      </c>
      <c r="AI25" s="102">
        <v>0</v>
      </c>
      <c r="AJ25" s="102">
        <v>0</v>
      </c>
      <c r="AK25" s="102">
        <v>0</v>
      </c>
      <c r="AL25" s="102">
        <v>0</v>
      </c>
      <c r="AM25" s="102">
        <v>0</v>
      </c>
      <c r="AN25" s="102">
        <v>0</v>
      </c>
    </row>
    <row r="26" spans="1:40" customFormat="1" x14ac:dyDescent="0.15">
      <c r="A26" s="183" t="s">
        <v>216</v>
      </c>
      <c r="B26" s="102">
        <v>0</v>
      </c>
      <c r="C26" s="102">
        <v>1</v>
      </c>
      <c r="D26" s="102">
        <v>1</v>
      </c>
      <c r="E26" s="102">
        <v>0</v>
      </c>
      <c r="F26" s="102">
        <v>0</v>
      </c>
      <c r="G26" s="102">
        <v>0</v>
      </c>
      <c r="H26" s="102">
        <v>0</v>
      </c>
      <c r="I26" s="102">
        <v>0</v>
      </c>
      <c r="J26" s="102">
        <v>0</v>
      </c>
      <c r="K26" s="102">
        <v>0</v>
      </c>
      <c r="L26" s="102">
        <v>0</v>
      </c>
      <c r="M26" s="102">
        <v>0</v>
      </c>
      <c r="N26" s="102">
        <v>0</v>
      </c>
      <c r="O26" s="102">
        <v>0</v>
      </c>
      <c r="P26" s="102">
        <v>0</v>
      </c>
      <c r="Q26" s="102">
        <v>0</v>
      </c>
      <c r="R26" s="102">
        <v>0</v>
      </c>
      <c r="S26" s="102">
        <v>0</v>
      </c>
      <c r="T26" s="102">
        <v>0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>
        <v>0</v>
      </c>
      <c r="AD26" s="102">
        <v>0</v>
      </c>
      <c r="AE26" s="102">
        <v>0</v>
      </c>
      <c r="AF26" s="102">
        <v>0</v>
      </c>
      <c r="AG26" s="102">
        <v>0</v>
      </c>
      <c r="AH26" s="102">
        <v>0</v>
      </c>
      <c r="AI26" s="102">
        <v>0</v>
      </c>
      <c r="AJ26" s="102">
        <v>0</v>
      </c>
      <c r="AK26" s="102">
        <v>0</v>
      </c>
      <c r="AL26" s="102">
        <v>0</v>
      </c>
      <c r="AM26" s="102">
        <v>0</v>
      </c>
      <c r="AN26" s="102">
        <v>0</v>
      </c>
    </row>
    <row r="27" spans="1:40" customFormat="1" x14ac:dyDescent="0.15">
      <c r="A27" s="183" t="s">
        <v>217</v>
      </c>
      <c r="B27" s="102">
        <v>1</v>
      </c>
      <c r="C27" s="102">
        <v>1</v>
      </c>
      <c r="D27" s="102">
        <v>1</v>
      </c>
      <c r="E27" s="102">
        <v>1</v>
      </c>
      <c r="F27" s="102">
        <v>1</v>
      </c>
      <c r="G27" s="102">
        <v>1</v>
      </c>
      <c r="H27" s="102">
        <v>1</v>
      </c>
      <c r="I27" s="102">
        <v>1</v>
      </c>
      <c r="J27" s="102">
        <v>1</v>
      </c>
      <c r="K27" s="102">
        <v>1</v>
      </c>
      <c r="L27" s="102">
        <v>1</v>
      </c>
      <c r="M27" s="102">
        <v>1</v>
      </c>
      <c r="N27" s="102">
        <v>1</v>
      </c>
      <c r="O27" s="102">
        <v>1</v>
      </c>
      <c r="P27" s="102">
        <v>1</v>
      </c>
      <c r="Q27" s="102">
        <v>0</v>
      </c>
      <c r="R27" s="102">
        <v>1</v>
      </c>
      <c r="S27" s="102">
        <v>0</v>
      </c>
      <c r="T27" s="102">
        <v>1</v>
      </c>
      <c r="U27" s="102">
        <v>1</v>
      </c>
      <c r="V27" s="102">
        <v>1</v>
      </c>
      <c r="W27" s="102">
        <v>1</v>
      </c>
      <c r="X27" s="102">
        <v>1</v>
      </c>
      <c r="Y27" s="102">
        <v>0</v>
      </c>
      <c r="Z27" s="102">
        <v>0</v>
      </c>
      <c r="AA27" s="102">
        <v>1</v>
      </c>
      <c r="AB27" s="102">
        <v>1</v>
      </c>
      <c r="AC27" s="102">
        <v>0</v>
      </c>
      <c r="AD27" s="102">
        <v>0</v>
      </c>
      <c r="AE27" s="102">
        <v>0</v>
      </c>
      <c r="AF27" s="102">
        <v>0</v>
      </c>
      <c r="AG27" s="102">
        <v>0</v>
      </c>
      <c r="AH27" s="102">
        <v>0</v>
      </c>
      <c r="AI27" s="102">
        <v>0</v>
      </c>
      <c r="AJ27" s="102">
        <v>0</v>
      </c>
      <c r="AK27" s="102">
        <v>0</v>
      </c>
      <c r="AL27" s="102">
        <v>0</v>
      </c>
      <c r="AM27" s="102">
        <v>0</v>
      </c>
      <c r="AN27" s="102">
        <v>0</v>
      </c>
    </row>
    <row r="28" spans="1:40" customFormat="1" x14ac:dyDescent="0.15">
      <c r="A28" s="183" t="s">
        <v>218</v>
      </c>
      <c r="B28" s="102">
        <v>0</v>
      </c>
      <c r="C28" s="102">
        <v>1</v>
      </c>
      <c r="D28" s="102">
        <v>1</v>
      </c>
      <c r="E28" s="102">
        <v>0</v>
      </c>
      <c r="F28" s="102">
        <v>0</v>
      </c>
      <c r="G28" s="102">
        <v>0</v>
      </c>
      <c r="H28" s="102">
        <v>0</v>
      </c>
      <c r="I28" s="102">
        <v>0</v>
      </c>
      <c r="J28" s="102">
        <v>0</v>
      </c>
      <c r="K28" s="102">
        <v>0</v>
      </c>
      <c r="L28" s="102">
        <v>0</v>
      </c>
      <c r="M28" s="102">
        <v>0</v>
      </c>
      <c r="N28" s="102">
        <v>0</v>
      </c>
      <c r="O28" s="102">
        <v>0</v>
      </c>
      <c r="P28" s="102">
        <v>0</v>
      </c>
      <c r="Q28" s="102">
        <v>0</v>
      </c>
      <c r="R28" s="102">
        <v>0</v>
      </c>
      <c r="S28" s="102">
        <v>0</v>
      </c>
      <c r="T28" s="102">
        <v>0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1</v>
      </c>
      <c r="AC28" s="102">
        <v>0</v>
      </c>
      <c r="AD28" s="102">
        <v>0</v>
      </c>
      <c r="AE28" s="102">
        <v>0</v>
      </c>
      <c r="AF28" s="102">
        <v>0</v>
      </c>
      <c r="AG28" s="102">
        <v>0</v>
      </c>
      <c r="AH28" s="102">
        <v>0</v>
      </c>
      <c r="AI28" s="102">
        <v>0</v>
      </c>
      <c r="AJ28" s="102">
        <v>0</v>
      </c>
      <c r="AK28" s="102">
        <v>0</v>
      </c>
      <c r="AL28" s="102">
        <v>0</v>
      </c>
      <c r="AM28" s="102">
        <v>0</v>
      </c>
      <c r="AN28" s="102">
        <v>0</v>
      </c>
    </row>
    <row r="29" spans="1:40" customFormat="1" x14ac:dyDescent="0.15">
      <c r="A29" s="183" t="s">
        <v>219</v>
      </c>
      <c r="B29" s="102">
        <v>0</v>
      </c>
      <c r="C29" s="102">
        <v>1</v>
      </c>
      <c r="D29" s="102">
        <v>1</v>
      </c>
      <c r="E29" s="102">
        <v>0</v>
      </c>
      <c r="F29" s="102">
        <v>0</v>
      </c>
      <c r="G29" s="102">
        <v>0</v>
      </c>
      <c r="H29" s="102">
        <v>0</v>
      </c>
      <c r="I29" s="102">
        <v>0</v>
      </c>
      <c r="J29" s="102">
        <v>0</v>
      </c>
      <c r="K29" s="102">
        <v>1</v>
      </c>
      <c r="L29" s="102">
        <v>0</v>
      </c>
      <c r="M29" s="102">
        <v>0</v>
      </c>
      <c r="N29" s="102">
        <v>0</v>
      </c>
      <c r="O29" s="102">
        <v>0</v>
      </c>
      <c r="P29" s="102">
        <v>0</v>
      </c>
      <c r="Q29" s="102">
        <v>0</v>
      </c>
      <c r="R29" s="102">
        <v>0</v>
      </c>
      <c r="S29" s="102">
        <v>0</v>
      </c>
      <c r="T29" s="102">
        <v>0</v>
      </c>
      <c r="U29" s="102">
        <v>0</v>
      </c>
      <c r="V29" s="102">
        <v>0</v>
      </c>
      <c r="W29" s="102">
        <v>1</v>
      </c>
      <c r="X29" s="102">
        <v>1</v>
      </c>
      <c r="Y29" s="102">
        <v>0</v>
      </c>
      <c r="Z29" s="102">
        <v>0</v>
      </c>
      <c r="AA29" s="102">
        <v>0</v>
      </c>
      <c r="AB29" s="102">
        <v>0</v>
      </c>
      <c r="AC29" s="102">
        <v>0</v>
      </c>
      <c r="AD29" s="102">
        <v>0</v>
      </c>
      <c r="AE29" s="102">
        <v>0</v>
      </c>
      <c r="AF29" s="102">
        <v>0</v>
      </c>
      <c r="AG29" s="102">
        <v>0</v>
      </c>
      <c r="AH29" s="102">
        <v>0</v>
      </c>
      <c r="AI29" s="102">
        <v>0</v>
      </c>
      <c r="AJ29" s="102">
        <v>0</v>
      </c>
      <c r="AK29" s="102">
        <v>0</v>
      </c>
      <c r="AL29" s="102">
        <v>0</v>
      </c>
      <c r="AM29" s="102">
        <v>0</v>
      </c>
      <c r="AN29" s="102">
        <v>0</v>
      </c>
    </row>
    <row r="30" spans="1:40" customFormat="1" x14ac:dyDescent="0.15">
      <c r="A30" s="183" t="s">
        <v>220</v>
      </c>
      <c r="B30" s="102">
        <v>0</v>
      </c>
      <c r="C30" s="102">
        <v>0</v>
      </c>
      <c r="D30" s="102">
        <v>0</v>
      </c>
      <c r="E30" s="102">
        <v>0</v>
      </c>
      <c r="F30" s="102">
        <v>0</v>
      </c>
      <c r="G30" s="102">
        <v>0</v>
      </c>
      <c r="H30" s="102">
        <v>0</v>
      </c>
      <c r="I30" s="102">
        <v>0</v>
      </c>
      <c r="J30" s="102">
        <v>0</v>
      </c>
      <c r="K30" s="102">
        <v>0</v>
      </c>
      <c r="L30" s="102">
        <v>0</v>
      </c>
      <c r="M30" s="102">
        <v>0</v>
      </c>
      <c r="N30" s="102">
        <v>0</v>
      </c>
      <c r="O30" s="102">
        <v>0</v>
      </c>
      <c r="P30" s="102">
        <v>0</v>
      </c>
      <c r="Q30" s="102">
        <v>0</v>
      </c>
      <c r="R30" s="102">
        <v>0</v>
      </c>
      <c r="S30" s="102">
        <v>0</v>
      </c>
      <c r="T30" s="102">
        <v>0</v>
      </c>
      <c r="U30" s="102">
        <v>0</v>
      </c>
      <c r="V30" s="102">
        <v>0</v>
      </c>
      <c r="W30" s="102">
        <v>1</v>
      </c>
      <c r="X30" s="102">
        <v>1</v>
      </c>
      <c r="Y30" s="102">
        <v>0</v>
      </c>
      <c r="Z30" s="102">
        <v>1</v>
      </c>
      <c r="AA30" s="102">
        <v>0</v>
      </c>
      <c r="AB30" s="102">
        <v>0</v>
      </c>
      <c r="AC30" s="102">
        <v>1</v>
      </c>
      <c r="AD30" s="102">
        <v>1</v>
      </c>
      <c r="AE30" s="102">
        <v>1</v>
      </c>
      <c r="AF30" s="102">
        <v>1</v>
      </c>
      <c r="AG30" s="102">
        <v>0</v>
      </c>
      <c r="AH30" s="102">
        <v>0</v>
      </c>
      <c r="AI30" s="102">
        <v>0</v>
      </c>
      <c r="AJ30" s="102">
        <v>0</v>
      </c>
      <c r="AK30" s="102">
        <v>0</v>
      </c>
      <c r="AL30" s="102">
        <v>0</v>
      </c>
      <c r="AM30" s="102">
        <v>0</v>
      </c>
      <c r="AN30" s="102">
        <v>0</v>
      </c>
    </row>
    <row r="31" spans="1:40" customFormat="1" x14ac:dyDescent="0.15">
      <c r="A31" s="183" t="s">
        <v>221</v>
      </c>
      <c r="B31" s="102">
        <v>0</v>
      </c>
      <c r="C31" s="102">
        <v>1</v>
      </c>
      <c r="D31" s="102">
        <v>1</v>
      </c>
      <c r="E31" s="102">
        <v>0</v>
      </c>
      <c r="F31" s="102">
        <v>1</v>
      </c>
      <c r="G31" s="102">
        <v>0</v>
      </c>
      <c r="H31" s="102">
        <v>0</v>
      </c>
      <c r="I31" s="102">
        <v>0</v>
      </c>
      <c r="J31" s="102">
        <v>0</v>
      </c>
      <c r="K31" s="102">
        <v>0</v>
      </c>
      <c r="L31" s="102">
        <v>0</v>
      </c>
      <c r="M31" s="102">
        <v>0</v>
      </c>
      <c r="N31" s="102">
        <v>1</v>
      </c>
      <c r="O31" s="102">
        <v>1</v>
      </c>
      <c r="P31" s="102">
        <v>1</v>
      </c>
      <c r="Q31" s="102">
        <v>0</v>
      </c>
      <c r="R31" s="102">
        <v>0</v>
      </c>
      <c r="S31" s="102">
        <v>0</v>
      </c>
      <c r="T31" s="102">
        <v>1</v>
      </c>
      <c r="U31" s="102">
        <v>1</v>
      </c>
      <c r="V31" s="102">
        <v>0</v>
      </c>
      <c r="W31" s="102">
        <v>1</v>
      </c>
      <c r="X31" s="102">
        <v>1</v>
      </c>
      <c r="Y31" s="102">
        <v>1</v>
      </c>
      <c r="Z31" s="102">
        <v>1</v>
      </c>
      <c r="AA31" s="102">
        <v>0</v>
      </c>
      <c r="AB31" s="102">
        <v>0</v>
      </c>
      <c r="AC31" s="102">
        <v>1</v>
      </c>
      <c r="AD31" s="102">
        <v>0</v>
      </c>
      <c r="AE31" s="102">
        <v>0</v>
      </c>
      <c r="AF31" s="102">
        <v>0</v>
      </c>
      <c r="AG31" s="102">
        <v>0</v>
      </c>
      <c r="AH31" s="102">
        <v>0</v>
      </c>
      <c r="AI31" s="102">
        <v>0</v>
      </c>
      <c r="AJ31" s="102">
        <v>0</v>
      </c>
      <c r="AK31" s="102">
        <v>0</v>
      </c>
      <c r="AL31" s="102">
        <v>0</v>
      </c>
      <c r="AM31" s="102">
        <v>0</v>
      </c>
      <c r="AN31" s="102">
        <v>0</v>
      </c>
    </row>
    <row r="32" spans="1:40" x14ac:dyDescent="0.15">
      <c r="A32" s="183" t="s">
        <v>222</v>
      </c>
      <c r="B32" s="102">
        <v>0</v>
      </c>
      <c r="C32" s="102">
        <v>0</v>
      </c>
      <c r="D32" s="102">
        <v>0</v>
      </c>
      <c r="E32" s="102">
        <v>0</v>
      </c>
      <c r="F32" s="102">
        <v>0</v>
      </c>
      <c r="G32" s="102">
        <v>0</v>
      </c>
      <c r="H32" s="102">
        <v>0</v>
      </c>
      <c r="I32" s="102">
        <v>0</v>
      </c>
      <c r="J32" s="102">
        <v>0</v>
      </c>
      <c r="K32" s="102">
        <v>0</v>
      </c>
      <c r="L32" s="102">
        <v>0</v>
      </c>
      <c r="M32" s="102">
        <v>0</v>
      </c>
      <c r="N32" s="102">
        <v>0</v>
      </c>
      <c r="O32" s="102">
        <v>0</v>
      </c>
      <c r="P32" s="102">
        <v>0</v>
      </c>
      <c r="Q32" s="102">
        <v>0</v>
      </c>
      <c r="R32" s="102">
        <v>0</v>
      </c>
      <c r="S32" s="102">
        <v>0</v>
      </c>
      <c r="T32" s="102">
        <v>0</v>
      </c>
      <c r="U32" s="102">
        <v>0</v>
      </c>
      <c r="V32" s="102">
        <v>0</v>
      </c>
      <c r="W32" s="102">
        <v>1</v>
      </c>
      <c r="X32" s="102">
        <v>1</v>
      </c>
      <c r="Y32" s="102">
        <v>1</v>
      </c>
      <c r="Z32" s="102">
        <v>1</v>
      </c>
      <c r="AA32" s="102">
        <v>0</v>
      </c>
      <c r="AB32" s="102">
        <v>0</v>
      </c>
      <c r="AC32" s="102">
        <v>1</v>
      </c>
      <c r="AD32" s="102">
        <v>0</v>
      </c>
      <c r="AE32" s="102">
        <v>0</v>
      </c>
      <c r="AF32" s="102">
        <v>0</v>
      </c>
      <c r="AG32" s="102">
        <v>0</v>
      </c>
      <c r="AH32" s="102">
        <v>0</v>
      </c>
      <c r="AI32" s="102">
        <v>0</v>
      </c>
      <c r="AJ32" s="102">
        <v>0</v>
      </c>
      <c r="AK32" s="102">
        <v>0</v>
      </c>
      <c r="AL32" s="102">
        <v>0</v>
      </c>
      <c r="AM32" s="102">
        <v>0</v>
      </c>
      <c r="AN32" s="102">
        <v>0</v>
      </c>
    </row>
    <row r="33" spans="1:40" x14ac:dyDescent="0.15">
      <c r="A33" s="183" t="s">
        <v>223</v>
      </c>
      <c r="B33" s="102">
        <v>0</v>
      </c>
      <c r="C33" s="102">
        <v>0</v>
      </c>
      <c r="D33" s="102">
        <v>0</v>
      </c>
      <c r="E33" s="102">
        <v>0</v>
      </c>
      <c r="F33" s="102">
        <v>0</v>
      </c>
      <c r="G33" s="102">
        <v>0</v>
      </c>
      <c r="H33" s="102">
        <v>0</v>
      </c>
      <c r="I33" s="102">
        <v>0</v>
      </c>
      <c r="J33" s="102">
        <v>0</v>
      </c>
      <c r="K33" s="102">
        <v>0</v>
      </c>
      <c r="L33" s="102">
        <v>0</v>
      </c>
      <c r="M33" s="102">
        <v>0</v>
      </c>
      <c r="N33" s="102">
        <v>0</v>
      </c>
      <c r="O33" s="102">
        <v>0</v>
      </c>
      <c r="P33" s="102">
        <v>0</v>
      </c>
      <c r="Q33" s="102">
        <v>0</v>
      </c>
      <c r="R33" s="102">
        <v>0</v>
      </c>
      <c r="S33" s="102">
        <v>0</v>
      </c>
      <c r="T33" s="102">
        <v>0</v>
      </c>
      <c r="U33" s="102">
        <v>0</v>
      </c>
      <c r="V33" s="102">
        <v>0</v>
      </c>
      <c r="W33" s="102">
        <v>0</v>
      </c>
      <c r="X33" s="102">
        <v>0</v>
      </c>
      <c r="Y33" s="102">
        <v>0</v>
      </c>
      <c r="Z33" s="102">
        <v>0</v>
      </c>
      <c r="AA33" s="102">
        <v>0</v>
      </c>
      <c r="AB33" s="102">
        <v>0</v>
      </c>
      <c r="AC33" s="102">
        <v>0</v>
      </c>
      <c r="AD33" s="102">
        <v>1</v>
      </c>
      <c r="AE33" s="102">
        <v>1</v>
      </c>
      <c r="AF33" s="102">
        <v>1</v>
      </c>
      <c r="AG33" s="102">
        <v>0</v>
      </c>
      <c r="AH33" s="102">
        <v>1</v>
      </c>
      <c r="AI33" s="102">
        <v>0</v>
      </c>
      <c r="AJ33" s="102">
        <v>1</v>
      </c>
      <c r="AK33" s="102">
        <v>0</v>
      </c>
      <c r="AL33" s="102">
        <v>0</v>
      </c>
      <c r="AM33" s="102">
        <v>0</v>
      </c>
      <c r="AN33" s="102">
        <v>0</v>
      </c>
    </row>
    <row r="34" spans="1:40" x14ac:dyDescent="0.15">
      <c r="A34" s="183" t="s">
        <v>224</v>
      </c>
      <c r="B34" s="102">
        <v>1</v>
      </c>
      <c r="C34" s="102">
        <v>0</v>
      </c>
      <c r="D34" s="102">
        <v>0</v>
      </c>
      <c r="E34" s="102">
        <v>1</v>
      </c>
      <c r="F34" s="102">
        <v>0</v>
      </c>
      <c r="G34" s="102">
        <v>1</v>
      </c>
      <c r="H34" s="102">
        <v>0</v>
      </c>
      <c r="I34" s="102">
        <v>0</v>
      </c>
      <c r="J34" s="102">
        <v>0</v>
      </c>
      <c r="K34" s="102">
        <v>0</v>
      </c>
      <c r="L34" s="102">
        <v>0</v>
      </c>
      <c r="M34" s="102">
        <v>0</v>
      </c>
      <c r="N34" s="102">
        <v>1</v>
      </c>
      <c r="O34" s="102">
        <v>1</v>
      </c>
      <c r="P34" s="102">
        <v>1</v>
      </c>
      <c r="Q34" s="102">
        <v>1</v>
      </c>
      <c r="R34" s="102">
        <v>0</v>
      </c>
      <c r="S34" s="102">
        <v>1</v>
      </c>
      <c r="T34" s="102">
        <v>0</v>
      </c>
      <c r="U34" s="102">
        <v>0</v>
      </c>
      <c r="V34" s="102">
        <v>0</v>
      </c>
      <c r="W34" s="102">
        <v>0</v>
      </c>
      <c r="X34" s="102">
        <v>0</v>
      </c>
      <c r="Y34" s="102">
        <v>0</v>
      </c>
      <c r="Z34" s="102">
        <v>0</v>
      </c>
      <c r="AA34" s="102">
        <v>1</v>
      </c>
      <c r="AB34" s="102">
        <v>0</v>
      </c>
      <c r="AC34" s="102">
        <v>0</v>
      </c>
      <c r="AD34" s="102">
        <v>0</v>
      </c>
      <c r="AE34" s="102">
        <v>0</v>
      </c>
      <c r="AF34" s="102">
        <v>0</v>
      </c>
      <c r="AG34" s="102">
        <v>0</v>
      </c>
      <c r="AH34" s="102">
        <v>1</v>
      </c>
      <c r="AI34" s="102">
        <v>1</v>
      </c>
      <c r="AJ34" s="102">
        <v>1</v>
      </c>
      <c r="AK34" s="102">
        <v>1</v>
      </c>
      <c r="AL34" s="102">
        <v>0</v>
      </c>
      <c r="AM34" s="102">
        <v>0</v>
      </c>
      <c r="AN34" s="102">
        <v>0</v>
      </c>
    </row>
    <row r="35" spans="1:40" x14ac:dyDescent="0.15">
      <c r="A35" s="183" t="s">
        <v>225</v>
      </c>
      <c r="B35" s="102">
        <v>1</v>
      </c>
      <c r="C35" s="102">
        <v>0</v>
      </c>
      <c r="D35" s="102">
        <v>0</v>
      </c>
      <c r="E35" s="102">
        <v>1</v>
      </c>
      <c r="F35" s="102">
        <v>1</v>
      </c>
      <c r="G35" s="102">
        <v>1</v>
      </c>
      <c r="H35" s="102">
        <v>1</v>
      </c>
      <c r="I35" s="102">
        <v>1</v>
      </c>
      <c r="J35" s="102">
        <v>1</v>
      </c>
      <c r="K35" s="102">
        <v>1</v>
      </c>
      <c r="L35" s="102">
        <v>0</v>
      </c>
      <c r="M35" s="102">
        <v>0</v>
      </c>
      <c r="N35" s="102">
        <v>1</v>
      </c>
      <c r="O35" s="102">
        <v>1</v>
      </c>
      <c r="P35" s="102">
        <v>1</v>
      </c>
      <c r="Q35" s="102">
        <v>1</v>
      </c>
      <c r="R35" s="102">
        <v>1</v>
      </c>
      <c r="S35" s="102">
        <v>1</v>
      </c>
      <c r="T35" s="102">
        <v>0</v>
      </c>
      <c r="U35" s="102">
        <v>0</v>
      </c>
      <c r="V35" s="102">
        <v>0</v>
      </c>
      <c r="W35" s="102">
        <v>0</v>
      </c>
      <c r="X35" s="102">
        <v>0</v>
      </c>
      <c r="Y35" s="102">
        <v>0</v>
      </c>
      <c r="Z35" s="102">
        <v>0</v>
      </c>
      <c r="AA35" s="102">
        <v>1</v>
      </c>
      <c r="AB35" s="102">
        <v>1</v>
      </c>
      <c r="AC35" s="102">
        <v>0</v>
      </c>
      <c r="AD35" s="102">
        <v>0</v>
      </c>
      <c r="AE35" s="102">
        <v>0</v>
      </c>
      <c r="AF35" s="102">
        <v>0</v>
      </c>
      <c r="AG35" s="102">
        <v>0</v>
      </c>
      <c r="AH35" s="102">
        <v>0</v>
      </c>
      <c r="AI35" s="102">
        <v>1</v>
      </c>
      <c r="AJ35" s="102">
        <v>0</v>
      </c>
      <c r="AK35" s="102">
        <v>0</v>
      </c>
      <c r="AL35" s="102">
        <v>0</v>
      </c>
      <c r="AM35" s="102">
        <v>0</v>
      </c>
      <c r="AN35" s="102">
        <v>0</v>
      </c>
    </row>
    <row r="36" spans="1:40" x14ac:dyDescent="0.15">
      <c r="A36" s="183" t="s">
        <v>226</v>
      </c>
      <c r="B36" s="102">
        <v>0</v>
      </c>
      <c r="C36" s="102">
        <v>0</v>
      </c>
      <c r="D36" s="102">
        <v>0</v>
      </c>
      <c r="E36" s="102">
        <v>0</v>
      </c>
      <c r="F36" s="102">
        <v>0</v>
      </c>
      <c r="G36" s="102">
        <v>0</v>
      </c>
      <c r="H36" s="102">
        <v>0</v>
      </c>
      <c r="I36" s="102">
        <v>0</v>
      </c>
      <c r="J36" s="102">
        <v>0</v>
      </c>
      <c r="K36" s="102">
        <v>0</v>
      </c>
      <c r="L36" s="102">
        <v>0</v>
      </c>
      <c r="M36" s="102">
        <v>0</v>
      </c>
      <c r="N36" s="102">
        <v>0</v>
      </c>
      <c r="O36" s="102">
        <v>0</v>
      </c>
      <c r="P36" s="102">
        <v>0</v>
      </c>
      <c r="Q36" s="102">
        <v>0</v>
      </c>
      <c r="R36" s="102">
        <v>0</v>
      </c>
      <c r="S36" s="102">
        <v>1</v>
      </c>
      <c r="T36" s="102">
        <v>1</v>
      </c>
      <c r="U36" s="102">
        <v>1</v>
      </c>
      <c r="V36" s="102">
        <v>1</v>
      </c>
      <c r="W36" s="102">
        <v>1</v>
      </c>
      <c r="X36" s="102">
        <v>1</v>
      </c>
      <c r="Y36" s="102">
        <v>1</v>
      </c>
      <c r="Z36" s="102">
        <v>0</v>
      </c>
      <c r="AA36" s="102">
        <v>1</v>
      </c>
      <c r="AB36" s="102">
        <v>0</v>
      </c>
      <c r="AC36" s="102">
        <v>0</v>
      </c>
      <c r="AD36" s="102">
        <v>0</v>
      </c>
      <c r="AE36" s="102">
        <v>0</v>
      </c>
      <c r="AF36" s="102">
        <v>0</v>
      </c>
      <c r="AG36" s="102">
        <v>0</v>
      </c>
      <c r="AH36" s="102">
        <v>0</v>
      </c>
      <c r="AI36" s="102">
        <v>0</v>
      </c>
      <c r="AJ36" s="102">
        <v>1</v>
      </c>
      <c r="AK36" s="102">
        <v>1</v>
      </c>
      <c r="AL36" s="102">
        <v>0</v>
      </c>
      <c r="AM36" s="102">
        <v>0</v>
      </c>
      <c r="AN36" s="102">
        <v>0</v>
      </c>
    </row>
    <row r="37" spans="1:40" x14ac:dyDescent="0.15">
      <c r="A37" s="183" t="s">
        <v>227</v>
      </c>
      <c r="B37" s="102">
        <v>0</v>
      </c>
      <c r="C37" s="102">
        <v>0</v>
      </c>
      <c r="D37" s="102">
        <v>0</v>
      </c>
      <c r="E37" s="102">
        <v>0</v>
      </c>
      <c r="F37" s="102">
        <v>0</v>
      </c>
      <c r="G37" s="102">
        <v>0</v>
      </c>
      <c r="H37" s="102">
        <v>0</v>
      </c>
      <c r="I37" s="102">
        <v>0</v>
      </c>
      <c r="J37" s="102">
        <v>0</v>
      </c>
      <c r="K37" s="102">
        <v>1</v>
      </c>
      <c r="L37" s="102">
        <v>0</v>
      </c>
      <c r="M37" s="102">
        <v>0</v>
      </c>
      <c r="N37" s="102">
        <v>0</v>
      </c>
      <c r="O37" s="102">
        <v>0</v>
      </c>
      <c r="P37" s="102">
        <v>0</v>
      </c>
      <c r="Q37" s="102">
        <v>0</v>
      </c>
      <c r="R37" s="102">
        <v>1</v>
      </c>
      <c r="S37" s="102">
        <v>1</v>
      </c>
      <c r="T37" s="102">
        <v>1</v>
      </c>
      <c r="U37" s="102">
        <v>1</v>
      </c>
      <c r="V37" s="102">
        <v>1</v>
      </c>
      <c r="W37" s="102">
        <v>1</v>
      </c>
      <c r="X37" s="102">
        <v>1</v>
      </c>
      <c r="Y37" s="102">
        <v>0</v>
      </c>
      <c r="Z37" s="102">
        <v>0</v>
      </c>
      <c r="AA37" s="102">
        <v>1</v>
      </c>
      <c r="AB37" s="102">
        <v>1</v>
      </c>
      <c r="AC37" s="102">
        <v>0</v>
      </c>
      <c r="AD37" s="102">
        <v>0</v>
      </c>
      <c r="AE37" s="102">
        <v>1</v>
      </c>
      <c r="AF37" s="102">
        <v>0</v>
      </c>
      <c r="AG37" s="102">
        <v>0</v>
      </c>
      <c r="AH37" s="102">
        <v>0</v>
      </c>
      <c r="AI37" s="102">
        <v>0</v>
      </c>
      <c r="AJ37" s="102">
        <v>0</v>
      </c>
      <c r="AK37" s="102">
        <v>1</v>
      </c>
      <c r="AL37" s="102">
        <v>0</v>
      </c>
      <c r="AM37" s="102">
        <v>0</v>
      </c>
      <c r="AN37" s="102">
        <v>0</v>
      </c>
    </row>
    <row r="38" spans="1:40" x14ac:dyDescent="0.15">
      <c r="A38" s="183" t="s">
        <v>228</v>
      </c>
      <c r="B38" s="102">
        <v>0</v>
      </c>
      <c r="C38" s="102">
        <v>0</v>
      </c>
      <c r="D38" s="102">
        <v>0</v>
      </c>
      <c r="E38" s="102">
        <v>0</v>
      </c>
      <c r="F38" s="102">
        <v>0</v>
      </c>
      <c r="G38" s="102">
        <v>0</v>
      </c>
      <c r="H38" s="102">
        <v>0</v>
      </c>
      <c r="I38" s="102">
        <v>0</v>
      </c>
      <c r="J38" s="102">
        <v>0</v>
      </c>
      <c r="K38" s="102">
        <v>0</v>
      </c>
      <c r="L38" s="102">
        <v>0</v>
      </c>
      <c r="M38" s="102">
        <v>0</v>
      </c>
      <c r="N38" s="102">
        <v>1</v>
      </c>
      <c r="O38" s="102">
        <v>0</v>
      </c>
      <c r="P38" s="102">
        <v>1</v>
      </c>
      <c r="Q38" s="102">
        <v>1</v>
      </c>
      <c r="R38" s="102">
        <v>0</v>
      </c>
      <c r="S38" s="102">
        <v>0</v>
      </c>
      <c r="T38" s="102">
        <v>0</v>
      </c>
      <c r="U38" s="102">
        <v>0</v>
      </c>
      <c r="V38" s="102">
        <v>0</v>
      </c>
      <c r="W38" s="102">
        <v>0</v>
      </c>
      <c r="X38" s="102">
        <v>0</v>
      </c>
      <c r="Y38" s="102">
        <v>0</v>
      </c>
      <c r="Z38" s="102">
        <v>0</v>
      </c>
      <c r="AA38" s="102">
        <v>0</v>
      </c>
      <c r="AB38" s="102">
        <v>0</v>
      </c>
      <c r="AC38" s="102">
        <v>0</v>
      </c>
      <c r="AD38" s="102">
        <v>0</v>
      </c>
      <c r="AE38" s="102">
        <v>0</v>
      </c>
      <c r="AF38" s="102">
        <v>0</v>
      </c>
      <c r="AG38" s="102">
        <v>0</v>
      </c>
      <c r="AH38" s="102">
        <v>1</v>
      </c>
      <c r="AI38" s="102">
        <v>0</v>
      </c>
      <c r="AJ38" s="102">
        <v>0</v>
      </c>
      <c r="AK38" s="102">
        <v>0</v>
      </c>
      <c r="AL38" s="102">
        <v>0</v>
      </c>
      <c r="AM38" s="102">
        <v>0</v>
      </c>
      <c r="AN38" s="102">
        <v>0</v>
      </c>
    </row>
    <row r="39" spans="1:40" x14ac:dyDescent="0.15">
      <c r="A39" s="183" t="s">
        <v>229</v>
      </c>
      <c r="B39" s="102">
        <v>0</v>
      </c>
      <c r="C39" s="102">
        <v>0</v>
      </c>
      <c r="D39" s="102">
        <v>0</v>
      </c>
      <c r="E39" s="102">
        <v>1</v>
      </c>
      <c r="F39" s="102">
        <v>1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2">
        <v>0</v>
      </c>
      <c r="M39" s="102">
        <v>0</v>
      </c>
      <c r="N39" s="102">
        <v>0</v>
      </c>
      <c r="O39" s="102">
        <v>0</v>
      </c>
      <c r="P39" s="102">
        <v>1</v>
      </c>
      <c r="Q39" s="102">
        <v>1</v>
      </c>
      <c r="R39" s="102">
        <v>0</v>
      </c>
      <c r="S39" s="102">
        <v>1</v>
      </c>
      <c r="T39" s="102">
        <v>1</v>
      </c>
      <c r="U39" s="102">
        <v>1</v>
      </c>
      <c r="V39" s="102">
        <v>1</v>
      </c>
      <c r="W39" s="102">
        <v>1</v>
      </c>
      <c r="X39" s="102">
        <v>1</v>
      </c>
      <c r="Y39" s="102">
        <v>1</v>
      </c>
      <c r="Z39" s="102">
        <v>1</v>
      </c>
      <c r="AA39" s="102">
        <v>0</v>
      </c>
      <c r="AB39" s="102">
        <v>0</v>
      </c>
      <c r="AC39" s="102">
        <v>0</v>
      </c>
      <c r="AD39" s="102">
        <v>1</v>
      </c>
      <c r="AE39" s="102">
        <v>1</v>
      </c>
      <c r="AF39" s="102">
        <v>1</v>
      </c>
      <c r="AG39" s="102">
        <v>1</v>
      </c>
      <c r="AH39" s="102">
        <v>1</v>
      </c>
      <c r="AI39" s="102">
        <v>0</v>
      </c>
      <c r="AJ39" s="102">
        <v>1</v>
      </c>
      <c r="AK39" s="102">
        <v>1</v>
      </c>
      <c r="AL39" s="102">
        <v>0</v>
      </c>
      <c r="AM39" s="102">
        <v>0</v>
      </c>
      <c r="AN39" s="102">
        <v>0</v>
      </c>
    </row>
    <row r="40" spans="1:40" x14ac:dyDescent="0.15">
      <c r="A40" s="183" t="s">
        <v>230</v>
      </c>
      <c r="B40" s="102">
        <v>0</v>
      </c>
      <c r="C40" s="102">
        <v>0</v>
      </c>
      <c r="D40" s="102">
        <v>0</v>
      </c>
      <c r="E40" s="102">
        <v>0</v>
      </c>
      <c r="F40" s="102">
        <v>0</v>
      </c>
      <c r="G40" s="102">
        <v>0</v>
      </c>
      <c r="H40" s="102">
        <v>0</v>
      </c>
      <c r="I40" s="102">
        <v>0</v>
      </c>
      <c r="J40" s="102">
        <v>0</v>
      </c>
      <c r="K40" s="102">
        <v>0</v>
      </c>
      <c r="L40" s="102">
        <v>0</v>
      </c>
      <c r="M40" s="102">
        <v>0</v>
      </c>
      <c r="N40" s="102">
        <v>0</v>
      </c>
      <c r="O40" s="102">
        <v>0</v>
      </c>
      <c r="P40" s="102">
        <v>0</v>
      </c>
      <c r="Q40" s="102">
        <v>0</v>
      </c>
      <c r="R40" s="102">
        <v>0</v>
      </c>
      <c r="S40" s="102">
        <v>0</v>
      </c>
      <c r="T40" s="102">
        <v>0</v>
      </c>
      <c r="U40" s="102">
        <v>0</v>
      </c>
      <c r="V40" s="102">
        <v>0</v>
      </c>
      <c r="W40" s="102">
        <v>0</v>
      </c>
      <c r="X40" s="102">
        <v>0</v>
      </c>
      <c r="Y40" s="102">
        <v>0</v>
      </c>
      <c r="Z40" s="102">
        <v>0</v>
      </c>
      <c r="AA40" s="102">
        <v>0</v>
      </c>
      <c r="AB40" s="102">
        <v>0</v>
      </c>
      <c r="AC40" s="102">
        <v>0</v>
      </c>
      <c r="AD40" s="102">
        <v>0</v>
      </c>
      <c r="AE40" s="102">
        <v>0</v>
      </c>
      <c r="AF40" s="102">
        <v>0</v>
      </c>
      <c r="AG40" s="102">
        <v>0</v>
      </c>
      <c r="AH40" s="102">
        <v>0</v>
      </c>
      <c r="AI40" s="102">
        <v>0</v>
      </c>
      <c r="AJ40" s="102">
        <v>0</v>
      </c>
      <c r="AK40" s="102">
        <v>0</v>
      </c>
      <c r="AL40" s="102">
        <v>0</v>
      </c>
      <c r="AM40" s="102">
        <v>0</v>
      </c>
      <c r="AN40" s="102">
        <v>0</v>
      </c>
    </row>
    <row r="41" spans="1:40" x14ac:dyDescent="0.15">
      <c r="A41" s="183" t="s">
        <v>232</v>
      </c>
      <c r="B41" s="102">
        <v>0</v>
      </c>
      <c r="C41" s="102">
        <v>0</v>
      </c>
      <c r="D41" s="102">
        <v>0</v>
      </c>
      <c r="E41" s="102">
        <v>0</v>
      </c>
      <c r="F41" s="102">
        <v>0</v>
      </c>
      <c r="G41" s="102">
        <v>0</v>
      </c>
      <c r="H41" s="102">
        <v>0</v>
      </c>
      <c r="I41" s="102">
        <v>0</v>
      </c>
      <c r="J41" s="102">
        <v>0</v>
      </c>
      <c r="K41" s="102">
        <v>0</v>
      </c>
      <c r="L41" s="102">
        <v>0</v>
      </c>
      <c r="M41" s="102">
        <v>0</v>
      </c>
      <c r="N41" s="102">
        <v>0</v>
      </c>
      <c r="O41" s="102">
        <v>0</v>
      </c>
      <c r="P41" s="102">
        <v>0</v>
      </c>
      <c r="Q41" s="102">
        <v>0</v>
      </c>
      <c r="R41" s="102">
        <v>0</v>
      </c>
      <c r="S41" s="102">
        <v>0</v>
      </c>
      <c r="T41" s="102">
        <v>0</v>
      </c>
      <c r="U41" s="102">
        <v>0</v>
      </c>
      <c r="V41" s="102">
        <v>0</v>
      </c>
      <c r="W41" s="102">
        <v>0</v>
      </c>
      <c r="X41" s="102">
        <v>0</v>
      </c>
      <c r="Y41" s="102">
        <v>0</v>
      </c>
      <c r="Z41" s="102">
        <v>0</v>
      </c>
      <c r="AA41" s="102">
        <v>0</v>
      </c>
      <c r="AB41" s="102">
        <v>0</v>
      </c>
      <c r="AC41" s="102">
        <v>0</v>
      </c>
      <c r="AD41" s="102">
        <v>0</v>
      </c>
      <c r="AE41" s="102">
        <v>0</v>
      </c>
      <c r="AF41" s="102">
        <v>0</v>
      </c>
      <c r="AG41" s="102">
        <v>0</v>
      </c>
      <c r="AH41" s="102">
        <v>0</v>
      </c>
      <c r="AI41" s="102">
        <v>0</v>
      </c>
      <c r="AJ41" s="102">
        <v>0</v>
      </c>
      <c r="AK41" s="102">
        <v>0</v>
      </c>
      <c r="AL41" s="102">
        <v>0</v>
      </c>
      <c r="AM41" s="102">
        <v>0</v>
      </c>
      <c r="AN41" s="10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6" t="s">
        <v>231</v>
      </c>
    </row>
    <row r="2" spans="1:3" x14ac:dyDescent="0.15">
      <c r="A2">
        <v>1</v>
      </c>
      <c r="B2" s="185" t="s">
        <v>192</v>
      </c>
      <c r="C2">
        <v>0</v>
      </c>
    </row>
    <row r="3" spans="1:3" x14ac:dyDescent="0.15">
      <c r="A3">
        <v>2</v>
      </c>
      <c r="B3" s="185" t="s">
        <v>193</v>
      </c>
      <c r="C3">
        <v>0</v>
      </c>
    </row>
    <row r="4" spans="1:3" x14ac:dyDescent="0.15">
      <c r="A4">
        <v>3</v>
      </c>
      <c r="B4" s="185" t="s">
        <v>194</v>
      </c>
      <c r="C4">
        <v>0</v>
      </c>
    </row>
    <row r="5" spans="1:3" x14ac:dyDescent="0.15">
      <c r="A5">
        <v>4</v>
      </c>
      <c r="B5" s="185" t="s">
        <v>195</v>
      </c>
      <c r="C5">
        <v>0</v>
      </c>
    </row>
    <row r="6" spans="1:3" x14ac:dyDescent="0.15">
      <c r="A6">
        <v>5</v>
      </c>
      <c r="B6" s="185" t="s">
        <v>196</v>
      </c>
      <c r="C6">
        <v>0.8</v>
      </c>
    </row>
    <row r="7" spans="1:3" x14ac:dyDescent="0.15">
      <c r="A7">
        <v>6</v>
      </c>
      <c r="B7" s="185" t="s">
        <v>197</v>
      </c>
      <c r="C7">
        <v>0.8</v>
      </c>
    </row>
    <row r="8" spans="1:3" x14ac:dyDescent="0.15">
      <c r="A8">
        <v>7</v>
      </c>
      <c r="B8" s="185" t="s">
        <v>198</v>
      </c>
      <c r="C8">
        <v>0.8</v>
      </c>
    </row>
    <row r="9" spans="1:3" x14ac:dyDescent="0.15">
      <c r="A9">
        <v>8</v>
      </c>
      <c r="B9" s="185" t="s">
        <v>199</v>
      </c>
      <c r="C9">
        <v>0.8</v>
      </c>
    </row>
    <row r="10" spans="1:3" x14ac:dyDescent="0.15">
      <c r="A10">
        <v>9</v>
      </c>
      <c r="B10" s="185" t="s">
        <v>200</v>
      </c>
      <c r="C10">
        <v>0.8</v>
      </c>
    </row>
    <row r="11" spans="1:3" x14ac:dyDescent="0.15">
      <c r="A11">
        <v>10</v>
      </c>
      <c r="B11" s="185" t="s">
        <v>201</v>
      </c>
      <c r="C11">
        <v>0.8</v>
      </c>
    </row>
    <row r="12" spans="1:3" x14ac:dyDescent="0.15">
      <c r="A12">
        <v>11</v>
      </c>
      <c r="B12" s="185" t="s">
        <v>202</v>
      </c>
      <c r="C12">
        <v>0.8</v>
      </c>
    </row>
    <row r="13" spans="1:3" x14ac:dyDescent="0.15">
      <c r="A13">
        <v>12</v>
      </c>
      <c r="B13" s="185" t="s">
        <v>203</v>
      </c>
      <c r="C13">
        <v>0.8</v>
      </c>
    </row>
    <row r="14" spans="1:3" x14ac:dyDescent="0.15">
      <c r="A14">
        <v>13</v>
      </c>
      <c r="B14" s="185" t="s">
        <v>204</v>
      </c>
      <c r="C14">
        <v>0</v>
      </c>
    </row>
    <row r="15" spans="1:3" x14ac:dyDescent="0.15">
      <c r="A15">
        <v>14</v>
      </c>
      <c r="B15" s="185" t="s">
        <v>205</v>
      </c>
      <c r="C15">
        <v>0.8</v>
      </c>
    </row>
    <row r="16" spans="1:3" x14ac:dyDescent="0.15">
      <c r="A16">
        <v>15</v>
      </c>
      <c r="B16" s="185" t="s">
        <v>206</v>
      </c>
      <c r="C16">
        <v>0.8</v>
      </c>
    </row>
    <row r="17" spans="1:3" x14ac:dyDescent="0.15">
      <c r="A17">
        <v>16</v>
      </c>
      <c r="B17" s="185" t="s">
        <v>207</v>
      </c>
      <c r="C17">
        <v>0</v>
      </c>
    </row>
    <row r="18" spans="1:3" x14ac:dyDescent="0.15">
      <c r="A18">
        <v>17</v>
      </c>
      <c r="B18" s="185" t="s">
        <v>208</v>
      </c>
      <c r="C18">
        <v>0</v>
      </c>
    </row>
    <row r="19" spans="1:3" x14ac:dyDescent="0.15">
      <c r="A19">
        <v>18</v>
      </c>
      <c r="B19" s="185" t="s">
        <v>209</v>
      </c>
      <c r="C19">
        <v>0</v>
      </c>
    </row>
    <row r="20" spans="1:3" x14ac:dyDescent="0.15">
      <c r="A20">
        <v>19</v>
      </c>
      <c r="B20" s="185" t="s">
        <v>210</v>
      </c>
      <c r="C20">
        <v>0</v>
      </c>
    </row>
    <row r="21" spans="1:3" x14ac:dyDescent="0.15">
      <c r="A21">
        <v>20</v>
      </c>
      <c r="B21" s="185" t="s">
        <v>211</v>
      </c>
      <c r="C21">
        <v>0</v>
      </c>
    </row>
    <row r="22" spans="1:3" x14ac:dyDescent="0.15">
      <c r="A22">
        <v>21</v>
      </c>
      <c r="B22" s="185" t="s">
        <v>212</v>
      </c>
      <c r="C22">
        <v>0</v>
      </c>
    </row>
    <row r="23" spans="1:3" x14ac:dyDescent="0.15">
      <c r="A23">
        <v>22</v>
      </c>
      <c r="B23" s="185" t="s">
        <v>213</v>
      </c>
      <c r="C23">
        <v>0.8</v>
      </c>
    </row>
    <row r="24" spans="1:3" x14ac:dyDescent="0.15">
      <c r="A24">
        <v>23</v>
      </c>
      <c r="B24" s="185" t="s">
        <v>214</v>
      </c>
      <c r="C24">
        <v>0.8</v>
      </c>
    </row>
    <row r="25" spans="1:3" x14ac:dyDescent="0.15">
      <c r="A25">
        <v>24</v>
      </c>
      <c r="B25" s="185" t="s">
        <v>215</v>
      </c>
      <c r="C25">
        <v>0</v>
      </c>
    </row>
    <row r="26" spans="1:3" x14ac:dyDescent="0.15">
      <c r="A26">
        <v>25</v>
      </c>
      <c r="B26" s="185" t="s">
        <v>216</v>
      </c>
      <c r="C26">
        <v>0</v>
      </c>
    </row>
    <row r="27" spans="1:3" x14ac:dyDescent="0.15">
      <c r="A27">
        <v>26</v>
      </c>
      <c r="B27" s="185" t="s">
        <v>217</v>
      </c>
      <c r="C27">
        <v>0.8</v>
      </c>
    </row>
    <row r="28" spans="1:3" x14ac:dyDescent="0.15">
      <c r="A28">
        <v>27</v>
      </c>
      <c r="B28" s="185" t="s">
        <v>218</v>
      </c>
      <c r="C28">
        <v>0</v>
      </c>
    </row>
    <row r="29" spans="1:3" x14ac:dyDescent="0.15">
      <c r="A29">
        <v>28</v>
      </c>
      <c r="B29" s="185" t="s">
        <v>219</v>
      </c>
      <c r="C29">
        <v>0</v>
      </c>
    </row>
    <row r="30" spans="1:3" x14ac:dyDescent="0.15">
      <c r="A30">
        <v>29</v>
      </c>
      <c r="B30" s="185" t="s">
        <v>220</v>
      </c>
      <c r="C30">
        <v>0</v>
      </c>
    </row>
    <row r="31" spans="1:3" x14ac:dyDescent="0.15">
      <c r="A31">
        <v>30</v>
      </c>
      <c r="B31" s="185" t="s">
        <v>221</v>
      </c>
      <c r="C31">
        <v>0</v>
      </c>
    </row>
    <row r="32" spans="1:3" x14ac:dyDescent="0.15">
      <c r="A32">
        <v>31</v>
      </c>
      <c r="B32" s="185" t="s">
        <v>222</v>
      </c>
      <c r="C32">
        <v>0</v>
      </c>
    </row>
    <row r="33" spans="1:3" x14ac:dyDescent="0.15">
      <c r="A33">
        <v>32</v>
      </c>
      <c r="B33" s="185" t="s">
        <v>223</v>
      </c>
      <c r="C33">
        <v>0</v>
      </c>
    </row>
    <row r="34" spans="1:3" x14ac:dyDescent="0.15">
      <c r="A34">
        <v>33</v>
      </c>
      <c r="B34" s="185" t="s">
        <v>224</v>
      </c>
      <c r="C34">
        <v>0</v>
      </c>
    </row>
    <row r="35" spans="1:3" x14ac:dyDescent="0.15">
      <c r="A35">
        <v>34</v>
      </c>
      <c r="B35" s="185" t="s">
        <v>225</v>
      </c>
      <c r="C35">
        <v>0</v>
      </c>
    </row>
    <row r="36" spans="1:3" x14ac:dyDescent="0.15">
      <c r="A36">
        <v>35</v>
      </c>
      <c r="B36" s="185" t="s">
        <v>226</v>
      </c>
      <c r="C36">
        <v>0</v>
      </c>
    </row>
    <row r="37" spans="1:3" x14ac:dyDescent="0.15">
      <c r="A37">
        <v>36</v>
      </c>
      <c r="B37" s="185" t="s">
        <v>227</v>
      </c>
      <c r="C37">
        <v>0</v>
      </c>
    </row>
    <row r="38" spans="1:3" x14ac:dyDescent="0.15">
      <c r="A38">
        <v>37</v>
      </c>
      <c r="B38" s="185" t="s">
        <v>228</v>
      </c>
      <c r="C38">
        <v>0</v>
      </c>
    </row>
    <row r="39" spans="1:3" x14ac:dyDescent="0.15">
      <c r="A39">
        <v>38</v>
      </c>
      <c r="B39" s="185" t="s">
        <v>229</v>
      </c>
      <c r="C39">
        <v>0</v>
      </c>
    </row>
    <row r="40" spans="1:3" x14ac:dyDescent="0.15">
      <c r="A40">
        <v>39</v>
      </c>
      <c r="B40" s="185" t="s">
        <v>230</v>
      </c>
      <c r="C4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4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8" t="s">
        <v>231</v>
      </c>
    </row>
    <row r="2" spans="1:3" x14ac:dyDescent="0.15">
      <c r="A2">
        <v>1</v>
      </c>
      <c r="B2" s="187" t="s">
        <v>192</v>
      </c>
      <c r="C2">
        <v>0</v>
      </c>
    </row>
    <row r="3" spans="1:3" x14ac:dyDescent="0.15">
      <c r="A3">
        <v>2</v>
      </c>
      <c r="B3" s="187" t="s">
        <v>193</v>
      </c>
      <c r="C3">
        <v>0</v>
      </c>
    </row>
    <row r="4" spans="1:3" x14ac:dyDescent="0.15">
      <c r="A4">
        <v>3</v>
      </c>
      <c r="B4" s="187" t="s">
        <v>194</v>
      </c>
      <c r="C4">
        <v>0</v>
      </c>
    </row>
    <row r="5" spans="1:3" x14ac:dyDescent="0.15">
      <c r="A5">
        <v>4</v>
      </c>
      <c r="B5" s="187" t="s">
        <v>195</v>
      </c>
      <c r="C5">
        <v>0</v>
      </c>
    </row>
    <row r="6" spans="1:3" x14ac:dyDescent="0.15">
      <c r="A6">
        <v>5</v>
      </c>
      <c r="B6" s="187" t="s">
        <v>196</v>
      </c>
      <c r="C6">
        <v>0.8</v>
      </c>
    </row>
    <row r="7" spans="1:3" x14ac:dyDescent="0.15">
      <c r="A7">
        <v>6</v>
      </c>
      <c r="B7" s="187" t="s">
        <v>197</v>
      </c>
      <c r="C7">
        <v>0.8</v>
      </c>
    </row>
    <row r="8" spans="1:3" x14ac:dyDescent="0.15">
      <c r="A8">
        <v>7</v>
      </c>
      <c r="B8" s="187" t="s">
        <v>198</v>
      </c>
      <c r="C8">
        <v>0.8</v>
      </c>
    </row>
    <row r="9" spans="1:3" x14ac:dyDescent="0.15">
      <c r="A9">
        <v>8</v>
      </c>
      <c r="B9" s="187" t="s">
        <v>199</v>
      </c>
      <c r="C9">
        <v>0.8</v>
      </c>
    </row>
    <row r="10" spans="1:3" x14ac:dyDescent="0.15">
      <c r="A10">
        <v>9</v>
      </c>
      <c r="B10" s="187" t="s">
        <v>200</v>
      </c>
      <c r="C10">
        <v>0.8</v>
      </c>
    </row>
    <row r="11" spans="1:3" x14ac:dyDescent="0.15">
      <c r="A11">
        <v>10</v>
      </c>
      <c r="B11" s="187" t="s">
        <v>201</v>
      </c>
      <c r="C11">
        <v>0.8</v>
      </c>
    </row>
    <row r="12" spans="1:3" x14ac:dyDescent="0.15">
      <c r="A12">
        <v>11</v>
      </c>
      <c r="B12" s="187" t="s">
        <v>202</v>
      </c>
      <c r="C12">
        <v>0.8</v>
      </c>
    </row>
    <row r="13" spans="1:3" x14ac:dyDescent="0.15">
      <c r="A13">
        <v>12</v>
      </c>
      <c r="B13" s="187" t="s">
        <v>203</v>
      </c>
      <c r="C13">
        <v>0.8</v>
      </c>
    </row>
    <row r="14" spans="1:3" x14ac:dyDescent="0.15">
      <c r="A14">
        <v>13</v>
      </c>
      <c r="B14" s="187" t="s">
        <v>204</v>
      </c>
      <c r="C14">
        <v>0</v>
      </c>
    </row>
    <row r="15" spans="1:3" x14ac:dyDescent="0.15">
      <c r="A15">
        <v>14</v>
      </c>
      <c r="B15" s="187" t="s">
        <v>205</v>
      </c>
      <c r="C15">
        <v>0.8</v>
      </c>
    </row>
    <row r="16" spans="1:3" x14ac:dyDescent="0.15">
      <c r="A16">
        <v>15</v>
      </c>
      <c r="B16" s="187" t="s">
        <v>206</v>
      </c>
      <c r="C16">
        <v>0.8</v>
      </c>
    </row>
    <row r="17" spans="1:3" x14ac:dyDescent="0.15">
      <c r="A17">
        <v>16</v>
      </c>
      <c r="B17" s="187" t="s">
        <v>207</v>
      </c>
      <c r="C17">
        <v>0</v>
      </c>
    </row>
    <row r="18" spans="1:3" x14ac:dyDescent="0.15">
      <c r="A18">
        <v>17</v>
      </c>
      <c r="B18" s="187" t="s">
        <v>208</v>
      </c>
      <c r="C18">
        <v>0</v>
      </c>
    </row>
    <row r="19" spans="1:3" x14ac:dyDescent="0.15">
      <c r="A19">
        <v>18</v>
      </c>
      <c r="B19" s="187" t="s">
        <v>209</v>
      </c>
      <c r="C19">
        <v>0</v>
      </c>
    </row>
    <row r="20" spans="1:3" x14ac:dyDescent="0.15">
      <c r="A20">
        <v>19</v>
      </c>
      <c r="B20" s="187" t="s">
        <v>210</v>
      </c>
      <c r="C20">
        <v>0</v>
      </c>
    </row>
    <row r="21" spans="1:3" x14ac:dyDescent="0.15">
      <c r="A21">
        <v>20</v>
      </c>
      <c r="B21" s="187" t="s">
        <v>211</v>
      </c>
      <c r="C21">
        <v>0</v>
      </c>
    </row>
    <row r="22" spans="1:3" x14ac:dyDescent="0.15">
      <c r="A22">
        <v>21</v>
      </c>
      <c r="B22" s="187" t="s">
        <v>212</v>
      </c>
      <c r="C22">
        <v>0</v>
      </c>
    </row>
    <row r="23" spans="1:3" x14ac:dyDescent="0.15">
      <c r="A23">
        <v>22</v>
      </c>
      <c r="B23" s="187" t="s">
        <v>213</v>
      </c>
      <c r="C23">
        <v>0.8</v>
      </c>
    </row>
    <row r="24" spans="1:3" x14ac:dyDescent="0.15">
      <c r="A24">
        <v>23</v>
      </c>
      <c r="B24" s="187" t="s">
        <v>214</v>
      </c>
      <c r="C24">
        <v>0.8</v>
      </c>
    </row>
    <row r="25" spans="1:3" x14ac:dyDescent="0.15">
      <c r="A25">
        <v>24</v>
      </c>
      <c r="B25" s="187" t="s">
        <v>215</v>
      </c>
      <c r="C25">
        <v>0</v>
      </c>
    </row>
    <row r="26" spans="1:3" x14ac:dyDescent="0.15">
      <c r="A26">
        <v>25</v>
      </c>
      <c r="B26" s="187" t="s">
        <v>216</v>
      </c>
      <c r="C26">
        <v>0</v>
      </c>
    </row>
    <row r="27" spans="1:3" x14ac:dyDescent="0.15">
      <c r="A27">
        <v>26</v>
      </c>
      <c r="B27" s="187" t="s">
        <v>217</v>
      </c>
      <c r="C27">
        <v>0.8</v>
      </c>
    </row>
    <row r="28" spans="1:3" x14ac:dyDescent="0.15">
      <c r="A28">
        <v>27</v>
      </c>
      <c r="B28" s="187" t="s">
        <v>218</v>
      </c>
      <c r="C28">
        <v>0</v>
      </c>
    </row>
    <row r="29" spans="1:3" x14ac:dyDescent="0.15">
      <c r="A29">
        <v>28</v>
      </c>
      <c r="B29" s="187" t="s">
        <v>219</v>
      </c>
      <c r="C29">
        <v>0</v>
      </c>
    </row>
    <row r="30" spans="1:3" x14ac:dyDescent="0.15">
      <c r="A30">
        <v>29</v>
      </c>
      <c r="B30" s="187" t="s">
        <v>220</v>
      </c>
      <c r="C30">
        <v>0</v>
      </c>
    </row>
    <row r="31" spans="1:3" x14ac:dyDescent="0.15">
      <c r="A31">
        <v>30</v>
      </c>
      <c r="B31" s="187" t="s">
        <v>221</v>
      </c>
      <c r="C31">
        <v>0</v>
      </c>
    </row>
    <row r="32" spans="1:3" x14ac:dyDescent="0.15">
      <c r="A32">
        <v>31</v>
      </c>
      <c r="B32" s="187" t="s">
        <v>222</v>
      </c>
      <c r="C32">
        <v>0</v>
      </c>
    </row>
    <row r="33" spans="1:3" x14ac:dyDescent="0.15">
      <c r="A33">
        <v>32</v>
      </c>
      <c r="B33" s="187" t="s">
        <v>223</v>
      </c>
      <c r="C33">
        <v>0</v>
      </c>
    </row>
    <row r="34" spans="1:3" x14ac:dyDescent="0.15">
      <c r="A34">
        <v>33</v>
      </c>
      <c r="B34" s="187" t="s">
        <v>224</v>
      </c>
      <c r="C34">
        <v>0</v>
      </c>
    </row>
    <row r="35" spans="1:3" x14ac:dyDescent="0.15">
      <c r="A35">
        <v>34</v>
      </c>
      <c r="B35" s="187" t="s">
        <v>225</v>
      </c>
      <c r="C35">
        <v>0</v>
      </c>
    </row>
    <row r="36" spans="1:3" x14ac:dyDescent="0.15">
      <c r="A36">
        <v>35</v>
      </c>
      <c r="B36" s="187" t="s">
        <v>226</v>
      </c>
      <c r="C36">
        <v>0</v>
      </c>
    </row>
    <row r="37" spans="1:3" x14ac:dyDescent="0.15">
      <c r="A37">
        <v>36</v>
      </c>
      <c r="B37" s="187" t="s">
        <v>227</v>
      </c>
      <c r="C37">
        <v>0</v>
      </c>
    </row>
    <row r="38" spans="1:3" x14ac:dyDescent="0.15">
      <c r="A38">
        <v>37</v>
      </c>
      <c r="B38" s="187" t="s">
        <v>228</v>
      </c>
      <c r="C38">
        <v>0</v>
      </c>
    </row>
    <row r="39" spans="1:3" x14ac:dyDescent="0.15">
      <c r="A39">
        <v>38</v>
      </c>
      <c r="B39" s="187" t="s">
        <v>229</v>
      </c>
      <c r="C39">
        <v>0</v>
      </c>
    </row>
    <row r="40" spans="1:3" x14ac:dyDescent="0.15">
      <c r="A40">
        <v>39</v>
      </c>
      <c r="B40" s="187" t="s">
        <v>230</v>
      </c>
      <c r="C4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7" sqref="L7"/>
    </sheetView>
  </sheetViews>
  <sheetFormatPr baseColWidth="10" defaultColWidth="8.83203125" defaultRowHeight="15" customHeight="1" x14ac:dyDescent="0.15"/>
  <cols>
    <col min="1" max="1" width="8.83203125" style="78"/>
    <col min="2" max="2" width="41.83203125" style="78" bestFit="1" customWidth="1"/>
    <col min="3" max="3" width="9.33203125" style="78" bestFit="1" customWidth="1"/>
    <col min="4" max="4" width="13" style="78" bestFit="1" customWidth="1"/>
    <col min="5" max="6" width="9.33203125" style="78" bestFit="1" customWidth="1"/>
    <col min="7" max="7" width="9.33203125" style="94" bestFit="1" customWidth="1"/>
    <col min="8" max="8" width="9.33203125" style="78" bestFit="1" customWidth="1"/>
    <col min="9" max="9" width="11" style="78" customWidth="1"/>
    <col min="10" max="10" width="8.83203125" style="78"/>
    <col min="15" max="16384" width="8.83203125" style="78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2" t="s">
        <v>14</v>
      </c>
      <c r="H1" s="1" t="s">
        <v>26</v>
      </c>
      <c r="I1" s="1" t="s">
        <v>24</v>
      </c>
    </row>
    <row r="2" spans="1:10" ht="15" customHeight="1" x14ac:dyDescent="0.15">
      <c r="A2" s="140">
        <v>1</v>
      </c>
      <c r="B2" s="140" t="s">
        <v>192</v>
      </c>
      <c r="C2" s="8">
        <v>4.0328497886657715</v>
      </c>
      <c r="D2" s="9">
        <v>2.0641995593905449E-2</v>
      </c>
      <c r="E2" s="9">
        <v>1.9999999552965164E-2</v>
      </c>
      <c r="F2" s="9">
        <v>4.394383430480957</v>
      </c>
      <c r="G2" s="9">
        <v>0.70830804109573364</v>
      </c>
      <c r="H2" s="9">
        <v>4.5512639917433262E-3</v>
      </c>
      <c r="I2">
        <v>0</v>
      </c>
      <c r="J2"/>
    </row>
    <row r="3" spans="1:10" ht="15" customHeight="1" x14ac:dyDescent="0.15">
      <c r="A3" s="141">
        <v>2</v>
      </c>
      <c r="B3" s="141" t="s">
        <v>193</v>
      </c>
      <c r="C3" s="8">
        <v>5.0158877372741699</v>
      </c>
      <c r="D3" s="9">
        <v>4.2855899780988693E-2</v>
      </c>
      <c r="E3" s="9">
        <v>1.9999999552965164E-2</v>
      </c>
      <c r="F3" s="9">
        <v>6.689023494720459</v>
      </c>
      <c r="G3" s="9">
        <v>0.43188107013702393</v>
      </c>
      <c r="H3" s="9">
        <v>2.9899729415774345E-3</v>
      </c>
      <c r="I3">
        <v>0</v>
      </c>
      <c r="J3"/>
    </row>
    <row r="4" spans="1:10" ht="15" customHeight="1" x14ac:dyDescent="0.15">
      <c r="A4" s="142">
        <v>3</v>
      </c>
      <c r="B4" s="142" t="s">
        <v>194</v>
      </c>
      <c r="C4" s="8">
        <v>4.878169059753418</v>
      </c>
      <c r="D4" s="9">
        <v>4.4921800144948065E-4</v>
      </c>
      <c r="E4" s="9">
        <v>1.9999999552965164E-2</v>
      </c>
      <c r="F4" s="9">
        <v>8.8056831359863281</v>
      </c>
      <c r="G4" s="9">
        <v>0.31907019019126892</v>
      </c>
      <c r="H4" s="9">
        <v>2.271260367706418E-3</v>
      </c>
      <c r="I4">
        <v>0</v>
      </c>
      <c r="J4"/>
    </row>
    <row r="5" spans="1:10" ht="15" customHeight="1" x14ac:dyDescent="0.15">
      <c r="A5" s="143">
        <v>4</v>
      </c>
      <c r="B5" s="143" t="s">
        <v>195</v>
      </c>
      <c r="C5" s="8">
        <v>4.0035591125488281</v>
      </c>
      <c r="D5" s="9">
        <v>1.2505099584814161E-4</v>
      </c>
      <c r="E5" s="9">
        <v>7.8353919088840485E-2</v>
      </c>
      <c r="F5" s="9">
        <v>73.561927795410156</v>
      </c>
      <c r="G5" s="9">
        <v>0.31016272306442261</v>
      </c>
      <c r="H5" s="9">
        <v>1.0651422198861837E-3</v>
      </c>
      <c r="I5">
        <v>0</v>
      </c>
      <c r="J5"/>
    </row>
    <row r="6" spans="1:10" ht="15" customHeight="1" x14ac:dyDescent="0.15">
      <c r="A6" s="144">
        <v>5</v>
      </c>
      <c r="B6" s="144" t="s">
        <v>196</v>
      </c>
      <c r="C6" s="8">
        <v>4.7269768714904785</v>
      </c>
      <c r="D6" s="9">
        <v>1.7240619054064155E-3</v>
      </c>
      <c r="E6" s="9">
        <v>0.38999998569488525</v>
      </c>
      <c r="F6" s="9">
        <v>10</v>
      </c>
      <c r="G6" s="9">
        <v>0.89999997615814209</v>
      </c>
      <c r="H6" s="9">
        <v>3.8999997079372406E-2</v>
      </c>
      <c r="I6">
        <v>3.7178999627940357E-4</v>
      </c>
      <c r="J6"/>
    </row>
    <row r="7" spans="1:10" ht="15" customHeight="1" x14ac:dyDescent="0.15">
      <c r="A7" s="145">
        <v>6</v>
      </c>
      <c r="B7" s="145" t="s">
        <v>197</v>
      </c>
      <c r="C7" s="8">
        <v>4.561516284942627</v>
      </c>
      <c r="D7" s="9">
        <v>7.8020697401370853E-5</v>
      </c>
      <c r="E7" s="9">
        <v>1.0499999523162842</v>
      </c>
      <c r="F7" s="9">
        <v>15.529999732971191</v>
      </c>
      <c r="G7" s="9">
        <v>0.39606708288192749</v>
      </c>
      <c r="H7" s="9">
        <v>6.7611075937747955E-2</v>
      </c>
      <c r="I7">
        <v>2.7307200070936233E-5</v>
      </c>
      <c r="J7"/>
    </row>
    <row r="8" spans="1:10" ht="15" customHeight="1" x14ac:dyDescent="0.15">
      <c r="A8" s="146">
        <v>7</v>
      </c>
      <c r="B8" s="146" t="s">
        <v>198</v>
      </c>
      <c r="C8" s="8">
        <v>4.3102908134460449</v>
      </c>
      <c r="D8" s="9">
        <v>7.8128696259227581E-6</v>
      </c>
      <c r="E8" s="9">
        <v>0.5</v>
      </c>
      <c r="F8" s="9">
        <v>4</v>
      </c>
      <c r="G8" s="9">
        <v>0.76413315534591675</v>
      </c>
      <c r="H8" s="9">
        <v>0.125</v>
      </c>
      <c r="I8">
        <v>2.8126301003794651E-6</v>
      </c>
      <c r="J8"/>
    </row>
    <row r="9" spans="1:10" ht="15" customHeight="1" x14ac:dyDescent="0.15">
      <c r="A9" s="147">
        <v>8</v>
      </c>
      <c r="B9" s="147" t="s">
        <v>199</v>
      </c>
      <c r="C9" s="8">
        <v>4.2843871116638184</v>
      </c>
      <c r="D9" s="9">
        <v>2.6044710539281368E-3</v>
      </c>
      <c r="E9" s="9">
        <v>1.3500000238418579</v>
      </c>
      <c r="F9" s="9">
        <v>19.610000610351562</v>
      </c>
      <c r="G9" s="9">
        <v>0.37794741988182068</v>
      </c>
      <c r="H9" s="9">
        <v>6.8842425942420959E-2</v>
      </c>
      <c r="I9">
        <v>9.1156497364863753E-4</v>
      </c>
      <c r="J9"/>
    </row>
    <row r="10" spans="1:10" ht="15" customHeight="1" x14ac:dyDescent="0.15">
      <c r="A10" s="148">
        <v>9</v>
      </c>
      <c r="B10" s="148" t="s">
        <v>200</v>
      </c>
      <c r="C10" s="8">
        <v>4.5910234451293945</v>
      </c>
      <c r="D10" s="9">
        <v>1.5539499872829765E-4</v>
      </c>
      <c r="E10" s="9">
        <v>0.80000001192092896</v>
      </c>
      <c r="F10" s="9">
        <v>9.6000003814697266</v>
      </c>
      <c r="G10" s="9">
        <v>0.96344983577728271</v>
      </c>
      <c r="H10" s="9">
        <v>8.3333328366279602E-2</v>
      </c>
      <c r="I10">
        <v>7.7697397500742227E-5</v>
      </c>
      <c r="J10"/>
    </row>
    <row r="11" spans="1:10" ht="15" customHeight="1" x14ac:dyDescent="0.15">
      <c r="A11" s="149">
        <v>10</v>
      </c>
      <c r="B11" s="149" t="s">
        <v>201</v>
      </c>
      <c r="C11" s="8">
        <v>4.3949227333068848</v>
      </c>
      <c r="D11" s="9">
        <v>8.9415060356259346E-3</v>
      </c>
      <c r="E11" s="9">
        <v>0.75</v>
      </c>
      <c r="F11" s="9">
        <v>17.159999847412109</v>
      </c>
      <c r="G11" s="9">
        <v>0.55477148294448853</v>
      </c>
      <c r="H11" s="9">
        <v>4.3706294149160385E-2</v>
      </c>
      <c r="I11">
        <v>3.1295269727706909E-3</v>
      </c>
      <c r="J11"/>
    </row>
    <row r="12" spans="1:10" ht="15" customHeight="1" x14ac:dyDescent="0.15">
      <c r="A12" s="150">
        <v>11</v>
      </c>
      <c r="B12" s="150" t="s">
        <v>202</v>
      </c>
      <c r="C12" s="8">
        <v>4.8676137924194336</v>
      </c>
      <c r="D12" s="9">
        <v>3.0232599237933755E-4</v>
      </c>
      <c r="E12" s="9">
        <v>0.69999998807907104</v>
      </c>
      <c r="F12" s="9">
        <v>4</v>
      </c>
      <c r="G12" s="9">
        <v>0.71510040760040283</v>
      </c>
      <c r="H12" s="9">
        <v>0.17499999701976776</v>
      </c>
      <c r="I12">
        <v>1.5116299618966877E-4</v>
      </c>
      <c r="J12"/>
    </row>
    <row r="13" spans="1:10" ht="15" customHeight="1" x14ac:dyDescent="0.15">
      <c r="A13" s="151">
        <v>12</v>
      </c>
      <c r="B13" s="151" t="s">
        <v>203</v>
      </c>
      <c r="C13" s="8">
        <v>5.0148510932922363</v>
      </c>
      <c r="D13" s="9">
        <v>1.6564660472795367E-3</v>
      </c>
      <c r="E13" s="9">
        <v>0.41587060689926147</v>
      </c>
      <c r="F13" s="9">
        <v>4.1369838714599609</v>
      </c>
      <c r="G13" s="9">
        <v>0.48116880655288696</v>
      </c>
      <c r="H13" s="9">
        <v>0.10052507370710373</v>
      </c>
      <c r="I13">
        <v>3.3129300572909415E-4</v>
      </c>
      <c r="J13"/>
    </row>
    <row r="14" spans="1:10" ht="15" customHeight="1" x14ac:dyDescent="0.15">
      <c r="A14" s="152">
        <v>13</v>
      </c>
      <c r="B14" s="152" t="s">
        <v>204</v>
      </c>
      <c r="C14" s="8">
        <v>4.077211856842041</v>
      </c>
      <c r="D14" s="9">
        <v>1.5393409412354231E-3</v>
      </c>
      <c r="E14" s="9">
        <v>0.1120000034570694</v>
      </c>
      <c r="F14" s="9">
        <v>1.7999999523162842</v>
      </c>
      <c r="G14" s="9">
        <v>0.10000000149011612</v>
      </c>
      <c r="H14" s="9">
        <v>6.2222227454185486E-2</v>
      </c>
      <c r="I14">
        <v>0</v>
      </c>
      <c r="J14"/>
    </row>
    <row r="15" spans="1:10" ht="15" customHeight="1" x14ac:dyDescent="0.15">
      <c r="A15" s="153">
        <v>14</v>
      </c>
      <c r="B15" s="153" t="s">
        <v>205</v>
      </c>
      <c r="C15" s="8">
        <v>4.3407230377197266</v>
      </c>
      <c r="D15" s="9">
        <v>1.1114375665783882E-2</v>
      </c>
      <c r="E15" s="9">
        <v>0.69300001859664917</v>
      </c>
      <c r="F15" s="9">
        <v>8.9376926422119141</v>
      </c>
      <c r="G15" s="9">
        <v>0.89999991655349731</v>
      </c>
      <c r="H15" s="9">
        <v>7.7536791563034058E-2</v>
      </c>
      <c r="I15">
        <v>2.0259108860045671E-3</v>
      </c>
      <c r="J15"/>
    </row>
    <row r="16" spans="1:10" ht="15" customHeight="1" x14ac:dyDescent="0.15">
      <c r="A16" s="154">
        <v>15</v>
      </c>
      <c r="B16" s="154" t="s">
        <v>206</v>
      </c>
      <c r="C16" s="8">
        <v>3.9163398742675781</v>
      </c>
      <c r="D16" s="9">
        <v>4.477996751666069E-2</v>
      </c>
      <c r="E16" s="9">
        <v>1.0800000429153442</v>
      </c>
      <c r="F16" s="9">
        <v>7.6708331108093262</v>
      </c>
      <c r="G16" s="9">
        <v>0.89999997615814209</v>
      </c>
      <c r="H16" s="9">
        <v>0.14079305529594421</v>
      </c>
      <c r="I16">
        <v>8.000400266610086E-4</v>
      </c>
      <c r="J16"/>
    </row>
    <row r="17" spans="1:10" ht="15" customHeight="1" x14ac:dyDescent="0.15">
      <c r="A17" s="155">
        <v>16</v>
      </c>
      <c r="B17" s="155" t="s">
        <v>207</v>
      </c>
      <c r="C17" s="8">
        <v>3.164961576461792</v>
      </c>
      <c r="D17" s="9">
        <v>0.6288948655128479</v>
      </c>
      <c r="E17" s="9">
        <v>2.0533332824707031</v>
      </c>
      <c r="F17" s="9">
        <v>12.54888916015625</v>
      </c>
      <c r="G17" s="9">
        <v>0.89999991655349731</v>
      </c>
      <c r="H17" s="9">
        <v>0.16362670063972473</v>
      </c>
      <c r="I17">
        <v>0</v>
      </c>
      <c r="J17"/>
    </row>
    <row r="18" spans="1:10" ht="15" customHeight="1" x14ac:dyDescent="0.15">
      <c r="A18" s="156">
        <v>17</v>
      </c>
      <c r="B18" s="156" t="s">
        <v>208</v>
      </c>
      <c r="C18" s="8">
        <v>4.3336701393127441</v>
      </c>
      <c r="D18" s="9">
        <v>5.58151223231107E-4</v>
      </c>
      <c r="E18" s="9">
        <v>0.15000000596046448</v>
      </c>
      <c r="F18" s="9">
        <v>3.5499999523162842</v>
      </c>
      <c r="G18" s="9">
        <v>0.89999997615814209</v>
      </c>
      <c r="H18" s="9">
        <v>4.22535240650177E-2</v>
      </c>
      <c r="I18">
        <v>0</v>
      </c>
      <c r="J18"/>
    </row>
    <row r="19" spans="1:10" ht="15" customHeight="1" x14ac:dyDescent="0.15">
      <c r="A19" s="157">
        <v>18</v>
      </c>
      <c r="B19" s="157" t="s">
        <v>209</v>
      </c>
      <c r="C19" s="8">
        <v>3.2091615200042725</v>
      </c>
      <c r="D19" s="9">
        <v>3.2538540363311768</v>
      </c>
      <c r="E19" s="9">
        <v>3.7571427822113037</v>
      </c>
      <c r="F19" s="9">
        <v>18.25</v>
      </c>
      <c r="G19" s="9">
        <v>0.15472880005836487</v>
      </c>
      <c r="H19" s="9">
        <v>0.20587083697319031</v>
      </c>
      <c r="I19">
        <v>0</v>
      </c>
      <c r="J19"/>
    </row>
    <row r="20" spans="1:10" ht="15" customHeight="1" x14ac:dyDescent="0.15">
      <c r="A20" s="158">
        <v>19</v>
      </c>
      <c r="B20" s="158" t="s">
        <v>210</v>
      </c>
      <c r="C20" s="8">
        <v>3.1609377861022949</v>
      </c>
      <c r="D20" s="9">
        <v>2.0715419203042984E-2</v>
      </c>
      <c r="E20" s="9">
        <v>1.0399999618530273</v>
      </c>
      <c r="F20" s="9">
        <v>3.6500000953674316</v>
      </c>
      <c r="G20" s="9">
        <v>0.89999997615814209</v>
      </c>
      <c r="H20" s="9">
        <v>0.284931480884552</v>
      </c>
      <c r="I20">
        <v>0</v>
      </c>
      <c r="J20"/>
    </row>
    <row r="21" spans="1:10" ht="15" customHeight="1" x14ac:dyDescent="0.15">
      <c r="A21" s="159">
        <v>20</v>
      </c>
      <c r="B21" s="159" t="s">
        <v>211</v>
      </c>
      <c r="C21" s="8">
        <v>3.570136547088623</v>
      </c>
      <c r="D21" s="9">
        <v>2.2376928478479385E-2</v>
      </c>
      <c r="E21" s="9">
        <v>0.18999999761581421</v>
      </c>
      <c r="F21" s="9">
        <v>0.28999999165534973</v>
      </c>
      <c r="G21" s="9">
        <v>0.89999997615814209</v>
      </c>
      <c r="H21" s="9">
        <v>0.65517240762710571</v>
      </c>
      <c r="I21">
        <v>0</v>
      </c>
      <c r="J21"/>
    </row>
    <row r="22" spans="1:10" ht="15" customHeight="1" x14ac:dyDescent="0.15">
      <c r="A22" s="160">
        <v>21</v>
      </c>
      <c r="B22" s="160" t="s">
        <v>212</v>
      </c>
      <c r="C22" s="8">
        <v>3.1477577686309814</v>
      </c>
      <c r="D22" s="9">
        <v>5.5351639166474342E-3</v>
      </c>
      <c r="E22" s="9">
        <v>0.27000001072883606</v>
      </c>
      <c r="F22" s="9">
        <v>0.49000000953674316</v>
      </c>
      <c r="G22" s="9">
        <v>0.89999997615814209</v>
      </c>
      <c r="H22" s="9">
        <v>0.55102044343948364</v>
      </c>
      <c r="I22">
        <v>0</v>
      </c>
      <c r="J22"/>
    </row>
    <row r="23" spans="1:10" ht="15" customHeight="1" x14ac:dyDescent="0.15">
      <c r="A23" s="161">
        <v>22</v>
      </c>
      <c r="B23" s="161" t="s">
        <v>213</v>
      </c>
      <c r="C23" s="8">
        <v>3.6693370342254639</v>
      </c>
      <c r="D23" s="9">
        <v>1.5937469899654388E-2</v>
      </c>
      <c r="E23" s="9">
        <v>0.35473683476448059</v>
      </c>
      <c r="F23" s="9">
        <v>0.64497607946395874</v>
      </c>
      <c r="G23" s="9">
        <v>0.6821589469909668</v>
      </c>
      <c r="H23" s="9">
        <v>0.55000001192092896</v>
      </c>
      <c r="I23">
        <v>5.7559198467060924E-4</v>
      </c>
      <c r="J23"/>
    </row>
    <row r="24" spans="1:10" ht="15" customHeight="1" x14ac:dyDescent="0.15">
      <c r="A24" s="162">
        <v>23</v>
      </c>
      <c r="B24" s="162" t="s">
        <v>214</v>
      </c>
      <c r="C24" s="8">
        <v>3.8534929752349854</v>
      </c>
      <c r="D24" s="9">
        <v>1.8835190683603287E-2</v>
      </c>
      <c r="E24" s="9">
        <v>0.15999999642372131</v>
      </c>
      <c r="F24" s="9">
        <v>0.29090908169746399</v>
      </c>
      <c r="G24" s="9">
        <v>0.60741513967514038</v>
      </c>
      <c r="H24" s="9">
        <v>0.55000001192092896</v>
      </c>
      <c r="I24">
        <v>1.0750830406323075E-3</v>
      </c>
      <c r="J24"/>
    </row>
    <row r="25" spans="1:10" ht="15" customHeight="1" x14ac:dyDescent="0.15">
      <c r="A25" s="163">
        <v>24</v>
      </c>
      <c r="B25" s="163" t="s">
        <v>215</v>
      </c>
      <c r="C25" s="8">
        <v>3.18906569480896</v>
      </c>
      <c r="D25" s="9">
        <v>9.3451716005802155E-2</v>
      </c>
      <c r="E25" s="9">
        <v>0.3425000011920929</v>
      </c>
      <c r="F25" s="9">
        <v>0.62272727489471436</v>
      </c>
      <c r="G25" s="9">
        <v>0.52122104167938232</v>
      </c>
      <c r="H25" s="9">
        <v>0.55000001192092896</v>
      </c>
      <c r="I25">
        <v>0</v>
      </c>
      <c r="J25"/>
    </row>
    <row r="26" spans="1:10" ht="15" customHeight="1" x14ac:dyDescent="0.15">
      <c r="A26" s="164">
        <v>25</v>
      </c>
      <c r="B26" s="164" t="s">
        <v>216</v>
      </c>
      <c r="C26" s="8">
        <v>2.8614706993103027</v>
      </c>
      <c r="D26" s="9">
        <v>0.14593829214572906</v>
      </c>
      <c r="E26" s="9">
        <v>0.20222222805023193</v>
      </c>
      <c r="F26" s="9">
        <v>0.36767676472663879</v>
      </c>
      <c r="G26" s="9">
        <v>0.52555197477340698</v>
      </c>
      <c r="H26" s="9">
        <v>0.55000001192092896</v>
      </c>
      <c r="I26">
        <v>0</v>
      </c>
      <c r="J26"/>
    </row>
    <row r="27" spans="1:10" ht="15" customHeight="1" x14ac:dyDescent="0.15">
      <c r="A27" s="165">
        <v>26</v>
      </c>
      <c r="B27" s="165" t="s">
        <v>217</v>
      </c>
      <c r="C27" s="8">
        <v>3.8995606899261475</v>
      </c>
      <c r="D27" s="9">
        <v>0.22625912725925446</v>
      </c>
      <c r="E27" s="9">
        <v>4.5999999046325684</v>
      </c>
      <c r="F27" s="9">
        <v>36.5</v>
      </c>
      <c r="G27" s="9">
        <v>0.89999997615814209</v>
      </c>
      <c r="H27" s="9">
        <v>0.12602739036083221</v>
      </c>
      <c r="I27">
        <v>2.7620099717751145E-4</v>
      </c>
      <c r="J27"/>
    </row>
    <row r="28" spans="1:10" ht="15" customHeight="1" x14ac:dyDescent="0.15">
      <c r="A28" s="166">
        <v>27</v>
      </c>
      <c r="B28" s="166" t="s">
        <v>218</v>
      </c>
      <c r="C28" s="8">
        <v>4.4151697158813477</v>
      </c>
      <c r="D28" s="9">
        <v>6.7356929183006287E-2</v>
      </c>
      <c r="E28" s="9">
        <v>4.5999999046325684</v>
      </c>
      <c r="F28" s="9">
        <v>36.5</v>
      </c>
      <c r="G28" s="9">
        <v>0.89999997615814209</v>
      </c>
      <c r="H28" s="9">
        <v>0.12602739036083221</v>
      </c>
      <c r="I28">
        <v>0</v>
      </c>
      <c r="J28"/>
    </row>
    <row r="29" spans="1:10" ht="15" customHeight="1" x14ac:dyDescent="0.15">
      <c r="A29" s="167">
        <v>28</v>
      </c>
      <c r="B29" s="167" t="s">
        <v>219</v>
      </c>
      <c r="C29" s="8">
        <v>3.7243726253509521</v>
      </c>
      <c r="D29" s="9">
        <v>5.0989626906812191E-3</v>
      </c>
      <c r="E29" s="9">
        <v>1.1499999761581421</v>
      </c>
      <c r="F29" s="9">
        <v>2.2999999523162842</v>
      </c>
      <c r="G29" s="9">
        <v>0.89999985694885254</v>
      </c>
      <c r="H29" s="9">
        <v>0.5</v>
      </c>
      <c r="I29">
        <v>0</v>
      </c>
      <c r="J29"/>
    </row>
    <row r="30" spans="1:10" ht="15" customHeight="1" x14ac:dyDescent="0.15">
      <c r="A30" s="168">
        <v>29</v>
      </c>
      <c r="B30" s="168" t="s">
        <v>220</v>
      </c>
      <c r="C30" s="8">
        <v>2.5647273063659668</v>
      </c>
      <c r="D30" s="9">
        <v>0.98400002717971802</v>
      </c>
      <c r="E30" s="9">
        <v>2.25</v>
      </c>
      <c r="F30" s="9">
        <v>22.649999618530273</v>
      </c>
      <c r="G30" s="9">
        <v>0.24403560161590576</v>
      </c>
      <c r="H30" s="9">
        <v>9.9337749183177948E-2</v>
      </c>
      <c r="I30">
        <v>0</v>
      </c>
      <c r="J30"/>
    </row>
    <row r="31" spans="1:10" ht="15" customHeight="1" x14ac:dyDescent="0.15">
      <c r="A31" s="169">
        <v>30</v>
      </c>
      <c r="B31" s="169" t="s">
        <v>221</v>
      </c>
      <c r="C31" s="8">
        <v>2.5782225131988525</v>
      </c>
      <c r="D31" s="9">
        <v>0.36899998784065247</v>
      </c>
      <c r="E31" s="9">
        <v>1</v>
      </c>
      <c r="F31" s="9">
        <v>9.8500003814697266</v>
      </c>
      <c r="G31" s="9">
        <v>0.18112346529960632</v>
      </c>
      <c r="H31" s="9">
        <v>0.10152284055948257</v>
      </c>
      <c r="I31">
        <v>0</v>
      </c>
      <c r="J31"/>
    </row>
    <row r="32" spans="1:10" ht="15" customHeight="1" x14ac:dyDescent="0.15">
      <c r="A32" s="197">
        <v>31</v>
      </c>
      <c r="B32" s="197" t="s">
        <v>222</v>
      </c>
      <c r="C32" s="8">
        <v>2.478236198425293</v>
      </c>
      <c r="D32" s="9">
        <v>0.39399999380111694</v>
      </c>
      <c r="E32" s="9">
        <v>1.1000000238418579</v>
      </c>
      <c r="F32" s="9">
        <v>6.6999998092651367</v>
      </c>
      <c r="G32" s="9">
        <v>8.9096881449222565E-2</v>
      </c>
      <c r="H32" s="9">
        <v>0.16417911648750305</v>
      </c>
      <c r="I32">
        <v>0</v>
      </c>
      <c r="J32"/>
    </row>
    <row r="33" spans="1:10" ht="15" customHeight="1" x14ac:dyDescent="0.15">
      <c r="A33" s="198">
        <v>32</v>
      </c>
      <c r="B33" s="198" t="s">
        <v>223</v>
      </c>
      <c r="C33" s="8">
        <v>2</v>
      </c>
      <c r="D33" s="9">
        <v>22.542999267578125</v>
      </c>
      <c r="E33" s="9">
        <v>18.450000762939453</v>
      </c>
      <c r="F33" s="9">
        <v>25</v>
      </c>
      <c r="G33" s="9">
        <v>0.62407559156417847</v>
      </c>
      <c r="H33" s="9">
        <v>0.73800003528594971</v>
      </c>
      <c r="I33">
        <v>0</v>
      </c>
      <c r="J33"/>
    </row>
    <row r="34" spans="1:10" ht="15" customHeight="1" x14ac:dyDescent="0.15">
      <c r="A34" s="199">
        <v>33</v>
      </c>
      <c r="B34" s="199" t="s">
        <v>224</v>
      </c>
      <c r="C34" s="8">
        <v>2.0606060028076172</v>
      </c>
      <c r="D34" s="9">
        <v>66</v>
      </c>
      <c r="E34" s="9">
        <v>17.299999237060547</v>
      </c>
      <c r="F34" s="9">
        <v>57.700000762939453</v>
      </c>
      <c r="G34" s="9">
        <v>0.70415270328521729</v>
      </c>
      <c r="H34" s="9">
        <v>0.29982668161392212</v>
      </c>
      <c r="I34">
        <v>0</v>
      </c>
      <c r="J34"/>
    </row>
    <row r="35" spans="1:10" ht="15" customHeight="1" x14ac:dyDescent="0.15">
      <c r="A35" s="200">
        <v>34</v>
      </c>
      <c r="B35" s="200" t="s">
        <v>225</v>
      </c>
      <c r="C35" s="8">
        <v>3.0707070827484131</v>
      </c>
      <c r="D35" s="9">
        <v>17.567676544189453</v>
      </c>
      <c r="E35" s="9">
        <v>8.6999998092651367</v>
      </c>
      <c r="F35" s="9">
        <v>29</v>
      </c>
      <c r="G35" s="9">
        <v>0.12343145161867142</v>
      </c>
      <c r="H35" s="9">
        <v>0.29999998211860657</v>
      </c>
      <c r="I35">
        <v>0</v>
      </c>
      <c r="J35"/>
    </row>
    <row r="36" spans="1:10" ht="15" customHeight="1" x14ac:dyDescent="0.15">
      <c r="A36" s="201">
        <v>35</v>
      </c>
      <c r="B36" s="201" t="s">
        <v>226</v>
      </c>
      <c r="C36" s="8">
        <v>2.2480869293212891</v>
      </c>
      <c r="D36" s="9">
        <v>18.858583450317383</v>
      </c>
      <c r="E36" s="9">
        <v>17.299999237060547</v>
      </c>
      <c r="F36" s="9">
        <v>57.700000762939453</v>
      </c>
      <c r="G36" s="9">
        <v>0.4185008704662323</v>
      </c>
      <c r="H36" s="9">
        <v>0.29982668161392212</v>
      </c>
      <c r="I36">
        <v>0</v>
      </c>
      <c r="J36"/>
    </row>
    <row r="37" spans="1:10" ht="15" customHeight="1" x14ac:dyDescent="0.15">
      <c r="A37" s="202">
        <v>36</v>
      </c>
      <c r="B37" s="202" t="s">
        <v>227</v>
      </c>
      <c r="C37" s="8">
        <v>2.9997186660766602</v>
      </c>
      <c r="D37" s="9">
        <v>5.9317469596862793</v>
      </c>
      <c r="E37" s="9">
        <v>8.6999998092651367</v>
      </c>
      <c r="F37" s="9">
        <v>29</v>
      </c>
      <c r="G37" s="9">
        <v>5.967378243803978E-2</v>
      </c>
      <c r="H37" s="9">
        <v>0.29999998211860657</v>
      </c>
      <c r="I37">
        <v>0</v>
      </c>
      <c r="J37"/>
    </row>
    <row r="38" spans="1:10" ht="15" customHeight="1" x14ac:dyDescent="0.15">
      <c r="A38" s="203">
        <v>37</v>
      </c>
      <c r="B38" s="203" t="s">
        <v>228</v>
      </c>
      <c r="C38" s="8">
        <v>1</v>
      </c>
      <c r="D38" s="9">
        <v>20.25</v>
      </c>
      <c r="E38" s="9">
        <v>146.38246154785156</v>
      </c>
      <c r="F38" s="10"/>
      <c r="G38" s="9">
        <v>0.77733117341995239</v>
      </c>
      <c r="H38" s="10"/>
      <c r="I38">
        <v>0</v>
      </c>
      <c r="J38"/>
    </row>
    <row r="39" spans="1:10" ht="15" customHeight="1" x14ac:dyDescent="0.15">
      <c r="A39" s="204">
        <v>38</v>
      </c>
      <c r="B39" s="204" t="s">
        <v>229</v>
      </c>
      <c r="C39" s="8">
        <v>1</v>
      </c>
      <c r="D39" s="10"/>
      <c r="E39" s="10"/>
      <c r="F39" s="10"/>
      <c r="G39" s="7">
        <v>0.97443389892578125</v>
      </c>
      <c r="H39" s="10"/>
      <c r="I39">
        <v>0</v>
      </c>
      <c r="J39"/>
    </row>
    <row r="40" spans="1:10" ht="15" customHeight="1" x14ac:dyDescent="0.15">
      <c r="A40" s="205">
        <v>39</v>
      </c>
      <c r="B40" s="205" t="s">
        <v>230</v>
      </c>
      <c r="C40" s="8">
        <v>1</v>
      </c>
      <c r="D40" s="9">
        <v>5</v>
      </c>
      <c r="E40" s="10"/>
      <c r="F40" s="10"/>
      <c r="G40" s="7">
        <v>0</v>
      </c>
      <c r="H40" s="10"/>
      <c r="I40">
        <v>0</v>
      </c>
      <c r="J40"/>
    </row>
    <row r="41" spans="1:10" ht="15" customHeight="1" x14ac:dyDescent="0.15">
      <c r="A41" s="206">
        <v>40</v>
      </c>
      <c r="B41" s="206" t="s">
        <v>231</v>
      </c>
      <c r="C41" s="8">
        <v>5.2606296539306641</v>
      </c>
      <c r="D41" s="10"/>
      <c r="E41" s="10"/>
      <c r="F41" s="10"/>
      <c r="G41" s="10"/>
      <c r="H41" s="10"/>
      <c r="I41">
        <v>9.7559820860624313E-3</v>
      </c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8" bestFit="1" customWidth="1"/>
    <col min="2" max="4" width="9.5" style="78" bestFit="1" customWidth="1"/>
    <col min="5" max="7" width="9" style="78" bestFit="1" customWidth="1"/>
    <col min="8" max="16" width="12.6640625" style="78" bestFit="1" customWidth="1"/>
    <col min="17" max="17" width="12.33203125" style="78" bestFit="1" customWidth="1"/>
    <col min="18" max="18" width="8.83203125" style="78"/>
    <col min="19" max="21" width="9.33203125" style="78" bestFit="1" customWidth="1"/>
    <col min="22" max="23" width="8.83203125" style="78"/>
    <col min="24" max="24" width="9.33203125" style="78" bestFit="1" customWidth="1"/>
    <col min="25" max="27" width="8.83203125" style="78"/>
    <col min="28" max="58" width="9" style="78" bestFit="1" customWidth="1"/>
    <col min="59" max="59" width="12.33203125" style="78" bestFit="1" customWidth="1"/>
    <col min="60" max="60" width="9" style="78" bestFit="1" customWidth="1"/>
    <col min="61" max="61" width="11.33203125" style="78" bestFit="1" customWidth="1"/>
    <col min="62" max="77" width="9" style="78" bestFit="1" customWidth="1"/>
    <col min="78" max="78" width="12.33203125" style="78" bestFit="1" customWidth="1"/>
    <col min="79" max="79" width="9" style="78" bestFit="1" customWidth="1"/>
    <col min="80" max="80" width="12.33203125" style="78" bestFit="1" customWidth="1"/>
    <col min="81" max="107" width="9" style="78" bestFit="1" customWidth="1"/>
    <col min="108" max="108" width="11.33203125" style="78" bestFit="1" customWidth="1"/>
    <col min="109" max="124" width="9" style="78" bestFit="1" customWidth="1"/>
    <col min="125" max="125" width="10.33203125" style="78" bestFit="1" customWidth="1"/>
    <col min="126" max="129" width="9.33203125" style="78" bestFit="1" customWidth="1"/>
    <col min="130" max="130" width="9" style="78" bestFit="1" customWidth="1"/>
    <col min="131" max="134" width="9.33203125" style="78" bestFit="1" customWidth="1"/>
    <col min="135" max="165" width="9" style="78" bestFit="1" customWidth="1"/>
    <col min="166" max="166" width="12.33203125" style="78" bestFit="1" customWidth="1"/>
    <col min="167" max="170" width="9" style="78" bestFit="1" customWidth="1"/>
    <col min="171" max="176" width="8.83203125" style="78"/>
    <col min="177" max="177" width="13.83203125" style="78" bestFit="1" customWidth="1"/>
    <col min="178" max="16384" width="8.83203125" style="78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236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 t="s">
        <v>225</v>
      </c>
      <c r="AM1" t="s">
        <v>226</v>
      </c>
      <c r="AN1" t="s">
        <v>227</v>
      </c>
      <c r="AO1" t="s">
        <v>228</v>
      </c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1.9999999552965164E-2</v>
      </c>
      <c r="C2">
        <v>5.8338390663266182E-3</v>
      </c>
      <c r="D2"/>
      <c r="E2"/>
      <c r="F2" s="225">
        <v>1.3748549856245518E-2</v>
      </c>
      <c r="G2"/>
      <c r="H2"/>
      <c r="I2" s="62">
        <v>4.1761031025089324E-4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1.9999999552965164E-2</v>
      </c>
      <c r="C3">
        <v>1.1362378485500813E-2</v>
      </c>
      <c r="D3"/>
      <c r="E3"/>
      <c r="F3" s="226">
        <v>6.6221337765455246E-3</v>
      </c>
      <c r="G3"/>
      <c r="H3"/>
      <c r="I3" s="134">
        <v>2.0154868252575397E-3</v>
      </c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1.9999999552965164E-2</v>
      </c>
      <c r="C4">
        <v>1.3618595898151398E-2</v>
      </c>
      <c r="D4"/>
      <c r="E4"/>
      <c r="F4" s="219">
        <v>6.3814036548137665E-3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7.8353919088840485E-2</v>
      </c>
      <c r="C5">
        <v>5.4051455110311508E-2</v>
      </c>
      <c r="D5"/>
      <c r="E5"/>
      <c r="F5" s="218">
        <v>2.2923778742551804E-2</v>
      </c>
      <c r="G5"/>
      <c r="H5"/>
      <c r="I5" s="19">
        <v>1.3786870986223221E-3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0.38999998569488525</v>
      </c>
      <c r="C6">
        <v>3.9000008255243301E-2</v>
      </c>
      <c r="D6" s="207">
        <v>0.21564771234989166</v>
      </c>
      <c r="E6"/>
      <c r="F6"/>
      <c r="G6"/>
      <c r="H6"/>
      <c r="I6" s="224">
        <v>8.999999612569809E-2</v>
      </c>
      <c r="J6"/>
      <c r="K6"/>
      <c r="L6"/>
      <c r="M6"/>
      <c r="N6"/>
      <c r="O6"/>
      <c r="P6" s="223">
        <v>4.5352280139923096E-2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1.0499999523162842</v>
      </c>
      <c r="C7">
        <v>0.63412952423095703</v>
      </c>
      <c r="D7" s="208">
        <v>0.34999942779541016</v>
      </c>
      <c r="E7"/>
      <c r="F7"/>
      <c r="G7"/>
      <c r="H7"/>
      <c r="I7" s="14">
        <v>2.2097493056207895E-3</v>
      </c>
      <c r="J7"/>
      <c r="K7"/>
      <c r="L7"/>
      <c r="M7"/>
      <c r="N7"/>
      <c r="O7"/>
      <c r="P7"/>
      <c r="Q7"/>
      <c r="R7" s="138">
        <v>6.3661225140094757E-2</v>
      </c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0.5</v>
      </c>
      <c r="C8">
        <v>0.11793342232704163</v>
      </c>
      <c r="D8" s="209">
        <v>0.35999962687492371</v>
      </c>
      <c r="E8"/>
      <c r="F8"/>
      <c r="G8"/>
      <c r="H8"/>
      <c r="I8" s="217">
        <v>2.2066948935389519E-2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1.3500000238418579</v>
      </c>
      <c r="C9">
        <v>0.83977097272872925</v>
      </c>
      <c r="D9" s="210">
        <v>0.3500000536441803</v>
      </c>
      <c r="E9"/>
      <c r="F9"/>
      <c r="G9"/>
      <c r="H9"/>
      <c r="I9" s="137">
        <v>3.9651546627283096E-2</v>
      </c>
      <c r="J9" s="61">
        <v>7.4616469442844391E-2</v>
      </c>
      <c r="K9"/>
      <c r="L9"/>
      <c r="M9" s="17">
        <v>1.7355268821120262E-2</v>
      </c>
      <c r="N9"/>
      <c r="O9"/>
      <c r="P9"/>
      <c r="Q9"/>
      <c r="R9" s="62">
        <v>2.8605673462152481E-2</v>
      </c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0.80000001192092896</v>
      </c>
      <c r="C10">
        <v>2.9240131378173828E-2</v>
      </c>
      <c r="D10" s="211">
        <v>0.49999934434890747</v>
      </c>
      <c r="E10"/>
      <c r="F10"/>
      <c r="G10"/>
      <c r="H10"/>
      <c r="I10" s="220">
        <v>0.11094707250595093</v>
      </c>
      <c r="J10"/>
      <c r="K10"/>
      <c r="L10"/>
      <c r="M10"/>
      <c r="N10"/>
      <c r="O10"/>
      <c r="P10"/>
      <c r="Q10"/>
      <c r="R10" s="221">
        <v>0.15981349349021912</v>
      </c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0.75</v>
      </c>
      <c r="C11">
        <v>0.33392137289047241</v>
      </c>
      <c r="D11" s="212">
        <v>0.34999999403953552</v>
      </c>
      <c r="E11"/>
      <c r="F11"/>
      <c r="G11"/>
      <c r="H11"/>
      <c r="I11" s="65">
        <v>4.6969879418611526E-2</v>
      </c>
      <c r="J11"/>
      <c r="K11"/>
      <c r="L11"/>
      <c r="M11"/>
      <c r="N11"/>
      <c r="O11"/>
      <c r="P11"/>
      <c r="Q11"/>
      <c r="R11" s="24">
        <v>1.9108762964606285E-2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0.69999998807907104</v>
      </c>
      <c r="C12">
        <v>0.1994297057390213</v>
      </c>
      <c r="D12" s="213">
        <v>0.5</v>
      </c>
      <c r="E12"/>
      <c r="F12"/>
      <c r="G12"/>
      <c r="H12"/>
      <c r="I12" s="11">
        <v>5.7026586728170514E-4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0.41587060689926147</v>
      </c>
      <c r="C13">
        <v>0.21576663851737976</v>
      </c>
      <c r="D13" s="214">
        <v>0.19999988377094269</v>
      </c>
      <c r="E13"/>
      <c r="F13"/>
      <c r="G13"/>
      <c r="H13"/>
      <c r="I13" s="11">
        <v>1.040807255776599E-4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0.1120000034570694</v>
      </c>
      <c r="C14">
        <v>0.10080000013113022</v>
      </c>
      <c r="D14"/>
      <c r="E14"/>
      <c r="F14"/>
      <c r="G14"/>
      <c r="H14"/>
      <c r="I14" s="134">
        <v>1.1200000531971455E-2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0.69300001859664917</v>
      </c>
      <c r="C15">
        <v>6.9300062954425812E-2</v>
      </c>
      <c r="D15" s="215">
        <v>0.18227842450141907</v>
      </c>
      <c r="E15"/>
      <c r="F15"/>
      <c r="G15"/>
      <c r="H15"/>
      <c r="I15" s="73">
        <v>0.15381699800491333</v>
      </c>
      <c r="J15"/>
      <c r="K15"/>
      <c r="L15"/>
      <c r="M15"/>
      <c r="N15"/>
      <c r="O15"/>
      <c r="P15" s="235">
        <v>0.19822676479816437</v>
      </c>
      <c r="Q15"/>
      <c r="R15" s="132">
        <v>8.9377813041210175E-2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1.0800000429153442</v>
      </c>
      <c r="C16">
        <v>0.10800003260374069</v>
      </c>
      <c r="D16" s="16">
        <v>1.7866024747490883E-2</v>
      </c>
      <c r="E16"/>
      <c r="F16"/>
      <c r="G16"/>
      <c r="H16"/>
      <c r="I16" s="230">
        <v>2.561839297413826E-2</v>
      </c>
      <c r="J16" s="12">
        <v>4.3398072011768818E-3</v>
      </c>
      <c r="K16" s="11">
        <v>5.4330721468431875E-5</v>
      </c>
      <c r="L16"/>
      <c r="M16" s="12">
        <v>3.3650295808911324E-3</v>
      </c>
      <c r="N16" s="242">
        <v>0.51396209001541138</v>
      </c>
      <c r="O16" s="21">
        <v>5.8931326493620872E-3</v>
      </c>
      <c r="P16" s="236">
        <v>5.2863415330648422E-2</v>
      </c>
      <c r="Q16"/>
      <c r="R16" s="240">
        <v>0.34803777933120728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2.0533332824707031</v>
      </c>
      <c r="C17">
        <v>0.20533350110054016</v>
      </c>
      <c r="D17"/>
      <c r="E17" s="15">
        <v>2.056507021188736E-2</v>
      </c>
      <c r="F17" s="20">
        <v>1.4572632499039173E-2</v>
      </c>
      <c r="G17" s="11">
        <v>2.4592925910837948E-5</v>
      </c>
      <c r="H17" s="14">
        <v>2.8403161559253931E-3</v>
      </c>
      <c r="I17" s="14">
        <v>3.7499819882214069E-3</v>
      </c>
      <c r="J17"/>
      <c r="K17" s="11">
        <v>3.0651444831164554E-5</v>
      </c>
      <c r="L17"/>
      <c r="M17" s="11">
        <v>3.3543654717504978E-4</v>
      </c>
      <c r="N17" s="21">
        <v>1.2198757380247116E-2</v>
      </c>
      <c r="O17"/>
      <c r="P17" s="11">
        <v>6.119490135461092E-4</v>
      </c>
      <c r="Q17" s="11">
        <v>3.353255451656878E-4</v>
      </c>
      <c r="R17" s="244">
        <v>7.0322111248970032E-2</v>
      </c>
      <c r="S17" s="72">
        <v>0.13387802243232727</v>
      </c>
      <c r="T17"/>
      <c r="U17"/>
      <c r="V17"/>
      <c r="W17"/>
      <c r="X17"/>
      <c r="Y17"/>
      <c r="Z17"/>
      <c r="AA17"/>
      <c r="AB17"/>
      <c r="AC17"/>
      <c r="AD17" s="133">
        <v>0.93720930814743042</v>
      </c>
      <c r="AE17" s="247">
        <v>0.65132564306259155</v>
      </c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0.15000000596046448</v>
      </c>
      <c r="C18">
        <v>1.5000004321336746E-2</v>
      </c>
      <c r="D18"/>
      <c r="E18"/>
      <c r="F18"/>
      <c r="G18"/>
      <c r="H18"/>
      <c r="I18"/>
      <c r="J18"/>
      <c r="K18"/>
      <c r="L18"/>
      <c r="M18" s="222">
        <v>0.13499999046325684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3.7571427822113037</v>
      </c>
      <c r="C19">
        <v>3.175804615020752</v>
      </c>
      <c r="D19"/>
      <c r="E19" s="11">
        <v>1.1189969955012202E-3</v>
      </c>
      <c r="F19" s="11">
        <v>3.4905171487480402E-3</v>
      </c>
      <c r="G19" s="11">
        <v>8.1036137999035418E-5</v>
      </c>
      <c r="H19"/>
      <c r="I19"/>
      <c r="J19" s="11">
        <v>1.194462674902752E-4</v>
      </c>
      <c r="K19" s="11">
        <v>8.0033885296870722E-7</v>
      </c>
      <c r="L19" s="14">
        <v>9.5283212140202522E-3</v>
      </c>
      <c r="M19" s="11">
        <v>9.2619957285933197E-5</v>
      </c>
      <c r="N19" s="12">
        <v>1.4119549654424191E-2</v>
      </c>
      <c r="O19"/>
      <c r="P19"/>
      <c r="Q19" s="11">
        <v>6.4810687035787851E-5</v>
      </c>
      <c r="R19"/>
      <c r="S19" s="11">
        <v>1.9382104510441422E-3</v>
      </c>
      <c r="T19"/>
      <c r="U19" s="11">
        <v>3.3087338670156896E-4</v>
      </c>
      <c r="V19" s="12">
        <v>1.8249999731779099E-2</v>
      </c>
      <c r="W19"/>
      <c r="X19" s="11">
        <v>9.9718272394966334E-5</v>
      </c>
      <c r="Y19"/>
      <c r="Z19" s="11">
        <v>1.62755764904432E-4</v>
      </c>
      <c r="AA19" s="11">
        <v>1.175769284600392E-4</v>
      </c>
      <c r="AB19"/>
      <c r="AC19"/>
      <c r="AD19" s="216">
        <v>0.38070815801620483</v>
      </c>
      <c r="AE19" s="63">
        <v>0.15111483633518219</v>
      </c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1.0399999618530273</v>
      </c>
      <c r="C20">
        <v>0.104000024497509</v>
      </c>
      <c r="D20"/>
      <c r="E20"/>
      <c r="F20"/>
      <c r="G20"/>
      <c r="H20"/>
      <c r="I20"/>
      <c r="J20"/>
      <c r="K20"/>
      <c r="L20"/>
      <c r="M20"/>
      <c r="N20" s="241">
        <v>0.84615129232406616</v>
      </c>
      <c r="O20"/>
      <c r="P20"/>
      <c r="Q20"/>
      <c r="R20"/>
      <c r="S20"/>
      <c r="T20"/>
      <c r="U20" s="14">
        <v>2.6849049609154463E-3</v>
      </c>
      <c r="V20"/>
      <c r="W20" s="25">
        <v>3.6499999463558197E-2</v>
      </c>
      <c r="X20" s="22">
        <v>2.8842123225331306E-2</v>
      </c>
      <c r="Y20" s="62">
        <v>2.1821567788720131E-2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0.18999999761581421</v>
      </c>
      <c r="C21">
        <v>1.9000004976987839E-2</v>
      </c>
      <c r="D21"/>
      <c r="E21"/>
      <c r="F21"/>
      <c r="G21"/>
      <c r="H21"/>
      <c r="I21"/>
      <c r="J21"/>
      <c r="K21"/>
      <c r="L21"/>
      <c r="M21"/>
      <c r="N21" s="237">
        <v>0.14831314980983734</v>
      </c>
      <c r="O21"/>
      <c r="P21"/>
      <c r="Q21"/>
      <c r="R21"/>
      <c r="S21"/>
      <c r="T21"/>
      <c r="U21" s="17">
        <v>2.4855479132384062E-3</v>
      </c>
      <c r="V21"/>
      <c r="W21"/>
      <c r="X21"/>
      <c r="Y21" s="228">
        <v>2.0201293751597404E-2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0.27000001072883606</v>
      </c>
      <c r="C22">
        <v>2.7000008150935173E-2</v>
      </c>
      <c r="D22"/>
      <c r="E22"/>
      <c r="F22"/>
      <c r="G22"/>
      <c r="H22"/>
      <c r="I22" s="233">
        <v>0.23295170068740845</v>
      </c>
      <c r="J22"/>
      <c r="K22"/>
      <c r="L22"/>
      <c r="M22"/>
      <c r="N22"/>
      <c r="O22"/>
      <c r="P22"/>
      <c r="Q22"/>
      <c r="R22"/>
      <c r="S22"/>
      <c r="T22"/>
      <c r="U22" s="13">
        <v>1.0048289783298969E-2</v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0.35473683476448059</v>
      </c>
      <c r="C23">
        <v>0.11274992674589157</v>
      </c>
      <c r="D23" s="216">
        <v>3.6115642637014389E-2</v>
      </c>
      <c r="E23"/>
      <c r="F23"/>
      <c r="G23" s="19">
        <v>6.5721906721591949E-3</v>
      </c>
      <c r="H23"/>
      <c r="I23"/>
      <c r="J23"/>
      <c r="K23" s="11">
        <v>9.2514346761163324E-5</v>
      </c>
      <c r="L23"/>
      <c r="M23"/>
      <c r="N23" s="23">
        <v>1.1456480249762535E-2</v>
      </c>
      <c r="O23" s="62">
        <v>7.9960273578763008E-3</v>
      </c>
      <c r="P23"/>
      <c r="Q23"/>
      <c r="R23"/>
      <c r="S23"/>
      <c r="T23"/>
      <c r="U23"/>
      <c r="V23"/>
      <c r="W23"/>
      <c r="X23" s="11">
        <v>2.035885991062969E-4</v>
      </c>
      <c r="Y23" s="11">
        <v>8.5088890045881271E-5</v>
      </c>
      <c r="Z23" s="229">
        <v>2.8959138318896294E-2</v>
      </c>
      <c r="AA23" s="232">
        <v>7.6921053230762482E-2</v>
      </c>
      <c r="AB23"/>
      <c r="AC23"/>
      <c r="AD23"/>
      <c r="AE23"/>
      <c r="AF23" s="231">
        <v>7.3585167527198792E-2</v>
      </c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0.15999999642372131</v>
      </c>
      <c r="C24">
        <v>6.2813572585582733E-2</v>
      </c>
      <c r="D24" s="139">
        <v>5.7078424841165543E-2</v>
      </c>
      <c r="E24"/>
      <c r="F24" s="26">
        <v>7.6098036952316761E-3</v>
      </c>
      <c r="G24" s="25">
        <v>5.5610844865441322E-3</v>
      </c>
      <c r="H24"/>
      <c r="I24" s="137">
        <v>4.5767039991915226E-3</v>
      </c>
      <c r="J24"/>
      <c r="K24"/>
      <c r="L24"/>
      <c r="M24"/>
      <c r="N24" s="14">
        <v>3.2584689324721694E-4</v>
      </c>
      <c r="O24" s="227">
        <v>1.5814851969480515E-2</v>
      </c>
      <c r="P24" s="24">
        <v>4.1512795723974705E-3</v>
      </c>
      <c r="Q24"/>
      <c r="R24"/>
      <c r="S24"/>
      <c r="T24"/>
      <c r="U24"/>
      <c r="V24"/>
      <c r="W24"/>
      <c r="X24"/>
      <c r="Y24"/>
      <c r="Z24"/>
      <c r="AA24" s="17">
        <v>2.0684257615357637E-3</v>
      </c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0.3425000011920929</v>
      </c>
      <c r="C25">
        <v>0.16398179531097412</v>
      </c>
      <c r="D25"/>
      <c r="E25"/>
      <c r="F25" s="214">
        <v>0.16484799981117249</v>
      </c>
      <c r="G25" s="12">
        <v>1.1208364740014076E-3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3">
        <v>1.2549383565783501E-2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0.20222222805023193</v>
      </c>
      <c r="C26">
        <v>9.5943935215473175E-2</v>
      </c>
      <c r="D26"/>
      <c r="E26"/>
      <c r="F26" s="239">
        <v>0.10556056350469589</v>
      </c>
      <c r="G26" s="12">
        <v>7.1772863157093525E-4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4.5999999046325684</v>
      </c>
      <c r="C27">
        <v>0.46000009775161743</v>
      </c>
      <c r="D27" s="11">
        <v>1.2207286199554801E-3</v>
      </c>
      <c r="E27" s="14">
        <v>1.0780386626720428E-2</v>
      </c>
      <c r="F27" s="67">
        <v>0.3228626549243927</v>
      </c>
      <c r="G27" s="14">
        <v>6.0150548815727234E-3</v>
      </c>
      <c r="H27" s="14">
        <v>1.0740737430751324E-2</v>
      </c>
      <c r="I27" s="20">
        <v>3.9697162806987762E-2</v>
      </c>
      <c r="J27" s="11">
        <v>7.63482297770679E-4</v>
      </c>
      <c r="K27" s="11">
        <v>1.2636828614631668E-5</v>
      </c>
      <c r="L27" s="20">
        <v>3.5304311662912369E-2</v>
      </c>
      <c r="M27" s="11">
        <v>2.3309919051826E-3</v>
      </c>
      <c r="N27" s="62">
        <v>0.10074404627084732</v>
      </c>
      <c r="O27" s="11">
        <v>2.2986805997788906E-3</v>
      </c>
      <c r="P27" s="14">
        <v>7.6953917741775513E-3</v>
      </c>
      <c r="Q27" s="11">
        <v>1.0341809829697013E-3</v>
      </c>
      <c r="R27" s="15">
        <v>4.6064566820859909E-2</v>
      </c>
      <c r="S27" s="62">
        <v>9.8255917429924011E-2</v>
      </c>
      <c r="T27"/>
      <c r="U27" s="11">
        <v>1.7983276629820466E-3</v>
      </c>
      <c r="V27"/>
      <c r="W27" s="11">
        <v>3.3418003004044294E-3</v>
      </c>
      <c r="X27" s="11">
        <v>6.1664490203838795E-5</v>
      </c>
      <c r="Y27" s="11">
        <v>1.1987153993686661E-4</v>
      </c>
      <c r="Z27" s="11">
        <v>4.9065513303503394E-4</v>
      </c>
      <c r="AA27" s="11">
        <v>1.8824475118890405E-3</v>
      </c>
      <c r="AB27"/>
      <c r="AC27"/>
      <c r="AD27" s="70">
        <v>0.36500000953674316</v>
      </c>
      <c r="AE27" s="248">
        <v>3.0814840793609619</v>
      </c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4.5999999046325684</v>
      </c>
      <c r="C28">
        <v>0.46000009775161743</v>
      </c>
      <c r="D28"/>
      <c r="E28"/>
      <c r="F28" s="246">
        <v>2.2952902317047119</v>
      </c>
      <c r="G28" s="12">
        <v>2.0439527928829193E-2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 s="245">
        <v>1.8242700099945068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1.1499999761581421</v>
      </c>
      <c r="C29">
        <v>0.1150001585483551</v>
      </c>
      <c r="D29"/>
      <c r="E29"/>
      <c r="F29" s="238">
        <v>0.68251180648803711</v>
      </c>
      <c r="G29" s="217">
        <v>5.0975456833839417E-2</v>
      </c>
      <c r="H29"/>
      <c r="I29"/>
      <c r="J29"/>
      <c r="K29"/>
      <c r="L29"/>
      <c r="M29"/>
      <c r="N29" s="234">
        <v>0.30001083016395569</v>
      </c>
      <c r="O29"/>
      <c r="P29"/>
      <c r="Q29"/>
      <c r="R29"/>
      <c r="S29"/>
      <c r="T29"/>
      <c r="U29"/>
      <c r="V29"/>
      <c r="W29"/>
      <c r="X29"/>
      <c r="Y29"/>
      <c r="Z29" s="11">
        <v>4.0318729588761926E-5</v>
      </c>
      <c r="AA29" s="14">
        <v>1.4614952960982919E-3</v>
      </c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2.25</v>
      </c>
      <c r="C30">
        <v>1.7009198665618896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 s="11">
        <v>2.2981916117714718E-5</v>
      </c>
      <c r="AA30" s="11">
        <v>7.4619101724238135E-6</v>
      </c>
      <c r="AB30"/>
      <c r="AC30" s="11">
        <v>1.5050599176902324E-4</v>
      </c>
      <c r="AD30"/>
      <c r="AE30"/>
      <c r="AF30" s="14">
        <v>3.5754921846091747E-3</v>
      </c>
      <c r="AG30" s="134">
        <v>0.22649998962879181</v>
      </c>
      <c r="AH30" s="229">
        <v>0.18468749523162842</v>
      </c>
      <c r="AI30" s="64">
        <v>0.13413617014884949</v>
      </c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</v>
      </c>
      <c r="C31">
        <v>0.81887650489807129</v>
      </c>
      <c r="D31"/>
      <c r="E31"/>
      <c r="F31" s="15">
        <v>9.4311712309718132E-3</v>
      </c>
      <c r="G31" s="11">
        <v>7.0439552655443549E-4</v>
      </c>
      <c r="H31"/>
      <c r="I31" s="11">
        <v>1.3829873932991177E-4</v>
      </c>
      <c r="J31"/>
      <c r="K31"/>
      <c r="L31"/>
      <c r="M31"/>
      <c r="N31"/>
      <c r="O31"/>
      <c r="P31"/>
      <c r="Q31" s="11">
        <v>4.7553898184560239E-4</v>
      </c>
      <c r="R31" s="11">
        <v>3.8496789056807756E-4</v>
      </c>
      <c r="S31" s="230">
        <v>2.4221844971179962E-2</v>
      </c>
      <c r="T31"/>
      <c r="U31"/>
      <c r="V31"/>
      <c r="W31" s="16">
        <v>1.5394785441458225E-2</v>
      </c>
      <c r="X31" s="14">
        <v>1.6191779868677258E-3</v>
      </c>
      <c r="Y31"/>
      <c r="Z31" s="21">
        <v>6.3494141213595867E-3</v>
      </c>
      <c r="AA31" s="14">
        <v>2.3373228032141924E-3</v>
      </c>
      <c r="AB31" s="243">
        <v>0.1032610759139061</v>
      </c>
      <c r="AC31" s="20">
        <v>7.2708209045231342E-3</v>
      </c>
      <c r="AD31"/>
      <c r="AE31"/>
      <c r="AF31" s="15">
        <v>9.5346458256244659E-3</v>
      </c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1.1000000238418579</v>
      </c>
      <c r="C32">
        <v>1.0019934177398682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 s="12">
        <v>3.9290492422878742E-3</v>
      </c>
      <c r="AA32" s="14">
        <v>2.8434949927031994E-3</v>
      </c>
      <c r="AB32" s="18">
        <v>1.3582621701061726E-2</v>
      </c>
      <c r="AC32" s="72">
        <v>7.1698315441608429E-2</v>
      </c>
      <c r="AD32"/>
      <c r="AE32"/>
      <c r="AF32" s="21">
        <v>5.9531037695705891E-3</v>
      </c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18.450000762939453</v>
      </c>
      <c r="C33">
        <v>6.9358057975769043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 s="137">
        <v>0.54285925626754761</v>
      </c>
      <c r="AH33" s="12">
        <v>6.4492754638195038E-2</v>
      </c>
      <c r="AI33" s="14">
        <v>4.6840261667966843E-2</v>
      </c>
      <c r="AJ33"/>
      <c r="AK33" s="133">
        <v>8.4465246200561523</v>
      </c>
      <c r="AL33"/>
      <c r="AM33" s="249">
        <v>2.4134771823883057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17.299999237060547</v>
      </c>
      <c r="C34">
        <v>5.1181578636169434</v>
      </c>
      <c r="D34"/>
      <c r="E34" s="11">
        <v>1.0768239735625684E-4</v>
      </c>
      <c r="F34"/>
      <c r="G34"/>
      <c r="H34" s="11">
        <v>1.6618119843769819E-5</v>
      </c>
      <c r="I34"/>
      <c r="J34" s="11">
        <v>3.7450977430353305E-8</v>
      </c>
      <c r="K34"/>
      <c r="L34"/>
      <c r="M34"/>
      <c r="N34"/>
      <c r="O34"/>
      <c r="P34"/>
      <c r="Q34" s="11">
        <v>1.0957197815741893E-7</v>
      </c>
      <c r="R34" s="11">
        <v>1.0761602425191086E-5</v>
      </c>
      <c r="S34" s="11">
        <v>3.3501625875942409E-4</v>
      </c>
      <c r="T34" s="21">
        <v>9.3601897358894348E-2</v>
      </c>
      <c r="U34"/>
      <c r="V34" s="63">
        <v>0.69911593198776245</v>
      </c>
      <c r="W34"/>
      <c r="X34"/>
      <c r="Y34"/>
      <c r="Z34"/>
      <c r="AA34"/>
      <c r="AB34"/>
      <c r="AC34"/>
      <c r="AD34" s="14">
        <v>2.3855682462453842E-2</v>
      </c>
      <c r="AE34"/>
      <c r="AF34"/>
      <c r="AG34"/>
      <c r="AH34"/>
      <c r="AI34"/>
      <c r="AJ34"/>
      <c r="AK34" s="244">
        <v>0.57700002193450928</v>
      </c>
      <c r="AL34" s="252">
        <v>7.641939640045166</v>
      </c>
      <c r="AM34" s="251">
        <v>2.8852202892303467</v>
      </c>
      <c r="AN34" s="16">
        <v>0.26063737273216248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8.6999998092651367</v>
      </c>
      <c r="C35">
        <v>7.6261463165283203</v>
      </c>
      <c r="D35"/>
      <c r="E35" s="11">
        <v>3.6765432450920343E-3</v>
      </c>
      <c r="F35"/>
      <c r="G35"/>
      <c r="H35" s="11">
        <v>1.7466257850173861E-4</v>
      </c>
      <c r="I35" s="11">
        <v>2.4151833713403903E-5</v>
      </c>
      <c r="J35" s="11">
        <v>1.4749315596418455E-5</v>
      </c>
      <c r="K35" s="11">
        <v>1.482373477301735E-7</v>
      </c>
      <c r="L35" s="11">
        <v>6.8773975363001227E-4</v>
      </c>
      <c r="M35" s="11">
        <v>1.029277245834237E-5</v>
      </c>
      <c r="N35" s="11">
        <v>1.7528979806229472E-3</v>
      </c>
      <c r="O35"/>
      <c r="P35"/>
      <c r="Q35" s="11">
        <v>1.0638575622579083E-4</v>
      </c>
      <c r="R35" s="11">
        <v>1.5359541866928339E-3</v>
      </c>
      <c r="S35" s="14">
        <v>9.8971091210842133E-3</v>
      </c>
      <c r="T35" s="20">
        <v>7.2618074715137482E-2</v>
      </c>
      <c r="U35" s="11">
        <v>1.696117760729976E-5</v>
      </c>
      <c r="V35" s="26">
        <v>0.40687862038612366</v>
      </c>
      <c r="W35"/>
      <c r="X35"/>
      <c r="Y35"/>
      <c r="Z35"/>
      <c r="AA35"/>
      <c r="AB35"/>
      <c r="AC35"/>
      <c r="AD35" s="22">
        <v>0.2468322366476059</v>
      </c>
      <c r="AE35" s="12">
        <v>3.9627138525247574E-2</v>
      </c>
      <c r="AF35"/>
      <c r="AG35"/>
      <c r="AH35"/>
      <c r="AI35"/>
      <c r="AJ35"/>
      <c r="AK35"/>
      <c r="AL35" s="244">
        <v>0.28999999165534973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17.299999237060547</v>
      </c>
      <c r="C36">
        <v>10.059934616088867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6">
        <v>0.27114742994308472</v>
      </c>
      <c r="W36" s="11">
        <v>3.7387496558949351E-4</v>
      </c>
      <c r="X36" s="11">
        <v>6.577608291991055E-5</v>
      </c>
      <c r="Y36" s="11">
        <v>6.4718079784142901E-7</v>
      </c>
      <c r="Z36" s="11">
        <v>9.7594180260784924E-5</v>
      </c>
      <c r="AA36" s="11">
        <v>2.8532693249871954E-5</v>
      </c>
      <c r="AB36" s="11">
        <v>4.8910387704381719E-5</v>
      </c>
      <c r="AC36"/>
      <c r="AD36" s="11">
        <v>6.1746025457978249E-3</v>
      </c>
      <c r="AE36"/>
      <c r="AF36"/>
      <c r="AG36"/>
      <c r="AH36"/>
      <c r="AI36"/>
      <c r="AJ36"/>
      <c r="AK36"/>
      <c r="AL36"/>
      <c r="AM36" s="244">
        <v>0.57700002193450928</v>
      </c>
      <c r="AN36" s="250">
        <v>6.3851275444030762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8.6999998092651367</v>
      </c>
      <c r="C37">
        <v>8.1808376312255859</v>
      </c>
      <c r="D37"/>
      <c r="E37"/>
      <c r="F37"/>
      <c r="G37"/>
      <c r="H37"/>
      <c r="I37"/>
      <c r="J37"/>
      <c r="K37"/>
      <c r="L37"/>
      <c r="M37"/>
      <c r="N37" s="11">
        <v>1.099334767786786E-4</v>
      </c>
      <c r="O37"/>
      <c r="P37"/>
      <c r="Q37"/>
      <c r="R37"/>
      <c r="S37"/>
      <c r="T37"/>
      <c r="U37" s="11">
        <v>5.5817972679506056E-6</v>
      </c>
      <c r="V37" s="16">
        <v>0.13074392080307007</v>
      </c>
      <c r="W37" s="11">
        <v>5.5799479596316814E-3</v>
      </c>
      <c r="X37" s="11">
        <v>4.7555399942211807E-4</v>
      </c>
      <c r="Y37" s="11">
        <v>7.3921204602811486E-5</v>
      </c>
      <c r="Z37" s="11">
        <v>5.1566207548603415E-4</v>
      </c>
      <c r="AA37" s="11">
        <v>8.1900296208914369E-5</v>
      </c>
      <c r="AB37"/>
      <c r="AC37"/>
      <c r="AD37" s="21">
        <v>5.4033111780881882E-2</v>
      </c>
      <c r="AE37" s="11">
        <v>6.9050611928105354E-3</v>
      </c>
      <c r="AF37"/>
      <c r="AG37"/>
      <c r="AH37" s="12">
        <v>3.0637266114354134E-2</v>
      </c>
      <c r="AI37"/>
      <c r="AJ37"/>
      <c r="AK37"/>
      <c r="AL37"/>
      <c r="AM37"/>
      <c r="AN37" s="244">
        <v>0.28999999165534973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146.38246154785156</v>
      </c>
      <c r="C38">
        <v>32.594810485839844</v>
      </c>
      <c r="D38"/>
      <c r="E38"/>
      <c r="F38"/>
      <c r="G38"/>
      <c r="H38"/>
      <c r="I38"/>
      <c r="J38"/>
      <c r="K38"/>
      <c r="L38"/>
      <c r="M38"/>
      <c r="N38"/>
      <c r="O38"/>
      <c r="P38"/>
      <c r="Q38" s="11">
        <v>3.1306456094171153E-6</v>
      </c>
      <c r="R38"/>
      <c r="S38" s="11">
        <v>6.4035120885819197E-4</v>
      </c>
      <c r="T38" s="11">
        <v>1.1153930798172951E-2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 s="253">
        <v>113.77586364746094</v>
      </c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/>
      <c r="C39">
        <v>0.97443389892578125</v>
      </c>
      <c r="D39"/>
      <c r="E39"/>
      <c r="F39"/>
      <c r="G39"/>
      <c r="H39" s="9">
        <v>8.1733043771237135E-4</v>
      </c>
      <c r="I39" s="9">
        <v>3.8394858711399138E-4</v>
      </c>
      <c r="J39"/>
      <c r="K39"/>
      <c r="L39"/>
      <c r="M39"/>
      <c r="N39"/>
      <c r="O39"/>
      <c r="P39"/>
      <c r="Q39"/>
      <c r="R39"/>
      <c r="S39" s="9">
        <v>1.2881238013505936E-2</v>
      </c>
      <c r="T39" s="9">
        <v>0.21260863542556763</v>
      </c>
      <c r="U39"/>
      <c r="V39" s="9">
        <v>0.14489412307739258</v>
      </c>
      <c r="W39" s="9">
        <v>2.8268788009881973E-2</v>
      </c>
      <c r="X39" s="9">
        <v>8.9138041948899627E-4</v>
      </c>
      <c r="Y39" s="9">
        <v>1.3289796188473701E-3</v>
      </c>
      <c r="Z39" s="9">
        <v>3.6408874439075589E-4</v>
      </c>
      <c r="AA39" s="9">
        <v>3.8444122765213251E-4</v>
      </c>
      <c r="AB39" s="9">
        <v>1.3817667029798031E-2</v>
      </c>
      <c r="AC39" s="9">
        <v>2.2577952593564987E-2</v>
      </c>
      <c r="AD39"/>
      <c r="AE39"/>
      <c r="AF39"/>
      <c r="AG39" s="9">
        <v>9.8270483016967773</v>
      </c>
      <c r="AH39" s="9">
        <v>1.8173249959945679</v>
      </c>
      <c r="AI39" s="9">
        <v>1.4518899917602539</v>
      </c>
      <c r="AJ39" s="9">
        <v>563.574951171875</v>
      </c>
      <c r="AK39" s="9">
        <v>1275.7470703125</v>
      </c>
      <c r="AL39"/>
      <c r="AM39" s="9">
        <v>832.42730712890625</v>
      </c>
      <c r="AN39" s="9">
        <v>32.683925628662109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1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1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9" t="s">
        <v>166</v>
      </c>
    </row>
    <row r="2" spans="1:12" x14ac:dyDescent="0.15">
      <c r="A2" s="1" t="s">
        <v>37</v>
      </c>
      <c r="B2" s="36">
        <v>3</v>
      </c>
      <c r="C2" s="34"/>
      <c r="D2" t="s">
        <v>38</v>
      </c>
      <c r="E2">
        <v>1</v>
      </c>
      <c r="F2">
        <v>1</v>
      </c>
      <c r="G2">
        <v>1</v>
      </c>
      <c r="H2" t="s">
        <v>38</v>
      </c>
      <c r="J2" s="52"/>
      <c r="K2" s="53"/>
      <c r="L2" s="59" t="s">
        <v>167</v>
      </c>
    </row>
    <row r="3" spans="1:12" ht="14" thickBot="1" x14ac:dyDescent="0.2">
      <c r="A3" s="1" t="s">
        <v>39</v>
      </c>
      <c r="B3" s="37">
        <v>0</v>
      </c>
      <c r="C3" s="34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4"/>
      <c r="K3" s="55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4"/>
      <c r="K4" s="55"/>
    </row>
    <row r="5" spans="1:12" x14ac:dyDescent="0.15">
      <c r="D5" s="189" t="s">
        <v>192</v>
      </c>
      <c r="E5">
        <v>4</v>
      </c>
      <c r="F5">
        <v>3.13</v>
      </c>
      <c r="G5">
        <v>4</v>
      </c>
      <c r="H5" s="190" t="s">
        <v>192</v>
      </c>
      <c r="J5" s="54"/>
      <c r="K5" s="55"/>
    </row>
    <row r="6" spans="1:12" ht="14" thickBot="1" x14ac:dyDescent="0.2">
      <c r="A6" s="38" t="s">
        <v>121</v>
      </c>
      <c r="D6" s="189" t="s">
        <v>193</v>
      </c>
      <c r="E6">
        <v>5</v>
      </c>
      <c r="F6">
        <v>3.13</v>
      </c>
      <c r="G6">
        <v>5</v>
      </c>
      <c r="H6" s="190" t="s">
        <v>193</v>
      </c>
      <c r="J6" s="54"/>
      <c r="K6" s="55"/>
    </row>
    <row r="7" spans="1:12" x14ac:dyDescent="0.15">
      <c r="A7" s="33" t="s">
        <v>126</v>
      </c>
      <c r="B7" s="40">
        <v>1</v>
      </c>
      <c r="C7" s="35"/>
      <c r="D7" s="189" t="s">
        <v>194</v>
      </c>
      <c r="E7">
        <v>6</v>
      </c>
      <c r="F7">
        <v>3.13</v>
      </c>
      <c r="G7">
        <v>6</v>
      </c>
      <c r="H7" s="190" t="s">
        <v>194</v>
      </c>
      <c r="J7" s="54"/>
      <c r="K7" s="55"/>
    </row>
    <row r="8" spans="1:12" x14ac:dyDescent="0.15">
      <c r="A8" s="33" t="s">
        <v>38</v>
      </c>
      <c r="B8" s="41">
        <v>1</v>
      </c>
      <c r="C8" s="35"/>
      <c r="D8" s="189" t="s">
        <v>195</v>
      </c>
      <c r="E8">
        <v>7</v>
      </c>
      <c r="F8">
        <v>3.13</v>
      </c>
      <c r="G8">
        <v>7</v>
      </c>
      <c r="H8" s="190" t="s">
        <v>195</v>
      </c>
      <c r="J8" s="54"/>
      <c r="K8" s="55"/>
    </row>
    <row r="9" spans="1:12" x14ac:dyDescent="0.15">
      <c r="A9" s="33" t="s">
        <v>40</v>
      </c>
      <c r="B9" s="41">
        <v>1.1000000000000001</v>
      </c>
      <c r="C9" s="35"/>
      <c r="D9" s="189" t="s">
        <v>196</v>
      </c>
      <c r="E9">
        <v>8</v>
      </c>
      <c r="F9">
        <v>3.12</v>
      </c>
      <c r="G9">
        <v>8</v>
      </c>
      <c r="H9" s="190" t="s">
        <v>196</v>
      </c>
      <c r="J9" s="54"/>
      <c r="K9" s="55"/>
    </row>
    <row r="10" spans="1:12" x14ac:dyDescent="0.15">
      <c r="A10" s="33" t="s">
        <v>41</v>
      </c>
      <c r="B10" s="41">
        <v>1.2</v>
      </c>
      <c r="C10" s="35"/>
      <c r="D10" s="189" t="s">
        <v>197</v>
      </c>
      <c r="E10">
        <v>9</v>
      </c>
      <c r="F10">
        <v>3.12</v>
      </c>
      <c r="G10">
        <v>9</v>
      </c>
      <c r="H10" s="190" t="s">
        <v>197</v>
      </c>
      <c r="J10" s="54"/>
      <c r="K10" s="55"/>
    </row>
    <row r="11" spans="1:12" ht="12" customHeight="1" x14ac:dyDescent="0.15">
      <c r="A11" s="39" t="s">
        <v>127</v>
      </c>
      <c r="B11" s="41">
        <v>2</v>
      </c>
      <c r="C11" s="35"/>
      <c r="D11" s="189" t="s">
        <v>198</v>
      </c>
      <c r="E11">
        <v>10</v>
      </c>
      <c r="F11">
        <v>3.12</v>
      </c>
      <c r="G11">
        <v>10</v>
      </c>
      <c r="H11" s="190" t="s">
        <v>198</v>
      </c>
      <c r="J11" s="54"/>
      <c r="K11" s="55"/>
    </row>
    <row r="12" spans="1:12" x14ac:dyDescent="0.15">
      <c r="A12" s="33" t="s">
        <v>42</v>
      </c>
      <c r="B12" s="41">
        <v>2.1</v>
      </c>
      <c r="C12" s="35"/>
      <c r="D12" s="189" t="s">
        <v>199</v>
      </c>
      <c r="E12">
        <v>11</v>
      </c>
      <c r="F12">
        <v>3.12</v>
      </c>
      <c r="G12">
        <v>11</v>
      </c>
      <c r="H12" s="190" t="s">
        <v>199</v>
      </c>
      <c r="J12" s="54"/>
      <c r="K12" s="55"/>
    </row>
    <row r="13" spans="1:12" x14ac:dyDescent="0.15">
      <c r="A13" s="33" t="s">
        <v>43</v>
      </c>
      <c r="B13" s="41">
        <v>2.2000000000000002</v>
      </c>
      <c r="C13" s="35"/>
      <c r="D13" s="189" t="s">
        <v>200</v>
      </c>
      <c r="E13">
        <v>12</v>
      </c>
      <c r="F13">
        <v>3.12</v>
      </c>
      <c r="G13">
        <v>12</v>
      </c>
      <c r="H13" s="190" t="s">
        <v>200</v>
      </c>
      <c r="J13" s="54"/>
      <c r="K13" s="55"/>
    </row>
    <row r="14" spans="1:12" x14ac:dyDescent="0.15">
      <c r="A14" s="33" t="s">
        <v>67</v>
      </c>
      <c r="B14" s="41">
        <v>2.2999999999999998</v>
      </c>
      <c r="C14" s="35"/>
      <c r="D14" s="189" t="s">
        <v>201</v>
      </c>
      <c r="E14">
        <v>13</v>
      </c>
      <c r="F14">
        <v>3.12</v>
      </c>
      <c r="G14">
        <v>13</v>
      </c>
      <c r="H14" s="190" t="s">
        <v>201</v>
      </c>
      <c r="J14" s="54"/>
      <c r="K14" s="55"/>
    </row>
    <row r="15" spans="1:12" x14ac:dyDescent="0.15">
      <c r="A15" s="39" t="s">
        <v>128</v>
      </c>
      <c r="B15" s="41">
        <v>3</v>
      </c>
      <c r="C15" s="35"/>
      <c r="D15" s="189" t="s">
        <v>202</v>
      </c>
      <c r="E15">
        <v>14</v>
      </c>
      <c r="F15">
        <v>3.12</v>
      </c>
      <c r="G15">
        <v>14</v>
      </c>
      <c r="H15" s="190" t="s">
        <v>202</v>
      </c>
      <c r="J15" s="54"/>
      <c r="K15" s="55"/>
    </row>
    <row r="16" spans="1:12" x14ac:dyDescent="0.15">
      <c r="A16" s="33" t="s">
        <v>62</v>
      </c>
      <c r="B16" s="41">
        <v>3.11</v>
      </c>
      <c r="C16" s="35"/>
      <c r="D16" s="189" t="s">
        <v>203</v>
      </c>
      <c r="E16">
        <v>15</v>
      </c>
      <c r="F16">
        <v>3.12</v>
      </c>
      <c r="G16">
        <v>15</v>
      </c>
      <c r="H16" s="190" t="s">
        <v>203</v>
      </c>
      <c r="J16" s="54"/>
      <c r="K16" s="55"/>
    </row>
    <row r="17" spans="1:12" x14ac:dyDescent="0.15">
      <c r="A17" s="33" t="s">
        <v>61</v>
      </c>
      <c r="B17" s="41">
        <v>3.12</v>
      </c>
      <c r="C17" s="35"/>
      <c r="D17" s="189" t="s">
        <v>204</v>
      </c>
      <c r="E17">
        <v>16</v>
      </c>
      <c r="F17">
        <v>3</v>
      </c>
      <c r="G17">
        <v>16</v>
      </c>
      <c r="H17" s="190" t="s">
        <v>204</v>
      </c>
      <c r="J17" s="54"/>
      <c r="K17" s="55"/>
    </row>
    <row r="18" spans="1:12" x14ac:dyDescent="0.15">
      <c r="A18" s="33" t="s">
        <v>68</v>
      </c>
      <c r="B18" s="41">
        <v>3.13</v>
      </c>
      <c r="C18" s="35"/>
      <c r="D18" s="189" t="s">
        <v>205</v>
      </c>
      <c r="E18">
        <v>17</v>
      </c>
      <c r="F18">
        <v>3.12</v>
      </c>
      <c r="G18">
        <v>17</v>
      </c>
      <c r="H18" s="190" t="s">
        <v>205</v>
      </c>
      <c r="J18" s="54"/>
      <c r="K18" s="55"/>
    </row>
    <row r="19" spans="1:12" x14ac:dyDescent="0.15">
      <c r="A19" s="33" t="s">
        <v>66</v>
      </c>
      <c r="B19" s="41">
        <v>3.21</v>
      </c>
      <c r="C19" s="35"/>
      <c r="D19" s="189" t="s">
        <v>206</v>
      </c>
      <c r="E19">
        <v>18</v>
      </c>
      <c r="F19">
        <v>3.12</v>
      </c>
      <c r="G19">
        <v>18</v>
      </c>
      <c r="H19" s="190" t="s">
        <v>206</v>
      </c>
      <c r="J19" s="54"/>
      <c r="K19" s="55"/>
    </row>
    <row r="20" spans="1:12" x14ac:dyDescent="0.15">
      <c r="A20" s="33" t="s">
        <v>63</v>
      </c>
      <c r="B20" s="41">
        <v>3.22</v>
      </c>
      <c r="C20" s="35"/>
      <c r="D20" s="189" t="s">
        <v>207</v>
      </c>
      <c r="E20">
        <v>19</v>
      </c>
      <c r="F20">
        <v>3.12</v>
      </c>
      <c r="G20">
        <v>19</v>
      </c>
      <c r="H20" s="190" t="s">
        <v>207</v>
      </c>
      <c r="J20" s="54"/>
      <c r="K20" s="55"/>
    </row>
    <row r="21" spans="1:12" ht="14" thickBot="1" x14ac:dyDescent="0.2">
      <c r="A21" s="33" t="s">
        <v>69</v>
      </c>
      <c r="B21" s="41">
        <v>3.23</v>
      </c>
      <c r="C21" s="35"/>
      <c r="D21" s="189" t="s">
        <v>208</v>
      </c>
      <c r="E21">
        <v>20</v>
      </c>
      <c r="F21">
        <v>3.12</v>
      </c>
      <c r="G21">
        <v>20</v>
      </c>
      <c r="H21" s="190" t="s">
        <v>208</v>
      </c>
      <c r="J21" s="56"/>
      <c r="K21" s="57"/>
      <c r="L21" s="59" t="s">
        <v>152</v>
      </c>
    </row>
    <row r="22" spans="1:12" x14ac:dyDescent="0.15">
      <c r="A22" s="33" t="s">
        <v>64</v>
      </c>
      <c r="B22" s="41">
        <v>8</v>
      </c>
      <c r="C22" s="35"/>
      <c r="D22" s="189" t="s">
        <v>209</v>
      </c>
      <c r="E22">
        <v>21</v>
      </c>
      <c r="F22">
        <v>3.12</v>
      </c>
      <c r="G22">
        <v>21</v>
      </c>
      <c r="H22" s="190" t="s">
        <v>209</v>
      </c>
    </row>
    <row r="23" spans="1:12" x14ac:dyDescent="0.15">
      <c r="A23" s="33" t="s">
        <v>129</v>
      </c>
      <c r="B23" s="41">
        <v>4</v>
      </c>
      <c r="C23" s="35"/>
      <c r="D23" s="189" t="s">
        <v>210</v>
      </c>
      <c r="E23">
        <v>22</v>
      </c>
      <c r="F23">
        <v>3.12</v>
      </c>
      <c r="G23">
        <v>22</v>
      </c>
      <c r="H23" s="190" t="s">
        <v>210</v>
      </c>
    </row>
    <row r="24" spans="1:12" x14ac:dyDescent="0.15">
      <c r="A24" s="33" t="s">
        <v>122</v>
      </c>
      <c r="B24" s="41">
        <v>4.0999999999999996</v>
      </c>
      <c r="C24" s="35"/>
      <c r="D24" s="189" t="s">
        <v>211</v>
      </c>
      <c r="E24">
        <v>23</v>
      </c>
      <c r="F24">
        <v>3.12</v>
      </c>
      <c r="G24">
        <v>23</v>
      </c>
      <c r="H24" s="190" t="s">
        <v>211</v>
      </c>
    </row>
    <row r="25" spans="1:12" x14ac:dyDescent="0.15">
      <c r="A25" s="33" t="s">
        <v>70</v>
      </c>
      <c r="B25" s="41">
        <v>4.2</v>
      </c>
      <c r="C25" s="35"/>
      <c r="D25" s="189" t="s">
        <v>212</v>
      </c>
      <c r="E25">
        <v>24</v>
      </c>
      <c r="F25">
        <v>3.12</v>
      </c>
      <c r="G25">
        <v>24</v>
      </c>
      <c r="H25" s="190" t="s">
        <v>212</v>
      </c>
    </row>
    <row r="26" spans="1:12" x14ac:dyDescent="0.15">
      <c r="A26" s="33" t="s">
        <v>123</v>
      </c>
      <c r="B26" s="41">
        <v>4.3</v>
      </c>
      <c r="C26" s="35"/>
      <c r="D26" s="189" t="s">
        <v>213</v>
      </c>
      <c r="E26">
        <v>25</v>
      </c>
      <c r="F26">
        <v>3.2</v>
      </c>
      <c r="G26">
        <v>25</v>
      </c>
      <c r="H26" s="190" t="s">
        <v>213</v>
      </c>
    </row>
    <row r="27" spans="1:12" x14ac:dyDescent="0.15">
      <c r="A27" s="33" t="s">
        <v>125</v>
      </c>
      <c r="B27" s="41">
        <v>6.1</v>
      </c>
      <c r="D27" s="189" t="s">
        <v>214</v>
      </c>
      <c r="E27">
        <v>26</v>
      </c>
      <c r="F27">
        <v>3.2</v>
      </c>
      <c r="G27">
        <v>26</v>
      </c>
      <c r="H27" s="190" t="s">
        <v>214</v>
      </c>
    </row>
    <row r="28" spans="1:12" x14ac:dyDescent="0.15">
      <c r="A28" s="33" t="s">
        <v>124</v>
      </c>
      <c r="B28" s="41">
        <v>6.2</v>
      </c>
      <c r="D28" s="189" t="s">
        <v>215</v>
      </c>
      <c r="E28">
        <v>27</v>
      </c>
      <c r="F28">
        <v>3.2</v>
      </c>
      <c r="G28">
        <v>27</v>
      </c>
      <c r="H28" s="190" t="s">
        <v>215</v>
      </c>
    </row>
    <row r="29" spans="1:12" x14ac:dyDescent="0.15">
      <c r="A29" s="33" t="s">
        <v>44</v>
      </c>
      <c r="B29" s="41">
        <v>5</v>
      </c>
      <c r="D29" s="189" t="s">
        <v>216</v>
      </c>
      <c r="E29">
        <v>28</v>
      </c>
      <c r="F29">
        <v>3.2</v>
      </c>
      <c r="G29">
        <v>28</v>
      </c>
      <c r="H29" s="190" t="s">
        <v>216</v>
      </c>
    </row>
    <row r="30" spans="1:12" x14ac:dyDescent="0.15">
      <c r="A30" s="33" t="s">
        <v>73</v>
      </c>
      <c r="B30" s="41">
        <v>7</v>
      </c>
      <c r="D30" s="189" t="s">
        <v>217</v>
      </c>
      <c r="E30">
        <v>29</v>
      </c>
      <c r="F30">
        <v>3.12</v>
      </c>
      <c r="G30">
        <v>29</v>
      </c>
      <c r="H30" s="190" t="s">
        <v>217</v>
      </c>
    </row>
    <row r="31" spans="1:12" x14ac:dyDescent="0.15">
      <c r="A31" s="33" t="s">
        <v>169</v>
      </c>
      <c r="B31" s="41">
        <v>3.14</v>
      </c>
      <c r="D31" s="189" t="s">
        <v>218</v>
      </c>
      <c r="E31">
        <v>30</v>
      </c>
      <c r="F31">
        <v>3.12</v>
      </c>
      <c r="G31">
        <v>30</v>
      </c>
      <c r="H31" s="190" t="s">
        <v>218</v>
      </c>
    </row>
    <row r="32" spans="1:12" ht="12" customHeight="1" thickBot="1" x14ac:dyDescent="0.2">
      <c r="A32" s="39" t="s">
        <v>170</v>
      </c>
      <c r="B32" s="42">
        <v>9</v>
      </c>
      <c r="D32" s="189" t="s">
        <v>219</v>
      </c>
      <c r="E32">
        <v>31</v>
      </c>
      <c r="F32">
        <v>3.21</v>
      </c>
      <c r="G32">
        <v>31</v>
      </c>
      <c r="H32" s="190" t="s">
        <v>219</v>
      </c>
    </row>
    <row r="33" spans="4:8" customFormat="1" ht="12" customHeight="1" x14ac:dyDescent="0.15">
      <c r="D33" s="189" t="s">
        <v>220</v>
      </c>
      <c r="E33">
        <v>32</v>
      </c>
      <c r="F33">
        <v>3.21</v>
      </c>
      <c r="G33">
        <v>32</v>
      </c>
      <c r="H33" s="190" t="s">
        <v>220</v>
      </c>
    </row>
    <row r="34" spans="4:8" customFormat="1" ht="12" customHeight="1" x14ac:dyDescent="0.15">
      <c r="D34" s="189" t="s">
        <v>221</v>
      </c>
      <c r="E34">
        <v>33</v>
      </c>
      <c r="F34">
        <v>3.21</v>
      </c>
      <c r="G34">
        <v>33</v>
      </c>
      <c r="H34" s="190" t="s">
        <v>221</v>
      </c>
    </row>
    <row r="35" spans="4:8" customFormat="1" x14ac:dyDescent="0.15">
      <c r="D35" s="189" t="s">
        <v>222</v>
      </c>
      <c r="E35">
        <v>34</v>
      </c>
      <c r="F35">
        <v>3.2</v>
      </c>
      <c r="G35">
        <v>34</v>
      </c>
      <c r="H35" s="190" t="s">
        <v>222</v>
      </c>
    </row>
    <row r="36" spans="4:8" customFormat="1" x14ac:dyDescent="0.15">
      <c r="D36" s="189" t="s">
        <v>223</v>
      </c>
      <c r="E36">
        <v>35</v>
      </c>
      <c r="F36">
        <v>9</v>
      </c>
      <c r="G36">
        <v>35</v>
      </c>
      <c r="H36" s="190" t="s">
        <v>223</v>
      </c>
    </row>
    <row r="37" spans="4:8" customFormat="1" ht="12" customHeight="1" x14ac:dyDescent="0.15">
      <c r="D37" s="189" t="s">
        <v>224</v>
      </c>
      <c r="E37">
        <v>36</v>
      </c>
      <c r="F37">
        <v>3.11</v>
      </c>
      <c r="G37">
        <v>36</v>
      </c>
      <c r="H37" s="190" t="s">
        <v>224</v>
      </c>
    </row>
    <row r="38" spans="4:8" customFormat="1" x14ac:dyDescent="0.15">
      <c r="D38" s="189" t="s">
        <v>225</v>
      </c>
      <c r="E38">
        <v>37</v>
      </c>
      <c r="F38">
        <v>3.11</v>
      </c>
      <c r="G38">
        <v>37</v>
      </c>
      <c r="H38" s="190" t="s">
        <v>225</v>
      </c>
    </row>
    <row r="39" spans="4:8" customFormat="1" x14ac:dyDescent="0.15">
      <c r="D39" s="189" t="s">
        <v>226</v>
      </c>
      <c r="E39">
        <v>38</v>
      </c>
      <c r="F39">
        <v>3.11</v>
      </c>
      <c r="G39">
        <v>38</v>
      </c>
      <c r="H39" s="190" t="s">
        <v>226</v>
      </c>
    </row>
    <row r="40" spans="4:8" customFormat="1" x14ac:dyDescent="0.15">
      <c r="D40" s="189" t="s">
        <v>227</v>
      </c>
      <c r="E40">
        <v>39</v>
      </c>
      <c r="F40">
        <v>3.11</v>
      </c>
      <c r="G40">
        <v>39</v>
      </c>
      <c r="H40" s="190" t="s">
        <v>227</v>
      </c>
    </row>
    <row r="41" spans="4:8" customFormat="1" x14ac:dyDescent="0.15">
      <c r="D41" s="189" t="s">
        <v>228</v>
      </c>
      <c r="E41">
        <v>40</v>
      </c>
      <c r="F41">
        <v>2</v>
      </c>
      <c r="G41">
        <v>40</v>
      </c>
      <c r="H41" s="190" t="s">
        <v>228</v>
      </c>
    </row>
    <row r="42" spans="4:8" customFormat="1" x14ac:dyDescent="0.15">
      <c r="D42" s="189" t="s">
        <v>229</v>
      </c>
      <c r="E42">
        <v>41</v>
      </c>
      <c r="F42">
        <v>4.0999999999999996</v>
      </c>
      <c r="G42">
        <v>41</v>
      </c>
      <c r="H42" s="190" t="s">
        <v>229</v>
      </c>
    </row>
    <row r="43" spans="4:8" customFormat="1" x14ac:dyDescent="0.15">
      <c r="D43" s="189" t="s">
        <v>230</v>
      </c>
      <c r="E43">
        <v>42</v>
      </c>
      <c r="F43">
        <v>4.3</v>
      </c>
      <c r="G43">
        <v>42</v>
      </c>
      <c r="H43" s="190" t="s">
        <v>230</v>
      </c>
    </row>
    <row r="44" spans="4:8" customFormat="1" x14ac:dyDescent="0.15">
      <c r="D44" s="189" t="s">
        <v>231</v>
      </c>
      <c r="E44">
        <v>43</v>
      </c>
      <c r="F44">
        <v>5</v>
      </c>
      <c r="G44">
        <v>43</v>
      </c>
      <c r="H44" s="190" t="s">
        <v>231</v>
      </c>
    </row>
    <row r="45" spans="4:8" customFormat="1" x14ac:dyDescent="0.15">
      <c r="D45" s="189" t="s">
        <v>138</v>
      </c>
      <c r="E45">
        <v>44</v>
      </c>
      <c r="F45">
        <v>6.1</v>
      </c>
      <c r="G45">
        <v>44</v>
      </c>
      <c r="H45" s="190" t="s">
        <v>138</v>
      </c>
    </row>
    <row r="46" spans="4:8" customFormat="1" x14ac:dyDescent="0.15">
      <c r="D46" s="189" t="s">
        <v>45</v>
      </c>
      <c r="E46">
        <v>45</v>
      </c>
      <c r="F46">
        <v>6.2</v>
      </c>
      <c r="G46">
        <v>45</v>
      </c>
      <c r="H46" s="190" t="s">
        <v>45</v>
      </c>
    </row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9" bestFit="1" customWidth="1"/>
    <col min="2" max="2" width="5.83203125" style="78" customWidth="1"/>
    <col min="3" max="3" width="13.1640625" style="78" customWidth="1"/>
    <col min="4" max="4" width="39.6640625" style="78" customWidth="1"/>
    <col min="5" max="5" width="8.1640625" style="78" customWidth="1"/>
    <col min="6" max="6" width="21.6640625" style="78" bestFit="1" customWidth="1"/>
    <col min="7" max="9" width="2.33203125" style="78" customWidth="1"/>
    <col min="10" max="10" width="2.33203125" style="78" bestFit="1" customWidth="1"/>
    <col min="11" max="15" width="2.33203125" style="78" customWidth="1"/>
    <col min="16" max="16" width="2.33203125" style="68" customWidth="1"/>
    <col min="17" max="17" width="2.33203125" style="78" customWidth="1"/>
    <col min="18" max="18" width="2.33203125" style="69" customWidth="1"/>
    <col min="19" max="16384" width="11.5" style="78"/>
  </cols>
  <sheetData>
    <row r="1" spans="1:23" ht="15" customHeight="1" thickBot="1" x14ac:dyDescent="0.2">
      <c r="F1" s="1"/>
      <c r="G1" s="66" t="s">
        <v>46</v>
      </c>
      <c r="H1" s="66" t="s">
        <v>47</v>
      </c>
      <c r="I1" s="66" t="s">
        <v>120</v>
      </c>
      <c r="J1" s="66" t="s">
        <v>132</v>
      </c>
      <c r="K1" s="80" t="s">
        <v>48</v>
      </c>
      <c r="L1" s="69"/>
      <c r="M1" s="80" t="s">
        <v>119</v>
      </c>
      <c r="N1" s="69"/>
      <c r="O1" s="80" t="s">
        <v>49</v>
      </c>
      <c r="P1" s="71"/>
      <c r="Q1" s="80" t="s">
        <v>50</v>
      </c>
      <c r="R1" s="66" t="s">
        <v>154</v>
      </c>
    </row>
    <row r="2" spans="1:23" ht="15" customHeight="1" x14ac:dyDescent="0.15">
      <c r="A2" s="80" t="s">
        <v>51</v>
      </c>
      <c r="B2" s="81">
        <v>0.5</v>
      </c>
      <c r="C2" s="79" t="s">
        <v>52</v>
      </c>
      <c r="D2" s="82"/>
      <c r="F2" s="1"/>
      <c r="G2" s="83"/>
      <c r="H2" s="83"/>
      <c r="I2" s="83" t="s">
        <v>133</v>
      </c>
      <c r="J2" s="83" t="s">
        <v>133</v>
      </c>
      <c r="K2" s="83" t="s">
        <v>52</v>
      </c>
      <c r="L2" s="83" t="s">
        <v>53</v>
      </c>
      <c r="M2" s="83" t="s">
        <v>52</v>
      </c>
      <c r="N2" s="83" t="s">
        <v>53</v>
      </c>
      <c r="O2" s="83" t="s">
        <v>52</v>
      </c>
      <c r="P2" s="84" t="s">
        <v>53</v>
      </c>
      <c r="Q2" s="83"/>
      <c r="R2" s="85" t="s">
        <v>155</v>
      </c>
    </row>
    <row r="3" spans="1:23" ht="15" customHeight="1" thickBot="1" x14ac:dyDescent="0.2">
      <c r="A3" s="80" t="s">
        <v>54</v>
      </c>
      <c r="B3" s="86">
        <v>0.5</v>
      </c>
      <c r="C3" s="79" t="s">
        <v>53</v>
      </c>
      <c r="D3" s="82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1">
        <v>0</v>
      </c>
      <c r="R3" s="35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1">
        <v>0</v>
      </c>
      <c r="R4" s="103">
        <v>0</v>
      </c>
    </row>
    <row r="5" spans="1:23" ht="15" customHeight="1" x14ac:dyDescent="0.15">
      <c r="A5" s="80" t="s">
        <v>55</v>
      </c>
      <c r="B5" s="87">
        <v>0.5</v>
      </c>
      <c r="C5" s="79" t="s">
        <v>52</v>
      </c>
      <c r="D5" s="82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1">
        <v>0</v>
      </c>
      <c r="R5" s="103">
        <v>0</v>
      </c>
    </row>
    <row r="6" spans="1:23" ht="15" customHeight="1" thickBot="1" x14ac:dyDescent="0.2">
      <c r="A6" s="80"/>
      <c r="B6" s="88">
        <v>0.5</v>
      </c>
      <c r="C6" s="79" t="s">
        <v>53</v>
      </c>
      <c r="D6" s="82"/>
      <c r="F6" s="191" t="s">
        <v>192</v>
      </c>
      <c r="G6" s="78">
        <v>0</v>
      </c>
      <c r="H6" s="78">
        <v>0</v>
      </c>
      <c r="I6" s="78">
        <v>0</v>
      </c>
      <c r="J6" s="78">
        <v>0</v>
      </c>
      <c r="K6" s="78">
        <v>1</v>
      </c>
      <c r="L6" s="78">
        <v>0</v>
      </c>
      <c r="M6" s="78">
        <v>1</v>
      </c>
      <c r="N6" s="78">
        <v>0</v>
      </c>
      <c r="O6" s="78">
        <v>1</v>
      </c>
      <c r="P6" s="68">
        <v>0</v>
      </c>
      <c r="Q6" s="78">
        <v>0</v>
      </c>
      <c r="R6" s="69">
        <v>1</v>
      </c>
      <c r="S6"/>
      <c r="T6"/>
    </row>
    <row r="7" spans="1:23" ht="15" customHeight="1" thickBot="1" x14ac:dyDescent="0.2">
      <c r="F7" s="191" t="s">
        <v>193</v>
      </c>
      <c r="G7" s="78">
        <v>0</v>
      </c>
      <c r="H7" s="78">
        <v>0</v>
      </c>
      <c r="I7" s="78">
        <v>0</v>
      </c>
      <c r="J7" s="78">
        <v>0</v>
      </c>
      <c r="K7" s="78">
        <v>1</v>
      </c>
      <c r="L7" s="78">
        <v>0</v>
      </c>
      <c r="M7" s="78">
        <v>1</v>
      </c>
      <c r="N7" s="78">
        <v>0</v>
      </c>
      <c r="O7" s="78">
        <v>1</v>
      </c>
      <c r="P7" s="68">
        <v>0</v>
      </c>
      <c r="Q7" s="78">
        <v>0</v>
      </c>
      <c r="R7" s="69">
        <v>1</v>
      </c>
      <c r="S7"/>
      <c r="T7"/>
    </row>
    <row r="8" spans="1:23" ht="15" customHeight="1" x14ac:dyDescent="0.15">
      <c r="A8" s="80" t="s">
        <v>56</v>
      </c>
      <c r="B8" s="87">
        <v>1</v>
      </c>
      <c r="C8" s="192" t="s">
        <v>228</v>
      </c>
      <c r="D8" s="82" t="s">
        <v>160</v>
      </c>
      <c r="F8" s="191" t="s">
        <v>194</v>
      </c>
      <c r="G8" s="78">
        <v>0</v>
      </c>
      <c r="H8" s="78">
        <v>0</v>
      </c>
      <c r="I8" s="78">
        <v>0</v>
      </c>
      <c r="J8" s="78">
        <v>0</v>
      </c>
      <c r="K8" s="78">
        <v>1</v>
      </c>
      <c r="L8" s="78">
        <v>0</v>
      </c>
      <c r="M8" s="78">
        <v>1</v>
      </c>
      <c r="N8" s="78">
        <v>0</v>
      </c>
      <c r="O8" s="78">
        <v>1</v>
      </c>
      <c r="P8" s="68">
        <v>0</v>
      </c>
      <c r="Q8" s="78">
        <v>0</v>
      </c>
      <c r="R8" s="69">
        <v>1</v>
      </c>
      <c r="S8"/>
      <c r="T8"/>
      <c r="W8"/>
    </row>
    <row r="9" spans="1:23" ht="15" customHeight="1" x14ac:dyDescent="0.15">
      <c r="A9" s="117" t="s">
        <v>168</v>
      </c>
      <c r="B9" s="89"/>
      <c r="C9" s="77"/>
      <c r="D9" s="82" t="s">
        <v>160</v>
      </c>
      <c r="F9" s="191" t="s">
        <v>195</v>
      </c>
      <c r="G9" s="78">
        <v>0</v>
      </c>
      <c r="H9" s="78">
        <v>0</v>
      </c>
      <c r="I9" s="78">
        <v>0</v>
      </c>
      <c r="J9" s="78">
        <v>0</v>
      </c>
      <c r="K9" s="78">
        <v>1</v>
      </c>
      <c r="L9" s="78">
        <v>0</v>
      </c>
      <c r="M9" s="78">
        <v>1</v>
      </c>
      <c r="N9" s="78">
        <v>0</v>
      </c>
      <c r="O9" s="78">
        <v>1</v>
      </c>
      <c r="P9" s="68">
        <v>0</v>
      </c>
      <c r="Q9" s="78">
        <v>0</v>
      </c>
      <c r="R9" s="69">
        <v>1</v>
      </c>
      <c r="S9"/>
      <c r="T9"/>
      <c r="W9"/>
    </row>
    <row r="10" spans="1:23" ht="15" customHeight="1" x14ac:dyDescent="0.15">
      <c r="B10" s="89"/>
      <c r="C10" s="77"/>
      <c r="D10" s="82" t="s">
        <v>160</v>
      </c>
      <c r="F10" s="191" t="s">
        <v>196</v>
      </c>
      <c r="G10" s="78">
        <v>0</v>
      </c>
      <c r="H10" s="78">
        <v>0</v>
      </c>
      <c r="I10" s="78">
        <v>0</v>
      </c>
      <c r="J10" s="78">
        <v>0</v>
      </c>
      <c r="K10" s="78">
        <v>1</v>
      </c>
      <c r="L10" s="78">
        <v>0</v>
      </c>
      <c r="M10" s="78">
        <v>1</v>
      </c>
      <c r="N10" s="78">
        <v>0</v>
      </c>
      <c r="O10" s="78">
        <v>1</v>
      </c>
      <c r="P10" s="68">
        <v>0</v>
      </c>
      <c r="Q10" s="78">
        <v>0</v>
      </c>
      <c r="R10" s="69">
        <v>1</v>
      </c>
      <c r="S10"/>
      <c r="T10"/>
      <c r="W10"/>
    </row>
    <row r="11" spans="1:23" ht="15" customHeight="1" x14ac:dyDescent="0.15">
      <c r="A11" s="80"/>
      <c r="B11" s="89"/>
      <c r="C11" s="92"/>
      <c r="D11" s="82" t="s">
        <v>160</v>
      </c>
      <c r="F11" s="191" t="s">
        <v>197</v>
      </c>
      <c r="G11" s="78">
        <v>0</v>
      </c>
      <c r="H11" s="78">
        <v>0</v>
      </c>
      <c r="I11" s="78">
        <v>0</v>
      </c>
      <c r="J11" s="78">
        <v>0</v>
      </c>
      <c r="K11" s="78">
        <v>1</v>
      </c>
      <c r="L11" s="78">
        <v>0</v>
      </c>
      <c r="M11" s="78">
        <v>1</v>
      </c>
      <c r="N11" s="78">
        <v>0</v>
      </c>
      <c r="O11" s="78">
        <v>1</v>
      </c>
      <c r="P11" s="68">
        <v>0</v>
      </c>
      <c r="Q11" s="78">
        <v>0</v>
      </c>
      <c r="R11" s="69">
        <v>1</v>
      </c>
      <c r="S11"/>
      <c r="T11"/>
      <c r="W11"/>
    </row>
    <row r="12" spans="1:23" ht="15" customHeight="1" x14ac:dyDescent="0.15">
      <c r="B12" s="89"/>
      <c r="C12" s="93"/>
      <c r="D12" s="82" t="s">
        <v>160</v>
      </c>
      <c r="F12" s="191" t="s">
        <v>198</v>
      </c>
      <c r="G12" s="78">
        <v>0</v>
      </c>
      <c r="H12" s="78">
        <v>0</v>
      </c>
      <c r="I12" s="78">
        <v>0</v>
      </c>
      <c r="J12" s="78">
        <v>0</v>
      </c>
      <c r="K12" s="78">
        <v>1</v>
      </c>
      <c r="L12" s="78">
        <v>0</v>
      </c>
      <c r="M12" s="78">
        <v>1</v>
      </c>
      <c r="N12" s="78">
        <v>0</v>
      </c>
      <c r="O12" s="78">
        <v>1</v>
      </c>
      <c r="P12" s="68">
        <v>0</v>
      </c>
      <c r="Q12" s="78">
        <v>0</v>
      </c>
      <c r="R12" s="69">
        <v>1</v>
      </c>
      <c r="S12"/>
      <c r="T12"/>
      <c r="W12"/>
    </row>
    <row r="13" spans="1:23" ht="15" customHeight="1" x14ac:dyDescent="0.15">
      <c r="B13" s="89"/>
      <c r="C13" s="93"/>
      <c r="D13" s="82" t="s">
        <v>160</v>
      </c>
      <c r="F13" s="191" t="s">
        <v>199</v>
      </c>
      <c r="G13" s="78">
        <v>0</v>
      </c>
      <c r="H13" s="78">
        <v>0</v>
      </c>
      <c r="I13" s="78">
        <v>0</v>
      </c>
      <c r="J13" s="78">
        <v>0</v>
      </c>
      <c r="K13" s="78">
        <v>1</v>
      </c>
      <c r="L13" s="78">
        <v>0</v>
      </c>
      <c r="M13" s="78">
        <v>1</v>
      </c>
      <c r="N13" s="78">
        <v>0</v>
      </c>
      <c r="O13" s="78">
        <v>1</v>
      </c>
      <c r="P13" s="68">
        <v>0</v>
      </c>
      <c r="Q13" s="78">
        <v>0</v>
      </c>
      <c r="R13" s="69">
        <v>1</v>
      </c>
      <c r="S13"/>
      <c r="T13"/>
      <c r="W13"/>
    </row>
    <row r="14" spans="1:23" ht="15" customHeight="1" x14ac:dyDescent="0.15">
      <c r="B14" s="89"/>
      <c r="C14" s="77"/>
      <c r="D14" s="82" t="s">
        <v>160</v>
      </c>
      <c r="F14" s="191" t="s">
        <v>200</v>
      </c>
      <c r="G14" s="78">
        <v>0</v>
      </c>
      <c r="H14" s="78">
        <v>0</v>
      </c>
      <c r="I14" s="78">
        <v>0</v>
      </c>
      <c r="J14" s="78">
        <v>0</v>
      </c>
      <c r="K14" s="78">
        <v>1</v>
      </c>
      <c r="L14" s="78">
        <v>0</v>
      </c>
      <c r="M14" s="78">
        <v>1</v>
      </c>
      <c r="N14" s="78">
        <v>0</v>
      </c>
      <c r="O14" s="78">
        <v>1</v>
      </c>
      <c r="P14" s="68">
        <v>0</v>
      </c>
      <c r="Q14" s="78">
        <v>0</v>
      </c>
      <c r="R14" s="69">
        <v>1</v>
      </c>
      <c r="S14"/>
      <c r="T14"/>
      <c r="W14"/>
    </row>
    <row r="15" spans="1:23" ht="15" customHeight="1" x14ac:dyDescent="0.15">
      <c r="B15" s="89"/>
      <c r="C15" s="77"/>
      <c r="D15" s="82" t="s">
        <v>160</v>
      </c>
      <c r="F15" s="191" t="s">
        <v>201</v>
      </c>
      <c r="G15" s="78">
        <v>0</v>
      </c>
      <c r="H15" s="78">
        <v>0</v>
      </c>
      <c r="I15" s="78">
        <v>0</v>
      </c>
      <c r="J15" s="78">
        <v>0</v>
      </c>
      <c r="K15" s="78">
        <v>1</v>
      </c>
      <c r="L15" s="78">
        <v>0</v>
      </c>
      <c r="M15" s="78">
        <v>1</v>
      </c>
      <c r="N15" s="78">
        <v>0</v>
      </c>
      <c r="O15" s="78">
        <v>1</v>
      </c>
      <c r="P15" s="68">
        <v>0</v>
      </c>
      <c r="Q15" s="78">
        <v>0</v>
      </c>
      <c r="R15" s="69">
        <v>1</v>
      </c>
      <c r="S15"/>
      <c r="T15"/>
      <c r="W15"/>
    </row>
    <row r="16" spans="1:23" ht="15" customHeight="1" x14ac:dyDescent="0.15">
      <c r="B16" s="89"/>
      <c r="C16" s="77"/>
      <c r="D16" s="82" t="s">
        <v>160</v>
      </c>
      <c r="F16" s="191" t="s">
        <v>202</v>
      </c>
      <c r="G16" s="78">
        <v>0</v>
      </c>
      <c r="H16" s="78">
        <v>0</v>
      </c>
      <c r="I16" s="78">
        <v>0</v>
      </c>
      <c r="J16" s="78">
        <v>0</v>
      </c>
      <c r="K16" s="78">
        <v>1</v>
      </c>
      <c r="L16" s="78">
        <v>0</v>
      </c>
      <c r="M16" s="78">
        <v>1</v>
      </c>
      <c r="N16" s="78">
        <v>0</v>
      </c>
      <c r="O16" s="78">
        <v>1</v>
      </c>
      <c r="P16" s="68">
        <v>0</v>
      </c>
      <c r="Q16" s="78">
        <v>0</v>
      </c>
      <c r="R16" s="69">
        <v>1</v>
      </c>
      <c r="S16"/>
      <c r="T16"/>
    </row>
    <row r="17" spans="1:20" ht="15" customHeight="1" thickBot="1" x14ac:dyDescent="0.2">
      <c r="B17" s="88"/>
      <c r="C17" s="77"/>
      <c r="D17" s="82" t="s">
        <v>160</v>
      </c>
      <c r="F17" s="191" t="s">
        <v>203</v>
      </c>
      <c r="G17" s="78">
        <v>0</v>
      </c>
      <c r="H17" s="78">
        <v>0</v>
      </c>
      <c r="I17" s="78">
        <v>0</v>
      </c>
      <c r="J17" s="78">
        <v>0</v>
      </c>
      <c r="K17" s="78">
        <v>1</v>
      </c>
      <c r="L17" s="78">
        <v>0</v>
      </c>
      <c r="M17" s="78">
        <v>1</v>
      </c>
      <c r="N17" s="78">
        <v>0</v>
      </c>
      <c r="O17" s="78">
        <v>1</v>
      </c>
      <c r="P17" s="68">
        <v>0</v>
      </c>
      <c r="Q17" s="78">
        <v>0</v>
      </c>
      <c r="R17" s="69">
        <v>1</v>
      </c>
      <c r="S17"/>
      <c r="T17"/>
    </row>
    <row r="18" spans="1:20" ht="15" customHeight="1" thickBot="1" x14ac:dyDescent="0.2">
      <c r="B18" s="90"/>
      <c r="F18" s="191" t="s">
        <v>204</v>
      </c>
      <c r="G18" s="78">
        <v>0</v>
      </c>
      <c r="H18" s="78">
        <v>0</v>
      </c>
      <c r="I18" s="78">
        <v>0</v>
      </c>
      <c r="J18" s="78">
        <v>0</v>
      </c>
      <c r="K18" s="78">
        <v>1</v>
      </c>
      <c r="L18" s="78">
        <v>0</v>
      </c>
      <c r="M18" s="78">
        <v>1</v>
      </c>
      <c r="N18" s="78">
        <v>0</v>
      </c>
      <c r="O18" s="78">
        <v>1</v>
      </c>
      <c r="P18" s="68">
        <v>0</v>
      </c>
      <c r="Q18" s="78">
        <v>0</v>
      </c>
      <c r="R18" s="69">
        <v>1</v>
      </c>
      <c r="S18"/>
      <c r="T18"/>
    </row>
    <row r="19" spans="1:20" ht="15" customHeight="1" x14ac:dyDescent="0.15">
      <c r="A19" s="80" t="s">
        <v>57</v>
      </c>
      <c r="B19" s="87">
        <v>1</v>
      </c>
      <c r="C19" s="193" t="s">
        <v>228</v>
      </c>
      <c r="D19" s="82" t="s">
        <v>160</v>
      </c>
      <c r="F19" s="191" t="s">
        <v>205</v>
      </c>
      <c r="G19" s="78">
        <v>0</v>
      </c>
      <c r="H19" s="78">
        <v>0</v>
      </c>
      <c r="I19" s="78">
        <v>0</v>
      </c>
      <c r="J19" s="78">
        <v>0</v>
      </c>
      <c r="K19" s="78">
        <v>1</v>
      </c>
      <c r="L19" s="78">
        <v>0</v>
      </c>
      <c r="M19" s="78">
        <v>1</v>
      </c>
      <c r="N19" s="78">
        <v>0</v>
      </c>
      <c r="O19" s="78">
        <v>1</v>
      </c>
      <c r="P19" s="68">
        <v>0</v>
      </c>
      <c r="Q19" s="78">
        <v>0</v>
      </c>
      <c r="R19" s="69">
        <v>1</v>
      </c>
      <c r="S19"/>
      <c r="T19"/>
    </row>
    <row r="20" spans="1:20" ht="15" customHeight="1" x14ac:dyDescent="0.15">
      <c r="A20" s="117" t="s">
        <v>168</v>
      </c>
      <c r="B20" s="89"/>
      <c r="C20" s="77"/>
      <c r="D20" s="82" t="s">
        <v>160</v>
      </c>
      <c r="F20" s="191" t="s">
        <v>206</v>
      </c>
      <c r="G20" s="78">
        <v>0</v>
      </c>
      <c r="H20" s="78">
        <v>0</v>
      </c>
      <c r="I20" s="78">
        <v>0</v>
      </c>
      <c r="J20" s="78">
        <v>0</v>
      </c>
      <c r="K20" s="78">
        <v>1</v>
      </c>
      <c r="L20" s="78">
        <v>0</v>
      </c>
      <c r="M20" s="78">
        <v>1</v>
      </c>
      <c r="N20" s="78">
        <v>0</v>
      </c>
      <c r="O20" s="78">
        <v>1</v>
      </c>
      <c r="P20" s="68">
        <v>0</v>
      </c>
      <c r="Q20" s="78">
        <v>0</v>
      </c>
      <c r="R20" s="69">
        <v>1</v>
      </c>
      <c r="S20"/>
      <c r="T20"/>
    </row>
    <row r="21" spans="1:20" ht="15" customHeight="1" x14ac:dyDescent="0.15">
      <c r="B21" s="89"/>
      <c r="C21" s="77"/>
      <c r="D21" s="82" t="s">
        <v>160</v>
      </c>
      <c r="F21" s="191" t="s">
        <v>207</v>
      </c>
      <c r="G21" s="78">
        <v>0</v>
      </c>
      <c r="H21" s="78">
        <v>0</v>
      </c>
      <c r="I21" s="78">
        <v>0</v>
      </c>
      <c r="J21" s="78">
        <v>0</v>
      </c>
      <c r="K21" s="78">
        <v>1</v>
      </c>
      <c r="L21" s="78">
        <v>0</v>
      </c>
      <c r="M21" s="78">
        <v>1</v>
      </c>
      <c r="N21" s="78">
        <v>0</v>
      </c>
      <c r="O21" s="78">
        <v>1</v>
      </c>
      <c r="P21" s="68">
        <v>0</v>
      </c>
      <c r="Q21" s="78">
        <v>0</v>
      </c>
      <c r="R21" s="69">
        <v>1</v>
      </c>
      <c r="S21"/>
      <c r="T21"/>
    </row>
    <row r="22" spans="1:20" ht="15" customHeight="1" x14ac:dyDescent="0.15">
      <c r="A22" s="78"/>
      <c r="B22" s="89"/>
      <c r="C22" s="92"/>
      <c r="D22" s="82" t="s">
        <v>160</v>
      </c>
      <c r="F22" s="191" t="s">
        <v>208</v>
      </c>
      <c r="G22" s="78">
        <v>0</v>
      </c>
      <c r="H22" s="78">
        <v>0</v>
      </c>
      <c r="I22" s="78">
        <v>0</v>
      </c>
      <c r="J22" s="78">
        <v>0</v>
      </c>
      <c r="K22" s="78">
        <v>1</v>
      </c>
      <c r="L22" s="78">
        <v>0</v>
      </c>
      <c r="M22" s="78">
        <v>1</v>
      </c>
      <c r="N22" s="78">
        <v>0</v>
      </c>
      <c r="O22" s="78">
        <v>1</v>
      </c>
      <c r="P22" s="68">
        <v>0</v>
      </c>
      <c r="Q22" s="78">
        <v>0</v>
      </c>
      <c r="R22" s="69">
        <v>1</v>
      </c>
      <c r="S22"/>
      <c r="T22"/>
    </row>
    <row r="23" spans="1:20" ht="15" customHeight="1" x14ac:dyDescent="0.15">
      <c r="A23" s="78"/>
      <c r="B23" s="89"/>
      <c r="C23" s="93"/>
      <c r="D23" s="82" t="s">
        <v>160</v>
      </c>
      <c r="F23" s="191" t="s">
        <v>209</v>
      </c>
      <c r="G23" s="78">
        <v>0</v>
      </c>
      <c r="H23" s="78">
        <v>0</v>
      </c>
      <c r="I23" s="78">
        <v>0</v>
      </c>
      <c r="J23" s="78">
        <v>0</v>
      </c>
      <c r="K23" s="78">
        <v>1</v>
      </c>
      <c r="L23" s="78">
        <v>0</v>
      </c>
      <c r="M23" s="78">
        <v>1</v>
      </c>
      <c r="N23" s="78">
        <v>0</v>
      </c>
      <c r="O23" s="78">
        <v>1</v>
      </c>
      <c r="P23" s="68">
        <v>0</v>
      </c>
      <c r="Q23" s="78">
        <v>0</v>
      </c>
      <c r="R23" s="69">
        <v>1</v>
      </c>
      <c r="S23"/>
      <c r="T23"/>
    </row>
    <row r="24" spans="1:20" ht="15" customHeight="1" x14ac:dyDescent="0.15">
      <c r="A24" s="78"/>
      <c r="B24" s="89"/>
      <c r="C24" s="93"/>
      <c r="D24" s="82" t="s">
        <v>160</v>
      </c>
      <c r="F24" s="191" t="s">
        <v>210</v>
      </c>
      <c r="G24" s="78">
        <v>0</v>
      </c>
      <c r="H24" s="78">
        <v>0</v>
      </c>
      <c r="I24" s="78">
        <v>0</v>
      </c>
      <c r="J24" s="78">
        <v>0</v>
      </c>
      <c r="K24" s="78">
        <v>1</v>
      </c>
      <c r="L24" s="78">
        <v>0</v>
      </c>
      <c r="M24" s="78">
        <v>1</v>
      </c>
      <c r="N24" s="78">
        <v>0</v>
      </c>
      <c r="O24" s="78">
        <v>1</v>
      </c>
      <c r="P24" s="68">
        <v>0</v>
      </c>
      <c r="Q24" s="78">
        <v>0</v>
      </c>
      <c r="R24" s="69">
        <v>1</v>
      </c>
      <c r="S24"/>
      <c r="T24"/>
    </row>
    <row r="25" spans="1:20" ht="15" customHeight="1" x14ac:dyDescent="0.15">
      <c r="A25" s="78"/>
      <c r="B25" s="89"/>
      <c r="C25" s="77"/>
      <c r="D25" s="82" t="s">
        <v>160</v>
      </c>
      <c r="F25" s="191" t="s">
        <v>211</v>
      </c>
      <c r="G25" s="78">
        <v>0</v>
      </c>
      <c r="H25" s="78">
        <v>0</v>
      </c>
      <c r="I25" s="78">
        <v>0</v>
      </c>
      <c r="J25" s="78">
        <v>0</v>
      </c>
      <c r="K25" s="78">
        <v>1</v>
      </c>
      <c r="L25" s="78">
        <v>0</v>
      </c>
      <c r="M25" s="78">
        <v>1</v>
      </c>
      <c r="N25" s="78">
        <v>0</v>
      </c>
      <c r="O25" s="78">
        <v>1</v>
      </c>
      <c r="P25" s="68">
        <v>0</v>
      </c>
      <c r="Q25" s="78">
        <v>0</v>
      </c>
      <c r="R25" s="69">
        <v>1</v>
      </c>
      <c r="S25"/>
      <c r="T25"/>
    </row>
    <row r="26" spans="1:20" ht="15" customHeight="1" x14ac:dyDescent="0.15">
      <c r="B26" s="89"/>
      <c r="C26" s="77"/>
      <c r="D26" s="82" t="s">
        <v>160</v>
      </c>
      <c r="F26" s="191" t="s">
        <v>212</v>
      </c>
      <c r="G26" s="78">
        <v>0</v>
      </c>
      <c r="H26" s="78">
        <v>0</v>
      </c>
      <c r="I26" s="78">
        <v>0</v>
      </c>
      <c r="J26" s="78">
        <v>0</v>
      </c>
      <c r="K26" s="78">
        <v>1</v>
      </c>
      <c r="L26" s="78">
        <v>0</v>
      </c>
      <c r="M26" s="78">
        <v>1</v>
      </c>
      <c r="N26" s="78">
        <v>0</v>
      </c>
      <c r="O26" s="78">
        <v>1</v>
      </c>
      <c r="P26" s="68">
        <v>0</v>
      </c>
      <c r="Q26" s="78">
        <v>0</v>
      </c>
      <c r="R26" s="69">
        <v>1</v>
      </c>
      <c r="S26"/>
      <c r="T26"/>
    </row>
    <row r="27" spans="1:20" ht="15" customHeight="1" x14ac:dyDescent="0.15">
      <c r="B27" s="89"/>
      <c r="C27" s="77"/>
      <c r="D27" s="82" t="s">
        <v>160</v>
      </c>
      <c r="F27" s="191" t="s">
        <v>213</v>
      </c>
      <c r="G27" s="78">
        <v>0</v>
      </c>
      <c r="H27" s="78">
        <v>0</v>
      </c>
      <c r="I27" s="78">
        <v>0</v>
      </c>
      <c r="J27" s="78">
        <v>0</v>
      </c>
      <c r="K27" s="78">
        <v>1</v>
      </c>
      <c r="L27" s="78">
        <v>0</v>
      </c>
      <c r="M27" s="78">
        <v>1</v>
      </c>
      <c r="N27" s="78">
        <v>0</v>
      </c>
      <c r="O27" s="78">
        <v>1</v>
      </c>
      <c r="P27" s="68">
        <v>0</v>
      </c>
      <c r="Q27" s="78">
        <v>0</v>
      </c>
      <c r="R27" s="69">
        <v>1</v>
      </c>
      <c r="S27"/>
      <c r="T27"/>
    </row>
    <row r="28" spans="1:20" ht="15" customHeight="1" thickBot="1" x14ac:dyDescent="0.2">
      <c r="B28" s="88"/>
      <c r="C28" s="77"/>
      <c r="D28" s="82" t="s">
        <v>160</v>
      </c>
      <c r="F28" s="191" t="s">
        <v>214</v>
      </c>
      <c r="G28" s="78">
        <v>0</v>
      </c>
      <c r="H28" s="78">
        <v>0</v>
      </c>
      <c r="I28" s="78">
        <v>0</v>
      </c>
      <c r="J28" s="78">
        <v>0</v>
      </c>
      <c r="K28" s="78">
        <v>1</v>
      </c>
      <c r="L28" s="78">
        <v>0</v>
      </c>
      <c r="M28" s="78">
        <v>1</v>
      </c>
      <c r="N28" s="78">
        <v>0</v>
      </c>
      <c r="O28" s="78">
        <v>1</v>
      </c>
      <c r="P28" s="68">
        <v>0</v>
      </c>
      <c r="Q28" s="78">
        <v>0</v>
      </c>
      <c r="R28" s="69">
        <v>1</v>
      </c>
      <c r="S28"/>
      <c r="T28"/>
    </row>
    <row r="29" spans="1:20" ht="15" customHeight="1" x14ac:dyDescent="0.15">
      <c r="F29" s="191" t="s">
        <v>215</v>
      </c>
      <c r="G29" s="78">
        <v>0</v>
      </c>
      <c r="H29" s="78">
        <v>0</v>
      </c>
      <c r="I29" s="78">
        <v>0</v>
      </c>
      <c r="J29" s="78">
        <v>0</v>
      </c>
      <c r="K29" s="78">
        <v>1</v>
      </c>
      <c r="L29" s="78">
        <v>0</v>
      </c>
      <c r="M29" s="78">
        <v>1</v>
      </c>
      <c r="N29" s="78">
        <v>0</v>
      </c>
      <c r="O29" s="78">
        <v>1</v>
      </c>
      <c r="P29" s="68">
        <v>0</v>
      </c>
      <c r="Q29" s="78">
        <v>0</v>
      </c>
      <c r="R29" s="69">
        <v>1</v>
      </c>
      <c r="S29"/>
      <c r="T29"/>
    </row>
    <row r="30" spans="1:20" ht="15" customHeight="1" x14ac:dyDescent="0.15">
      <c r="F30" s="191" t="s">
        <v>216</v>
      </c>
      <c r="G30" s="78">
        <v>0</v>
      </c>
      <c r="H30" s="78">
        <v>0</v>
      </c>
      <c r="I30" s="78">
        <v>0</v>
      </c>
      <c r="J30" s="78">
        <v>0</v>
      </c>
      <c r="K30" s="78">
        <v>1</v>
      </c>
      <c r="L30" s="78">
        <v>0</v>
      </c>
      <c r="M30" s="78">
        <v>1</v>
      </c>
      <c r="N30" s="78">
        <v>0</v>
      </c>
      <c r="O30" s="78">
        <v>1</v>
      </c>
      <c r="P30" s="68">
        <v>0</v>
      </c>
      <c r="Q30" s="78">
        <v>0</v>
      </c>
      <c r="R30" s="69">
        <v>1</v>
      </c>
      <c r="S30"/>
      <c r="T30"/>
    </row>
    <row r="31" spans="1:20" ht="15" customHeight="1" x14ac:dyDescent="0.15">
      <c r="A31" s="118"/>
      <c r="B31" s="129" t="s">
        <v>17</v>
      </c>
      <c r="C31" s="129" t="s">
        <v>1</v>
      </c>
      <c r="D31" s="129" t="s">
        <v>161</v>
      </c>
      <c r="E31" s="130" t="s">
        <v>163</v>
      </c>
      <c r="F31" s="191" t="s">
        <v>217</v>
      </c>
      <c r="G31" s="78">
        <v>0</v>
      </c>
      <c r="H31" s="78">
        <v>0</v>
      </c>
      <c r="I31" s="78">
        <v>0</v>
      </c>
      <c r="J31" s="78">
        <v>0</v>
      </c>
      <c r="K31" s="78">
        <v>1</v>
      </c>
      <c r="L31" s="78">
        <v>0</v>
      </c>
      <c r="M31" s="78">
        <v>1</v>
      </c>
      <c r="N31" s="78">
        <v>0</v>
      </c>
      <c r="O31" s="78">
        <v>1</v>
      </c>
      <c r="P31" s="68">
        <v>0</v>
      </c>
      <c r="Q31" s="78">
        <v>0</v>
      </c>
      <c r="R31" s="69">
        <v>1</v>
      </c>
      <c r="S31"/>
      <c r="T31"/>
    </row>
    <row r="32" spans="1:20" ht="15" customHeight="1" x14ac:dyDescent="0.15">
      <c r="A32" s="194" t="s">
        <v>228</v>
      </c>
      <c r="B32" s="90">
        <v>20.25</v>
      </c>
      <c r="C32" s="90">
        <v>146.382462</v>
      </c>
      <c r="D32" s="90">
        <v>2964.2448555000001</v>
      </c>
      <c r="E32" s="120">
        <v>1</v>
      </c>
      <c r="F32" s="191" t="s">
        <v>218</v>
      </c>
      <c r="G32" s="78">
        <v>0</v>
      </c>
      <c r="H32" s="78">
        <v>0</v>
      </c>
      <c r="I32" s="78">
        <v>0</v>
      </c>
      <c r="J32" s="78">
        <v>0</v>
      </c>
      <c r="K32" s="78">
        <v>1</v>
      </c>
      <c r="L32" s="78">
        <v>0</v>
      </c>
      <c r="M32" s="78">
        <v>1</v>
      </c>
      <c r="N32" s="78">
        <v>0</v>
      </c>
      <c r="O32" s="78">
        <v>1</v>
      </c>
      <c r="P32" s="68">
        <v>0</v>
      </c>
      <c r="Q32" s="78">
        <v>0</v>
      </c>
      <c r="R32" s="69">
        <v>1</v>
      </c>
      <c r="S32"/>
      <c r="T32"/>
    </row>
    <row r="33" spans="1:20" ht="15" customHeight="1" x14ac:dyDescent="0.15">
      <c r="A33" s="119"/>
      <c r="B33" s="90"/>
      <c r="C33" s="90"/>
      <c r="D33" s="90"/>
      <c r="E33" s="120"/>
      <c r="F33" s="191" t="s">
        <v>219</v>
      </c>
      <c r="G33" s="78">
        <v>0</v>
      </c>
      <c r="H33" s="78">
        <v>0</v>
      </c>
      <c r="I33" s="78">
        <v>0</v>
      </c>
      <c r="J33" s="78">
        <v>0</v>
      </c>
      <c r="K33" s="78">
        <v>1</v>
      </c>
      <c r="L33" s="78">
        <v>0</v>
      </c>
      <c r="M33" s="78">
        <v>1</v>
      </c>
      <c r="N33" s="78">
        <v>0</v>
      </c>
      <c r="O33" s="78">
        <v>1</v>
      </c>
      <c r="P33" s="68">
        <v>0</v>
      </c>
      <c r="Q33" s="78">
        <v>0</v>
      </c>
      <c r="R33" s="69">
        <v>1</v>
      </c>
      <c r="S33"/>
      <c r="T33"/>
    </row>
    <row r="34" spans="1:20" ht="15" customHeight="1" x14ac:dyDescent="0.15">
      <c r="A34" s="121"/>
      <c r="B34" s="90"/>
      <c r="C34" s="90"/>
      <c r="D34" s="90"/>
      <c r="E34" s="120"/>
      <c r="F34" s="191" t="s">
        <v>220</v>
      </c>
      <c r="G34" s="78">
        <v>0</v>
      </c>
      <c r="H34" s="78">
        <v>0</v>
      </c>
      <c r="I34" s="78">
        <v>0</v>
      </c>
      <c r="J34" s="78">
        <v>0</v>
      </c>
      <c r="K34" s="78">
        <v>1</v>
      </c>
      <c r="L34" s="78">
        <v>0</v>
      </c>
      <c r="M34" s="78">
        <v>1</v>
      </c>
      <c r="N34" s="78">
        <v>0</v>
      </c>
      <c r="O34" s="78">
        <v>1</v>
      </c>
      <c r="P34" s="68">
        <v>0</v>
      </c>
      <c r="Q34" s="78">
        <v>0</v>
      </c>
      <c r="R34" s="69">
        <v>1</v>
      </c>
      <c r="S34"/>
      <c r="T34"/>
    </row>
    <row r="35" spans="1:20" ht="15" customHeight="1" x14ac:dyDescent="0.15">
      <c r="A35" s="122"/>
      <c r="B35" s="90"/>
      <c r="C35" s="90"/>
      <c r="D35" s="90"/>
      <c r="E35" s="120"/>
      <c r="F35" s="191" t="s">
        <v>221</v>
      </c>
      <c r="G35" s="78">
        <v>0</v>
      </c>
      <c r="H35" s="78">
        <v>0</v>
      </c>
      <c r="I35" s="78">
        <v>0</v>
      </c>
      <c r="J35" s="78">
        <v>0</v>
      </c>
      <c r="K35" s="78">
        <v>1</v>
      </c>
      <c r="L35" s="78">
        <v>0</v>
      </c>
      <c r="M35" s="78">
        <v>1</v>
      </c>
      <c r="N35" s="78">
        <v>0</v>
      </c>
      <c r="O35" s="78">
        <v>1</v>
      </c>
      <c r="P35" s="68">
        <v>0</v>
      </c>
      <c r="Q35" s="78">
        <v>0</v>
      </c>
      <c r="R35" s="69">
        <v>1</v>
      </c>
      <c r="S35"/>
      <c r="T35"/>
    </row>
    <row r="36" spans="1:20" ht="15" customHeight="1" x14ac:dyDescent="0.15">
      <c r="A36" s="123"/>
      <c r="B36" s="90"/>
      <c r="C36" s="90"/>
      <c r="D36" s="90"/>
      <c r="E36" s="120"/>
      <c r="F36" s="191" t="s">
        <v>222</v>
      </c>
      <c r="G36" s="78">
        <v>0</v>
      </c>
      <c r="H36" s="78">
        <v>0</v>
      </c>
      <c r="I36" s="78">
        <v>0</v>
      </c>
      <c r="J36" s="78">
        <v>0</v>
      </c>
      <c r="K36" s="78">
        <v>1</v>
      </c>
      <c r="L36" s="78">
        <v>0</v>
      </c>
      <c r="M36" s="78">
        <v>1</v>
      </c>
      <c r="N36" s="78">
        <v>0</v>
      </c>
      <c r="O36" s="78">
        <v>1</v>
      </c>
      <c r="P36" s="68">
        <v>0</v>
      </c>
      <c r="Q36" s="78">
        <v>0</v>
      </c>
      <c r="R36" s="69">
        <v>1</v>
      </c>
      <c r="S36"/>
      <c r="T36"/>
    </row>
    <row r="37" spans="1:20" ht="15" customHeight="1" x14ac:dyDescent="0.15">
      <c r="A37" s="123"/>
      <c r="B37" s="90"/>
      <c r="C37" s="90"/>
      <c r="D37" s="90"/>
      <c r="E37" s="120"/>
      <c r="F37" s="191" t="s">
        <v>223</v>
      </c>
      <c r="G37" s="78">
        <v>0</v>
      </c>
      <c r="H37" s="78">
        <v>0</v>
      </c>
      <c r="I37" s="78">
        <v>0</v>
      </c>
      <c r="J37" s="78">
        <v>0</v>
      </c>
      <c r="K37" s="78">
        <v>1</v>
      </c>
      <c r="L37" s="78">
        <v>0</v>
      </c>
      <c r="M37" s="78">
        <v>1</v>
      </c>
      <c r="N37" s="78">
        <v>0</v>
      </c>
      <c r="O37" s="78">
        <v>1</v>
      </c>
      <c r="P37" s="68">
        <v>0</v>
      </c>
      <c r="Q37" s="78">
        <v>0</v>
      </c>
      <c r="R37" s="69">
        <v>1</v>
      </c>
      <c r="S37"/>
      <c r="T37"/>
    </row>
    <row r="38" spans="1:20" ht="15" customHeight="1" x14ac:dyDescent="0.15">
      <c r="A38" s="124"/>
      <c r="B38" s="90"/>
      <c r="C38" s="90"/>
      <c r="D38" s="90"/>
      <c r="E38" s="120"/>
      <c r="F38" s="191" t="s">
        <v>224</v>
      </c>
      <c r="G38" s="78">
        <v>0</v>
      </c>
      <c r="H38" s="78">
        <v>0</v>
      </c>
      <c r="I38" s="78">
        <v>0</v>
      </c>
      <c r="J38" s="78">
        <v>0</v>
      </c>
      <c r="K38" s="78">
        <v>1</v>
      </c>
      <c r="L38" s="78">
        <v>0</v>
      </c>
      <c r="M38" s="78">
        <v>1</v>
      </c>
      <c r="N38" s="78">
        <v>0</v>
      </c>
      <c r="O38" s="78">
        <v>1</v>
      </c>
      <c r="P38" s="68">
        <v>0</v>
      </c>
      <c r="Q38" s="78">
        <v>0</v>
      </c>
      <c r="R38" s="69">
        <v>1</v>
      </c>
      <c r="S38"/>
      <c r="T38"/>
    </row>
    <row r="39" spans="1:20" ht="15" customHeight="1" x14ac:dyDescent="0.15">
      <c r="A39" s="124"/>
      <c r="B39" s="90"/>
      <c r="C39" s="90"/>
      <c r="D39" s="90"/>
      <c r="E39" s="120"/>
      <c r="F39" s="191" t="s">
        <v>225</v>
      </c>
      <c r="G39" s="78">
        <v>0</v>
      </c>
      <c r="H39" s="78">
        <v>0</v>
      </c>
      <c r="I39" s="78">
        <v>0</v>
      </c>
      <c r="J39" s="78">
        <v>0</v>
      </c>
      <c r="K39" s="78">
        <v>1</v>
      </c>
      <c r="L39" s="78">
        <v>0</v>
      </c>
      <c r="M39" s="78">
        <v>1</v>
      </c>
      <c r="N39" s="78">
        <v>0</v>
      </c>
      <c r="O39" s="78">
        <v>1</v>
      </c>
      <c r="P39" s="68">
        <v>0</v>
      </c>
      <c r="Q39" s="78">
        <v>0</v>
      </c>
      <c r="R39" s="69">
        <v>1</v>
      </c>
      <c r="S39"/>
      <c r="T39"/>
    </row>
    <row r="40" spans="1:20" ht="15" customHeight="1" x14ac:dyDescent="0.15">
      <c r="A40" s="124"/>
      <c r="B40" s="90"/>
      <c r="C40" s="90"/>
      <c r="D40" s="90"/>
      <c r="E40" s="120"/>
      <c r="F40" s="191" t="s">
        <v>226</v>
      </c>
      <c r="G40" s="78">
        <v>0</v>
      </c>
      <c r="H40" s="78">
        <v>0</v>
      </c>
      <c r="I40" s="78">
        <v>0</v>
      </c>
      <c r="J40" s="78">
        <v>0</v>
      </c>
      <c r="K40" s="78">
        <v>1</v>
      </c>
      <c r="L40" s="78">
        <v>0</v>
      </c>
      <c r="M40" s="78">
        <v>1</v>
      </c>
      <c r="N40" s="78">
        <v>0</v>
      </c>
      <c r="O40" s="78">
        <v>1</v>
      </c>
      <c r="P40" s="68">
        <v>0</v>
      </c>
      <c r="Q40" s="78">
        <v>0</v>
      </c>
      <c r="R40" s="69">
        <v>1</v>
      </c>
      <c r="S40"/>
      <c r="T40"/>
    </row>
    <row r="41" spans="1:20" ht="15" customHeight="1" thickBot="1" x14ac:dyDescent="0.2">
      <c r="A41" s="124"/>
      <c r="B41" s="90"/>
      <c r="C41" s="90"/>
      <c r="D41" s="91"/>
      <c r="E41" s="125"/>
      <c r="F41" s="191" t="s">
        <v>227</v>
      </c>
      <c r="G41" s="78">
        <v>0</v>
      </c>
      <c r="H41" s="78">
        <v>0</v>
      </c>
      <c r="I41" s="78">
        <v>0</v>
      </c>
      <c r="J41" s="78">
        <v>0</v>
      </c>
      <c r="K41" s="78">
        <v>1</v>
      </c>
      <c r="L41" s="78">
        <v>0</v>
      </c>
      <c r="M41" s="78">
        <v>1</v>
      </c>
      <c r="N41" s="78">
        <v>0</v>
      </c>
      <c r="O41" s="78">
        <v>1</v>
      </c>
      <c r="P41" s="68">
        <v>0</v>
      </c>
      <c r="Q41" s="78">
        <v>0</v>
      </c>
      <c r="R41" s="69">
        <v>1</v>
      </c>
      <c r="S41"/>
      <c r="T41"/>
    </row>
    <row r="42" spans="1:20" ht="15" customHeight="1" x14ac:dyDescent="0.15">
      <c r="A42" s="126"/>
      <c r="B42" s="127"/>
      <c r="C42" s="127" t="s">
        <v>162</v>
      </c>
      <c r="D42" s="127">
        <f>SUM(D32:D41)</f>
        <v>2964.2448555000001</v>
      </c>
      <c r="E42" s="128">
        <f>SUM(E32:E41)</f>
        <v>1</v>
      </c>
      <c r="F42" s="191" t="s">
        <v>228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1</v>
      </c>
      <c r="N42" s="78">
        <v>0</v>
      </c>
      <c r="O42" s="78">
        <v>0</v>
      </c>
      <c r="P42" s="68">
        <v>0</v>
      </c>
      <c r="Q42" s="78">
        <v>0</v>
      </c>
      <c r="R42" s="69">
        <v>1</v>
      </c>
      <c r="S42"/>
      <c r="T42"/>
    </row>
    <row r="43" spans="1:20" ht="15" customHeight="1" x14ac:dyDescent="0.15">
      <c r="A43" s="78"/>
      <c r="F43" s="191" t="s">
        <v>229</v>
      </c>
      <c r="G43" s="78">
        <v>0</v>
      </c>
      <c r="H43" s="78">
        <v>0</v>
      </c>
      <c r="I43" s="78">
        <v>0</v>
      </c>
      <c r="J43" s="78">
        <v>0</v>
      </c>
      <c r="K43" s="78">
        <v>0</v>
      </c>
      <c r="L43" s="78">
        <v>1</v>
      </c>
      <c r="M43" s="78">
        <v>0</v>
      </c>
      <c r="N43" s="78">
        <v>1</v>
      </c>
      <c r="O43" s="78">
        <v>0</v>
      </c>
      <c r="P43" s="68">
        <v>1</v>
      </c>
      <c r="Q43" s="78">
        <v>0</v>
      </c>
      <c r="R43" s="69">
        <v>1</v>
      </c>
      <c r="S43"/>
      <c r="T43"/>
    </row>
    <row r="44" spans="1:20" ht="15" customHeight="1" x14ac:dyDescent="0.15">
      <c r="A44" s="78"/>
      <c r="F44" s="191" t="s">
        <v>230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1</v>
      </c>
      <c r="M44" s="78">
        <v>0</v>
      </c>
      <c r="N44" s="78">
        <v>1</v>
      </c>
      <c r="O44" s="78">
        <v>0</v>
      </c>
      <c r="P44" s="68">
        <v>1</v>
      </c>
      <c r="Q44" s="78">
        <v>0</v>
      </c>
      <c r="R44" s="69">
        <v>1</v>
      </c>
    </row>
    <row r="45" spans="1:20" ht="15" customHeight="1" x14ac:dyDescent="0.15">
      <c r="A45" s="78"/>
      <c r="F45" s="191" t="s">
        <v>231</v>
      </c>
      <c r="G45" s="78">
        <v>0</v>
      </c>
      <c r="H45" s="78">
        <v>0</v>
      </c>
      <c r="I45" s="78">
        <v>0</v>
      </c>
      <c r="J45" s="78">
        <v>0</v>
      </c>
      <c r="K45" s="78">
        <v>0</v>
      </c>
      <c r="L45" s="78">
        <v>1</v>
      </c>
      <c r="M45" s="78">
        <v>0</v>
      </c>
      <c r="N45" s="78">
        <v>0</v>
      </c>
      <c r="O45" s="78">
        <v>0</v>
      </c>
      <c r="P45" s="68">
        <v>0</v>
      </c>
      <c r="Q45" s="78">
        <v>0</v>
      </c>
      <c r="R45" s="69">
        <v>1</v>
      </c>
    </row>
    <row r="46" spans="1:20" ht="15" customHeight="1" x14ac:dyDescent="0.15">
      <c r="A46" s="78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8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8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8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8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8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8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8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8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8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8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8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8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8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8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8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8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8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8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8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8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8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8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8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8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8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8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8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8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8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8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8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8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8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8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8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8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8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8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8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8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8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8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8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8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8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8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8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8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8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8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8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8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8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8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8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8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8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8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8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8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8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8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8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8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8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8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8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8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8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8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8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8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8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8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8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8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8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8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8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8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8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8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8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8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8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8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8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8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8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8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8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8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8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8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8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8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8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8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8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8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8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8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8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8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8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8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8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8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8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8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8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8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8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8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8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8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8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8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8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8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V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3" customWidth="1"/>
    <col min="3" max="5" width="7.83203125" style="103" customWidth="1"/>
    <col min="6" max="8" width="8.83203125" style="6"/>
    <col min="9" max="9" width="13.33203125" style="6" customWidth="1"/>
    <col min="10" max="10" width="14.1640625" style="6" customWidth="1"/>
    <col min="11" max="11" width="13.83203125" style="6" customWidth="1"/>
    <col min="12" max="12" width="8.5" style="6" customWidth="1"/>
    <col min="13" max="13" width="13.5" style="6" customWidth="1"/>
    <col min="14" max="14" width="8.5" style="6" customWidth="1"/>
    <col min="15" max="15" width="6.83203125" style="6" customWidth="1"/>
    <col min="16" max="17" width="8.5" style="6" customWidth="1"/>
    <col min="18" max="18" width="7" style="6" customWidth="1"/>
    <col min="19" max="19" width="9.33203125" style="6" customWidth="1"/>
    <col min="20" max="20" width="8.6640625" style="6" customWidth="1"/>
    <col min="21" max="21" width="13.1640625" style="6" customWidth="1"/>
    <col min="22" max="22" width="11.1640625" style="6" customWidth="1"/>
    <col min="23" max="23" width="11.6640625" style="6" customWidth="1"/>
    <col min="24" max="24" width="12" style="6" customWidth="1"/>
    <col min="25" max="25" width="12.5" style="6" customWidth="1"/>
    <col min="26" max="26" width="13.33203125" style="6" customWidth="1"/>
    <col min="27" max="27" width="15.1640625" style="6" customWidth="1"/>
    <col min="28" max="29" width="14.33203125" style="6" customWidth="1"/>
    <col min="30" max="30" width="14.6640625" style="6" customWidth="1"/>
    <col min="31" max="31" width="13.83203125" style="6" customWidth="1"/>
    <col min="32" max="32" width="15.33203125" style="6" customWidth="1"/>
    <col min="33" max="33" width="14.5" style="6" customWidth="1"/>
    <col min="34" max="34" width="10.5" style="6" customWidth="1"/>
    <col min="35" max="35" width="9.5" style="6" customWidth="1"/>
    <col min="36" max="37" width="11.83203125" style="6" customWidth="1"/>
    <col min="38" max="38" width="13" style="6" customWidth="1"/>
    <col min="39" max="39" width="12.5" customWidth="1"/>
    <col min="40" max="40" width="11.83203125" customWidth="1"/>
    <col min="41" max="41" width="14.1640625" customWidth="1"/>
    <col min="42" max="42" width="13.33203125" customWidth="1"/>
    <col min="43" max="43" width="14.5" customWidth="1"/>
    <col min="44" max="44" width="13.5" customWidth="1"/>
    <col min="45" max="45" width="13.1640625" customWidth="1"/>
    <col min="46" max="46" width="7.6640625" customWidth="1"/>
    <col min="47" max="47" width="21.6640625" customWidth="1"/>
    <col min="48" max="48" width="6.5" customWidth="1"/>
    <col min="81" max="81" width="22.1640625" bestFit="1" customWidth="1"/>
  </cols>
  <sheetData>
    <row r="1" spans="1:48" x14ac:dyDescent="0.15">
      <c r="A1" s="4" t="s">
        <v>156</v>
      </c>
      <c r="B1" s="34" t="s">
        <v>157</v>
      </c>
      <c r="C1" s="34" t="s">
        <v>17</v>
      </c>
      <c r="D1" s="34" t="s">
        <v>158</v>
      </c>
      <c r="E1" s="34" t="s">
        <v>159</v>
      </c>
      <c r="F1" t="s">
        <v>38</v>
      </c>
      <c r="G1" t="s">
        <v>40</v>
      </c>
      <c r="H1" t="s">
        <v>41</v>
      </c>
      <c r="I1" s="196" t="s">
        <v>192</v>
      </c>
      <c r="J1" s="196" t="s">
        <v>193</v>
      </c>
      <c r="K1" s="196" t="s">
        <v>194</v>
      </c>
      <c r="L1" s="196" t="s">
        <v>195</v>
      </c>
      <c r="M1" s="196" t="s">
        <v>196</v>
      </c>
      <c r="N1" s="196" t="s">
        <v>197</v>
      </c>
      <c r="O1" s="196" t="s">
        <v>198</v>
      </c>
      <c r="P1" s="196" t="s">
        <v>199</v>
      </c>
      <c r="Q1" s="196" t="s">
        <v>200</v>
      </c>
      <c r="R1" s="196" t="s">
        <v>201</v>
      </c>
      <c r="S1" s="196" t="s">
        <v>202</v>
      </c>
      <c r="T1" s="196" t="s">
        <v>203</v>
      </c>
      <c r="U1" s="196" t="s">
        <v>204</v>
      </c>
      <c r="V1" s="196" t="s">
        <v>205</v>
      </c>
      <c r="W1" s="196" t="s">
        <v>206</v>
      </c>
      <c r="X1" s="196" t="s">
        <v>207</v>
      </c>
      <c r="Y1" s="196" t="s">
        <v>208</v>
      </c>
      <c r="Z1" s="196" t="s">
        <v>209</v>
      </c>
      <c r="AA1" s="196" t="s">
        <v>210</v>
      </c>
      <c r="AB1" s="196" t="s">
        <v>211</v>
      </c>
      <c r="AC1" s="196" t="s">
        <v>212</v>
      </c>
      <c r="AD1" s="196" t="s">
        <v>213</v>
      </c>
      <c r="AE1" s="196" t="s">
        <v>214</v>
      </c>
      <c r="AF1" s="196" t="s">
        <v>215</v>
      </c>
      <c r="AG1" s="196" t="s">
        <v>216</v>
      </c>
      <c r="AH1" s="196" t="s">
        <v>217</v>
      </c>
      <c r="AI1" s="196" t="s">
        <v>218</v>
      </c>
      <c r="AJ1" s="196" t="s">
        <v>219</v>
      </c>
      <c r="AK1" s="196" t="s">
        <v>220</v>
      </c>
      <c r="AL1" s="196" t="s">
        <v>221</v>
      </c>
      <c r="AM1" s="196" t="s">
        <v>222</v>
      </c>
      <c r="AN1" s="196" t="s">
        <v>223</v>
      </c>
      <c r="AO1" s="196" t="s">
        <v>224</v>
      </c>
      <c r="AP1" s="196" t="s">
        <v>225</v>
      </c>
      <c r="AQ1" s="196" t="s">
        <v>226</v>
      </c>
      <c r="AR1" s="196" t="s">
        <v>227</v>
      </c>
      <c r="AS1" s="196" t="s">
        <v>228</v>
      </c>
      <c r="AT1" s="196" t="s">
        <v>229</v>
      </c>
      <c r="AU1" s="196" t="s">
        <v>230</v>
      </c>
      <c r="AV1" s="196" t="s">
        <v>231</v>
      </c>
    </row>
    <row r="2" spans="1:48" x14ac:dyDescent="0.15">
      <c r="A2" t="s">
        <v>38</v>
      </c>
      <c r="B2" s="10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8" x14ac:dyDescent="0.15">
      <c r="A3" t="s">
        <v>40</v>
      </c>
      <c r="B3" s="10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8" x14ac:dyDescent="0.15">
      <c r="A4" t="s">
        <v>41</v>
      </c>
      <c r="B4" s="10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8" x14ac:dyDescent="0.15">
      <c r="A5" s="195" t="s">
        <v>192</v>
      </c>
      <c r="B5" s="10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8" x14ac:dyDescent="0.15">
      <c r="A6" s="195" t="s">
        <v>193</v>
      </c>
      <c r="B6" s="10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8" x14ac:dyDescent="0.15">
      <c r="A7" s="195" t="s">
        <v>194</v>
      </c>
      <c r="B7" s="10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8" x14ac:dyDescent="0.15">
      <c r="A8" s="195" t="s">
        <v>195</v>
      </c>
      <c r="B8" s="10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8" x14ac:dyDescent="0.15">
      <c r="A9" s="195" t="s">
        <v>196</v>
      </c>
      <c r="B9" s="10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8" x14ac:dyDescent="0.15">
      <c r="A10" s="195" t="s">
        <v>197</v>
      </c>
      <c r="B10" s="10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8" x14ac:dyDescent="0.15">
      <c r="A11" s="195" t="s">
        <v>198</v>
      </c>
      <c r="B11" s="10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8" x14ac:dyDescent="0.15">
      <c r="A12" s="195" t="s">
        <v>199</v>
      </c>
      <c r="B12" s="10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8" x14ac:dyDescent="0.15">
      <c r="A13" s="195" t="s">
        <v>200</v>
      </c>
      <c r="B13" s="10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8" x14ac:dyDescent="0.15">
      <c r="A14" s="195" t="s">
        <v>201</v>
      </c>
      <c r="B14" s="10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8" x14ac:dyDescent="0.15">
      <c r="A15" s="195" t="s">
        <v>202</v>
      </c>
      <c r="B15" s="10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8" x14ac:dyDescent="0.15">
      <c r="A16" s="195" t="s">
        <v>203</v>
      </c>
      <c r="B16" s="10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5" t="s">
        <v>204</v>
      </c>
      <c r="B17" s="10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5" t="s">
        <v>205</v>
      </c>
      <c r="B18" s="10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5" t="s">
        <v>206</v>
      </c>
      <c r="B19" s="10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5" t="s">
        <v>207</v>
      </c>
      <c r="B20" s="10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5" t="s">
        <v>208</v>
      </c>
      <c r="B21" s="10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5" t="s">
        <v>209</v>
      </c>
      <c r="B22" s="10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5" t="s">
        <v>210</v>
      </c>
      <c r="B23" s="10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5" t="s">
        <v>211</v>
      </c>
      <c r="B24" s="10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5" t="s">
        <v>212</v>
      </c>
      <c r="B25" s="10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5" t="s">
        <v>213</v>
      </c>
      <c r="B26" s="10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5" t="s">
        <v>214</v>
      </c>
      <c r="B27" s="10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5" t="s">
        <v>215</v>
      </c>
      <c r="B28" s="10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5" t="s">
        <v>216</v>
      </c>
      <c r="B29" s="10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5" t="s">
        <v>217</v>
      </c>
      <c r="B30" s="10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5" t="s">
        <v>218</v>
      </c>
      <c r="B31" s="10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5" t="s">
        <v>219</v>
      </c>
      <c r="B32" s="10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5" t="s">
        <v>220</v>
      </c>
      <c r="B33" s="10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5" t="s">
        <v>221</v>
      </c>
      <c r="B34" s="10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5" t="s">
        <v>222</v>
      </c>
      <c r="B35" s="10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5" t="s">
        <v>223</v>
      </c>
      <c r="B36" s="103">
        <v>0</v>
      </c>
      <c r="C36"/>
      <c r="D36"/>
    </row>
    <row r="37" spans="1:38" ht="15" customHeight="1" x14ac:dyDescent="0.15">
      <c r="A37" s="195" t="s">
        <v>224</v>
      </c>
      <c r="B37" s="103">
        <v>0</v>
      </c>
      <c r="C37"/>
      <c r="D37"/>
    </row>
    <row r="38" spans="1:38" ht="15" customHeight="1" x14ac:dyDescent="0.15">
      <c r="A38" s="195" t="s">
        <v>225</v>
      </c>
      <c r="B38" s="10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5" t="s">
        <v>226</v>
      </c>
      <c r="B39" s="103">
        <v>0</v>
      </c>
      <c r="C39"/>
      <c r="D39"/>
    </row>
    <row r="40" spans="1:38" ht="15" customHeight="1" x14ac:dyDescent="0.15">
      <c r="A40" s="195" t="s">
        <v>227</v>
      </c>
      <c r="B40" s="103">
        <v>0</v>
      </c>
      <c r="C40"/>
      <c r="D40"/>
    </row>
    <row r="41" spans="1:38" ht="15" customHeight="1" x14ac:dyDescent="0.15">
      <c r="A41" s="195" t="s">
        <v>228</v>
      </c>
      <c r="B41" s="103">
        <v>0</v>
      </c>
      <c r="C41"/>
      <c r="D41"/>
    </row>
    <row r="42" spans="1:38" ht="15" customHeight="1" x14ac:dyDescent="0.15">
      <c r="A42" s="195" t="s">
        <v>229</v>
      </c>
      <c r="B42" s="103">
        <v>0</v>
      </c>
    </row>
    <row r="43" spans="1:38" ht="15" customHeight="1" x14ac:dyDescent="0.15">
      <c r="A43" s="195" t="s">
        <v>230</v>
      </c>
      <c r="B43" s="103">
        <v>0</v>
      </c>
    </row>
    <row r="44" spans="1:38" ht="15" customHeight="1" x14ac:dyDescent="0.15">
      <c r="A44" s="195" t="s">
        <v>231</v>
      </c>
      <c r="B44" s="103">
        <v>0</v>
      </c>
    </row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2022-10-24T04:07:46Z</dcterms:modified>
</cp:coreProperties>
</file>