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8263BFC3-FED8-2746-930E-D5C22EB0A317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Main!$C$2:$N$57</definedName>
    <definedName name="matDetritus">Detritus!$C$2:$E$57</definedName>
    <definedName name="matDiet">Diets!$B$2:$AX$53</definedName>
    <definedName name="matDiscards">Discards!$C$2:$G$52</definedName>
    <definedName name="matFishery">Fishing!$C$2:$G$52</definedName>
    <definedName name="matFishing">Fishing!#REF!</definedName>
    <definedName name="matMort">Mortalities!$A$1:$BG$52</definedName>
    <definedName name="matOut">MainOutputs!$A$2:$I$57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<sst xmlns="http://schemas.openxmlformats.org/spreadsheetml/2006/main" count="1425" uniqueCount="257">
  <si>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</si>
  <si>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</si>
  <si>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</si>
  <si>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</si>
  <si>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</si>
  <si>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</si>
  <si>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</si>
  <si>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</si>
  <si>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</si>
  <si>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</si>
  <si>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</si>
  <si>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</si>
  <si>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</si>
  <si>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</si>
  <si>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</si>
  <si>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</si>
  <si>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</si>
  <si>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</si>
  <si>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</si>
  <si>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</si>
  <si>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</si>
  <si>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</si>
  <si>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</si>
  <si>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</si>
  <si>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</si>
  <si>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</si>
  <si>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</si>
  <si>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</si>
  <si>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</si>
  <si>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</si>
  <si>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</si>
  <si>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</si>
  <si>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</si>
  <si>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</si>
  <si>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</si>
  <si>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</si>
  <si>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</si>
  <si>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</si>
  <si>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</si>
  <si>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</si>
  <si>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</si>
  <si>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</si>
  <si>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</si>
  <si>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</si>
  <si>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</si>
  <si>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</si>
  <si>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</si>
  <si>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</si>
  <si>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</si>
  <si>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</si>
  <si>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</si>
  <si>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</si>
  <si>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</si>
  <si>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</si>
  <si>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</si>
  <si>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</si>
  <si>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</si>
  <si>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</si>
  <si>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</si>
  <si>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</si>
  <si>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</si>
  <si>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</si>
  <si>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</si>
  <si>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</si>
  <si>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</si>
  <si>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</si>
  <si>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</si>
  <si>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</si>
  <si>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</si>
  <si>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</si>
  <si>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</si>
  <si>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</si>
  <si>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</si>
  <si>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</si>
  <si>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</si>
  <si>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</si>
  <si>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</si>
  <si>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</si>
  <si>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</si>
  <si>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</si>
  <si>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</si>
  <si>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</si>
  <si>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</si>
  <si>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</si>
  <si>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</si>
  <si>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</si>
  <si>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</si>
  <si>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</si>
  <si>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</si>
  <si>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</si>
  <si>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</si>
  <si>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</si>
  <si>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</si>
  <si>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</si>
  <si>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</si>
  <si>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</si>
  <si>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</si>
  <si>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</si>
  <si>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</si>
  <si>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</si>
  <si>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</si>
  <si>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</si>
  <si>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</si>
  <si>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</si>
  <si>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</si>
  <si>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</si>
  <si>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</si>
  <si>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</si>
  <si>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</si>
  <si>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</si>
  <si>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</si>
  <si>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</si>
  <si>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</si>
  <si>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</si>
  <si>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</si>
  <si>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</si>
  <si>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</si>
  <si>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</si>
  <si>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</si>
  <si>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</si>
  <si>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</si>
  <si>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</si>
  <si>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</si>
  <si>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</si>
  <si>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</si>
  <si>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</si>
  <si>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</si>
  <si>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</si>
  <si>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</si>
  <si>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</si>
  <si>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</si>
  <si>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</si>
  <si>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</si>
  <si>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</si>
  <si>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</si>
  <si>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</si>
  <si>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</si>
  <si>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</si>
  <si>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</si>
  <si>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</si>
  <si>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</si>
  <si>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</si>
  <si>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</si>
  <si>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</si>
  <si>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</si>
  <si>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</si>
  <si>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</si>
  <si>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</si>
  <si>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</si>
  <si>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</si>
  <si>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</si>
  <si>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</si>
  <si>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</si>
  <si>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</si>
  <si>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</si>
  <si>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</si>
  <si>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</si>
  <si>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</si>
  <si>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</si>
  <si>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</si>
  <si>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</si>
  <si>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</si>
  <si>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</si>
  <si>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</si>
  <si>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</si>
  <si>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</si>
  <si>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</si>
  <si>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</si>
  <si>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</si>
  <si>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</si>
  <si>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</si>
  <si>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</si>
  <si>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</si>
  <si>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</si>
  <si>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</si>
  <si>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</si>
  <si>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</si>
  <si>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</si>
  <si>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</si>
  <si>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</si>
  <si>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</si>
  <si>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</si>
  <si>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</si>
  <si>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</si>
  <si>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</si>
  <si>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Grand Banks of Newfoundland</t>
  </si>
  <si>
    <t>Canada</t>
  </si>
  <si>
    <t>BOX(-60 42.945,-57.098 46.984)</t>
  </si>
  <si>
    <t>open ocean</t>
  </si>
  <si>
    <t>WetWeight</t>
  </si>
  <si>
    <t>Heymans, J. J., and Pitcher, T. J., 2002. A Picasso-esque view of the marine ecosystem of Newfoundland and Southern Labrador: Models for the time periods 1450 and 1900. In: Ecosystem models of Newfoundland for the time periods 1995, 1985, 1900 and 1450. pp. 44-71, Ed. by T. J. Pitcher, J. J. Heymans, and M. Vasconcellos,  Vancouver, BC, Vol. 10.</t>
  </si>
  <si>
    <t>Heymans J.J.,Pitcher T.,Heymans J.J.,Pitcher T.,Heymans J.J.,Pitcher T.(2002). A Picasso-esque View of the Marine Ecosystem of Newfoundland and Southern Labrador: Models for the Time Periods 1450 and 1900 Ecosystem models of Newfoundland for the time periods 1995, 1985, 1900 and 1450. pp 44-71. In Pitcher T.,Heymans J.J.,Vasconcellos M.,Pitcher T.,Heymans J.J.,Vasconcellos M.</t>
  </si>
  <si>
    <t>Walrus</t>
  </si>
  <si>
    <t>Cetaceans</t>
  </si>
  <si>
    <t>Grey seals</t>
  </si>
  <si>
    <t>Harp Seals</t>
  </si>
  <si>
    <t>Hooded Seals</t>
  </si>
  <si>
    <t>Ducks</t>
  </si>
  <si>
    <t>Piscivorous Birds</t>
  </si>
  <si>
    <t>Planktivorous Birds</t>
  </si>
  <si>
    <t>Cod + 40cm</t>
  </si>
  <si>
    <t>Cod  &amp;lt;40 cm</t>
  </si>
  <si>
    <t>Aplaice +35cm</t>
  </si>
  <si>
    <t>Aplaice&amp;lt;=35cm</t>
  </si>
  <si>
    <t>G. Halibut +65cm</t>
  </si>
  <si>
    <t>G. Halibut Juv.</t>
  </si>
  <si>
    <t>Yellowtail Flounders</t>
  </si>
  <si>
    <t>Witch flounder</t>
  </si>
  <si>
    <t>Winter flounder</t>
  </si>
  <si>
    <t>Skates</t>
  </si>
  <si>
    <t>Dogfish</t>
  </si>
  <si>
    <t>Redfish</t>
  </si>
  <si>
    <t>Transient Mackerel ( +29cm)</t>
  </si>
  <si>
    <t>L. Dem. Pisc (+40 cm)</t>
  </si>
  <si>
    <t>Juv. Dem. Pisc (- 40cm)</t>
  </si>
  <si>
    <t>L.Dem.Feeders (+ 30cm)</t>
  </si>
  <si>
    <t>S.Dem.Feeders</t>
  </si>
  <si>
    <t>O.S.Demersals</t>
  </si>
  <si>
    <t>Lumpfish</t>
  </si>
  <si>
    <t>Greenland cod</t>
  </si>
  <si>
    <t>Salmon</t>
  </si>
  <si>
    <t>Capelin</t>
  </si>
  <si>
    <t>Sandlance</t>
  </si>
  <si>
    <t>Arctic cod</t>
  </si>
  <si>
    <t>Herring</t>
  </si>
  <si>
    <t>Transient Pelagics</t>
  </si>
  <si>
    <t>Small Pelagics</t>
  </si>
  <si>
    <t>Small Mesopelagics</t>
  </si>
  <si>
    <t>Shortfinned squid</t>
  </si>
  <si>
    <t>Arctic Squid</t>
  </si>
  <si>
    <t>Large Crabs  +95 cm</t>
  </si>
  <si>
    <t>Small Crabs  - 95 cm</t>
  </si>
  <si>
    <t>Lobster</t>
  </si>
  <si>
    <t>Shrimp</t>
  </si>
  <si>
    <t>Echinoderms</t>
  </si>
  <si>
    <t>Polychaetes</t>
  </si>
  <si>
    <t>Bivalves</t>
  </si>
  <si>
    <t>O.Benthic Inver</t>
  </si>
  <si>
    <t>L.Zooplankton</t>
  </si>
  <si>
    <t>S.Zooplankton</t>
  </si>
  <si>
    <t>Phytoplankton</t>
  </si>
  <si>
    <t>Detritus</t>
  </si>
  <si>
    <t>detritus_TerminalBenthic</t>
  </si>
  <si>
    <t>Demersals</t>
  </si>
  <si>
    <t>Pelagics</t>
  </si>
  <si>
    <t>Seal hunt</t>
  </si>
  <si>
    <t>Birding</t>
  </si>
  <si>
    <t>Whaling</t>
  </si>
  <si>
    <t>Import</t>
  </si>
  <si>
    <t>export</t>
  </si>
  <si>
    <t>sum</t>
  </si>
  <si>
    <t>TOTAL</t>
  </si>
  <si>
    <t>F Demersals</t>
  </si>
  <si>
    <t>F Pelagics</t>
  </si>
  <si>
    <t>F Seal hunt</t>
  </si>
  <si>
    <t>F Birding</t>
  </si>
  <si>
    <t>F Whaling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</si>
</sst>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8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66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1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25" borderId="0" xfId="0" applyFill="1"/>
    <xf numFmtId="0" fontId="0" fillId="18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329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1" t="s">
        <v>171</v>
      </c>
      <c r="C53" s="112">
        <v>105</v>
      </c>
      <c r="D53" s="112"/>
    </row>
    <row r="54" spans="2:4" x14ac:dyDescent="0.15">
      <c r="B54" s="181" t="s">
        <v>172</v>
      </c>
      <c r="C54" s="181" t="s">
        <v>185</v>
      </c>
      <c r="D54" s="112"/>
    </row>
    <row r="55" spans="2:4" x14ac:dyDescent="0.15">
      <c r="B55" s="181" t="s">
        <v>173</v>
      </c>
      <c r="C55" s="181" t="s">
        <v>186</v>
      </c>
      <c r="D55" s="112"/>
    </row>
    <row r="56" spans="2:4" x14ac:dyDescent="0.15">
      <c r="B56" s="181" t="s">
        <v>174</v>
      </c>
      <c r="C56" s="112">
        <v>495000</v>
      </c>
      <c r="D56" s="112"/>
    </row>
    <row r="57" spans="2:4" x14ac:dyDescent="0.15">
      <c r="B57" s="181" t="s">
        <v>175</v>
      </c>
      <c r="C57" s="181" t="s">
        <v>187</v>
      </c>
      <c r="D57" s="112"/>
    </row>
    <row r="58" spans="2:4" x14ac:dyDescent="0.15">
      <c r="B58" s="181" t="s">
        <v>176</v>
      </c>
      <c r="C58" s="181" t="s">
        <v>188</v>
      </c>
      <c r="D58" s="112"/>
    </row>
    <row r="59" spans="2:4" x14ac:dyDescent="0.15">
      <c r="B59" s="181" t="s">
        <v>177</v>
      </c>
      <c r="C59" s="181" t="s">
        <v>189</v>
      </c>
      <c r="D59" s="112"/>
    </row>
    <row r="60" spans="2:4" x14ac:dyDescent="0.15">
      <c r="B60" s="181" t="s">
        <v>178</v>
      </c>
      <c r="C60" s="181" t="s">
        <v>190</v>
      </c>
      <c r="D60" s="112"/>
    </row>
    <row r="61" spans="2:4" x14ac:dyDescent="0.15">
      <c r="B61" s="181" t="s">
        <v>179</v>
      </c>
      <c r="C61" s="112">
        <v>50</v>
      </c>
      <c r="D61" s="112"/>
    </row>
    <row r="62" spans="2:4" x14ac:dyDescent="0.15">
      <c r="B62" s="181" t="s">
        <v>180</v>
      </c>
      <c r="C62" s="112">
        <v>5</v>
      </c>
      <c r="D62" s="112"/>
    </row>
    <row r="63" spans="2:4" x14ac:dyDescent="0.15">
      <c r="B63" s="181" t="s">
        <v>181</v>
      </c>
      <c r="C63" s="112">
        <v>1900</v>
      </c>
      <c r="D63" s="112"/>
    </row>
    <row r="64" spans="2:4" x14ac:dyDescent="0.15">
      <c r="B64" s="181" t="s">
        <v>182</v>
      </c>
      <c r="C64" s="112">
        <v>5</v>
      </c>
      <c r="D64" s="112"/>
    </row>
    <row r="65" spans="2:4" x14ac:dyDescent="0.15">
      <c r="B65" s="181" t="s">
        <v>183</v>
      </c>
      <c r="C65" s="181" t="s">
        <v>191</v>
      </c>
      <c r="D65" s="112"/>
    </row>
    <row r="66" spans="2:4" x14ac:dyDescent="0.15">
      <c r="B66" s="181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6" customWidth="1"/>
    <col min="2" max="3" width="3.33203125" style="86" customWidth="1"/>
    <col min="4" max="4" width="14.33203125" style="86" customWidth="1"/>
    <col min="5" max="5" width="25" style="86" bestFit="1" customWidth="1"/>
    <col min="6" max="6" width="2.33203125" style="86" bestFit="1" customWidth="1"/>
    <col min="7" max="7" width="13.83203125" style="86" bestFit="1" customWidth="1"/>
    <col min="8" max="8" width="12.83203125" style="86" customWidth="1"/>
    <col min="9" max="9" width="10.83203125" style="86" customWidth="1"/>
    <col min="10" max="10" width="11.83203125" style="86" customWidth="1"/>
    <col min="11" max="11" width="13.83203125" style="86" customWidth="1"/>
    <col min="12" max="12" width="2.33203125" style="86" customWidth="1"/>
    <col min="13" max="13" width="3.83203125" style="86" customWidth="1"/>
    <col min="14" max="14" width="2.33203125" style="86" customWidth="1"/>
    <col min="16" max="25" width="8.83203125" style="8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6"/>
  </cols>
  <sheetData>
    <row r="1" spans="1:46" s="103" customFormat="1" ht="15" customHeight="1" x14ac:dyDescent="0.15">
      <c r="A1" s="82" t="s">
        <v>18</v>
      </c>
      <c r="C1" s="83" t="s">
        <v>8</v>
      </c>
      <c r="D1" s="82" t="s">
        <v>23</v>
      </c>
      <c r="E1" s="82" t="s">
        <v>0</v>
      </c>
      <c r="F1" s="82" t="s">
        <v>7</v>
      </c>
      <c r="G1" s="84" t="s">
        <v>13</v>
      </c>
      <c r="H1" s="82" t="s">
        <v>1</v>
      </c>
      <c r="I1" s="82" t="s">
        <v>2</v>
      </c>
      <c r="J1" s="82" t="s">
        <v>14</v>
      </c>
      <c r="K1" s="82" t="s">
        <v>3</v>
      </c>
      <c r="L1" s="82" t="s">
        <v>4</v>
      </c>
      <c r="M1" s="82" t="s">
        <v>5</v>
      </c>
      <c r="N1" s="8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3">
        <v>1</v>
      </c>
      <c r="D2"/>
      <c r="E2" s="182" t="s">
        <v>192</v>
      </c>
      <c r="F2" s="86">
        <v>0</v>
      </c>
      <c r="G2" s="86">
        <v>9.9999999999999995E-7</v>
      </c>
      <c r="H2" s="86">
        <v>0.06</v>
      </c>
      <c r="I2" s="6">
        <v>16.846153300000001</v>
      </c>
      <c r="J2" s="6">
        <v>0</v>
      </c>
      <c r="K2" s="6">
        <v>3.5616440000000001E-3</v>
      </c>
      <c r="L2" s="6">
        <v>0</v>
      </c>
      <c r="M2" s="86">
        <v>0.2</v>
      </c>
      <c r="N2" s="86">
        <v>0</v>
      </c>
    </row>
    <row r="3" spans="1:46" ht="15" customHeight="1" x14ac:dyDescent="0.15">
      <c r="A3" s="1" t="s">
        <v>9</v>
      </c>
      <c r="B3" s="4">
        <v>49</v>
      </c>
      <c r="C3" s="86">
        <v>2</v>
      </c>
      <c r="D3"/>
      <c r="E3" s="182" t="s">
        <v>193</v>
      </c>
      <c r="F3" s="86">
        <v>0</v>
      </c>
      <c r="G3" s="86">
        <v>0.502</v>
      </c>
      <c r="H3" s="86">
        <v>0.1</v>
      </c>
      <c r="I3" s="86">
        <v>11.79</v>
      </c>
      <c r="J3" s="86">
        <v>0.88009965400000001</v>
      </c>
      <c r="K3" s="86">
        <v>8.4817639999999993E-3</v>
      </c>
      <c r="L3" s="86">
        <v>0</v>
      </c>
      <c r="M3" s="86">
        <v>0.2</v>
      </c>
      <c r="N3" s="86">
        <v>0</v>
      </c>
    </row>
    <row r="4" spans="1:46" ht="15" customHeight="1" x14ac:dyDescent="0.15">
      <c r="A4" s="1" t="s">
        <v>10</v>
      </c>
      <c r="B4" s="4">
        <v>2</v>
      </c>
      <c r="C4" s="86">
        <v>3</v>
      </c>
      <c r="D4"/>
      <c r="E4" s="182" t="s">
        <v>194</v>
      </c>
      <c r="F4" s="86">
        <v>0</v>
      </c>
      <c r="G4" s="86">
        <v>9.9999999999999995E-7</v>
      </c>
      <c r="H4" s="86">
        <v>0.06</v>
      </c>
      <c r="I4" s="86">
        <v>15</v>
      </c>
      <c r="J4" s="86">
        <v>0.28076925899999999</v>
      </c>
      <c r="K4" s="86">
        <v>3.9999997200000003E-3</v>
      </c>
      <c r="L4" s="86">
        <v>0</v>
      </c>
      <c r="M4" s="86">
        <v>0.2</v>
      </c>
      <c r="N4" s="8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5</v>
      </c>
      <c r="C5" s="86">
        <v>4</v>
      </c>
      <c r="D5"/>
      <c r="E5" s="182" t="s">
        <v>195</v>
      </c>
      <c r="F5" s="86">
        <v>0</v>
      </c>
      <c r="G5" s="86">
        <v>0.59090900000000002</v>
      </c>
      <c r="H5" s="86">
        <v>0.10199999999999999</v>
      </c>
      <c r="I5" s="86">
        <v>17.411999999999999</v>
      </c>
      <c r="J5" s="86">
        <v>0.27438643600000001</v>
      </c>
      <c r="K5" s="86">
        <v>5.8580289999999998E-3</v>
      </c>
      <c r="L5" s="86">
        <v>0</v>
      </c>
      <c r="M5" s="86">
        <v>0.2</v>
      </c>
      <c r="N5" s="86">
        <v>0</v>
      </c>
      <c r="P5" s="73"/>
      <c r="Q5" s="73"/>
      <c r="R5" s="73"/>
    </row>
    <row r="6" spans="1:46" ht="15" customHeight="1" thickBot="1" x14ac:dyDescent="0.2">
      <c r="B6" s="1"/>
      <c r="C6" s="86">
        <v>5</v>
      </c>
      <c r="D6"/>
      <c r="E6" s="182" t="s">
        <v>196</v>
      </c>
      <c r="F6" s="86">
        <v>0</v>
      </c>
      <c r="G6" s="86">
        <v>0.10199999999999999</v>
      </c>
      <c r="H6" s="86">
        <v>0.109</v>
      </c>
      <c r="I6" s="86">
        <v>13.1</v>
      </c>
      <c r="J6" s="86">
        <v>0.168826848</v>
      </c>
      <c r="K6" s="86">
        <v>8.3206100000000009E-3</v>
      </c>
      <c r="L6" s="86">
        <v>0</v>
      </c>
      <c r="M6" s="86">
        <v>0.2</v>
      </c>
      <c r="N6" s="86">
        <v>0</v>
      </c>
      <c r="P6" s="73"/>
      <c r="Q6" s="73"/>
      <c r="R6" s="73"/>
      <c r="W6" s="36" t="s">
        <v>31</v>
      </c>
      <c r="X6" s="52">
        <f>MAX(MainOutputs!G:G)</f>
        <v>0.95000016689300537</v>
      </c>
    </row>
    <row r="7" spans="1:46" ht="15" customHeight="1" x14ac:dyDescent="0.15">
      <c r="A7" s="2" t="s">
        <v>27</v>
      </c>
      <c r="B7" s="86">
        <f ca="1">COUNTIF(OFFSET(cornerDiets,1,1,NumLiving+NumDead+1,NumLiving+NumDead),"&gt;0")+NumLiving+NumDead+1</f>
        <v>606</v>
      </c>
      <c r="C7" s="86">
        <v>6</v>
      </c>
      <c r="D7"/>
      <c r="E7" s="182" t="s">
        <v>197</v>
      </c>
      <c r="F7" s="86">
        <v>0</v>
      </c>
      <c r="G7" s="86">
        <v>4.5300000000000001E-4</v>
      </c>
      <c r="H7" s="86">
        <v>0.25</v>
      </c>
      <c r="I7" s="86">
        <v>54.75</v>
      </c>
      <c r="J7" s="86">
        <v>8.8300219999999999E-3</v>
      </c>
      <c r="K7" s="86">
        <v>4.5662100000000002E-3</v>
      </c>
      <c r="L7" s="86">
        <v>0</v>
      </c>
      <c r="M7" s="86">
        <v>0.2</v>
      </c>
      <c r="N7" s="86">
        <v>0</v>
      </c>
      <c r="P7" s="73"/>
      <c r="Q7" s="73"/>
      <c r="R7" s="73"/>
    </row>
    <row r="8" spans="1:46" ht="15" customHeight="1" x14ac:dyDescent="0.15">
      <c r="A8" s="2" t="s">
        <v>28</v>
      </c>
      <c r="B8" s="86">
        <f ca="1">COUNTIF(OFFSET(cornerFishing,1,2,NumLiving+NumDead,NumGears),"&gt;0")+NumDead*COUNTIF(OFFSET(cornerDiscards,1,2,NumLiving+NumDead,NumGears),"&gt;0")+NumLiving+NumDead+1</f>
        <v>68</v>
      </c>
      <c r="C8" s="86">
        <v>7</v>
      </c>
      <c r="D8"/>
      <c r="E8" s="182" t="s">
        <v>198</v>
      </c>
      <c r="F8" s="86">
        <v>0</v>
      </c>
      <c r="G8" s="86">
        <v>2.6905999999999999E-2</v>
      </c>
      <c r="H8" s="86">
        <v>0.25</v>
      </c>
      <c r="I8" s="86">
        <v>54.75</v>
      </c>
      <c r="J8" s="86">
        <v>0.161850139</v>
      </c>
      <c r="K8" s="86">
        <v>4.5662100000000002E-3</v>
      </c>
      <c r="L8" s="86">
        <v>0</v>
      </c>
      <c r="M8" s="86">
        <v>0.2</v>
      </c>
      <c r="N8" s="86">
        <v>0</v>
      </c>
      <c r="P8" s="73"/>
      <c r="Q8" s="73"/>
      <c r="R8" s="73"/>
    </row>
    <row r="9" spans="1:46" ht="15" customHeight="1" x14ac:dyDescent="0.15">
      <c r="B9" s="1"/>
      <c r="C9" s="86">
        <v>8</v>
      </c>
      <c r="D9"/>
      <c r="E9" s="182" t="s">
        <v>199</v>
      </c>
      <c r="F9" s="86">
        <v>0</v>
      </c>
      <c r="G9" s="86">
        <v>5.8409999999999998E-3</v>
      </c>
      <c r="H9" s="86">
        <v>0.25</v>
      </c>
      <c r="I9" s="86">
        <v>54.75</v>
      </c>
      <c r="J9" s="86">
        <v>8.9025849999999993E-3</v>
      </c>
      <c r="K9" s="86">
        <v>4.5662100000000002E-3</v>
      </c>
      <c r="L9" s="86">
        <v>0</v>
      </c>
      <c r="M9" s="86">
        <v>0.2</v>
      </c>
      <c r="N9" s="86">
        <v>0</v>
      </c>
      <c r="P9" s="73"/>
      <c r="Q9" s="73"/>
      <c r="R9" s="73"/>
    </row>
    <row r="10" spans="1:46" ht="15" customHeight="1" x14ac:dyDescent="0.15">
      <c r="B10" s="1"/>
      <c r="C10" s="86">
        <v>9</v>
      </c>
      <c r="D10"/>
      <c r="E10" s="182" t="s">
        <v>200</v>
      </c>
      <c r="F10" s="86">
        <v>0</v>
      </c>
      <c r="G10" s="86">
        <v>8.1623319999999993</v>
      </c>
      <c r="H10" s="86">
        <v>0.198483557</v>
      </c>
      <c r="I10" s="86">
        <v>1.09131026</v>
      </c>
      <c r="J10" s="86">
        <v>0.53540030000000005</v>
      </c>
      <c r="K10" s="86">
        <v>0.18187637600000001</v>
      </c>
      <c r="L10" s="86">
        <v>0</v>
      </c>
      <c r="M10" s="86">
        <v>0.2</v>
      </c>
      <c r="N10" s="86">
        <v>0</v>
      </c>
    </row>
    <row r="11" spans="1:46" ht="15" customHeight="1" x14ac:dyDescent="0.15">
      <c r="C11" s="86">
        <v>10</v>
      </c>
      <c r="D11"/>
      <c r="E11" s="182" t="s">
        <v>201</v>
      </c>
      <c r="F11" s="86">
        <v>0</v>
      </c>
      <c r="G11" s="86">
        <v>1.36</v>
      </c>
      <c r="H11" s="86">
        <v>0.154948488</v>
      </c>
      <c r="I11" s="86">
        <v>1.63696551</v>
      </c>
      <c r="J11" s="86">
        <v>0.91970010000000002</v>
      </c>
      <c r="K11" s="86">
        <v>9.4655920000000004E-2</v>
      </c>
      <c r="L11" s="86">
        <v>0</v>
      </c>
      <c r="M11" s="86">
        <v>0.2</v>
      </c>
      <c r="N11" s="86">
        <v>0</v>
      </c>
    </row>
    <row r="12" spans="1:46" ht="15" customHeight="1" x14ac:dyDescent="0.15">
      <c r="C12" s="86">
        <v>11</v>
      </c>
      <c r="D12"/>
      <c r="E12" s="182" t="s">
        <v>202</v>
      </c>
      <c r="F12" s="86">
        <v>0</v>
      </c>
      <c r="G12" s="86">
        <v>2.7497062699999999</v>
      </c>
      <c r="H12" s="86">
        <v>8.2697389999999996E-2</v>
      </c>
      <c r="I12" s="86">
        <v>1.69829977</v>
      </c>
      <c r="J12" s="86">
        <v>0.95</v>
      </c>
      <c r="K12" s="86">
        <v>4.8694226899999998E-2</v>
      </c>
      <c r="L12" s="86">
        <v>0</v>
      </c>
      <c r="M12" s="86">
        <v>0.2</v>
      </c>
      <c r="N12" s="86">
        <v>0</v>
      </c>
    </row>
    <row r="13" spans="1:46" ht="15" customHeight="1" x14ac:dyDescent="0.15">
      <c r="C13" s="86">
        <v>12</v>
      </c>
      <c r="D13"/>
      <c r="E13" s="182" t="s">
        <v>203</v>
      </c>
      <c r="F13" s="86">
        <v>0</v>
      </c>
      <c r="G13" s="86">
        <v>13.929038</v>
      </c>
      <c r="H13" s="86">
        <v>0.124046095</v>
      </c>
      <c r="I13" s="86">
        <v>2.5474495899999998</v>
      </c>
      <c r="J13" s="86">
        <v>0.95</v>
      </c>
      <c r="K13" s="86">
        <v>4.8694229999999998E-2</v>
      </c>
      <c r="L13" s="86">
        <v>0</v>
      </c>
      <c r="M13" s="86">
        <v>0.2</v>
      </c>
      <c r="N13" s="86">
        <v>0</v>
      </c>
    </row>
    <row r="14" spans="1:46" ht="15" customHeight="1" x14ac:dyDescent="0.15">
      <c r="C14" s="86">
        <v>13</v>
      </c>
      <c r="D14"/>
      <c r="E14" s="182" t="s">
        <v>204</v>
      </c>
      <c r="F14" s="86">
        <v>0</v>
      </c>
      <c r="G14" s="86">
        <v>0.92929289999999998</v>
      </c>
      <c r="H14" s="86">
        <v>2.989845E-2</v>
      </c>
      <c r="I14" s="86">
        <v>1.1929909999999999</v>
      </c>
      <c r="J14" s="86">
        <v>0.54918974600000003</v>
      </c>
      <c r="K14" s="86">
        <v>2.5061756399999999E-2</v>
      </c>
      <c r="L14" s="86">
        <v>0</v>
      </c>
      <c r="M14" s="86">
        <v>0.2</v>
      </c>
      <c r="N14" s="86">
        <v>0</v>
      </c>
    </row>
    <row r="15" spans="1:46" ht="15" customHeight="1" x14ac:dyDescent="0.15">
      <c r="C15" s="86">
        <v>14</v>
      </c>
      <c r="D15"/>
      <c r="E15" s="182" t="s">
        <v>205</v>
      </c>
      <c r="F15" s="86">
        <v>0</v>
      </c>
      <c r="G15" s="86">
        <v>0.28282800000000002</v>
      </c>
      <c r="H15" s="86">
        <v>3.9660689999999998E-2</v>
      </c>
      <c r="I15" s="86">
        <v>1.78948665</v>
      </c>
      <c r="J15" s="86">
        <v>0.69745760000000001</v>
      </c>
      <c r="K15" s="86">
        <v>2.2163165700000001E-2</v>
      </c>
      <c r="L15" s="86">
        <v>0</v>
      </c>
      <c r="M15" s="86">
        <v>0.2</v>
      </c>
      <c r="N15" s="86">
        <v>0</v>
      </c>
    </row>
    <row r="16" spans="1:46" ht="15" customHeight="1" x14ac:dyDescent="0.15">
      <c r="C16" s="86">
        <v>15</v>
      </c>
      <c r="D16"/>
      <c r="E16" s="182" t="s">
        <v>206</v>
      </c>
      <c r="F16" s="86">
        <v>0</v>
      </c>
      <c r="G16" s="86">
        <v>2.4073765300000001</v>
      </c>
      <c r="H16" s="86">
        <v>0.31669999999999998</v>
      </c>
      <c r="I16" s="86">
        <v>3.2709999999999999</v>
      </c>
      <c r="J16" s="86">
        <v>0.95</v>
      </c>
      <c r="K16" s="86">
        <v>9.6820550000000005E-2</v>
      </c>
      <c r="L16" s="86">
        <v>0</v>
      </c>
      <c r="M16" s="86">
        <v>0.2</v>
      </c>
      <c r="N16" s="86">
        <v>0</v>
      </c>
    </row>
    <row r="17" spans="1:22" ht="15" customHeight="1" x14ac:dyDescent="0.15">
      <c r="C17" s="86">
        <v>16</v>
      </c>
      <c r="D17"/>
      <c r="E17" s="182" t="s">
        <v>207</v>
      </c>
      <c r="F17" s="86">
        <v>0</v>
      </c>
      <c r="G17" s="86">
        <v>7.7864327400000004</v>
      </c>
      <c r="H17" s="86">
        <v>0.23462624800000001</v>
      </c>
      <c r="I17" s="86">
        <v>2.30448341</v>
      </c>
      <c r="J17" s="86">
        <v>0.95</v>
      </c>
      <c r="K17" s="86">
        <v>0.101812944</v>
      </c>
      <c r="L17" s="86">
        <v>0</v>
      </c>
      <c r="M17" s="86">
        <v>0.2</v>
      </c>
      <c r="N17" s="86">
        <v>0</v>
      </c>
      <c r="V17" s="1" t="s">
        <v>30</v>
      </c>
    </row>
    <row r="18" spans="1:22" ht="15" customHeight="1" x14ac:dyDescent="0.15">
      <c r="C18" s="86">
        <v>17</v>
      </c>
      <c r="D18"/>
      <c r="E18" s="182" t="s">
        <v>208</v>
      </c>
      <c r="F18" s="86">
        <v>0</v>
      </c>
      <c r="G18" s="86">
        <v>0.19168068499999999</v>
      </c>
      <c r="H18" s="86">
        <v>0.26736685599999999</v>
      </c>
      <c r="I18" s="86">
        <v>1.64357138</v>
      </c>
      <c r="J18" s="86">
        <v>0.95</v>
      </c>
      <c r="K18" s="86">
        <v>0.16267432300000001</v>
      </c>
      <c r="L18" s="86">
        <v>0</v>
      </c>
      <c r="M18" s="86">
        <v>0.2</v>
      </c>
      <c r="N18" s="86">
        <v>0</v>
      </c>
      <c r="V18" s="1"/>
    </row>
    <row r="19" spans="1:22" ht="15" customHeight="1" x14ac:dyDescent="0.15">
      <c r="C19" s="86">
        <v>18</v>
      </c>
      <c r="D19"/>
      <c r="E19" s="182" t="s">
        <v>209</v>
      </c>
      <c r="F19" s="86">
        <v>0</v>
      </c>
      <c r="G19" s="86">
        <v>0.46937400000000001</v>
      </c>
      <c r="H19" s="86">
        <v>0.23297052100000001</v>
      </c>
      <c r="I19" s="86">
        <v>1.7789106400000001</v>
      </c>
      <c r="J19" s="86">
        <v>0.80597160000000001</v>
      </c>
      <c r="K19" s="86">
        <v>0.130962461</v>
      </c>
      <c r="L19" s="86">
        <v>0</v>
      </c>
      <c r="M19" s="86">
        <v>0.2</v>
      </c>
      <c r="N19" s="86">
        <v>0</v>
      </c>
    </row>
    <row r="20" spans="1:22" ht="15" customHeight="1" thickBot="1" x14ac:dyDescent="0.2">
      <c r="C20" s="86">
        <v>19</v>
      </c>
      <c r="D20"/>
      <c r="E20" s="182" t="s">
        <v>210</v>
      </c>
      <c r="F20" s="86">
        <v>0</v>
      </c>
      <c r="G20" s="86">
        <v>7.8428399999999995E-2</v>
      </c>
      <c r="H20" s="86">
        <v>0.15885727099999999</v>
      </c>
      <c r="I20" s="86">
        <v>2.21049929</v>
      </c>
      <c r="J20" s="86">
        <v>0.95</v>
      </c>
      <c r="K20" s="86">
        <v>7.1864880000000006E-2</v>
      </c>
      <c r="L20" s="86">
        <v>0</v>
      </c>
      <c r="M20" s="86">
        <v>0.2</v>
      </c>
      <c r="N20" s="86">
        <v>0</v>
      </c>
    </row>
    <row r="21" spans="1:22" ht="15" customHeight="1" thickBot="1" x14ac:dyDescent="0.2">
      <c r="A21" s="47" t="s">
        <v>137</v>
      </c>
      <c r="B21" s="104"/>
      <c r="C21" s="86">
        <v>20</v>
      </c>
      <c r="D21"/>
      <c r="E21" s="182" t="s">
        <v>211</v>
      </c>
      <c r="F21" s="86">
        <v>0</v>
      </c>
      <c r="G21" s="86">
        <v>20.6644249</v>
      </c>
      <c r="H21" s="86">
        <v>0.11274495700000001</v>
      </c>
      <c r="I21" s="86">
        <v>1.7018868899999999</v>
      </c>
      <c r="J21" s="86">
        <v>0.95</v>
      </c>
      <c r="K21" s="86">
        <v>6.6247029999999998E-2</v>
      </c>
      <c r="L21" s="86">
        <v>0</v>
      </c>
      <c r="M21" s="86">
        <v>0.2</v>
      </c>
      <c r="N21" s="86">
        <v>0</v>
      </c>
    </row>
    <row r="22" spans="1:22" ht="15" customHeight="1" x14ac:dyDescent="0.15">
      <c r="A22" s="105" t="s">
        <v>58</v>
      </c>
      <c r="B22" s="106">
        <v>0</v>
      </c>
      <c r="C22" s="86">
        <v>21</v>
      </c>
      <c r="D22"/>
      <c r="E22" s="182" t="s">
        <v>212</v>
      </c>
      <c r="F22" s="86">
        <v>0</v>
      </c>
      <c r="G22" s="86">
        <v>1.6652315400000001E-3</v>
      </c>
      <c r="H22" s="86">
        <v>0.52957650000000001</v>
      </c>
      <c r="I22" s="86">
        <v>5.9403589999999999</v>
      </c>
      <c r="J22" s="86">
        <v>0.95</v>
      </c>
      <c r="K22" s="86">
        <v>8.9148900000000003E-2</v>
      </c>
      <c r="L22" s="86">
        <v>0</v>
      </c>
      <c r="M22" s="86">
        <v>0.2</v>
      </c>
      <c r="N22" s="86">
        <v>0</v>
      </c>
    </row>
    <row r="23" spans="1:22" ht="15" customHeight="1" x14ac:dyDescent="0.15">
      <c r="A23" s="105" t="s">
        <v>59</v>
      </c>
      <c r="B23" s="106">
        <v>1</v>
      </c>
      <c r="C23" s="86">
        <v>22</v>
      </c>
      <c r="D23"/>
      <c r="E23" s="182" t="s">
        <v>213</v>
      </c>
      <c r="F23" s="86">
        <v>0</v>
      </c>
      <c r="G23" s="86">
        <v>1.3331679999999999</v>
      </c>
      <c r="H23" s="86">
        <v>9.7818404400000003E-2</v>
      </c>
      <c r="I23" s="86">
        <v>1.1065166</v>
      </c>
      <c r="J23" s="86">
        <v>0.95</v>
      </c>
      <c r="K23" s="86">
        <v>8.8402114800000001E-2</v>
      </c>
      <c r="L23" s="86">
        <v>0</v>
      </c>
      <c r="M23" s="86">
        <v>0.2</v>
      </c>
      <c r="N23" s="86">
        <v>0</v>
      </c>
    </row>
    <row r="24" spans="1:22" ht="15" customHeight="1" x14ac:dyDescent="0.15">
      <c r="A24" s="105" t="s">
        <v>60</v>
      </c>
      <c r="B24" s="106">
        <v>2</v>
      </c>
      <c r="C24" s="86">
        <v>23</v>
      </c>
      <c r="D24"/>
      <c r="E24" s="182" t="s">
        <v>214</v>
      </c>
      <c r="F24" s="86">
        <v>0</v>
      </c>
      <c r="G24" s="86">
        <v>20.176788299999998</v>
      </c>
      <c r="H24" s="86">
        <v>0.14672760000000001</v>
      </c>
      <c r="I24" s="86">
        <v>1.659775</v>
      </c>
      <c r="J24" s="86">
        <v>0.95</v>
      </c>
      <c r="K24" s="86">
        <v>8.8402110000000006E-2</v>
      </c>
      <c r="L24" s="86">
        <v>0</v>
      </c>
      <c r="M24" s="86">
        <v>0.2</v>
      </c>
      <c r="N24" s="86">
        <v>0</v>
      </c>
    </row>
    <row r="25" spans="1:22" ht="15" customHeight="1" thickBot="1" x14ac:dyDescent="0.2">
      <c r="A25" s="107" t="s">
        <v>44</v>
      </c>
      <c r="B25" s="108">
        <v>3</v>
      </c>
      <c r="C25" s="86">
        <v>24</v>
      </c>
      <c r="D25"/>
      <c r="E25" s="182" t="s">
        <v>215</v>
      </c>
      <c r="F25" s="86">
        <v>0</v>
      </c>
      <c r="G25" s="86">
        <v>1.95799839</v>
      </c>
      <c r="H25" s="86">
        <v>0.154950112</v>
      </c>
      <c r="I25" s="86">
        <v>1.3859311299999999</v>
      </c>
      <c r="J25" s="86">
        <v>0.95</v>
      </c>
      <c r="K25" s="86">
        <v>0.111802176</v>
      </c>
      <c r="L25" s="86">
        <v>0</v>
      </c>
      <c r="M25" s="86">
        <v>0.2</v>
      </c>
      <c r="N25" s="86">
        <v>0</v>
      </c>
    </row>
    <row r="26" spans="1:22" ht="15" customHeight="1" x14ac:dyDescent="0.15">
      <c r="A26" s="109" t="s">
        <v>140</v>
      </c>
      <c r="C26" s="86">
        <v>25</v>
      </c>
      <c r="D26"/>
      <c r="E26" s="182" t="s">
        <v>216</v>
      </c>
      <c r="F26" s="86">
        <v>0</v>
      </c>
      <c r="G26" s="86">
        <v>20.553709999999999</v>
      </c>
      <c r="H26" s="86">
        <v>0.23242516799999999</v>
      </c>
      <c r="I26" s="86">
        <v>2.0788967600000001</v>
      </c>
      <c r="J26" s="86">
        <v>0.95</v>
      </c>
      <c r="K26" s="86">
        <v>0.11180216799999999</v>
      </c>
      <c r="L26" s="86">
        <v>0</v>
      </c>
      <c r="M26" s="86">
        <v>0.2</v>
      </c>
      <c r="N26" s="86">
        <v>0</v>
      </c>
    </row>
    <row r="27" spans="1:22" ht="15" customHeight="1" x14ac:dyDescent="0.15">
      <c r="C27" s="86">
        <v>26</v>
      </c>
      <c r="D27"/>
      <c r="E27" s="182" t="s">
        <v>217</v>
      </c>
      <c r="F27" s="86">
        <v>0</v>
      </c>
      <c r="G27" s="86">
        <v>7.9478535700000004</v>
      </c>
      <c r="H27" s="86">
        <v>0.56403239999999999</v>
      </c>
      <c r="I27" s="86">
        <v>4.4744109999999999</v>
      </c>
      <c r="J27" s="86">
        <v>0.95</v>
      </c>
      <c r="K27" s="86">
        <v>0.12605734199999999</v>
      </c>
      <c r="L27" s="86">
        <v>0</v>
      </c>
      <c r="M27" s="86">
        <v>0.2</v>
      </c>
      <c r="N27" s="86">
        <v>0</v>
      </c>
    </row>
    <row r="28" spans="1:22" ht="15" customHeight="1" x14ac:dyDescent="0.15">
      <c r="C28" s="86">
        <v>27</v>
      </c>
      <c r="D28"/>
      <c r="E28" s="182" t="s">
        <v>218</v>
      </c>
      <c r="F28" s="86">
        <v>0</v>
      </c>
      <c r="G28" s="86">
        <v>0.58740764899999998</v>
      </c>
      <c r="H28" s="86">
        <v>0.114273325</v>
      </c>
      <c r="I28" s="86">
        <v>1.3743388700000001</v>
      </c>
      <c r="J28" s="86">
        <v>0.95</v>
      </c>
      <c r="K28" s="86">
        <v>8.3147849999999995E-2</v>
      </c>
      <c r="L28" s="86">
        <v>0</v>
      </c>
      <c r="M28" s="86">
        <v>0.2</v>
      </c>
      <c r="N28" s="86">
        <v>0</v>
      </c>
    </row>
    <row r="29" spans="1:22" customFormat="1" ht="15" customHeight="1" x14ac:dyDescent="0.15">
      <c r="C29" s="86">
        <v>28</v>
      </c>
      <c r="E29" s="182" t="s">
        <v>219</v>
      </c>
      <c r="F29" s="86">
        <v>0</v>
      </c>
      <c r="G29" s="86">
        <v>0.57282346500000003</v>
      </c>
      <c r="H29" s="86">
        <v>0.101036631</v>
      </c>
      <c r="I29" s="86">
        <v>1.2651920000000001</v>
      </c>
      <c r="J29" s="86">
        <v>0.95</v>
      </c>
      <c r="K29" s="86">
        <v>7.9858730000000003E-2</v>
      </c>
      <c r="L29" s="86">
        <v>0</v>
      </c>
      <c r="M29" s="86">
        <v>0.2</v>
      </c>
      <c r="N29" s="86">
        <v>0</v>
      </c>
    </row>
    <row r="30" spans="1:22" customFormat="1" ht="15" customHeight="1" x14ac:dyDescent="0.15">
      <c r="C30" s="86">
        <v>29</v>
      </c>
      <c r="E30" s="182" t="s">
        <v>220</v>
      </c>
      <c r="F30" s="86">
        <v>0</v>
      </c>
      <c r="G30" s="86">
        <v>3.4225470000000001E-2</v>
      </c>
      <c r="H30" s="86">
        <v>0.27947846100000001</v>
      </c>
      <c r="I30" s="86">
        <v>4.0927653299999998</v>
      </c>
      <c r="J30" s="86">
        <v>0.95</v>
      </c>
      <c r="K30" s="86">
        <v>6.8285970000000001E-2</v>
      </c>
      <c r="L30" s="86">
        <v>0</v>
      </c>
      <c r="M30" s="86">
        <v>0.2</v>
      </c>
      <c r="N30" s="86">
        <v>0</v>
      </c>
    </row>
    <row r="31" spans="1:22" customFormat="1" ht="15" customHeight="1" x14ac:dyDescent="0.15">
      <c r="C31" s="86">
        <v>30</v>
      </c>
      <c r="E31" s="182" t="s">
        <v>221</v>
      </c>
      <c r="F31" s="86">
        <v>0</v>
      </c>
      <c r="G31" s="86">
        <v>16.0803452</v>
      </c>
      <c r="H31" s="86">
        <v>0.57799999999999996</v>
      </c>
      <c r="I31" s="86">
        <v>4.9000000000000004</v>
      </c>
      <c r="J31" s="86">
        <v>0.93506999999999996</v>
      </c>
      <c r="K31" s="86">
        <v>0.11795918599999999</v>
      </c>
      <c r="L31" s="86">
        <v>0</v>
      </c>
      <c r="M31" s="86">
        <v>0.2</v>
      </c>
      <c r="N31" s="86">
        <v>0</v>
      </c>
    </row>
    <row r="32" spans="1:22" customFormat="1" ht="15" customHeight="1" x14ac:dyDescent="0.15">
      <c r="C32" s="86">
        <v>31</v>
      </c>
      <c r="E32" s="182" t="s">
        <v>222</v>
      </c>
      <c r="F32" s="86">
        <v>0</v>
      </c>
      <c r="G32" s="86">
        <v>22.6911983</v>
      </c>
      <c r="H32" s="86">
        <v>0.98080129999999999</v>
      </c>
      <c r="I32" s="86">
        <v>4.9040064799999996</v>
      </c>
      <c r="J32" s="86">
        <v>0.95</v>
      </c>
      <c r="K32" s="86">
        <v>0.2</v>
      </c>
      <c r="L32" s="86">
        <v>0</v>
      </c>
      <c r="M32" s="86">
        <v>0.2</v>
      </c>
      <c r="N32" s="86">
        <v>0</v>
      </c>
    </row>
    <row r="33" spans="3:14" customFormat="1" ht="15" customHeight="1" x14ac:dyDescent="0.15">
      <c r="C33" s="86">
        <v>32</v>
      </c>
      <c r="E33" s="182" t="s">
        <v>223</v>
      </c>
      <c r="F33" s="86">
        <v>0</v>
      </c>
      <c r="G33" s="86">
        <v>9.2299500000000005</v>
      </c>
      <c r="H33" s="86">
        <v>0.57330656099999999</v>
      </c>
      <c r="I33" s="86">
        <v>3.6009495299999998</v>
      </c>
      <c r="J33" s="86">
        <v>0.95</v>
      </c>
      <c r="K33" s="86">
        <v>0.159209833</v>
      </c>
      <c r="L33" s="86">
        <v>0</v>
      </c>
      <c r="M33" s="86">
        <v>0.2</v>
      </c>
      <c r="N33" s="86">
        <v>0</v>
      </c>
    </row>
    <row r="34" spans="3:14" customFormat="1" ht="15" customHeight="1" x14ac:dyDescent="0.15">
      <c r="C34" s="86">
        <v>33</v>
      </c>
      <c r="E34" s="182" t="s">
        <v>224</v>
      </c>
      <c r="F34" s="86">
        <v>0</v>
      </c>
      <c r="G34" s="86">
        <v>6.05559826</v>
      </c>
      <c r="H34" s="86">
        <v>0.51048269999999996</v>
      </c>
      <c r="I34" s="86">
        <v>4.1310370000000001</v>
      </c>
      <c r="J34" s="86">
        <v>0.95</v>
      </c>
      <c r="K34" s="86">
        <v>0.123572528</v>
      </c>
      <c r="L34" s="86">
        <v>0</v>
      </c>
      <c r="M34" s="86">
        <v>0.2</v>
      </c>
      <c r="N34" s="86">
        <v>0</v>
      </c>
    </row>
    <row r="35" spans="3:14" customFormat="1" ht="15" customHeight="1" x14ac:dyDescent="0.15">
      <c r="C35" s="86">
        <v>34</v>
      </c>
      <c r="E35" s="182" t="s">
        <v>225</v>
      </c>
      <c r="F35" s="86">
        <v>0</v>
      </c>
      <c r="G35" s="86">
        <v>0.11514450599999999</v>
      </c>
      <c r="H35" s="86">
        <v>0.18279925</v>
      </c>
      <c r="I35" s="86">
        <v>1.9989951800000001</v>
      </c>
      <c r="J35" s="86">
        <v>0.95</v>
      </c>
      <c r="K35" s="86">
        <v>9.1445565199999995E-2</v>
      </c>
      <c r="L35" s="86">
        <v>0</v>
      </c>
      <c r="M35" s="86">
        <v>0.2</v>
      </c>
      <c r="N35" s="86">
        <v>0</v>
      </c>
    </row>
    <row r="36" spans="3:14" customFormat="1" ht="15" customHeight="1" x14ac:dyDescent="0.15">
      <c r="C36" s="86">
        <v>35</v>
      </c>
      <c r="E36" s="182" t="s">
        <v>226</v>
      </c>
      <c r="F36" s="86">
        <v>0</v>
      </c>
      <c r="G36" s="86">
        <v>2.0131492600000001</v>
      </c>
      <c r="H36" s="86">
        <v>0.63838170000000005</v>
      </c>
      <c r="I36" s="86">
        <v>5.2910275499999999</v>
      </c>
      <c r="J36" s="86">
        <v>0.95</v>
      </c>
      <c r="K36" s="86">
        <v>0.12065363699999999</v>
      </c>
      <c r="L36" s="86">
        <v>0</v>
      </c>
      <c r="M36" s="86">
        <v>0.2</v>
      </c>
      <c r="N36" s="86">
        <v>0</v>
      </c>
    </row>
    <row r="37" spans="3:14" customFormat="1" ht="15" customHeight="1" x14ac:dyDescent="0.15">
      <c r="C37" s="86">
        <v>36</v>
      </c>
      <c r="E37" s="182" t="s">
        <v>227</v>
      </c>
      <c r="F37" s="86">
        <v>0</v>
      </c>
      <c r="G37" s="86">
        <v>10.392433199999999</v>
      </c>
      <c r="H37" s="86">
        <v>1.4220422500000001</v>
      </c>
      <c r="I37" s="86">
        <v>4.7893819999999998</v>
      </c>
      <c r="J37" s="86">
        <v>0.95</v>
      </c>
      <c r="K37" s="86">
        <v>0.2969156</v>
      </c>
      <c r="L37" s="86">
        <v>0</v>
      </c>
      <c r="M37" s="86">
        <v>0.2</v>
      </c>
      <c r="N37" s="86">
        <v>0</v>
      </c>
    </row>
    <row r="38" spans="3:14" customFormat="1" ht="15" customHeight="1" x14ac:dyDescent="0.15">
      <c r="C38" s="86">
        <v>37</v>
      </c>
      <c r="E38" s="182" t="s">
        <v>228</v>
      </c>
      <c r="F38" s="86">
        <v>0</v>
      </c>
      <c r="G38" s="86">
        <v>3.33539772</v>
      </c>
      <c r="H38" s="86">
        <v>0.6</v>
      </c>
      <c r="I38" s="86">
        <v>4</v>
      </c>
      <c r="J38" s="86">
        <v>0.95</v>
      </c>
      <c r="K38" s="86">
        <v>0.15</v>
      </c>
      <c r="L38" s="86">
        <v>0</v>
      </c>
      <c r="M38" s="86">
        <v>0.2</v>
      </c>
      <c r="N38" s="86">
        <v>0</v>
      </c>
    </row>
    <row r="39" spans="3:14" customFormat="1" ht="15" customHeight="1" x14ac:dyDescent="0.15">
      <c r="C39" s="86">
        <v>38</v>
      </c>
      <c r="E39" s="182" t="s">
        <v>229</v>
      </c>
      <c r="F39" s="86">
        <v>0</v>
      </c>
      <c r="G39" s="86">
        <v>8.8851169999999993</v>
      </c>
      <c r="H39" s="86">
        <v>0.5</v>
      </c>
      <c r="I39" s="86">
        <v>3.3333332499999999</v>
      </c>
      <c r="J39" s="86">
        <v>0.95</v>
      </c>
      <c r="K39" s="86">
        <v>0.15</v>
      </c>
      <c r="L39" s="86">
        <v>0</v>
      </c>
      <c r="M39" s="86">
        <v>0.2</v>
      </c>
      <c r="N39" s="86">
        <v>0</v>
      </c>
    </row>
    <row r="40" spans="3:14" customFormat="1" ht="15" customHeight="1" x14ac:dyDescent="0.15">
      <c r="C40" s="86">
        <v>39</v>
      </c>
      <c r="E40" s="182" t="s">
        <v>230</v>
      </c>
      <c r="F40" s="86">
        <v>0</v>
      </c>
      <c r="G40" s="86">
        <v>0.17443400000000001</v>
      </c>
      <c r="H40" s="86">
        <v>0.38</v>
      </c>
      <c r="I40" s="86">
        <v>4.42</v>
      </c>
      <c r="J40" s="86">
        <v>0.30977243199999999</v>
      </c>
      <c r="K40" s="86">
        <v>8.59728456E-2</v>
      </c>
      <c r="L40" s="86">
        <v>0</v>
      </c>
      <c r="M40" s="86">
        <v>0.2</v>
      </c>
      <c r="N40" s="86">
        <v>0</v>
      </c>
    </row>
    <row r="41" spans="3:14" customFormat="1" ht="15" customHeight="1" x14ac:dyDescent="0.15">
      <c r="C41" s="86">
        <v>40</v>
      </c>
      <c r="E41" s="182" t="s">
        <v>231</v>
      </c>
      <c r="F41" s="86">
        <v>0</v>
      </c>
      <c r="G41" s="86">
        <v>27.417135200000001</v>
      </c>
      <c r="H41" s="86">
        <v>0.38</v>
      </c>
      <c r="I41" s="86">
        <v>4.42</v>
      </c>
      <c r="J41" s="86">
        <v>0.95</v>
      </c>
      <c r="K41" s="86">
        <v>8.59728456E-2</v>
      </c>
      <c r="L41" s="86">
        <v>0</v>
      </c>
      <c r="M41" s="86">
        <v>0.2</v>
      </c>
      <c r="N41" s="86">
        <v>0</v>
      </c>
    </row>
    <row r="42" spans="3:14" customFormat="1" ht="15" customHeight="1" x14ac:dyDescent="0.15">
      <c r="C42" s="86">
        <v>41</v>
      </c>
      <c r="E42" s="182" t="s">
        <v>232</v>
      </c>
      <c r="F42" s="86">
        <v>0</v>
      </c>
      <c r="G42" s="86">
        <v>1.8728433199999998E-2</v>
      </c>
      <c r="H42" s="86">
        <v>0.38</v>
      </c>
      <c r="I42" s="86">
        <v>4.42</v>
      </c>
      <c r="J42" s="86">
        <v>0.95</v>
      </c>
      <c r="K42" s="86">
        <v>8.59728456E-2</v>
      </c>
      <c r="L42" s="86">
        <v>0</v>
      </c>
      <c r="M42" s="86">
        <v>0.2</v>
      </c>
      <c r="N42" s="86">
        <v>0</v>
      </c>
    </row>
    <row r="43" spans="3:14" customFormat="1" ht="15" customHeight="1" x14ac:dyDescent="0.15">
      <c r="C43" s="86">
        <v>42</v>
      </c>
      <c r="E43" s="182" t="s">
        <v>233</v>
      </c>
      <c r="F43" s="86">
        <v>0</v>
      </c>
      <c r="G43" s="86">
        <v>14.4765444</v>
      </c>
      <c r="H43" s="86">
        <v>1.45</v>
      </c>
      <c r="I43" s="86">
        <v>9.67</v>
      </c>
      <c r="J43" s="86">
        <v>0.95</v>
      </c>
      <c r="K43" s="86">
        <v>0.14994830000000001</v>
      </c>
      <c r="L43" s="86">
        <v>0</v>
      </c>
      <c r="M43" s="86">
        <v>0.2</v>
      </c>
      <c r="N43" s="86">
        <v>0</v>
      </c>
    </row>
    <row r="44" spans="3:14" customFormat="1" ht="15" customHeight="1" x14ac:dyDescent="0.15">
      <c r="C44" s="86">
        <v>43</v>
      </c>
      <c r="E44" s="182" t="s">
        <v>234</v>
      </c>
      <c r="F44" s="86">
        <v>0</v>
      </c>
      <c r="G44" s="86">
        <v>61.278709999999997</v>
      </c>
      <c r="H44" s="86">
        <v>0.6</v>
      </c>
      <c r="I44" s="86">
        <v>6.67</v>
      </c>
      <c r="J44" s="86">
        <v>0.95</v>
      </c>
      <c r="K44" s="86">
        <v>8.99550244E-2</v>
      </c>
      <c r="L44" s="86">
        <v>0</v>
      </c>
      <c r="M44" s="86">
        <v>0.2</v>
      </c>
      <c r="N44" s="86">
        <v>0</v>
      </c>
    </row>
    <row r="45" spans="3:14" customFormat="1" ht="15" customHeight="1" x14ac:dyDescent="0.15">
      <c r="C45" s="86">
        <v>44</v>
      </c>
      <c r="E45" s="182" t="s">
        <v>235</v>
      </c>
      <c r="F45" s="86">
        <v>0</v>
      </c>
      <c r="G45" s="86">
        <v>25.290258399999999</v>
      </c>
      <c r="H45" s="86">
        <v>2</v>
      </c>
      <c r="I45" s="86">
        <v>6.33</v>
      </c>
      <c r="J45" s="86">
        <v>0.95</v>
      </c>
      <c r="K45" s="86">
        <v>0.31595575799999998</v>
      </c>
      <c r="L45" s="86">
        <v>0</v>
      </c>
      <c r="M45" s="86">
        <v>0.2</v>
      </c>
      <c r="N45" s="86">
        <v>0</v>
      </c>
    </row>
    <row r="46" spans="3:14" customFormat="1" ht="15" customHeight="1" x14ac:dyDescent="0.15">
      <c r="C46" s="86">
        <v>45</v>
      </c>
      <c r="E46" s="182" t="s">
        <v>236</v>
      </c>
      <c r="F46" s="86">
        <v>0</v>
      </c>
      <c r="G46" s="86">
        <v>66.517290000000003</v>
      </c>
      <c r="H46" s="86">
        <v>0.56999999999999995</v>
      </c>
      <c r="I46" s="86">
        <v>22.22</v>
      </c>
      <c r="J46" s="86">
        <v>0.95</v>
      </c>
      <c r="K46" s="86">
        <v>2.56525651E-2</v>
      </c>
      <c r="L46" s="86">
        <v>0</v>
      </c>
      <c r="M46" s="86">
        <v>0.2</v>
      </c>
      <c r="N46" s="86">
        <v>0</v>
      </c>
    </row>
    <row r="47" spans="3:14" customFormat="1" ht="15" customHeight="1" x14ac:dyDescent="0.15">
      <c r="C47" s="86">
        <v>46</v>
      </c>
      <c r="E47" s="182" t="s">
        <v>237</v>
      </c>
      <c r="F47" s="86">
        <v>0</v>
      </c>
      <c r="G47" s="86">
        <v>28.7238522</v>
      </c>
      <c r="H47" s="86">
        <v>2.5</v>
      </c>
      <c r="I47" s="86">
        <v>12.5</v>
      </c>
      <c r="J47" s="86">
        <v>0.95</v>
      </c>
      <c r="K47" s="86">
        <v>0.2</v>
      </c>
      <c r="L47" s="86">
        <v>0</v>
      </c>
      <c r="M47" s="86">
        <v>0.2</v>
      </c>
      <c r="N47" s="86">
        <v>0</v>
      </c>
    </row>
    <row r="48" spans="3:14" customFormat="1" ht="15" customHeight="1" x14ac:dyDescent="0.15">
      <c r="C48" s="86">
        <v>47</v>
      </c>
      <c r="E48" s="182" t="s">
        <v>238</v>
      </c>
      <c r="F48" s="86">
        <v>0</v>
      </c>
      <c r="G48" s="86">
        <v>94.053719999999998</v>
      </c>
      <c r="H48" s="86">
        <v>3.4329999999999998</v>
      </c>
      <c r="I48" s="86">
        <v>13.731999999999999</v>
      </c>
      <c r="J48" s="86">
        <v>0.95</v>
      </c>
      <c r="K48" s="86">
        <v>0.25</v>
      </c>
      <c r="L48" s="86">
        <v>0</v>
      </c>
      <c r="M48" s="86">
        <v>0.2</v>
      </c>
      <c r="N48" s="86">
        <v>0</v>
      </c>
    </row>
    <row r="49" spans="3:14" customFormat="1" ht="15" customHeight="1" x14ac:dyDescent="0.15">
      <c r="C49" s="86">
        <v>48</v>
      </c>
      <c r="E49" s="182" t="s">
        <v>239</v>
      </c>
      <c r="F49" s="86">
        <v>0</v>
      </c>
      <c r="G49" s="86">
        <v>107.398651</v>
      </c>
      <c r="H49" s="86">
        <v>8.4</v>
      </c>
      <c r="I49" s="86">
        <v>27.999998099999999</v>
      </c>
      <c r="J49" s="86">
        <v>0.95</v>
      </c>
      <c r="K49" s="86">
        <v>0.3</v>
      </c>
      <c r="L49" s="86">
        <v>0</v>
      </c>
      <c r="M49" s="86">
        <v>0.2</v>
      </c>
      <c r="N49" s="86">
        <v>0</v>
      </c>
    </row>
    <row r="50" spans="3:14" customFormat="1" ht="15" customHeight="1" x14ac:dyDescent="0.15">
      <c r="C50" s="86">
        <v>49</v>
      </c>
      <c r="E50" s="182" t="s">
        <v>240</v>
      </c>
      <c r="F50" s="86">
        <v>1</v>
      </c>
      <c r="G50" s="86">
        <v>75.122079999999997</v>
      </c>
      <c r="H50" s="86">
        <v>93.1</v>
      </c>
      <c r="I50" s="86">
        <v>0</v>
      </c>
      <c r="J50" s="86">
        <v>0.5</v>
      </c>
      <c r="K50" s="86">
        <v>0</v>
      </c>
      <c r="L50" s="86">
        <v>0</v>
      </c>
      <c r="M50" s="86">
        <v>0</v>
      </c>
      <c r="N50" s="86">
        <v>0</v>
      </c>
    </row>
    <row r="51" spans="3:14" customFormat="1" ht="15" customHeight="1" x14ac:dyDescent="0.15">
      <c r="C51" s="86">
        <v>50</v>
      </c>
      <c r="E51" s="182" t="s">
        <v>241</v>
      </c>
      <c r="F51" s="86">
        <v>2</v>
      </c>
      <c r="G51" s="86">
        <v>546.61199999999997</v>
      </c>
      <c r="H51" s="86">
        <v>0</v>
      </c>
      <c r="I51" s="86">
        <v>0</v>
      </c>
      <c r="J51" s="86">
        <v>0.58651286400000002</v>
      </c>
      <c r="K51" s="86">
        <v>0</v>
      </c>
      <c r="L51" s="86">
        <v>0</v>
      </c>
      <c r="M51" s="86">
        <v>0</v>
      </c>
      <c r="N51" s="86">
        <v>0</v>
      </c>
    </row>
    <row r="52" spans="3:14" customFormat="1" ht="15" customHeight="1" x14ac:dyDescent="0.15">
      <c r="C52" s="86">
        <v>51</v>
      </c>
      <c r="E52" s="182" t="s">
        <v>242</v>
      </c>
      <c r="F52" s="86">
        <v>2</v>
      </c>
      <c r="G52" s="86">
        <v>5</v>
      </c>
      <c r="H52" s="86">
        <v>0</v>
      </c>
      <c r="I52" s="86">
        <v>0</v>
      </c>
      <c r="J52" s="86">
        <v>0</v>
      </c>
      <c r="K52" s="86">
        <v>0</v>
      </c>
      <c r="L52" s="86">
        <v>0</v>
      </c>
      <c r="M52" s="86">
        <v>0</v>
      </c>
      <c r="N52" s="86">
        <v>0</v>
      </c>
    </row>
    <row r="53" spans="3:14" customFormat="1" ht="15" customHeight="1" x14ac:dyDescent="0.15">
      <c r="C53" s="86">
        <v>52</v>
      </c>
      <c r="E53" s="182" t="s">
        <v>243</v>
      </c>
      <c r="F53" s="86">
        <v>3</v>
      </c>
      <c r="G53" s="86">
        <v>0</v>
      </c>
      <c r="H53" s="86">
        <v>0</v>
      </c>
      <c r="I53" s="86">
        <v>0</v>
      </c>
      <c r="J53" s="86">
        <v>0</v>
      </c>
      <c r="K53" s="86">
        <v>0</v>
      </c>
      <c r="L53" s="86">
        <v>0</v>
      </c>
      <c r="M53" s="86">
        <v>0</v>
      </c>
      <c r="N53" s="86">
        <v>0</v>
      </c>
    </row>
    <row r="54" spans="3:14" customFormat="1" ht="15" customHeight="1" x14ac:dyDescent="0.15">
      <c r="C54" s="86">
        <v>53</v>
      </c>
      <c r="E54" s="182" t="s">
        <v>244</v>
      </c>
      <c r="F54" s="86">
        <v>3</v>
      </c>
      <c r="G54" s="86">
        <v>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0</v>
      </c>
      <c r="N54" s="86">
        <v>0</v>
      </c>
    </row>
    <row r="55" spans="3:14" customFormat="1" ht="15" customHeight="1" x14ac:dyDescent="0.15">
      <c r="C55" s="86">
        <v>54</v>
      </c>
      <c r="E55" s="182" t="s">
        <v>245</v>
      </c>
      <c r="F55" s="86">
        <v>3</v>
      </c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0</v>
      </c>
      <c r="N55" s="86">
        <v>0</v>
      </c>
    </row>
    <row r="56" spans="3:14" customFormat="1" ht="15" customHeight="1" x14ac:dyDescent="0.15">
      <c r="C56" s="86">
        <v>55</v>
      </c>
      <c r="E56" s="182" t="s">
        <v>246</v>
      </c>
      <c r="F56" s="86">
        <v>3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0</v>
      </c>
      <c r="N56" s="86">
        <v>0</v>
      </c>
    </row>
    <row r="57" spans="3:14" customFormat="1" ht="15" customHeight="1" x14ac:dyDescent="0.15">
      <c r="C57" s="86">
        <v>56</v>
      </c>
      <c r="E57" s="182" t="s">
        <v>247</v>
      </c>
      <c r="F57" s="86">
        <v>3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0</v>
      </c>
      <c r="N57" s="86">
        <v>0</v>
      </c>
    </row>
    <row r="58" spans="3:14" customFormat="1" ht="15" customHeight="1" x14ac:dyDescent="0.15"/>
    <row r="59" spans="3:14" customFormat="1" ht="15" customHeight="1" x14ac:dyDescent="0.15"/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Z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5" style="147" bestFit="1" customWidth="1"/>
    <col min="2" max="2" width="6.83203125" style="147" bestFit="1" customWidth="1"/>
    <col min="3" max="6" width="15.83203125" style="147" bestFit="1" customWidth="1"/>
    <col min="7" max="7" width="3.83203125" style="147" bestFit="1" customWidth="1"/>
    <col min="8" max="8" width="15.83203125" style="147" bestFit="1" customWidth="1"/>
    <col min="9" max="9" width="6.83203125" style="147" bestFit="1" customWidth="1"/>
    <col min="10" max="10" width="15.83203125" style="147" bestFit="1" customWidth="1"/>
    <col min="11" max="11" width="6.83203125" style="147" bestFit="1" customWidth="1"/>
    <col min="12" max="15" width="15.83203125" style="147" bestFit="1" customWidth="1"/>
    <col min="16" max="16" width="13.83203125" style="147" bestFit="1" customWidth="1"/>
    <col min="17" max="17" width="5.83203125" style="147" bestFit="1" customWidth="1"/>
    <col min="18" max="18" width="6.83203125" style="147" bestFit="1" customWidth="1"/>
    <col min="19" max="19" width="15.83203125" style="147" bestFit="1" customWidth="1"/>
    <col min="20" max="20" width="6.83203125" style="147" bestFit="1" customWidth="1"/>
    <col min="21" max="21" width="14.83203125" style="147" bestFit="1" customWidth="1"/>
    <col min="22" max="22" width="4.83203125" style="147" bestFit="1" customWidth="1"/>
    <col min="23" max="23" width="15.83203125" style="147" bestFit="1" customWidth="1"/>
    <col min="24" max="24" width="6.83203125" style="147" bestFit="1" customWidth="1"/>
    <col min="25" max="26" width="15.83203125" style="147" bestFit="1" customWidth="1"/>
    <col min="27" max="29" width="5.83203125" style="147" bestFit="1" customWidth="1"/>
    <col min="30" max="30" width="6.83203125" style="147" customWidth="1"/>
    <col min="31" max="31" width="5.83203125" style="147" customWidth="1"/>
    <col min="32" max="32" width="4.83203125" style="147" customWidth="1"/>
    <col min="33" max="34" width="5.83203125" style="147" customWidth="1"/>
    <col min="35" max="35" width="15.83203125" style="147" customWidth="1"/>
    <col min="36" max="37" width="4.83203125" style="147" customWidth="1"/>
    <col min="38" max="38" width="15.83203125" style="147" customWidth="1"/>
    <col min="39" max="39" width="3.83203125" style="147" customWidth="1"/>
    <col min="40" max="40" width="5.83203125" style="147" customWidth="1"/>
    <col min="41" max="42" width="4.83203125" style="147" customWidth="1"/>
    <col min="43" max="43" width="13.83203125" style="147" customWidth="1"/>
    <col min="44" max="47" width="2.33203125" style="147" customWidth="1"/>
    <col min="48" max="48" width="4.83203125" style="147" customWidth="1"/>
    <col min="49" max="52" width="2.33203125" style="147" customWidth="1"/>
    <col min="53" max="16384" width="8.83203125" style="147"/>
  </cols>
  <sheetData>
    <row r="1" spans="1:52" x14ac:dyDescent="0.15">
      <c r="A1" s="146" t="s">
        <v>19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  <c r="AI1" s="184" t="s">
        <v>225</v>
      </c>
      <c r="AJ1" s="184" t="s">
        <v>226</v>
      </c>
      <c r="AK1" s="184" t="s">
        <v>227</v>
      </c>
      <c r="AL1" s="184" t="s">
        <v>228</v>
      </c>
      <c r="AM1" s="184" t="s">
        <v>229</v>
      </c>
      <c r="AN1" s="184" t="s">
        <v>230</v>
      </c>
      <c r="AO1" s="184" t="s">
        <v>231</v>
      </c>
      <c r="AP1" s="184" t="s">
        <v>232</v>
      </c>
      <c r="AQ1" s="184" t="s">
        <v>233</v>
      </c>
      <c r="AR1" s="184" t="s">
        <v>234</v>
      </c>
      <c r="AS1" s="184" t="s">
        <v>235</v>
      </c>
      <c r="AT1" s="184" t="s">
        <v>236</v>
      </c>
      <c r="AU1" s="184" t="s">
        <v>237</v>
      </c>
      <c r="AV1" s="184" t="s">
        <v>238</v>
      </c>
      <c r="AW1" s="184" t="s">
        <v>239</v>
      </c>
      <c r="AX1" s="184" t="s">
        <v>240</v>
      </c>
      <c r="AY1" s="184" t="s">
        <v>241</v>
      </c>
      <c r="AZ1" s="184" t="s">
        <v>242</v>
      </c>
    </row>
    <row r="2" spans="1:52" customFormat="1" x14ac:dyDescent="0.15">
      <c r="A2" s="183" t="s">
        <v>192</v>
      </c>
      <c r="B2" s="147">
        <v>0</v>
      </c>
      <c r="C2" s="147">
        <v>0</v>
      </c>
      <c r="D2" s="147">
        <v>0</v>
      </c>
      <c r="E2" s="147">
        <v>0</v>
      </c>
      <c r="F2" s="147">
        <v>0</v>
      </c>
      <c r="G2" s="147">
        <v>0</v>
      </c>
      <c r="H2" s="147">
        <v>0</v>
      </c>
      <c r="I2" s="147">
        <v>0</v>
      </c>
      <c r="J2" s="147">
        <v>0</v>
      </c>
      <c r="K2" s="147">
        <v>0</v>
      </c>
      <c r="L2" s="147">
        <v>0</v>
      </c>
      <c r="M2" s="147">
        <v>0</v>
      </c>
      <c r="N2" s="147">
        <v>0</v>
      </c>
      <c r="O2" s="147">
        <v>0</v>
      </c>
      <c r="P2" s="147">
        <v>0</v>
      </c>
      <c r="Q2" s="147">
        <v>0</v>
      </c>
      <c r="R2" s="147">
        <v>0</v>
      </c>
      <c r="S2" s="147">
        <v>0</v>
      </c>
      <c r="T2" s="147">
        <v>0</v>
      </c>
      <c r="U2" s="147">
        <v>0</v>
      </c>
      <c r="V2" s="147">
        <v>0</v>
      </c>
      <c r="W2" s="147">
        <v>0</v>
      </c>
      <c r="X2" s="147">
        <v>0</v>
      </c>
      <c r="Y2" s="147">
        <v>0</v>
      </c>
      <c r="Z2" s="147">
        <v>0</v>
      </c>
      <c r="AA2" s="147">
        <v>0</v>
      </c>
      <c r="AB2" s="147">
        <v>0</v>
      </c>
      <c r="AC2" s="147">
        <v>0</v>
      </c>
      <c r="AD2" s="147">
        <v>0</v>
      </c>
      <c r="AE2" s="147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47">
        <v>0</v>
      </c>
      <c r="AL2" s="147">
        <v>0</v>
      </c>
      <c r="AM2" s="147">
        <v>0</v>
      </c>
      <c r="AN2" s="147">
        <v>0</v>
      </c>
      <c r="AO2" s="147">
        <v>0</v>
      </c>
      <c r="AP2" s="147">
        <v>0</v>
      </c>
      <c r="AQ2" s="147">
        <v>0</v>
      </c>
      <c r="AR2" s="147">
        <v>0</v>
      </c>
      <c r="AS2" s="147">
        <v>0</v>
      </c>
      <c r="AT2" s="147">
        <v>0</v>
      </c>
      <c r="AU2" s="147">
        <v>0</v>
      </c>
      <c r="AV2" s="147">
        <v>0</v>
      </c>
      <c r="AW2" s="147">
        <v>0</v>
      </c>
      <c r="AX2" s="147">
        <v>0</v>
      </c>
      <c r="AY2" s="147">
        <v>0</v>
      </c>
      <c r="AZ2" s="147">
        <v>0</v>
      </c>
    </row>
    <row r="3" spans="1:52" customFormat="1" x14ac:dyDescent="0.15">
      <c r="A3" s="183" t="s">
        <v>193</v>
      </c>
      <c r="B3" s="147">
        <v>0</v>
      </c>
      <c r="C3" s="147">
        <v>0</v>
      </c>
      <c r="D3" s="147">
        <v>0</v>
      </c>
      <c r="E3" s="147">
        <v>0</v>
      </c>
      <c r="F3" s="147">
        <v>0</v>
      </c>
      <c r="G3" s="147">
        <v>0</v>
      </c>
      <c r="H3" s="147">
        <v>0</v>
      </c>
      <c r="I3" s="147">
        <v>0</v>
      </c>
      <c r="J3" s="147">
        <v>0</v>
      </c>
      <c r="K3" s="147">
        <v>0</v>
      </c>
      <c r="L3" s="147">
        <v>0</v>
      </c>
      <c r="M3" s="147">
        <v>0</v>
      </c>
      <c r="N3" s="147">
        <v>0</v>
      </c>
      <c r="O3" s="147">
        <v>0</v>
      </c>
      <c r="P3" s="147">
        <v>0</v>
      </c>
      <c r="Q3" s="147">
        <v>0</v>
      </c>
      <c r="R3" s="147">
        <v>0</v>
      </c>
      <c r="S3" s="147">
        <v>0</v>
      </c>
      <c r="T3" s="147">
        <v>0</v>
      </c>
      <c r="U3" s="147">
        <v>0</v>
      </c>
      <c r="V3" s="147">
        <v>0</v>
      </c>
      <c r="W3" s="147">
        <v>0</v>
      </c>
      <c r="X3" s="147">
        <v>0</v>
      </c>
      <c r="Y3" s="147">
        <v>0</v>
      </c>
      <c r="Z3" s="147">
        <v>0</v>
      </c>
      <c r="AA3" s="147">
        <v>0</v>
      </c>
      <c r="AB3" s="147">
        <v>0</v>
      </c>
      <c r="AC3" s="147">
        <v>0</v>
      </c>
      <c r="AD3" s="147">
        <v>0</v>
      </c>
      <c r="AE3" s="147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47">
        <v>0</v>
      </c>
      <c r="AL3" s="147">
        <v>0</v>
      </c>
      <c r="AM3" s="147">
        <v>0</v>
      </c>
      <c r="AN3" s="147">
        <v>0</v>
      </c>
      <c r="AO3" s="147">
        <v>0</v>
      </c>
      <c r="AP3" s="147">
        <v>0</v>
      </c>
      <c r="AQ3" s="147">
        <v>0</v>
      </c>
      <c r="AR3" s="147">
        <v>0</v>
      </c>
      <c r="AS3" s="147">
        <v>0</v>
      </c>
      <c r="AT3" s="147">
        <v>0</v>
      </c>
      <c r="AU3" s="147">
        <v>0</v>
      </c>
      <c r="AV3" s="147">
        <v>0</v>
      </c>
      <c r="AW3" s="147">
        <v>0</v>
      </c>
      <c r="AX3" s="147">
        <v>0</v>
      </c>
      <c r="AY3" s="147">
        <v>0</v>
      </c>
      <c r="AZ3" s="147">
        <v>0</v>
      </c>
    </row>
    <row r="4" spans="1:52" customFormat="1" x14ac:dyDescent="0.15">
      <c r="A4" s="183" t="s">
        <v>194</v>
      </c>
      <c r="B4" s="147">
        <v>1E-3</v>
      </c>
      <c r="C4" s="147">
        <v>0</v>
      </c>
      <c r="D4" s="147">
        <v>0</v>
      </c>
      <c r="E4" s="147">
        <v>0</v>
      </c>
      <c r="F4" s="147">
        <v>0</v>
      </c>
      <c r="G4" s="147">
        <v>0</v>
      </c>
      <c r="H4" s="147">
        <v>0</v>
      </c>
      <c r="I4" s="147">
        <v>0</v>
      </c>
      <c r="J4" s="147">
        <v>0</v>
      </c>
      <c r="K4" s="147">
        <v>0</v>
      </c>
      <c r="L4" s="147">
        <v>0</v>
      </c>
      <c r="M4" s="147">
        <v>0</v>
      </c>
      <c r="N4" s="147">
        <v>0</v>
      </c>
      <c r="O4" s="147">
        <v>0</v>
      </c>
      <c r="P4" s="147">
        <v>0</v>
      </c>
      <c r="Q4" s="147">
        <v>0</v>
      </c>
      <c r="R4" s="147">
        <v>0</v>
      </c>
      <c r="S4" s="147">
        <v>0</v>
      </c>
      <c r="T4" s="147">
        <v>0</v>
      </c>
      <c r="U4" s="147">
        <v>0</v>
      </c>
      <c r="V4" s="147">
        <v>0</v>
      </c>
      <c r="W4" s="147">
        <v>0</v>
      </c>
      <c r="X4" s="147">
        <v>0</v>
      </c>
      <c r="Y4" s="147">
        <v>0</v>
      </c>
      <c r="Z4" s="147">
        <v>0</v>
      </c>
      <c r="AA4" s="147">
        <v>0</v>
      </c>
      <c r="AB4" s="147">
        <v>0</v>
      </c>
      <c r="AC4" s="147">
        <v>0</v>
      </c>
      <c r="AD4" s="147">
        <v>0</v>
      </c>
      <c r="AE4" s="147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47">
        <v>0</v>
      </c>
      <c r="AL4" s="147">
        <v>0</v>
      </c>
      <c r="AM4" s="147">
        <v>0</v>
      </c>
      <c r="AN4" s="147">
        <v>0</v>
      </c>
      <c r="AO4" s="147">
        <v>0</v>
      </c>
      <c r="AP4" s="147">
        <v>0</v>
      </c>
      <c r="AQ4" s="147">
        <v>0</v>
      </c>
      <c r="AR4" s="147">
        <v>0</v>
      </c>
      <c r="AS4" s="147">
        <v>0</v>
      </c>
      <c r="AT4" s="147">
        <v>0</v>
      </c>
      <c r="AU4" s="147">
        <v>0</v>
      </c>
      <c r="AV4" s="147">
        <v>0</v>
      </c>
      <c r="AW4" s="147">
        <v>0</v>
      </c>
      <c r="AX4" s="147">
        <v>0</v>
      </c>
      <c r="AY4" s="147">
        <v>0</v>
      </c>
      <c r="AZ4" s="147">
        <v>0</v>
      </c>
    </row>
    <row r="5" spans="1:52" customFormat="1" x14ac:dyDescent="0.15">
      <c r="A5" s="183" t="s">
        <v>195</v>
      </c>
      <c r="B5" s="147">
        <v>1E-3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0</v>
      </c>
      <c r="Q5" s="147">
        <v>0</v>
      </c>
      <c r="R5" s="147">
        <v>0</v>
      </c>
      <c r="S5" s="147">
        <v>0</v>
      </c>
      <c r="T5" s="147">
        <v>0</v>
      </c>
      <c r="U5" s="147">
        <v>0</v>
      </c>
      <c r="V5" s="147">
        <v>0</v>
      </c>
      <c r="W5" s="147">
        <v>0</v>
      </c>
      <c r="X5" s="147">
        <v>0</v>
      </c>
      <c r="Y5" s="147">
        <v>0</v>
      </c>
      <c r="Z5" s="147">
        <v>0</v>
      </c>
      <c r="AA5" s="147">
        <v>0</v>
      </c>
      <c r="AB5" s="147">
        <v>0</v>
      </c>
      <c r="AC5" s="147">
        <v>0</v>
      </c>
      <c r="AD5" s="147">
        <v>0</v>
      </c>
      <c r="AE5" s="147">
        <v>0</v>
      </c>
      <c r="AF5" s="147">
        <v>0</v>
      </c>
      <c r="AG5" s="147">
        <v>0</v>
      </c>
      <c r="AH5" s="147">
        <v>0</v>
      </c>
      <c r="AI5" s="147">
        <v>0</v>
      </c>
      <c r="AJ5" s="147">
        <v>0</v>
      </c>
      <c r="AK5" s="147">
        <v>0</v>
      </c>
      <c r="AL5" s="147">
        <v>0</v>
      </c>
      <c r="AM5" s="147">
        <v>0</v>
      </c>
      <c r="AN5" s="147">
        <v>0</v>
      </c>
      <c r="AO5" s="147">
        <v>0</v>
      </c>
      <c r="AP5" s="147">
        <v>0</v>
      </c>
      <c r="AQ5" s="147">
        <v>0</v>
      </c>
      <c r="AR5" s="147">
        <v>0</v>
      </c>
      <c r="AS5" s="147">
        <v>0</v>
      </c>
      <c r="AT5" s="147">
        <v>0</v>
      </c>
      <c r="AU5" s="147">
        <v>0</v>
      </c>
      <c r="AV5" s="147">
        <v>0</v>
      </c>
      <c r="AW5" s="147">
        <v>0</v>
      </c>
      <c r="AX5" s="147">
        <v>0</v>
      </c>
      <c r="AY5" s="147">
        <v>0</v>
      </c>
      <c r="AZ5" s="147">
        <v>0</v>
      </c>
    </row>
    <row r="6" spans="1:52" customFormat="1" x14ac:dyDescent="0.15">
      <c r="A6" s="183" t="s">
        <v>196</v>
      </c>
      <c r="B6" s="147">
        <v>1E-3</v>
      </c>
      <c r="C6" s="147">
        <v>0</v>
      </c>
      <c r="D6" s="147">
        <v>0</v>
      </c>
      <c r="E6" s="147">
        <v>0</v>
      </c>
      <c r="F6" s="147">
        <v>0</v>
      </c>
      <c r="G6" s="147">
        <v>0</v>
      </c>
      <c r="H6" s="147">
        <v>0</v>
      </c>
      <c r="I6" s="147">
        <v>0</v>
      </c>
      <c r="J6" s="147">
        <v>0</v>
      </c>
      <c r="K6" s="147">
        <v>0</v>
      </c>
      <c r="L6" s="147">
        <v>0</v>
      </c>
      <c r="M6" s="147">
        <v>0</v>
      </c>
      <c r="N6" s="147">
        <v>0</v>
      </c>
      <c r="O6" s="147">
        <v>0</v>
      </c>
      <c r="P6" s="147">
        <v>0</v>
      </c>
      <c r="Q6" s="147">
        <v>0</v>
      </c>
      <c r="R6" s="147">
        <v>0</v>
      </c>
      <c r="S6" s="147">
        <v>0</v>
      </c>
      <c r="T6" s="147">
        <v>0</v>
      </c>
      <c r="U6" s="147">
        <v>0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7">
        <v>0</v>
      </c>
      <c r="AB6" s="147">
        <v>0</v>
      </c>
      <c r="AC6" s="147">
        <v>0</v>
      </c>
      <c r="AD6" s="147">
        <v>0</v>
      </c>
      <c r="AE6" s="147">
        <v>0</v>
      </c>
      <c r="AF6" s="147">
        <v>0</v>
      </c>
      <c r="AG6" s="147">
        <v>0</v>
      </c>
      <c r="AH6" s="147">
        <v>0</v>
      </c>
      <c r="AI6" s="147">
        <v>0</v>
      </c>
      <c r="AJ6" s="147">
        <v>0</v>
      </c>
      <c r="AK6" s="147">
        <v>0</v>
      </c>
      <c r="AL6" s="147">
        <v>0</v>
      </c>
      <c r="AM6" s="147">
        <v>0</v>
      </c>
      <c r="AN6" s="147">
        <v>0</v>
      </c>
      <c r="AO6" s="147">
        <v>0</v>
      </c>
      <c r="AP6" s="147">
        <v>0</v>
      </c>
      <c r="AQ6" s="147">
        <v>0</v>
      </c>
      <c r="AR6" s="147">
        <v>0</v>
      </c>
      <c r="AS6" s="147">
        <v>0</v>
      </c>
      <c r="AT6" s="147">
        <v>0</v>
      </c>
      <c r="AU6" s="147">
        <v>0</v>
      </c>
      <c r="AV6" s="147">
        <v>0</v>
      </c>
      <c r="AW6" s="147">
        <v>0</v>
      </c>
      <c r="AX6" s="147">
        <v>0</v>
      </c>
      <c r="AY6" s="147">
        <v>0</v>
      </c>
      <c r="AZ6" s="147">
        <v>0</v>
      </c>
    </row>
    <row r="7" spans="1:52" customFormat="1" x14ac:dyDescent="0.15">
      <c r="A7" s="183" t="s">
        <v>197</v>
      </c>
      <c r="B7" s="147">
        <v>0</v>
      </c>
      <c r="C7" s="147">
        <v>0</v>
      </c>
      <c r="D7" s="147">
        <v>0</v>
      </c>
      <c r="E7" s="147">
        <v>0</v>
      </c>
      <c r="F7" s="147">
        <v>0</v>
      </c>
      <c r="G7" s="147">
        <v>0</v>
      </c>
      <c r="H7" s="147">
        <v>0</v>
      </c>
      <c r="I7" s="147">
        <v>0</v>
      </c>
      <c r="J7" s="147">
        <v>0</v>
      </c>
      <c r="K7" s="147">
        <v>0</v>
      </c>
      <c r="L7" s="147">
        <v>0</v>
      </c>
      <c r="M7" s="147">
        <v>0</v>
      </c>
      <c r="N7" s="147">
        <v>0</v>
      </c>
      <c r="O7" s="147">
        <v>0</v>
      </c>
      <c r="P7" s="147">
        <v>0</v>
      </c>
      <c r="Q7" s="147">
        <v>0</v>
      </c>
      <c r="R7" s="147">
        <v>0</v>
      </c>
      <c r="S7" s="147">
        <v>0</v>
      </c>
      <c r="T7" s="147">
        <v>0</v>
      </c>
      <c r="U7" s="147">
        <v>0</v>
      </c>
      <c r="V7" s="147">
        <v>0</v>
      </c>
      <c r="W7" s="147">
        <v>0</v>
      </c>
      <c r="X7" s="147">
        <v>0</v>
      </c>
      <c r="Y7" s="147">
        <v>0</v>
      </c>
      <c r="Z7" s="147">
        <v>0</v>
      </c>
      <c r="AA7" s="147">
        <v>0</v>
      </c>
      <c r="AB7" s="147">
        <v>0</v>
      </c>
      <c r="AC7" s="147">
        <v>0</v>
      </c>
      <c r="AD7" s="147">
        <v>0</v>
      </c>
      <c r="AE7" s="147">
        <v>0</v>
      </c>
      <c r="AF7" s="147">
        <v>0</v>
      </c>
      <c r="AG7" s="147">
        <v>0</v>
      </c>
      <c r="AH7" s="147">
        <v>0</v>
      </c>
      <c r="AI7" s="147">
        <v>0</v>
      </c>
      <c r="AJ7" s="147">
        <v>0</v>
      </c>
      <c r="AK7" s="147">
        <v>0</v>
      </c>
      <c r="AL7" s="147">
        <v>0</v>
      </c>
      <c r="AM7" s="147">
        <v>0</v>
      </c>
      <c r="AN7" s="147">
        <v>0</v>
      </c>
      <c r="AO7" s="147">
        <v>0</v>
      </c>
      <c r="AP7" s="147">
        <v>0</v>
      </c>
      <c r="AQ7" s="147">
        <v>0</v>
      </c>
      <c r="AR7" s="147">
        <v>0</v>
      </c>
      <c r="AS7" s="147">
        <v>0</v>
      </c>
      <c r="AT7" s="147">
        <v>0</v>
      </c>
      <c r="AU7" s="147">
        <v>0</v>
      </c>
      <c r="AV7" s="147">
        <v>0</v>
      </c>
      <c r="AW7" s="147">
        <v>0</v>
      </c>
      <c r="AX7" s="147">
        <v>0</v>
      </c>
      <c r="AY7" s="147">
        <v>0</v>
      </c>
      <c r="AZ7" s="147">
        <v>0</v>
      </c>
    </row>
    <row r="8" spans="1:52" customFormat="1" x14ac:dyDescent="0.15">
      <c r="A8" s="183" t="s">
        <v>198</v>
      </c>
      <c r="B8" s="147">
        <v>0</v>
      </c>
      <c r="C8" s="147">
        <v>0</v>
      </c>
      <c r="D8" s="147">
        <v>0</v>
      </c>
      <c r="E8" s="147">
        <v>9.998000081673664E-5</v>
      </c>
      <c r="F8" s="147">
        <v>0</v>
      </c>
      <c r="G8" s="147">
        <v>0</v>
      </c>
      <c r="H8" s="147">
        <v>0</v>
      </c>
      <c r="I8" s="147">
        <v>0</v>
      </c>
      <c r="J8" s="147">
        <v>0</v>
      </c>
      <c r="K8" s="147">
        <v>0</v>
      </c>
      <c r="L8" s="147">
        <v>0</v>
      </c>
      <c r="M8" s="147">
        <v>0</v>
      </c>
      <c r="N8" s="147">
        <v>0</v>
      </c>
      <c r="O8" s="147">
        <v>0</v>
      </c>
      <c r="P8" s="147">
        <v>0</v>
      </c>
      <c r="Q8" s="147">
        <v>0</v>
      </c>
      <c r="R8" s="147">
        <v>0</v>
      </c>
      <c r="S8" s="147">
        <v>0</v>
      </c>
      <c r="T8" s="147">
        <v>0</v>
      </c>
      <c r="U8" s="147">
        <v>0</v>
      </c>
      <c r="V8" s="147">
        <v>0</v>
      </c>
      <c r="W8" s="147">
        <v>0</v>
      </c>
      <c r="X8" s="147">
        <v>0</v>
      </c>
      <c r="Y8" s="147">
        <v>0</v>
      </c>
      <c r="Z8" s="147">
        <v>0</v>
      </c>
      <c r="AA8" s="147">
        <v>0</v>
      </c>
      <c r="AB8" s="147">
        <v>0</v>
      </c>
      <c r="AC8" s="147">
        <v>0</v>
      </c>
      <c r="AD8" s="147">
        <v>0</v>
      </c>
      <c r="AE8" s="147">
        <v>0</v>
      </c>
      <c r="AF8" s="147">
        <v>0</v>
      </c>
      <c r="AG8" s="147">
        <v>0</v>
      </c>
      <c r="AH8" s="147">
        <v>0</v>
      </c>
      <c r="AI8" s="147">
        <v>0</v>
      </c>
      <c r="AJ8" s="147">
        <v>0</v>
      </c>
      <c r="AK8" s="147">
        <v>0</v>
      </c>
      <c r="AL8" s="147">
        <v>0</v>
      </c>
      <c r="AM8" s="147">
        <v>0</v>
      </c>
      <c r="AN8" s="147">
        <v>0</v>
      </c>
      <c r="AO8" s="147">
        <v>0</v>
      </c>
      <c r="AP8" s="147">
        <v>0</v>
      </c>
      <c r="AQ8" s="147">
        <v>0</v>
      </c>
      <c r="AR8" s="147">
        <v>0</v>
      </c>
      <c r="AS8" s="147">
        <v>0</v>
      </c>
      <c r="AT8" s="147">
        <v>0</v>
      </c>
      <c r="AU8" s="147">
        <v>0</v>
      </c>
      <c r="AV8" s="147">
        <v>0</v>
      </c>
      <c r="AW8" s="147">
        <v>0</v>
      </c>
      <c r="AX8" s="147">
        <v>0</v>
      </c>
      <c r="AY8" s="147">
        <v>0</v>
      </c>
      <c r="AZ8" s="147">
        <v>0</v>
      </c>
    </row>
    <row r="9" spans="1:52" customFormat="1" x14ac:dyDescent="0.15">
      <c r="A9" s="183" t="s">
        <v>199</v>
      </c>
      <c r="B9" s="147">
        <v>0</v>
      </c>
      <c r="C9" s="147">
        <v>0</v>
      </c>
      <c r="D9" s="147">
        <v>0</v>
      </c>
      <c r="E9" s="147">
        <v>0</v>
      </c>
      <c r="F9" s="147">
        <v>0</v>
      </c>
      <c r="G9" s="147">
        <v>0</v>
      </c>
      <c r="H9" s="147">
        <v>0</v>
      </c>
      <c r="I9" s="147">
        <v>0</v>
      </c>
      <c r="J9" s="147">
        <v>0</v>
      </c>
      <c r="K9" s="147">
        <v>0</v>
      </c>
      <c r="L9" s="147">
        <v>0</v>
      </c>
      <c r="M9" s="147">
        <v>0</v>
      </c>
      <c r="N9" s="147">
        <v>0</v>
      </c>
      <c r="O9" s="147">
        <v>0</v>
      </c>
      <c r="P9" s="147">
        <v>0</v>
      </c>
      <c r="Q9" s="147">
        <v>0</v>
      </c>
      <c r="R9" s="147">
        <v>0</v>
      </c>
      <c r="S9" s="147">
        <v>0</v>
      </c>
      <c r="T9" s="147">
        <v>0</v>
      </c>
      <c r="U9" s="147">
        <v>0</v>
      </c>
      <c r="V9" s="147">
        <v>0</v>
      </c>
      <c r="W9" s="147">
        <v>0</v>
      </c>
      <c r="X9" s="147">
        <v>0</v>
      </c>
      <c r="Y9" s="147">
        <v>0</v>
      </c>
      <c r="Z9" s="147">
        <v>0</v>
      </c>
      <c r="AA9" s="147">
        <v>0</v>
      </c>
      <c r="AB9" s="147">
        <v>0</v>
      </c>
      <c r="AC9" s="147">
        <v>0</v>
      </c>
      <c r="AD9" s="147">
        <v>0</v>
      </c>
      <c r="AE9" s="147">
        <v>0</v>
      </c>
      <c r="AF9" s="147">
        <v>0</v>
      </c>
      <c r="AG9" s="147">
        <v>0</v>
      </c>
      <c r="AH9" s="147">
        <v>0</v>
      </c>
      <c r="AI9" s="147">
        <v>0</v>
      </c>
      <c r="AJ9" s="147">
        <v>0</v>
      </c>
      <c r="AK9" s="147">
        <v>0</v>
      </c>
      <c r="AL9" s="147">
        <v>0</v>
      </c>
      <c r="AM9" s="147">
        <v>0</v>
      </c>
      <c r="AN9" s="147">
        <v>0</v>
      </c>
      <c r="AO9" s="147">
        <v>0</v>
      </c>
      <c r="AP9" s="147">
        <v>0</v>
      </c>
      <c r="AQ9" s="147">
        <v>0</v>
      </c>
      <c r="AR9" s="147">
        <v>0</v>
      </c>
      <c r="AS9" s="147">
        <v>0</v>
      </c>
      <c r="AT9" s="147">
        <v>0</v>
      </c>
      <c r="AU9" s="147">
        <v>0</v>
      </c>
      <c r="AV9" s="147">
        <v>0</v>
      </c>
      <c r="AW9" s="147">
        <v>0</v>
      </c>
      <c r="AX9" s="147">
        <v>0</v>
      </c>
      <c r="AY9" s="147">
        <v>0</v>
      </c>
      <c r="AZ9" s="147">
        <v>0</v>
      </c>
    </row>
    <row r="10" spans="1:52" customFormat="1" x14ac:dyDescent="0.15">
      <c r="A10" s="183" t="s">
        <v>200</v>
      </c>
      <c r="B10" s="147">
        <v>0</v>
      </c>
      <c r="C10" s="147">
        <v>0</v>
      </c>
      <c r="D10" s="147">
        <v>9.9880025231481734E-2</v>
      </c>
      <c r="E10" s="147">
        <v>5.9988000490041986E-3</v>
      </c>
      <c r="F10" s="147">
        <v>2.399760125358465E-2</v>
      </c>
      <c r="G10" s="147">
        <v>0</v>
      </c>
      <c r="H10" s="147">
        <v>0</v>
      </c>
      <c r="I10" s="147">
        <v>0</v>
      </c>
      <c r="J10" s="147">
        <v>0</v>
      </c>
      <c r="K10" s="147">
        <v>0</v>
      </c>
      <c r="L10" s="147">
        <v>0</v>
      </c>
      <c r="M10" s="147">
        <v>0</v>
      </c>
      <c r="N10" s="147">
        <v>0</v>
      </c>
      <c r="O10" s="147">
        <v>0</v>
      </c>
      <c r="P10" s="147">
        <v>0</v>
      </c>
      <c r="Q10" s="147">
        <v>0</v>
      </c>
      <c r="R10" s="147">
        <v>0</v>
      </c>
      <c r="S10" s="147">
        <v>0</v>
      </c>
      <c r="T10" s="147">
        <v>0</v>
      </c>
      <c r="U10" s="147">
        <v>0</v>
      </c>
      <c r="V10" s="147">
        <v>0</v>
      </c>
      <c r="W10" s="147">
        <v>0</v>
      </c>
      <c r="X10" s="147">
        <v>0</v>
      </c>
      <c r="Y10" s="147">
        <v>0</v>
      </c>
      <c r="Z10" s="147">
        <v>0</v>
      </c>
      <c r="AA10" s="147">
        <v>0</v>
      </c>
      <c r="AB10" s="147">
        <v>0</v>
      </c>
      <c r="AC10" s="147">
        <v>0</v>
      </c>
      <c r="AD10" s="147">
        <v>0</v>
      </c>
      <c r="AE10" s="147">
        <v>0</v>
      </c>
      <c r="AF10" s="147">
        <v>0</v>
      </c>
      <c r="AG10" s="147">
        <v>0</v>
      </c>
      <c r="AH10" s="147">
        <v>0</v>
      </c>
      <c r="AI10" s="147">
        <v>0</v>
      </c>
      <c r="AJ10" s="147">
        <v>0</v>
      </c>
      <c r="AK10" s="147">
        <v>0</v>
      </c>
      <c r="AL10" s="147">
        <v>0</v>
      </c>
      <c r="AM10" s="147">
        <v>0</v>
      </c>
      <c r="AN10" s="147">
        <v>0</v>
      </c>
      <c r="AO10" s="147">
        <v>0</v>
      </c>
      <c r="AP10" s="147">
        <v>0</v>
      </c>
      <c r="AQ10" s="147">
        <v>0</v>
      </c>
      <c r="AR10" s="147">
        <v>0</v>
      </c>
      <c r="AS10" s="147">
        <v>0</v>
      </c>
      <c r="AT10" s="147">
        <v>0</v>
      </c>
      <c r="AU10" s="147">
        <v>0</v>
      </c>
      <c r="AV10" s="147">
        <v>0</v>
      </c>
      <c r="AW10" s="147">
        <v>0</v>
      </c>
      <c r="AX10" s="147">
        <v>0</v>
      </c>
      <c r="AY10" s="147">
        <v>0</v>
      </c>
      <c r="AZ10" s="147">
        <v>0</v>
      </c>
    </row>
    <row r="11" spans="1:52" customFormat="1" x14ac:dyDescent="0.15">
      <c r="A11" s="183" t="s">
        <v>201</v>
      </c>
      <c r="B11" s="147">
        <v>0</v>
      </c>
      <c r="C11" s="147">
        <v>9.9990000545945406E-5</v>
      </c>
      <c r="D11" s="147">
        <v>9.0881820392609489E-2</v>
      </c>
      <c r="E11" s="147">
        <v>9.9980000816736621E-4</v>
      </c>
      <c r="F11" s="147">
        <v>9.9990000639936017E-4</v>
      </c>
      <c r="G11" s="147">
        <v>0</v>
      </c>
      <c r="H11" s="147">
        <v>8.0016000500100007E-3</v>
      </c>
      <c r="I11" s="147">
        <v>0</v>
      </c>
      <c r="J11" s="147">
        <v>1.0003001853946198E-3</v>
      </c>
      <c r="K11" s="147">
        <v>1E-3</v>
      </c>
      <c r="L11" s="147">
        <v>1.0000999892289232E-4</v>
      </c>
      <c r="M11" s="147">
        <v>0</v>
      </c>
      <c r="N11" s="147">
        <v>9.9980001365726815E-4</v>
      </c>
      <c r="O11" s="147">
        <v>8.7008708639183807E-3</v>
      </c>
      <c r="P11" s="147">
        <v>0</v>
      </c>
      <c r="Q11" s="147">
        <v>0</v>
      </c>
      <c r="R11" s="147">
        <v>0</v>
      </c>
      <c r="S11" s="147">
        <v>1.0202040828891775E-2</v>
      </c>
      <c r="T11" s="147">
        <v>0.02</v>
      </c>
      <c r="U11" s="147">
        <v>1.0001000201020106E-3</v>
      </c>
      <c r="V11" s="147">
        <v>0</v>
      </c>
      <c r="W11" s="147">
        <v>1.0398960039308068E-2</v>
      </c>
      <c r="X11" s="147">
        <v>1E-3</v>
      </c>
      <c r="Y11" s="147">
        <v>1.700170130776079E-3</v>
      </c>
      <c r="Z11" s="147">
        <v>8.9990998686221386E-4</v>
      </c>
      <c r="AA11" s="147">
        <v>0</v>
      </c>
      <c r="AB11" s="147">
        <v>0</v>
      </c>
      <c r="AC11" s="147">
        <v>0</v>
      </c>
      <c r="AD11" s="147">
        <v>2.2000000000000001E-3</v>
      </c>
      <c r="AE11" s="147">
        <v>0</v>
      </c>
      <c r="AF11" s="147">
        <v>0</v>
      </c>
      <c r="AG11" s="147">
        <v>0</v>
      </c>
      <c r="AH11" s="147">
        <v>0</v>
      </c>
      <c r="AI11" s="147">
        <v>0</v>
      </c>
      <c r="AJ11" s="147">
        <v>0</v>
      </c>
      <c r="AK11" s="147">
        <v>0</v>
      </c>
      <c r="AL11" s="147">
        <v>9.9900099060939063E-4</v>
      </c>
      <c r="AM11" s="147">
        <v>0</v>
      </c>
      <c r="AN11" s="147">
        <v>0</v>
      </c>
      <c r="AO11" s="147">
        <v>0</v>
      </c>
      <c r="AP11" s="147">
        <v>0</v>
      </c>
      <c r="AQ11" s="147">
        <v>0</v>
      </c>
      <c r="AR11" s="147">
        <v>0</v>
      </c>
      <c r="AS11" s="147">
        <v>0</v>
      </c>
      <c r="AT11" s="147">
        <v>0</v>
      </c>
      <c r="AU11" s="147">
        <v>0</v>
      </c>
      <c r="AV11" s="147">
        <v>0</v>
      </c>
      <c r="AW11" s="147">
        <v>0</v>
      </c>
      <c r="AX11" s="147">
        <v>0</v>
      </c>
      <c r="AY11" s="147">
        <v>0</v>
      </c>
      <c r="AZ11" s="147">
        <v>0</v>
      </c>
    </row>
    <row r="12" spans="1:52" customFormat="1" x14ac:dyDescent="0.15">
      <c r="A12" s="183" t="s">
        <v>202</v>
      </c>
      <c r="B12" s="147">
        <v>0</v>
      </c>
      <c r="C12" s="147">
        <v>0</v>
      </c>
      <c r="D12" s="147">
        <v>0</v>
      </c>
      <c r="E12" s="147">
        <v>2.0995800171514693E-2</v>
      </c>
      <c r="F12" s="147">
        <v>0</v>
      </c>
      <c r="G12" s="147">
        <v>0</v>
      </c>
      <c r="H12" s="147">
        <v>0</v>
      </c>
      <c r="I12" s="147">
        <v>0</v>
      </c>
      <c r="J12" s="147">
        <v>0</v>
      </c>
      <c r="K12" s="147">
        <v>0</v>
      </c>
      <c r="L12" s="147">
        <v>0</v>
      </c>
      <c r="M12" s="147">
        <v>0</v>
      </c>
      <c r="N12" s="147">
        <v>0</v>
      </c>
      <c r="O12" s="147">
        <v>0</v>
      </c>
      <c r="P12" s="147">
        <v>0</v>
      </c>
      <c r="Q12" s="147">
        <v>0</v>
      </c>
      <c r="R12" s="147">
        <v>0</v>
      </c>
      <c r="S12" s="147">
        <v>0</v>
      </c>
      <c r="T12" s="147">
        <v>0</v>
      </c>
      <c r="U12" s="147">
        <v>0</v>
      </c>
      <c r="V12" s="147">
        <v>0</v>
      </c>
      <c r="W12" s="147">
        <v>0</v>
      </c>
      <c r="X12" s="147">
        <v>0</v>
      </c>
      <c r="Y12" s="147">
        <v>0</v>
      </c>
      <c r="Z12" s="147">
        <v>0</v>
      </c>
      <c r="AA12" s="147">
        <v>0</v>
      </c>
      <c r="AB12" s="147">
        <v>0</v>
      </c>
      <c r="AC12" s="147">
        <v>0</v>
      </c>
      <c r="AD12" s="147">
        <v>0</v>
      </c>
      <c r="AE12" s="147">
        <v>0</v>
      </c>
      <c r="AF12" s="147">
        <v>0</v>
      </c>
      <c r="AG12" s="147">
        <v>0</v>
      </c>
      <c r="AH12" s="147">
        <v>0</v>
      </c>
      <c r="AI12" s="147">
        <v>0</v>
      </c>
      <c r="AJ12" s="147">
        <v>0</v>
      </c>
      <c r="AK12" s="147">
        <v>0</v>
      </c>
      <c r="AL12" s="147">
        <v>0</v>
      </c>
      <c r="AM12" s="147">
        <v>0</v>
      </c>
      <c r="AN12" s="147">
        <v>0</v>
      </c>
      <c r="AO12" s="147">
        <v>0</v>
      </c>
      <c r="AP12" s="147">
        <v>0</v>
      </c>
      <c r="AQ12" s="147">
        <v>0</v>
      </c>
      <c r="AR12" s="147">
        <v>0</v>
      </c>
      <c r="AS12" s="147">
        <v>0</v>
      </c>
      <c r="AT12" s="147">
        <v>0</v>
      </c>
      <c r="AU12" s="147">
        <v>0</v>
      </c>
      <c r="AV12" s="147">
        <v>0</v>
      </c>
      <c r="AW12" s="147">
        <v>0</v>
      </c>
      <c r="AX12" s="147">
        <v>0</v>
      </c>
      <c r="AY12" s="147">
        <v>0</v>
      </c>
      <c r="AZ12" s="147">
        <v>0</v>
      </c>
    </row>
    <row r="13" spans="1:52" customFormat="1" x14ac:dyDescent="0.15">
      <c r="A13" s="183" t="s">
        <v>203</v>
      </c>
      <c r="B13" s="147">
        <v>0.01</v>
      </c>
      <c r="C13" s="147">
        <v>0</v>
      </c>
      <c r="D13" s="147">
        <v>6.9986004702339557E-3</v>
      </c>
      <c r="E13" s="147">
        <v>9.9980000816736621E-4</v>
      </c>
      <c r="F13" s="147">
        <v>0</v>
      </c>
      <c r="G13" s="147">
        <v>0</v>
      </c>
      <c r="H13" s="147">
        <v>0</v>
      </c>
      <c r="I13" s="147">
        <v>0</v>
      </c>
      <c r="J13" s="147">
        <v>4.3012906561968635E-2</v>
      </c>
      <c r="K13" s="147">
        <v>5.0000000000000001E-4</v>
      </c>
      <c r="L13" s="147">
        <v>1.2001200670747067E-3</v>
      </c>
      <c r="M13" s="147">
        <v>1.0996700742073378E-3</v>
      </c>
      <c r="N13" s="147">
        <v>1.2997400177544487E-3</v>
      </c>
      <c r="O13" s="147">
        <v>0</v>
      </c>
      <c r="P13" s="147">
        <v>0</v>
      </c>
      <c r="Q13" s="147">
        <v>0</v>
      </c>
      <c r="R13" s="147">
        <v>0</v>
      </c>
      <c r="S13" s="147">
        <v>1.0001999930286058E-3</v>
      </c>
      <c r="T13" s="147">
        <v>0</v>
      </c>
      <c r="U13" s="147">
        <v>0</v>
      </c>
      <c r="V13" s="147">
        <v>0</v>
      </c>
      <c r="W13" s="147">
        <v>7.0692930267219262E-2</v>
      </c>
      <c r="X13" s="147">
        <v>3.2000000000000001E-2</v>
      </c>
      <c r="Y13" s="147">
        <v>1.0001000122212222E-3</v>
      </c>
      <c r="Z13" s="147">
        <v>4.9994999270122989E-4</v>
      </c>
      <c r="AA13" s="147">
        <v>0</v>
      </c>
      <c r="AB13" s="147">
        <v>0</v>
      </c>
      <c r="AC13" s="147">
        <v>0</v>
      </c>
      <c r="AD13" s="147">
        <v>0</v>
      </c>
      <c r="AE13" s="147">
        <v>0</v>
      </c>
      <c r="AF13" s="147">
        <v>0</v>
      </c>
      <c r="AG13" s="147">
        <v>0</v>
      </c>
      <c r="AH13" s="147">
        <v>0</v>
      </c>
      <c r="AI13" s="147">
        <v>0</v>
      </c>
      <c r="AJ13" s="147">
        <v>0</v>
      </c>
      <c r="AK13" s="147">
        <v>0</v>
      </c>
      <c r="AL13" s="147">
        <v>0</v>
      </c>
      <c r="AM13" s="147">
        <v>0</v>
      </c>
      <c r="AN13" s="147">
        <v>0</v>
      </c>
      <c r="AO13" s="147">
        <v>0</v>
      </c>
      <c r="AP13" s="147">
        <v>0</v>
      </c>
      <c r="AQ13" s="147">
        <v>0</v>
      </c>
      <c r="AR13" s="147">
        <v>0</v>
      </c>
      <c r="AS13" s="147">
        <v>0</v>
      </c>
      <c r="AT13" s="147">
        <v>0</v>
      </c>
      <c r="AU13" s="147">
        <v>0</v>
      </c>
      <c r="AV13" s="147">
        <v>0</v>
      </c>
      <c r="AW13" s="147">
        <v>0</v>
      </c>
      <c r="AX13" s="147">
        <v>0</v>
      </c>
      <c r="AY13" s="147">
        <v>0</v>
      </c>
      <c r="AZ13" s="147">
        <v>0</v>
      </c>
    </row>
    <row r="14" spans="1:52" customFormat="1" x14ac:dyDescent="0.15">
      <c r="A14" s="183" t="s">
        <v>204</v>
      </c>
      <c r="B14" s="147">
        <v>0</v>
      </c>
      <c r="C14" s="147">
        <v>0</v>
      </c>
      <c r="D14" s="147">
        <v>0</v>
      </c>
      <c r="E14" s="147">
        <v>9.9980000816736621E-4</v>
      </c>
      <c r="F14" s="147">
        <v>9.9990000639936017E-4</v>
      </c>
      <c r="G14" s="147">
        <v>0</v>
      </c>
      <c r="H14" s="147">
        <v>0</v>
      </c>
      <c r="I14" s="147">
        <v>0</v>
      </c>
      <c r="J14" s="147">
        <v>0</v>
      </c>
      <c r="K14" s="147">
        <v>0</v>
      </c>
      <c r="L14" s="147">
        <v>0</v>
      </c>
      <c r="M14" s="147">
        <v>0</v>
      </c>
      <c r="N14" s="147">
        <v>0</v>
      </c>
      <c r="O14" s="147">
        <v>0</v>
      </c>
      <c r="P14" s="147">
        <v>0</v>
      </c>
      <c r="Q14" s="147">
        <v>0</v>
      </c>
      <c r="R14" s="147">
        <v>0</v>
      </c>
      <c r="S14" s="147">
        <v>0</v>
      </c>
      <c r="T14" s="147">
        <v>0</v>
      </c>
      <c r="U14" s="147">
        <v>0</v>
      </c>
      <c r="V14" s="147">
        <v>0</v>
      </c>
      <c r="W14" s="147">
        <v>0</v>
      </c>
      <c r="X14" s="147">
        <v>0</v>
      </c>
      <c r="Y14" s="147">
        <v>0</v>
      </c>
      <c r="Z14" s="147">
        <v>0</v>
      </c>
      <c r="AA14" s="147">
        <v>0</v>
      </c>
      <c r="AB14" s="147">
        <v>0</v>
      </c>
      <c r="AC14" s="147">
        <v>0</v>
      </c>
      <c r="AD14" s="147">
        <v>0</v>
      </c>
      <c r="AE14" s="147">
        <v>0</v>
      </c>
      <c r="AF14" s="147">
        <v>0</v>
      </c>
      <c r="AG14" s="147">
        <v>0</v>
      </c>
      <c r="AH14" s="147">
        <v>0</v>
      </c>
      <c r="AI14" s="147">
        <v>0</v>
      </c>
      <c r="AJ14" s="147">
        <v>0</v>
      </c>
      <c r="AK14" s="147">
        <v>0</v>
      </c>
      <c r="AL14" s="147">
        <v>0</v>
      </c>
      <c r="AM14" s="147">
        <v>0</v>
      </c>
      <c r="AN14" s="147">
        <v>0</v>
      </c>
      <c r="AO14" s="147">
        <v>0</v>
      </c>
      <c r="AP14" s="147">
        <v>0</v>
      </c>
      <c r="AQ14" s="147">
        <v>0</v>
      </c>
      <c r="AR14" s="147">
        <v>0</v>
      </c>
      <c r="AS14" s="147">
        <v>0</v>
      </c>
      <c r="AT14" s="147">
        <v>0</v>
      </c>
      <c r="AU14" s="147">
        <v>0</v>
      </c>
      <c r="AV14" s="147">
        <v>0</v>
      </c>
      <c r="AW14" s="147">
        <v>0</v>
      </c>
      <c r="AX14" s="147">
        <v>0</v>
      </c>
      <c r="AY14" s="147">
        <v>0</v>
      </c>
      <c r="AZ14" s="147">
        <v>0</v>
      </c>
    </row>
    <row r="15" spans="1:52" customFormat="1" x14ac:dyDescent="0.15">
      <c r="A15" s="183" t="s">
        <v>205</v>
      </c>
      <c r="B15" s="147">
        <v>0</v>
      </c>
      <c r="C15" s="147">
        <v>0</v>
      </c>
      <c r="D15" s="147">
        <v>9.998000043191361E-4</v>
      </c>
      <c r="E15" s="147">
        <v>9.998000081673664E-5</v>
      </c>
      <c r="F15" s="147">
        <v>9.9990000639936004E-5</v>
      </c>
      <c r="G15" s="147">
        <v>0</v>
      </c>
      <c r="H15" s="147">
        <v>0</v>
      </c>
      <c r="I15" s="147">
        <v>0</v>
      </c>
      <c r="J15" s="147">
        <v>1.0003000153946172E-4</v>
      </c>
      <c r="K15" s="147">
        <v>1E-4</v>
      </c>
      <c r="L15" s="147">
        <v>1.0000999892289232E-4</v>
      </c>
      <c r="M15" s="147">
        <v>0</v>
      </c>
      <c r="N15" s="147">
        <v>9.9980001365726828E-5</v>
      </c>
      <c r="O15" s="147">
        <v>1.0000999843584363E-4</v>
      </c>
      <c r="P15" s="147">
        <v>0</v>
      </c>
      <c r="Q15" s="147">
        <v>0</v>
      </c>
      <c r="R15" s="147">
        <v>0</v>
      </c>
      <c r="S15" s="147">
        <v>1.0001999930286058E-3</v>
      </c>
      <c r="T15" s="147">
        <v>2.5000000000000001E-3</v>
      </c>
      <c r="U15" s="147">
        <v>0</v>
      </c>
      <c r="V15" s="147">
        <v>0</v>
      </c>
      <c r="W15" s="147">
        <v>9.9990000377962184E-5</v>
      </c>
      <c r="X15" s="147">
        <v>1E-4</v>
      </c>
      <c r="Y15" s="147">
        <v>0</v>
      </c>
      <c r="Z15" s="147">
        <v>0</v>
      </c>
      <c r="AA15" s="147">
        <v>0</v>
      </c>
      <c r="AB15" s="147">
        <v>0</v>
      </c>
      <c r="AC15" s="147">
        <v>0</v>
      </c>
      <c r="AD15" s="147">
        <v>1.1000000000000001E-3</v>
      </c>
      <c r="AE15" s="147">
        <v>0</v>
      </c>
      <c r="AF15" s="147">
        <v>0</v>
      </c>
      <c r="AG15" s="147">
        <v>0</v>
      </c>
      <c r="AH15" s="147">
        <v>0</v>
      </c>
      <c r="AI15" s="147">
        <v>0</v>
      </c>
      <c r="AJ15" s="147">
        <v>0</v>
      </c>
      <c r="AK15" s="147">
        <v>0</v>
      </c>
      <c r="AL15" s="147">
        <v>0</v>
      </c>
      <c r="AM15" s="147">
        <v>0</v>
      </c>
      <c r="AN15" s="147">
        <v>0</v>
      </c>
      <c r="AO15" s="147">
        <v>0</v>
      </c>
      <c r="AP15" s="147">
        <v>0</v>
      </c>
      <c r="AQ15" s="147">
        <v>0</v>
      </c>
      <c r="AR15" s="147">
        <v>0</v>
      </c>
      <c r="AS15" s="147">
        <v>0</v>
      </c>
      <c r="AT15" s="147">
        <v>0</v>
      </c>
      <c r="AU15" s="147">
        <v>0</v>
      </c>
      <c r="AV15" s="147">
        <v>0</v>
      </c>
      <c r="AW15" s="147">
        <v>0</v>
      </c>
      <c r="AX15" s="147">
        <v>0</v>
      </c>
      <c r="AY15" s="147">
        <v>0</v>
      </c>
      <c r="AZ15" s="147">
        <v>0</v>
      </c>
    </row>
    <row r="16" spans="1:52" customFormat="1" x14ac:dyDescent="0.15">
      <c r="A16" s="183" t="s">
        <v>206</v>
      </c>
      <c r="B16" s="147">
        <v>4.3E-3</v>
      </c>
      <c r="C16" s="147">
        <v>0</v>
      </c>
      <c r="D16" s="147">
        <v>6.9986004702339557E-3</v>
      </c>
      <c r="E16" s="147">
        <v>9.998000081673664E-5</v>
      </c>
      <c r="F16" s="147">
        <v>3.4896508123337652E-2</v>
      </c>
      <c r="G16" s="147">
        <v>0</v>
      </c>
      <c r="H16" s="147">
        <v>0</v>
      </c>
      <c r="I16" s="147">
        <v>0</v>
      </c>
      <c r="J16" s="147">
        <v>2.0006003607892396E-3</v>
      </c>
      <c r="K16" s="147">
        <v>0</v>
      </c>
      <c r="L16" s="147">
        <v>1.0000999892289232E-4</v>
      </c>
      <c r="M16" s="147">
        <v>1.2396281647428174E-2</v>
      </c>
      <c r="N16" s="147">
        <v>0</v>
      </c>
      <c r="O16" s="147">
        <v>0</v>
      </c>
      <c r="P16" s="147">
        <v>0</v>
      </c>
      <c r="Q16" s="147">
        <v>0</v>
      </c>
      <c r="R16" s="147">
        <v>0</v>
      </c>
      <c r="S16" s="147">
        <v>0</v>
      </c>
      <c r="T16" s="147">
        <v>0</v>
      </c>
      <c r="U16" s="147">
        <v>0</v>
      </c>
      <c r="V16" s="147">
        <v>0</v>
      </c>
      <c r="W16" s="147">
        <v>1.18988100449775E-2</v>
      </c>
      <c r="X16" s="147">
        <v>6.0000000000000001E-3</v>
      </c>
      <c r="Y16" s="147">
        <v>0</v>
      </c>
      <c r="Z16" s="147">
        <v>0</v>
      </c>
      <c r="AA16" s="147">
        <v>0</v>
      </c>
      <c r="AB16" s="147">
        <v>0</v>
      </c>
      <c r="AC16" s="147">
        <v>0</v>
      </c>
      <c r="AD16" s="147">
        <v>0</v>
      </c>
      <c r="AE16" s="147">
        <v>0</v>
      </c>
      <c r="AF16" s="147">
        <v>0</v>
      </c>
      <c r="AG16" s="147">
        <v>0</v>
      </c>
      <c r="AH16" s="147">
        <v>0</v>
      </c>
      <c r="AI16" s="147">
        <v>0</v>
      </c>
      <c r="AJ16" s="147">
        <v>0</v>
      </c>
      <c r="AK16" s="147">
        <v>0</v>
      </c>
      <c r="AL16" s="147">
        <v>0</v>
      </c>
      <c r="AM16" s="147">
        <v>0</v>
      </c>
      <c r="AN16" s="147">
        <v>0</v>
      </c>
      <c r="AO16" s="147">
        <v>0</v>
      </c>
      <c r="AP16" s="147">
        <v>0</v>
      </c>
      <c r="AQ16" s="147">
        <v>0</v>
      </c>
      <c r="AR16" s="147">
        <v>0</v>
      </c>
      <c r="AS16" s="147">
        <v>0</v>
      </c>
      <c r="AT16" s="147">
        <v>0</v>
      </c>
      <c r="AU16" s="147">
        <v>0</v>
      </c>
      <c r="AV16" s="147">
        <v>0</v>
      </c>
      <c r="AW16" s="147">
        <v>0</v>
      </c>
      <c r="AX16" s="147">
        <v>0</v>
      </c>
      <c r="AY16" s="147">
        <v>0</v>
      </c>
      <c r="AZ16" s="147">
        <v>0</v>
      </c>
    </row>
    <row r="17" spans="1:52" customFormat="1" x14ac:dyDescent="0.15">
      <c r="A17" s="183" t="s">
        <v>207</v>
      </c>
      <c r="B17" s="147">
        <v>4.3E-3</v>
      </c>
      <c r="C17" s="147">
        <v>0</v>
      </c>
      <c r="D17" s="147">
        <v>2.9994000129574087E-2</v>
      </c>
      <c r="E17" s="147">
        <v>0.14367127517365066</v>
      </c>
      <c r="F17" s="147">
        <v>0.13068693983639643</v>
      </c>
      <c r="G17" s="147">
        <v>0</v>
      </c>
      <c r="H17" s="147">
        <v>0</v>
      </c>
      <c r="I17" s="147">
        <v>0</v>
      </c>
      <c r="J17" s="147">
        <v>2.0006000307892343E-4</v>
      </c>
      <c r="K17" s="147">
        <v>0</v>
      </c>
      <c r="L17" s="147">
        <v>1.0000999892289232E-4</v>
      </c>
      <c r="M17" s="147">
        <v>0</v>
      </c>
      <c r="N17" s="147">
        <v>2.999400290971808E-3</v>
      </c>
      <c r="O17" s="147">
        <v>0</v>
      </c>
      <c r="P17" s="147">
        <v>0</v>
      </c>
      <c r="Q17" s="147">
        <v>0</v>
      </c>
      <c r="R17" s="147">
        <v>0</v>
      </c>
      <c r="S17" s="147">
        <v>5.1010204144458877E-3</v>
      </c>
      <c r="T17" s="147">
        <v>0</v>
      </c>
      <c r="U17" s="147">
        <v>0</v>
      </c>
      <c r="V17" s="147">
        <v>0</v>
      </c>
      <c r="W17" s="147">
        <v>3.999600015118487E-3</v>
      </c>
      <c r="X17" s="147">
        <v>2E-3</v>
      </c>
      <c r="Y17" s="147">
        <v>0</v>
      </c>
      <c r="Z17" s="147">
        <v>0</v>
      </c>
      <c r="AA17" s="147">
        <v>0</v>
      </c>
      <c r="AB17" s="147">
        <v>0</v>
      </c>
      <c r="AC17" s="147">
        <v>0</v>
      </c>
      <c r="AD17" s="147">
        <v>0</v>
      </c>
      <c r="AE17" s="147">
        <v>0</v>
      </c>
      <c r="AF17" s="147">
        <v>0</v>
      </c>
      <c r="AG17" s="147">
        <v>0</v>
      </c>
      <c r="AH17" s="147">
        <v>0</v>
      </c>
      <c r="AI17" s="147">
        <v>0</v>
      </c>
      <c r="AJ17" s="147">
        <v>0</v>
      </c>
      <c r="AK17" s="147">
        <v>0</v>
      </c>
      <c r="AL17" s="147">
        <v>0</v>
      </c>
      <c r="AM17" s="147">
        <v>0</v>
      </c>
      <c r="AN17" s="147">
        <v>0</v>
      </c>
      <c r="AO17" s="147">
        <v>0</v>
      </c>
      <c r="AP17" s="147">
        <v>0</v>
      </c>
      <c r="AQ17" s="147">
        <v>0</v>
      </c>
      <c r="AR17" s="147">
        <v>0</v>
      </c>
      <c r="AS17" s="147">
        <v>0</v>
      </c>
      <c r="AT17" s="147">
        <v>0</v>
      </c>
      <c r="AU17" s="147">
        <v>0</v>
      </c>
      <c r="AV17" s="147">
        <v>0</v>
      </c>
      <c r="AW17" s="147">
        <v>0</v>
      </c>
      <c r="AX17" s="147">
        <v>0</v>
      </c>
      <c r="AY17" s="147">
        <v>0</v>
      </c>
      <c r="AZ17" s="147">
        <v>0</v>
      </c>
    </row>
    <row r="18" spans="1:52" customFormat="1" x14ac:dyDescent="0.15">
      <c r="A18" s="183" t="s">
        <v>208</v>
      </c>
      <c r="B18" s="147">
        <v>4.3E-3</v>
      </c>
      <c r="C18" s="147">
        <v>0</v>
      </c>
      <c r="D18" s="147">
        <v>2.9994000129574087E-2</v>
      </c>
      <c r="E18" s="147">
        <v>1.9996000163347328E-4</v>
      </c>
      <c r="F18" s="147">
        <v>3.4896508123337652E-2</v>
      </c>
      <c r="G18" s="147">
        <v>0</v>
      </c>
      <c r="H18" s="147">
        <v>0</v>
      </c>
      <c r="I18" s="147">
        <v>0</v>
      </c>
      <c r="J18" s="147">
        <v>0</v>
      </c>
      <c r="K18" s="147">
        <v>0</v>
      </c>
      <c r="L18" s="147">
        <v>0</v>
      </c>
      <c r="M18" s="147">
        <v>0</v>
      </c>
      <c r="N18" s="147">
        <v>0</v>
      </c>
      <c r="O18" s="147">
        <v>0</v>
      </c>
      <c r="P18" s="147">
        <v>0</v>
      </c>
      <c r="Q18" s="147">
        <v>0</v>
      </c>
      <c r="R18" s="147">
        <v>0</v>
      </c>
      <c r="S18" s="147">
        <v>0</v>
      </c>
      <c r="T18" s="147">
        <v>0</v>
      </c>
      <c r="U18" s="147">
        <v>0</v>
      </c>
      <c r="V18" s="147">
        <v>0</v>
      </c>
      <c r="W18" s="147">
        <v>0</v>
      </c>
      <c r="X18" s="147">
        <v>0</v>
      </c>
      <c r="Y18" s="147">
        <v>0</v>
      </c>
      <c r="Z18" s="147">
        <v>0</v>
      </c>
      <c r="AA18" s="147">
        <v>0</v>
      </c>
      <c r="AB18" s="147">
        <v>0</v>
      </c>
      <c r="AC18" s="147">
        <v>0</v>
      </c>
      <c r="AD18" s="147">
        <v>0</v>
      </c>
      <c r="AE18" s="147">
        <v>0</v>
      </c>
      <c r="AF18" s="147">
        <v>0</v>
      </c>
      <c r="AG18" s="147">
        <v>0</v>
      </c>
      <c r="AH18" s="147">
        <v>0</v>
      </c>
      <c r="AI18" s="147">
        <v>0</v>
      </c>
      <c r="AJ18" s="147">
        <v>0</v>
      </c>
      <c r="AK18" s="147">
        <v>0</v>
      </c>
      <c r="AL18" s="147">
        <v>0</v>
      </c>
      <c r="AM18" s="147">
        <v>0</v>
      </c>
      <c r="AN18" s="147">
        <v>0</v>
      </c>
      <c r="AO18" s="147">
        <v>0</v>
      </c>
      <c r="AP18" s="147">
        <v>0</v>
      </c>
      <c r="AQ18" s="147">
        <v>0</v>
      </c>
      <c r="AR18" s="147">
        <v>0</v>
      </c>
      <c r="AS18" s="147">
        <v>0</v>
      </c>
      <c r="AT18" s="147">
        <v>0</v>
      </c>
      <c r="AU18" s="147">
        <v>0</v>
      </c>
      <c r="AV18" s="147">
        <v>0</v>
      </c>
      <c r="AW18" s="147">
        <v>0</v>
      </c>
      <c r="AX18" s="147">
        <v>0</v>
      </c>
      <c r="AY18" s="147">
        <v>0</v>
      </c>
      <c r="AZ18" s="147">
        <v>0</v>
      </c>
    </row>
    <row r="19" spans="1:52" customFormat="1" x14ac:dyDescent="0.15">
      <c r="A19" s="183" t="s">
        <v>209</v>
      </c>
      <c r="B19" s="147">
        <v>0</v>
      </c>
      <c r="C19" s="147">
        <v>0</v>
      </c>
      <c r="D19" s="147">
        <v>3.9992000172765444E-3</v>
      </c>
      <c r="E19" s="147">
        <v>0</v>
      </c>
      <c r="F19" s="147">
        <v>0</v>
      </c>
      <c r="G19" s="147">
        <v>0</v>
      </c>
      <c r="H19" s="147">
        <v>0</v>
      </c>
      <c r="I19" s="147">
        <v>0</v>
      </c>
      <c r="J19" s="147">
        <v>5.0015010769731015E-4</v>
      </c>
      <c r="K19" s="147">
        <v>0</v>
      </c>
      <c r="L19" s="147">
        <v>0</v>
      </c>
      <c r="M19" s="147">
        <v>0</v>
      </c>
      <c r="N19" s="147">
        <v>1.2997400177544487E-3</v>
      </c>
      <c r="O19" s="147">
        <v>0</v>
      </c>
      <c r="P19" s="147">
        <v>0</v>
      </c>
      <c r="Q19" s="147">
        <v>0</v>
      </c>
      <c r="R19" s="147">
        <v>0</v>
      </c>
      <c r="S19" s="147">
        <v>0</v>
      </c>
      <c r="T19" s="147">
        <v>0</v>
      </c>
      <c r="U19" s="147">
        <v>0</v>
      </c>
      <c r="V19" s="147">
        <v>0</v>
      </c>
      <c r="W19" s="147">
        <v>3.999600015118487E-3</v>
      </c>
      <c r="X19" s="147">
        <v>2E-3</v>
      </c>
      <c r="Y19" s="147">
        <v>3.0003002366636689E-4</v>
      </c>
      <c r="Z19" s="147">
        <v>1.9997998308049218E-4</v>
      </c>
      <c r="AA19" s="147">
        <v>0</v>
      </c>
      <c r="AB19" s="147">
        <v>0</v>
      </c>
      <c r="AC19" s="147">
        <v>0</v>
      </c>
      <c r="AD19" s="147">
        <v>0</v>
      </c>
      <c r="AE19" s="147">
        <v>0</v>
      </c>
      <c r="AF19" s="147">
        <v>0</v>
      </c>
      <c r="AG19" s="147">
        <v>0</v>
      </c>
      <c r="AH19" s="147">
        <v>0</v>
      </c>
      <c r="AI19" s="147">
        <v>0</v>
      </c>
      <c r="AJ19" s="147">
        <v>0</v>
      </c>
      <c r="AK19" s="147">
        <v>0</v>
      </c>
      <c r="AL19" s="147">
        <v>0</v>
      </c>
      <c r="AM19" s="147">
        <v>0</v>
      </c>
      <c r="AN19" s="147">
        <v>0</v>
      </c>
      <c r="AO19" s="147">
        <v>0</v>
      </c>
      <c r="AP19" s="147">
        <v>0</v>
      </c>
      <c r="AQ19" s="147">
        <v>0</v>
      </c>
      <c r="AR19" s="147">
        <v>0</v>
      </c>
      <c r="AS19" s="147">
        <v>0</v>
      </c>
      <c r="AT19" s="147">
        <v>0</v>
      </c>
      <c r="AU19" s="147">
        <v>0</v>
      </c>
      <c r="AV19" s="147">
        <v>0</v>
      </c>
      <c r="AW19" s="147">
        <v>0</v>
      </c>
      <c r="AX19" s="147">
        <v>0</v>
      </c>
      <c r="AY19" s="147">
        <v>0</v>
      </c>
      <c r="AZ19" s="147">
        <v>0</v>
      </c>
    </row>
    <row r="20" spans="1:52" customFormat="1" x14ac:dyDescent="0.15">
      <c r="A20" s="183" t="s">
        <v>210</v>
      </c>
      <c r="B20" s="147">
        <v>0</v>
      </c>
      <c r="C20" s="147">
        <v>1.9998000109189081E-3</v>
      </c>
      <c r="D20" s="147">
        <v>0</v>
      </c>
      <c r="E20" s="147">
        <v>0</v>
      </c>
      <c r="F20" s="147">
        <v>0</v>
      </c>
      <c r="G20" s="147">
        <v>0</v>
      </c>
      <c r="H20" s="147">
        <v>0</v>
      </c>
      <c r="I20" s="147">
        <v>0</v>
      </c>
      <c r="J20" s="147">
        <v>0</v>
      </c>
      <c r="K20" s="147">
        <v>0</v>
      </c>
      <c r="L20" s="147">
        <v>0</v>
      </c>
      <c r="M20" s="147">
        <v>0</v>
      </c>
      <c r="N20" s="147">
        <v>0</v>
      </c>
      <c r="O20" s="147">
        <v>0</v>
      </c>
      <c r="P20" s="147">
        <v>0</v>
      </c>
      <c r="Q20" s="147">
        <v>0</v>
      </c>
      <c r="R20" s="147">
        <v>0</v>
      </c>
      <c r="S20" s="147">
        <v>0</v>
      </c>
      <c r="T20" s="147">
        <v>0</v>
      </c>
      <c r="U20" s="147">
        <v>0</v>
      </c>
      <c r="V20" s="147">
        <v>0</v>
      </c>
      <c r="W20" s="147">
        <v>0</v>
      </c>
      <c r="X20" s="147">
        <v>0</v>
      </c>
      <c r="Y20" s="147">
        <v>0</v>
      </c>
      <c r="Z20" s="147">
        <v>0</v>
      </c>
      <c r="AA20" s="147">
        <v>0</v>
      </c>
      <c r="AB20" s="147">
        <v>0</v>
      </c>
      <c r="AC20" s="147">
        <v>0</v>
      </c>
      <c r="AD20" s="147">
        <v>0</v>
      </c>
      <c r="AE20" s="147">
        <v>0</v>
      </c>
      <c r="AF20" s="147">
        <v>0</v>
      </c>
      <c r="AG20" s="147">
        <v>0</v>
      </c>
      <c r="AH20" s="147">
        <v>0</v>
      </c>
      <c r="AI20" s="147">
        <v>0</v>
      </c>
      <c r="AJ20" s="147">
        <v>0</v>
      </c>
      <c r="AK20" s="147">
        <v>0</v>
      </c>
      <c r="AL20" s="147">
        <v>0</v>
      </c>
      <c r="AM20" s="147">
        <v>0</v>
      </c>
      <c r="AN20" s="147">
        <v>0</v>
      </c>
      <c r="AO20" s="147">
        <v>0</v>
      </c>
      <c r="AP20" s="147">
        <v>0</v>
      </c>
      <c r="AQ20" s="147">
        <v>0</v>
      </c>
      <c r="AR20" s="147">
        <v>0</v>
      </c>
      <c r="AS20" s="147">
        <v>0</v>
      </c>
      <c r="AT20" s="147">
        <v>0</v>
      </c>
      <c r="AU20" s="147">
        <v>0</v>
      </c>
      <c r="AV20" s="147">
        <v>0</v>
      </c>
      <c r="AW20" s="147">
        <v>0</v>
      </c>
      <c r="AX20" s="147">
        <v>0</v>
      </c>
      <c r="AY20" s="147">
        <v>0</v>
      </c>
      <c r="AZ20" s="147">
        <v>0</v>
      </c>
    </row>
    <row r="21" spans="1:52" customFormat="1" x14ac:dyDescent="0.15">
      <c r="A21" s="183" t="s">
        <v>211</v>
      </c>
      <c r="B21" s="147">
        <v>0</v>
      </c>
      <c r="C21" s="147">
        <v>0</v>
      </c>
      <c r="D21" s="147">
        <v>5.9988000259148175E-3</v>
      </c>
      <c r="E21" s="147">
        <v>5.9988000490041986E-3</v>
      </c>
      <c r="F21" s="147">
        <v>0.20257973829651035</v>
      </c>
      <c r="G21" s="147">
        <v>0</v>
      </c>
      <c r="H21" s="147">
        <v>0</v>
      </c>
      <c r="I21" s="147">
        <v>0</v>
      </c>
      <c r="J21" s="147">
        <v>2.1006301323286979E-2</v>
      </c>
      <c r="K21" s="147">
        <v>2.0000000000000001E-4</v>
      </c>
      <c r="L21" s="147">
        <v>0</v>
      </c>
      <c r="M21" s="147">
        <v>1.2996101349723084E-3</v>
      </c>
      <c r="N21" s="147">
        <v>0.32153568139217742</v>
      </c>
      <c r="O21" s="147">
        <v>0</v>
      </c>
      <c r="P21" s="147">
        <v>0</v>
      </c>
      <c r="Q21" s="147">
        <v>0</v>
      </c>
      <c r="R21" s="147">
        <v>0</v>
      </c>
      <c r="S21" s="147">
        <v>0.1391278200302791</v>
      </c>
      <c r="T21" s="147">
        <v>5.2999999999999999E-2</v>
      </c>
      <c r="U21" s="147">
        <v>7.0007001407140735E-3</v>
      </c>
      <c r="V21" s="147">
        <v>0</v>
      </c>
      <c r="W21" s="147">
        <v>2.4297570091844814E-2</v>
      </c>
      <c r="X21" s="147">
        <v>1.2999999999999999E-2</v>
      </c>
      <c r="Y21" s="147">
        <v>1.850185022609261E-2</v>
      </c>
      <c r="Z21" s="147">
        <v>9.299069864242877E-3</v>
      </c>
      <c r="AA21" s="147">
        <v>0</v>
      </c>
      <c r="AB21" s="147">
        <v>0</v>
      </c>
      <c r="AC21" s="147">
        <v>0</v>
      </c>
      <c r="AD21" s="147">
        <v>0</v>
      </c>
      <c r="AE21" s="147">
        <v>0</v>
      </c>
      <c r="AF21" s="147">
        <v>0</v>
      </c>
      <c r="AG21" s="147">
        <v>0</v>
      </c>
      <c r="AH21" s="147">
        <v>0</v>
      </c>
      <c r="AI21" s="147">
        <v>1.9980022172028009E-3</v>
      </c>
      <c r="AJ21" s="147">
        <v>0</v>
      </c>
      <c r="AK21" s="147">
        <v>0</v>
      </c>
      <c r="AL21" s="147">
        <v>0</v>
      </c>
      <c r="AM21" s="147">
        <v>0</v>
      </c>
      <c r="AN21" s="147">
        <v>0</v>
      </c>
      <c r="AO21" s="147">
        <v>0</v>
      </c>
      <c r="AP21" s="147">
        <v>0</v>
      </c>
      <c r="AQ21" s="147">
        <v>0</v>
      </c>
      <c r="AR21" s="147">
        <v>0</v>
      </c>
      <c r="AS21" s="147">
        <v>0</v>
      </c>
      <c r="AT21" s="147">
        <v>0</v>
      </c>
      <c r="AU21" s="147">
        <v>0</v>
      </c>
      <c r="AV21" s="147">
        <v>0</v>
      </c>
      <c r="AW21" s="147">
        <v>0</v>
      </c>
      <c r="AX21" s="147">
        <v>0</v>
      </c>
      <c r="AY21" s="147">
        <v>0</v>
      </c>
      <c r="AZ21" s="147">
        <v>0</v>
      </c>
    </row>
    <row r="22" spans="1:52" customFormat="1" x14ac:dyDescent="0.15">
      <c r="A22" s="183" t="s">
        <v>212</v>
      </c>
      <c r="B22" s="147">
        <v>0</v>
      </c>
      <c r="C22" s="147">
        <v>0</v>
      </c>
      <c r="D22" s="147">
        <v>4.9990000215956809E-3</v>
      </c>
      <c r="E22" s="147">
        <v>0</v>
      </c>
      <c r="F22" s="147">
        <v>0</v>
      </c>
      <c r="G22" s="147">
        <v>0</v>
      </c>
      <c r="H22" s="147">
        <v>5.0010000312562504E-4</v>
      </c>
      <c r="I22" s="147">
        <v>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  <c r="AO22" s="147">
        <v>0</v>
      </c>
      <c r="AP22" s="147">
        <v>0</v>
      </c>
      <c r="AQ22" s="147">
        <v>0</v>
      </c>
      <c r="AR22" s="147">
        <v>0</v>
      </c>
      <c r="AS22" s="147">
        <v>0</v>
      </c>
      <c r="AT22" s="147">
        <v>0</v>
      </c>
      <c r="AU22" s="147">
        <v>0</v>
      </c>
      <c r="AV22" s="147">
        <v>0</v>
      </c>
      <c r="AW22" s="147">
        <v>0</v>
      </c>
      <c r="AX22" s="147">
        <v>0</v>
      </c>
      <c r="AY22" s="147">
        <v>0</v>
      </c>
      <c r="AZ22" s="147">
        <v>0</v>
      </c>
    </row>
    <row r="23" spans="1:52" customFormat="1" x14ac:dyDescent="0.15">
      <c r="A23" s="183" t="s">
        <v>213</v>
      </c>
      <c r="B23" s="147">
        <v>0</v>
      </c>
      <c r="C23" s="147">
        <v>2.0897910114102591E-2</v>
      </c>
      <c r="D23" s="147">
        <v>0</v>
      </c>
      <c r="E23" s="147">
        <v>0</v>
      </c>
      <c r="F23" s="147">
        <v>0</v>
      </c>
      <c r="G23" s="147">
        <v>0</v>
      </c>
      <c r="H23" s="147">
        <v>0</v>
      </c>
      <c r="I23" s="147">
        <v>0</v>
      </c>
      <c r="J23" s="147">
        <v>0</v>
      </c>
      <c r="K23" s="147">
        <v>0</v>
      </c>
      <c r="L23" s="147">
        <v>0</v>
      </c>
      <c r="M23" s="147">
        <v>0</v>
      </c>
      <c r="N23" s="147">
        <v>0</v>
      </c>
      <c r="O23" s="147">
        <v>0</v>
      </c>
      <c r="P23" s="147">
        <v>0</v>
      </c>
      <c r="Q23" s="147">
        <v>0</v>
      </c>
      <c r="R23" s="147">
        <v>0</v>
      </c>
      <c r="S23" s="147">
        <v>0</v>
      </c>
      <c r="T23" s="147">
        <v>0</v>
      </c>
      <c r="U23" s="147">
        <v>0</v>
      </c>
      <c r="V23" s="147">
        <v>0</v>
      </c>
      <c r="W23" s="147">
        <v>0</v>
      </c>
      <c r="X23" s="147">
        <v>0</v>
      </c>
      <c r="Y23" s="147">
        <v>0</v>
      </c>
      <c r="Z23" s="147">
        <v>0</v>
      </c>
      <c r="AA23" s="147">
        <v>0</v>
      </c>
      <c r="AB23" s="147">
        <v>0</v>
      </c>
      <c r="AC23" s="147">
        <v>0</v>
      </c>
      <c r="AD23" s="147">
        <v>0</v>
      </c>
      <c r="AE23" s="147">
        <v>0</v>
      </c>
      <c r="AF23" s="147">
        <v>0</v>
      </c>
      <c r="AG23" s="147">
        <v>0</v>
      </c>
      <c r="AH23" s="147">
        <v>0</v>
      </c>
      <c r="AI23" s="147">
        <v>0</v>
      </c>
      <c r="AJ23" s="147">
        <v>0</v>
      </c>
      <c r="AK23" s="147">
        <v>0</v>
      </c>
      <c r="AL23" s="147">
        <v>0</v>
      </c>
      <c r="AM23" s="147">
        <v>0</v>
      </c>
      <c r="AN23" s="147">
        <v>0</v>
      </c>
      <c r="AO23" s="147">
        <v>0</v>
      </c>
      <c r="AP23" s="147">
        <v>0</v>
      </c>
      <c r="AQ23" s="147">
        <v>0</v>
      </c>
      <c r="AR23" s="147">
        <v>0</v>
      </c>
      <c r="AS23" s="147">
        <v>0</v>
      </c>
      <c r="AT23" s="147">
        <v>0</v>
      </c>
      <c r="AU23" s="147">
        <v>0</v>
      </c>
      <c r="AV23" s="147">
        <v>0</v>
      </c>
      <c r="AW23" s="147">
        <v>0</v>
      </c>
      <c r="AX23" s="147">
        <v>0</v>
      </c>
      <c r="AY23" s="147">
        <v>0</v>
      </c>
      <c r="AZ23" s="147">
        <v>0</v>
      </c>
    </row>
    <row r="24" spans="1:52" customFormat="1" x14ac:dyDescent="0.15">
      <c r="A24" s="183" t="s">
        <v>214</v>
      </c>
      <c r="B24" s="147">
        <v>2E-3</v>
      </c>
      <c r="C24" s="147">
        <v>2.0897910114102591E-2</v>
      </c>
      <c r="D24" s="147">
        <v>4.0991800177084592E-2</v>
      </c>
      <c r="E24" s="147">
        <v>0</v>
      </c>
      <c r="F24" s="147">
        <v>0</v>
      </c>
      <c r="G24" s="147">
        <v>0</v>
      </c>
      <c r="H24" s="147">
        <v>5.1010204818813789E-3</v>
      </c>
      <c r="I24" s="147">
        <v>0</v>
      </c>
      <c r="J24" s="147">
        <v>2.0006000307892343E-4</v>
      </c>
      <c r="K24" s="147">
        <v>2.0000000000000001E-4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0</v>
      </c>
      <c r="S24" s="147">
        <v>4.2908582500927168E-2</v>
      </c>
      <c r="T24" s="147">
        <v>1.2500000000000001E-2</v>
      </c>
      <c r="U24" s="147">
        <v>0</v>
      </c>
      <c r="V24" s="147">
        <v>0</v>
      </c>
      <c r="W24" s="147">
        <v>0.13628636351516243</v>
      </c>
      <c r="X24" s="147">
        <v>7.2099999999999997E-2</v>
      </c>
      <c r="Y24" s="147">
        <v>3.0003002366636689E-4</v>
      </c>
      <c r="Z24" s="147">
        <v>1.9997998308049218E-4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1.1988012323216788E-2</v>
      </c>
      <c r="AJ24" s="147">
        <v>0</v>
      </c>
      <c r="AK24" s="147">
        <v>0</v>
      </c>
      <c r="AL24" s="147">
        <v>9.9900099060939063E-4</v>
      </c>
      <c r="AM24" s="147">
        <v>0</v>
      </c>
      <c r="AN24" s="147">
        <v>0</v>
      </c>
      <c r="AO24" s="147">
        <v>0</v>
      </c>
      <c r="AP24" s="147">
        <v>0</v>
      </c>
      <c r="AQ24" s="147">
        <v>0</v>
      </c>
      <c r="AR24" s="147">
        <v>0</v>
      </c>
      <c r="AS24" s="147">
        <v>0</v>
      </c>
      <c r="AT24" s="147">
        <v>0</v>
      </c>
      <c r="AU24" s="147">
        <v>0</v>
      </c>
      <c r="AV24" s="147">
        <v>0</v>
      </c>
      <c r="AW24" s="147">
        <v>0</v>
      </c>
      <c r="AX24" s="147">
        <v>0</v>
      </c>
      <c r="AY24" s="147">
        <v>0</v>
      </c>
      <c r="AZ24" s="147">
        <v>0</v>
      </c>
    </row>
    <row r="25" spans="1:52" customFormat="1" x14ac:dyDescent="0.15">
      <c r="A25" s="183" t="s">
        <v>215</v>
      </c>
      <c r="B25" s="147">
        <v>0</v>
      </c>
      <c r="C25" s="147">
        <v>2.0897910114102591E-2</v>
      </c>
      <c r="D25" s="147">
        <v>0</v>
      </c>
      <c r="E25" s="147">
        <v>1.2997401006175772E-2</v>
      </c>
      <c r="F25" s="147">
        <v>2.1997800140785922E-2</v>
      </c>
      <c r="G25" s="147">
        <v>0</v>
      </c>
      <c r="H25" s="147">
        <v>0</v>
      </c>
      <c r="I25" s="147">
        <v>0</v>
      </c>
      <c r="J25" s="147">
        <v>0</v>
      </c>
      <c r="K25" s="147">
        <v>0</v>
      </c>
      <c r="L25" s="147">
        <v>0</v>
      </c>
      <c r="M25" s="147">
        <v>0</v>
      </c>
      <c r="N25" s="147">
        <v>0</v>
      </c>
      <c r="O25" s="147">
        <v>0</v>
      </c>
      <c r="P25" s="147">
        <v>0</v>
      </c>
      <c r="Q25" s="147">
        <v>0</v>
      </c>
      <c r="R25" s="147">
        <v>0</v>
      </c>
      <c r="S25" s="147">
        <v>0</v>
      </c>
      <c r="T25" s="147">
        <v>0</v>
      </c>
      <c r="U25" s="147">
        <v>0</v>
      </c>
      <c r="V25" s="147">
        <v>0</v>
      </c>
      <c r="W25" s="147">
        <v>0</v>
      </c>
      <c r="X25" s="147">
        <v>0</v>
      </c>
      <c r="Y25" s="147">
        <v>0</v>
      </c>
      <c r="Z25" s="147">
        <v>0</v>
      </c>
      <c r="AA25" s="147">
        <v>0</v>
      </c>
      <c r="AB25" s="147">
        <v>0</v>
      </c>
      <c r="AC25" s="147">
        <v>0</v>
      </c>
      <c r="AD25" s="147">
        <v>0</v>
      </c>
      <c r="AE25" s="147">
        <v>0</v>
      </c>
      <c r="AF25" s="147">
        <v>0</v>
      </c>
      <c r="AG25" s="147">
        <v>0</v>
      </c>
      <c r="AH25" s="147">
        <v>0</v>
      </c>
      <c r="AI25" s="147">
        <v>0</v>
      </c>
      <c r="AJ25" s="147">
        <v>0</v>
      </c>
      <c r="AK25" s="147">
        <v>0</v>
      </c>
      <c r="AL25" s="147">
        <v>0</v>
      </c>
      <c r="AM25" s="147">
        <v>0</v>
      </c>
      <c r="AN25" s="147">
        <v>0</v>
      </c>
      <c r="AO25" s="147">
        <v>0</v>
      </c>
      <c r="AP25" s="147">
        <v>0</v>
      </c>
      <c r="AQ25" s="147">
        <v>0</v>
      </c>
      <c r="AR25" s="147">
        <v>0</v>
      </c>
      <c r="AS25" s="147">
        <v>0</v>
      </c>
      <c r="AT25" s="147">
        <v>0</v>
      </c>
      <c r="AU25" s="147">
        <v>0</v>
      </c>
      <c r="AV25" s="147">
        <v>0</v>
      </c>
      <c r="AW25" s="147">
        <v>0</v>
      </c>
      <c r="AX25" s="147">
        <v>0</v>
      </c>
      <c r="AY25" s="147">
        <v>0</v>
      </c>
      <c r="AZ25" s="147">
        <v>0</v>
      </c>
    </row>
    <row r="26" spans="1:52" customFormat="1" x14ac:dyDescent="0.15">
      <c r="A26" s="183" t="s">
        <v>216</v>
      </c>
      <c r="B26" s="147">
        <v>0.01</v>
      </c>
      <c r="C26" s="147">
        <v>2.0897910114102591E-2</v>
      </c>
      <c r="D26" s="147">
        <v>2.5994802012297549E-2</v>
      </c>
      <c r="E26" s="147">
        <v>1.1997600098008397E-2</v>
      </c>
      <c r="F26" s="147">
        <v>6.5893410421717827E-2</v>
      </c>
      <c r="G26" s="147">
        <v>0</v>
      </c>
      <c r="H26" s="147">
        <v>5.1010204818813789E-3</v>
      </c>
      <c r="I26" s="147">
        <v>0</v>
      </c>
      <c r="J26" s="147">
        <v>6.2118635556005795E-2</v>
      </c>
      <c r="K26" s="147">
        <v>7.9000000000000008E-3</v>
      </c>
      <c r="L26" s="147">
        <v>5.9005899364506465E-3</v>
      </c>
      <c r="M26" s="147">
        <v>8.8973310340411896E-3</v>
      </c>
      <c r="N26" s="147">
        <v>8.7282547092279589E-2</v>
      </c>
      <c r="O26" s="147">
        <v>4.0003999374337452E-4</v>
      </c>
      <c r="P26" s="147">
        <v>0</v>
      </c>
      <c r="Q26" s="147">
        <v>0</v>
      </c>
      <c r="R26" s="147">
        <v>0</v>
      </c>
      <c r="S26" s="147">
        <v>0.11452290320177534</v>
      </c>
      <c r="T26" s="147">
        <v>3.5000000000000003E-2</v>
      </c>
      <c r="U26" s="147">
        <v>1.0001000201020106E-3</v>
      </c>
      <c r="V26" s="147">
        <v>0</v>
      </c>
      <c r="W26" s="147">
        <v>0.15428458258319572</v>
      </c>
      <c r="X26" s="147">
        <v>8.1100000000000005E-2</v>
      </c>
      <c r="Y26" s="147">
        <v>4.0004000488848886E-4</v>
      </c>
      <c r="Z26" s="147">
        <v>1.9997998308049218E-4</v>
      </c>
      <c r="AA26" s="147">
        <v>2E-3</v>
      </c>
      <c r="AB26" s="147">
        <v>0</v>
      </c>
      <c r="AC26" s="147">
        <v>9.9999999999999985E-3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1.1988012323216788E-2</v>
      </c>
      <c r="AJ26" s="147">
        <v>0</v>
      </c>
      <c r="AK26" s="147">
        <v>0</v>
      </c>
      <c r="AL26" s="147">
        <v>9.9900099060939063E-4</v>
      </c>
      <c r="AM26" s="147">
        <v>0</v>
      </c>
      <c r="AN26" s="147">
        <v>0</v>
      </c>
      <c r="AO26" s="147">
        <v>0</v>
      </c>
      <c r="AP26" s="147">
        <v>0</v>
      </c>
      <c r="AQ26" s="147">
        <v>0</v>
      </c>
      <c r="AR26" s="147">
        <v>0</v>
      </c>
      <c r="AS26" s="147">
        <v>0</v>
      </c>
      <c r="AT26" s="147">
        <v>0</v>
      </c>
      <c r="AU26" s="147">
        <v>0</v>
      </c>
      <c r="AV26" s="147">
        <v>0</v>
      </c>
      <c r="AW26" s="147">
        <v>0</v>
      </c>
      <c r="AX26" s="147">
        <v>0</v>
      </c>
      <c r="AY26" s="147">
        <v>0</v>
      </c>
      <c r="AZ26" s="147">
        <v>0</v>
      </c>
    </row>
    <row r="27" spans="1:52" customFormat="1" x14ac:dyDescent="0.15">
      <c r="A27" s="183" t="s">
        <v>217</v>
      </c>
      <c r="B27" s="147">
        <v>1.6E-2</v>
      </c>
      <c r="C27" s="147">
        <v>0</v>
      </c>
      <c r="D27" s="147">
        <v>2.9994000129574087E-3</v>
      </c>
      <c r="E27" s="147">
        <v>2.5994802112351542E-2</v>
      </c>
      <c r="F27" s="147">
        <v>0</v>
      </c>
      <c r="G27" s="147">
        <v>0</v>
      </c>
      <c r="H27" s="147">
        <v>5.1010204818813789E-3</v>
      </c>
      <c r="I27" s="147">
        <v>0</v>
      </c>
      <c r="J27" s="147">
        <v>3.6010800554206218E-2</v>
      </c>
      <c r="K27" s="147">
        <v>2.9600000000000001E-2</v>
      </c>
      <c r="L27" s="147">
        <v>6.6006601989108899E-3</v>
      </c>
      <c r="M27" s="147">
        <v>2.2993102787971613E-2</v>
      </c>
      <c r="N27" s="147">
        <v>1.9796040270413911E-2</v>
      </c>
      <c r="O27" s="147">
        <v>7.2007201373807369E-3</v>
      </c>
      <c r="P27" s="147">
        <v>0</v>
      </c>
      <c r="Q27" s="147">
        <v>8.9999999999999993E-3</v>
      </c>
      <c r="R27" s="147">
        <v>7.0999999999999994E-2</v>
      </c>
      <c r="S27" s="147">
        <v>2.8605719800618129E-2</v>
      </c>
      <c r="T27" s="147">
        <v>0.01</v>
      </c>
      <c r="U27" s="147">
        <v>0</v>
      </c>
      <c r="V27" s="147">
        <v>0</v>
      </c>
      <c r="W27" s="147">
        <v>0.10698930040441954</v>
      </c>
      <c r="X27" s="147">
        <v>5.6099999999999997E-2</v>
      </c>
      <c r="Y27" s="147">
        <v>1.3001300158875888E-3</v>
      </c>
      <c r="Z27" s="147">
        <v>6.9992994078172256E-4</v>
      </c>
      <c r="AA27" s="147">
        <v>8.0000000000000002E-3</v>
      </c>
      <c r="AB27" s="147">
        <v>0</v>
      </c>
      <c r="AC27" s="147">
        <v>0.19999999999999996</v>
      </c>
      <c r="AD27" s="147">
        <v>0</v>
      </c>
      <c r="AE27" s="147">
        <v>0</v>
      </c>
      <c r="AF27" s="147">
        <v>0</v>
      </c>
      <c r="AG27" s="147">
        <v>0</v>
      </c>
      <c r="AH27" s="147">
        <v>0</v>
      </c>
      <c r="AI27" s="147">
        <v>1.0989011504615393E-2</v>
      </c>
      <c r="AJ27" s="147">
        <v>0</v>
      </c>
      <c r="AK27" s="147">
        <v>0</v>
      </c>
      <c r="AL27" s="147">
        <v>9.9900099060939063E-4</v>
      </c>
      <c r="AM27" s="147">
        <v>0</v>
      </c>
      <c r="AN27" s="147">
        <v>0</v>
      </c>
      <c r="AO27" s="147">
        <v>0</v>
      </c>
      <c r="AP27" s="147">
        <v>0</v>
      </c>
      <c r="AQ27" s="147">
        <v>0</v>
      </c>
      <c r="AR27" s="147">
        <v>0</v>
      </c>
      <c r="AS27" s="147">
        <v>0</v>
      </c>
      <c r="AT27" s="147">
        <v>0</v>
      </c>
      <c r="AU27" s="147">
        <v>0</v>
      </c>
      <c r="AV27" s="147">
        <v>0</v>
      </c>
      <c r="AW27" s="147">
        <v>0</v>
      </c>
      <c r="AX27" s="147">
        <v>0</v>
      </c>
      <c r="AY27" s="147">
        <v>0</v>
      </c>
      <c r="AZ27" s="147">
        <v>0</v>
      </c>
    </row>
    <row r="28" spans="1:52" customFormat="1" x14ac:dyDescent="0.15">
      <c r="A28" s="183" t="s">
        <v>218</v>
      </c>
      <c r="B28" s="147">
        <v>0</v>
      </c>
      <c r="C28" s="147">
        <v>7.9992000436756323E-3</v>
      </c>
      <c r="D28" s="147">
        <v>1.4997000064787044E-2</v>
      </c>
      <c r="E28" s="147">
        <v>0</v>
      </c>
      <c r="F28" s="147">
        <v>0</v>
      </c>
      <c r="G28" s="147">
        <v>0</v>
      </c>
      <c r="H28" s="147">
        <v>5.1010204818813789E-3</v>
      </c>
      <c r="I28" s="147">
        <v>0</v>
      </c>
      <c r="J28" s="147">
        <v>1.0003001853946198E-3</v>
      </c>
      <c r="K28" s="147">
        <v>0</v>
      </c>
      <c r="L28" s="147">
        <v>0</v>
      </c>
      <c r="M28" s="147">
        <v>0</v>
      </c>
      <c r="N28" s="147">
        <v>0</v>
      </c>
      <c r="O28" s="147">
        <v>0</v>
      </c>
      <c r="P28" s="147">
        <v>0</v>
      </c>
      <c r="Q28" s="147">
        <v>0</v>
      </c>
      <c r="R28" s="147">
        <v>0</v>
      </c>
      <c r="S28" s="147">
        <v>0</v>
      </c>
      <c r="T28" s="147">
        <v>0</v>
      </c>
      <c r="U28" s="147">
        <v>0</v>
      </c>
      <c r="V28" s="147">
        <v>0</v>
      </c>
      <c r="W28" s="147">
        <v>0</v>
      </c>
      <c r="X28" s="147">
        <v>0</v>
      </c>
      <c r="Y28" s="147">
        <v>0</v>
      </c>
      <c r="Z28" s="147">
        <v>0</v>
      </c>
      <c r="AA28" s="147">
        <v>0</v>
      </c>
      <c r="AB28" s="147">
        <v>0</v>
      </c>
      <c r="AC28" s="147">
        <v>0</v>
      </c>
      <c r="AD28" s="147">
        <v>0</v>
      </c>
      <c r="AE28" s="147">
        <v>0</v>
      </c>
      <c r="AF28" s="147">
        <v>0</v>
      </c>
      <c r="AG28" s="147">
        <v>0</v>
      </c>
      <c r="AH28" s="147">
        <v>0</v>
      </c>
      <c r="AI28" s="147">
        <v>0</v>
      </c>
      <c r="AJ28" s="147">
        <v>0</v>
      </c>
      <c r="AK28" s="147">
        <v>0</v>
      </c>
      <c r="AL28" s="147">
        <v>0</v>
      </c>
      <c r="AM28" s="147">
        <v>0</v>
      </c>
      <c r="AN28" s="147">
        <v>0</v>
      </c>
      <c r="AO28" s="147">
        <v>0</v>
      </c>
      <c r="AP28" s="147">
        <v>0</v>
      </c>
      <c r="AQ28" s="147">
        <v>0</v>
      </c>
      <c r="AR28" s="147">
        <v>0</v>
      </c>
      <c r="AS28" s="147">
        <v>0</v>
      </c>
      <c r="AT28" s="147">
        <v>0</v>
      </c>
      <c r="AU28" s="147">
        <v>0</v>
      </c>
      <c r="AV28" s="147">
        <v>0</v>
      </c>
      <c r="AW28" s="147">
        <v>0</v>
      </c>
      <c r="AX28" s="147">
        <v>0</v>
      </c>
      <c r="AY28" s="147">
        <v>0</v>
      </c>
      <c r="AZ28" s="147">
        <v>0</v>
      </c>
    </row>
    <row r="29" spans="1:52" customFormat="1" x14ac:dyDescent="0.15">
      <c r="A29" s="183" t="s">
        <v>219</v>
      </c>
      <c r="B29" s="147">
        <v>2E-3</v>
      </c>
      <c r="C29" s="147">
        <v>2.9997001563783631E-3</v>
      </c>
      <c r="D29" s="147">
        <v>3.9992000172765444E-3</v>
      </c>
      <c r="E29" s="147">
        <v>1.9996000163347324E-3</v>
      </c>
      <c r="F29" s="147">
        <v>0</v>
      </c>
      <c r="G29" s="147">
        <v>0</v>
      </c>
      <c r="H29" s="147">
        <v>5.1010204818813789E-3</v>
      </c>
      <c r="I29" s="147">
        <v>0</v>
      </c>
      <c r="J29" s="147">
        <v>1.0003001853946198E-3</v>
      </c>
      <c r="K29" s="147">
        <v>0</v>
      </c>
      <c r="L29" s="147">
        <v>0</v>
      </c>
      <c r="M29" s="147">
        <v>0</v>
      </c>
      <c r="N29" s="147">
        <v>0</v>
      </c>
      <c r="O29" s="147">
        <v>0</v>
      </c>
      <c r="P29" s="147">
        <v>0</v>
      </c>
      <c r="Q29" s="147">
        <v>0</v>
      </c>
      <c r="R29" s="147">
        <v>0</v>
      </c>
      <c r="S29" s="147">
        <v>0</v>
      </c>
      <c r="T29" s="147">
        <v>0</v>
      </c>
      <c r="U29" s="147">
        <v>0</v>
      </c>
      <c r="V29" s="147">
        <v>0</v>
      </c>
      <c r="W29" s="147">
        <v>0</v>
      </c>
      <c r="X29" s="147">
        <v>0</v>
      </c>
      <c r="Y29" s="147">
        <v>0</v>
      </c>
      <c r="Z29" s="147">
        <v>0</v>
      </c>
      <c r="AA29" s="147">
        <v>0</v>
      </c>
      <c r="AB29" s="147">
        <v>0</v>
      </c>
      <c r="AC29" s="147">
        <v>0</v>
      </c>
      <c r="AD29" s="147">
        <v>0</v>
      </c>
      <c r="AE29" s="147">
        <v>0</v>
      </c>
      <c r="AF29" s="147">
        <v>0</v>
      </c>
      <c r="AG29" s="147">
        <v>0</v>
      </c>
      <c r="AH29" s="147">
        <v>0</v>
      </c>
      <c r="AI29" s="147">
        <v>9.9900111860140063E-4</v>
      </c>
      <c r="AJ29" s="147">
        <v>0</v>
      </c>
      <c r="AK29" s="147">
        <v>0</v>
      </c>
      <c r="AL29" s="147">
        <v>0</v>
      </c>
      <c r="AM29" s="147">
        <v>0</v>
      </c>
      <c r="AN29" s="147">
        <v>0</v>
      </c>
      <c r="AO29" s="147">
        <v>0</v>
      </c>
      <c r="AP29" s="147">
        <v>0</v>
      </c>
      <c r="AQ29" s="147">
        <v>0</v>
      </c>
      <c r="AR29" s="147">
        <v>0</v>
      </c>
      <c r="AS29" s="147">
        <v>0</v>
      </c>
      <c r="AT29" s="147">
        <v>0</v>
      </c>
      <c r="AU29" s="147">
        <v>0</v>
      </c>
      <c r="AV29" s="147">
        <v>0</v>
      </c>
      <c r="AW29" s="147">
        <v>0</v>
      </c>
      <c r="AX29" s="147">
        <v>0</v>
      </c>
      <c r="AY29" s="147">
        <v>0</v>
      </c>
      <c r="AZ29" s="147">
        <v>0</v>
      </c>
    </row>
    <row r="30" spans="1:52" customFormat="1" x14ac:dyDescent="0.15">
      <c r="A30" s="183" t="s">
        <v>220</v>
      </c>
      <c r="B30" s="147">
        <v>0</v>
      </c>
      <c r="C30" s="147">
        <v>9.9990000545945403E-4</v>
      </c>
      <c r="D30" s="147">
        <v>1.9996000086382722E-3</v>
      </c>
      <c r="E30" s="147">
        <v>0</v>
      </c>
      <c r="F30" s="147">
        <v>0</v>
      </c>
      <c r="G30" s="147">
        <v>0</v>
      </c>
      <c r="H30" s="147">
        <v>5.0010000312562504E-4</v>
      </c>
      <c r="I30" s="147">
        <v>0</v>
      </c>
      <c r="J30" s="147">
        <v>0</v>
      </c>
      <c r="K30" s="147">
        <v>0</v>
      </c>
      <c r="L30" s="147">
        <v>0</v>
      </c>
      <c r="M30" s="147">
        <v>0</v>
      </c>
      <c r="N30" s="147">
        <v>0</v>
      </c>
      <c r="O30" s="147">
        <v>0</v>
      </c>
      <c r="P30" s="147">
        <v>0</v>
      </c>
      <c r="Q30" s="147">
        <v>0</v>
      </c>
      <c r="R30" s="147">
        <v>0</v>
      </c>
      <c r="S30" s="147">
        <v>1.0001999930286058E-3</v>
      </c>
      <c r="T30" s="147">
        <v>0</v>
      </c>
      <c r="U30" s="147">
        <v>0</v>
      </c>
      <c r="V30" s="147">
        <v>0</v>
      </c>
      <c r="W30" s="147">
        <v>0</v>
      </c>
      <c r="X30" s="147">
        <v>0</v>
      </c>
      <c r="Y30" s="147">
        <v>0</v>
      </c>
      <c r="Z30" s="147">
        <v>0</v>
      </c>
      <c r="AA30" s="147">
        <v>0</v>
      </c>
      <c r="AB30" s="147">
        <v>0</v>
      </c>
      <c r="AC30" s="147">
        <v>0</v>
      </c>
      <c r="AD30" s="147">
        <v>0</v>
      </c>
      <c r="AE30" s="147">
        <v>0</v>
      </c>
      <c r="AF30" s="147">
        <v>0</v>
      </c>
      <c r="AG30" s="147">
        <v>0</v>
      </c>
      <c r="AH30" s="147">
        <v>0</v>
      </c>
      <c r="AI30" s="147">
        <v>9.9900111860140063E-4</v>
      </c>
      <c r="AJ30" s="147">
        <v>0</v>
      </c>
      <c r="AK30" s="147">
        <v>0</v>
      </c>
      <c r="AL30" s="147">
        <v>0</v>
      </c>
      <c r="AM30" s="147">
        <v>0</v>
      </c>
      <c r="AN30" s="147">
        <v>0</v>
      </c>
      <c r="AO30" s="147">
        <v>0</v>
      </c>
      <c r="AP30" s="147">
        <v>0</v>
      </c>
      <c r="AQ30" s="147">
        <v>0</v>
      </c>
      <c r="AR30" s="147">
        <v>0</v>
      </c>
      <c r="AS30" s="147">
        <v>0</v>
      </c>
      <c r="AT30" s="147">
        <v>0</v>
      </c>
      <c r="AU30" s="147">
        <v>0</v>
      </c>
      <c r="AV30" s="147">
        <v>0</v>
      </c>
      <c r="AW30" s="147">
        <v>0</v>
      </c>
      <c r="AX30" s="147">
        <v>0</v>
      </c>
      <c r="AY30" s="147">
        <v>0</v>
      </c>
      <c r="AZ30" s="147">
        <v>0</v>
      </c>
    </row>
    <row r="31" spans="1:52" customFormat="1" x14ac:dyDescent="0.15">
      <c r="A31" s="183" t="s">
        <v>221</v>
      </c>
      <c r="B31" s="147">
        <v>4.3999999999999997E-2</v>
      </c>
      <c r="C31" s="147">
        <v>0.10168983055522648</v>
      </c>
      <c r="D31" s="147">
        <v>1.1997600051829635E-2</v>
      </c>
      <c r="E31" s="147">
        <v>5.2889420432053684E-2</v>
      </c>
      <c r="F31" s="147">
        <v>9.9990000639936013E-3</v>
      </c>
      <c r="G31" s="147">
        <v>0</v>
      </c>
      <c r="H31" s="147">
        <v>0.70824164642651033</v>
      </c>
      <c r="I31" s="147">
        <v>0</v>
      </c>
      <c r="J31" s="147">
        <v>5.0015006969730956E-2</v>
      </c>
      <c r="K31" s="147">
        <v>0.1137</v>
      </c>
      <c r="L31" s="147">
        <v>5.3405339424824498E-2</v>
      </c>
      <c r="M31" s="147">
        <v>1.0996700742073378E-3</v>
      </c>
      <c r="N31" s="147">
        <v>0.48000400655685471</v>
      </c>
      <c r="O31" s="147">
        <v>0.83828382388924105</v>
      </c>
      <c r="P31" s="147">
        <v>3.9396060051214876E-2</v>
      </c>
      <c r="Q31" s="147">
        <v>0</v>
      </c>
      <c r="R31" s="147">
        <v>0</v>
      </c>
      <c r="S31" s="147">
        <v>0.12782557210905574</v>
      </c>
      <c r="T31" s="147">
        <v>0.151</v>
      </c>
      <c r="U31" s="147">
        <v>7.0007001407140735E-3</v>
      </c>
      <c r="V31" s="147">
        <v>0.49999999999999989</v>
      </c>
      <c r="W31" s="147">
        <v>0.12728726948114588</v>
      </c>
      <c r="X31" s="147">
        <v>0.01</v>
      </c>
      <c r="Y31" s="147">
        <v>3.0603060373969398E-2</v>
      </c>
      <c r="Z31" s="147">
        <v>1.5398459275197889E-2</v>
      </c>
      <c r="AA31" s="147">
        <v>0.02</v>
      </c>
      <c r="AB31" s="147">
        <v>0.1</v>
      </c>
      <c r="AC31" s="147">
        <v>0.39999999999999991</v>
      </c>
      <c r="AD31" s="147">
        <v>0.48280000000000001</v>
      </c>
      <c r="AE31" s="147">
        <v>5.0000000000000001E-3</v>
      </c>
      <c r="AF31" s="147">
        <v>0</v>
      </c>
      <c r="AG31" s="147">
        <v>1.0999999999999999E-2</v>
      </c>
      <c r="AH31" s="147">
        <v>0</v>
      </c>
      <c r="AI31" s="147">
        <v>7.4925081395105009E-2</v>
      </c>
      <c r="AJ31" s="147">
        <v>0</v>
      </c>
      <c r="AK31" s="147">
        <v>0.01</v>
      </c>
      <c r="AL31" s="147">
        <v>1.0989009896703306E-2</v>
      </c>
      <c r="AM31" s="147">
        <v>0</v>
      </c>
      <c r="AN31" s="147">
        <v>0</v>
      </c>
      <c r="AO31" s="147">
        <v>0</v>
      </c>
      <c r="AP31" s="147">
        <v>0</v>
      </c>
      <c r="AQ31" s="147">
        <v>0</v>
      </c>
      <c r="AR31" s="147">
        <v>0</v>
      </c>
      <c r="AS31" s="147">
        <v>0</v>
      </c>
      <c r="AT31" s="147">
        <v>0</v>
      </c>
      <c r="AU31" s="147">
        <v>0</v>
      </c>
      <c r="AV31" s="147">
        <v>0</v>
      </c>
      <c r="AW31" s="147">
        <v>0</v>
      </c>
      <c r="AX31" s="147">
        <v>0</v>
      </c>
      <c r="AY31" s="147">
        <v>0</v>
      </c>
      <c r="AZ31" s="147">
        <v>0</v>
      </c>
    </row>
    <row r="32" spans="1:52" customFormat="1" x14ac:dyDescent="0.15">
      <c r="A32" s="183" t="s">
        <v>222</v>
      </c>
      <c r="B32" s="147">
        <v>0</v>
      </c>
      <c r="C32" s="147">
        <v>7.1792820391988796E-2</v>
      </c>
      <c r="D32" s="147">
        <v>0.45040992094577098</v>
      </c>
      <c r="E32" s="147">
        <v>0.28844230235628521</v>
      </c>
      <c r="F32" s="147">
        <v>0</v>
      </c>
      <c r="G32" s="147">
        <v>0</v>
      </c>
      <c r="H32" s="147">
        <v>7.9715945298224664E-2</v>
      </c>
      <c r="I32" s="147">
        <v>0</v>
      </c>
      <c r="J32" s="147">
        <v>0.26427928006725809</v>
      </c>
      <c r="K32" s="147">
        <v>4.87E-2</v>
      </c>
      <c r="L32" s="147">
        <v>0.22762275954850289</v>
      </c>
      <c r="M32" s="147">
        <v>0.14165750054198159</v>
      </c>
      <c r="N32" s="147">
        <v>0</v>
      </c>
      <c r="O32" s="147">
        <v>2.0001999687168726E-4</v>
      </c>
      <c r="P32" s="147">
        <v>4.0395960052514751E-2</v>
      </c>
      <c r="Q32" s="147">
        <v>0</v>
      </c>
      <c r="R32" s="147">
        <v>0</v>
      </c>
      <c r="S32" s="147">
        <v>0.12782557210905574</v>
      </c>
      <c r="T32" s="147">
        <v>0.05</v>
      </c>
      <c r="U32" s="147">
        <v>4.0004000804080425E-3</v>
      </c>
      <c r="V32" s="147">
        <v>4.9999999999999989E-2</v>
      </c>
      <c r="W32" s="147">
        <v>0.18338166269318265</v>
      </c>
      <c r="X32" s="147">
        <v>9.6100000000000005E-2</v>
      </c>
      <c r="Y32" s="147">
        <v>1.2001200746654672E-2</v>
      </c>
      <c r="Z32" s="147">
        <v>6.0993899109550052E-3</v>
      </c>
      <c r="AA32" s="147">
        <v>0.01</v>
      </c>
      <c r="AB32" s="147">
        <v>1E-3</v>
      </c>
      <c r="AC32" s="147">
        <v>4.9999999999999989E-2</v>
      </c>
      <c r="AD32" s="147">
        <v>0.18310000000000001</v>
      </c>
      <c r="AE32" s="147">
        <v>5.0000000000000001E-3</v>
      </c>
      <c r="AF32" s="147">
        <v>0</v>
      </c>
      <c r="AG32" s="147">
        <v>0</v>
      </c>
      <c r="AH32" s="147">
        <v>0</v>
      </c>
      <c r="AI32" s="147">
        <v>8.5914091599720369E-2</v>
      </c>
      <c r="AJ32" s="147">
        <v>0</v>
      </c>
      <c r="AK32" s="147">
        <v>0</v>
      </c>
      <c r="AL32" s="147">
        <v>0.29170829725794195</v>
      </c>
      <c r="AM32" s="147">
        <v>0</v>
      </c>
      <c r="AN32" s="147">
        <v>0</v>
      </c>
      <c r="AO32" s="147">
        <v>0</v>
      </c>
      <c r="AP32" s="147">
        <v>0</v>
      </c>
      <c r="AQ32" s="147">
        <v>0</v>
      </c>
      <c r="AR32" s="147">
        <v>0</v>
      </c>
      <c r="AS32" s="147">
        <v>0</v>
      </c>
      <c r="AT32" s="147">
        <v>0</v>
      </c>
      <c r="AU32" s="147">
        <v>0</v>
      </c>
      <c r="AV32" s="147">
        <v>0</v>
      </c>
      <c r="AW32" s="147">
        <v>0</v>
      </c>
      <c r="AX32" s="147">
        <v>0</v>
      </c>
      <c r="AY32" s="147">
        <v>0</v>
      </c>
      <c r="AZ32" s="147">
        <v>0</v>
      </c>
    </row>
    <row r="33" spans="1:52" customFormat="1" x14ac:dyDescent="0.15">
      <c r="A33" s="183" t="s">
        <v>223</v>
      </c>
      <c r="B33" s="147">
        <v>0</v>
      </c>
      <c r="C33" s="147">
        <v>0.20437956011591241</v>
      </c>
      <c r="D33" s="147">
        <v>1.9996000086382722E-3</v>
      </c>
      <c r="E33" s="147">
        <v>0.22055588880172108</v>
      </c>
      <c r="F33" s="147">
        <v>0.12268772778520147</v>
      </c>
      <c r="G33" s="147">
        <v>0</v>
      </c>
      <c r="H33" s="147">
        <v>9.5719144298244671E-2</v>
      </c>
      <c r="I33" s="147">
        <v>0</v>
      </c>
      <c r="J33" s="147">
        <v>5.4016207231309427E-2</v>
      </c>
      <c r="K33" s="147">
        <v>5.0799999999999998E-2</v>
      </c>
      <c r="L33" s="147">
        <v>8.0007999138313854E-4</v>
      </c>
      <c r="M33" s="147">
        <v>5.7982607021841463E-3</v>
      </c>
      <c r="N33" s="147">
        <v>3.3493303257518522E-2</v>
      </c>
      <c r="O33" s="147">
        <v>5.0105009216357653E-2</v>
      </c>
      <c r="P33" s="147">
        <v>0</v>
      </c>
      <c r="Q33" s="147">
        <v>0</v>
      </c>
      <c r="R33" s="147">
        <v>0</v>
      </c>
      <c r="S33" s="147">
        <v>1.0001999930286058E-3</v>
      </c>
      <c r="T33" s="147">
        <v>1E-3</v>
      </c>
      <c r="U33" s="147">
        <v>0</v>
      </c>
      <c r="V33" s="147">
        <v>4.9999999999999989E-2</v>
      </c>
      <c r="W33" s="147">
        <v>0</v>
      </c>
      <c r="X33" s="147">
        <v>0</v>
      </c>
      <c r="Y33" s="147">
        <v>0</v>
      </c>
      <c r="Z33" s="147">
        <v>0</v>
      </c>
      <c r="AA33" s="147">
        <v>5.0000000000000001E-3</v>
      </c>
      <c r="AB33" s="147">
        <v>2E-3</v>
      </c>
      <c r="AC33" s="147">
        <v>4.9999999999999989E-2</v>
      </c>
      <c r="AD33" s="147">
        <v>0</v>
      </c>
      <c r="AE33" s="147">
        <v>0</v>
      </c>
      <c r="AF33" s="147">
        <v>0</v>
      </c>
      <c r="AG33" s="147">
        <v>2E-3</v>
      </c>
      <c r="AH33" s="147">
        <v>0</v>
      </c>
      <c r="AI33" s="147">
        <v>0</v>
      </c>
      <c r="AJ33" s="147">
        <v>0</v>
      </c>
      <c r="AK33" s="147">
        <v>0</v>
      </c>
      <c r="AL33" s="147">
        <v>6.9930069342657337E-3</v>
      </c>
      <c r="AM33" s="147">
        <v>0</v>
      </c>
      <c r="AN33" s="147">
        <v>0</v>
      </c>
      <c r="AO33" s="147">
        <v>0</v>
      </c>
      <c r="AP33" s="147">
        <v>0</v>
      </c>
      <c r="AQ33" s="147">
        <v>0</v>
      </c>
      <c r="AR33" s="147">
        <v>0</v>
      </c>
      <c r="AS33" s="147">
        <v>0</v>
      </c>
      <c r="AT33" s="147">
        <v>0</v>
      </c>
      <c r="AU33" s="147">
        <v>0</v>
      </c>
      <c r="AV33" s="147">
        <v>0</v>
      </c>
      <c r="AW33" s="147">
        <v>0</v>
      </c>
      <c r="AX33" s="147">
        <v>0</v>
      </c>
      <c r="AY33" s="147">
        <v>0</v>
      </c>
      <c r="AZ33" s="147">
        <v>0</v>
      </c>
    </row>
    <row r="34" spans="1:52" customFormat="1" x14ac:dyDescent="0.15">
      <c r="A34" s="183" t="s">
        <v>224</v>
      </c>
      <c r="B34" s="147">
        <v>0</v>
      </c>
      <c r="C34" s="147">
        <v>7.4792520408367175E-2</v>
      </c>
      <c r="D34" s="147">
        <v>7.4885025923503337E-2</v>
      </c>
      <c r="E34" s="147">
        <v>1.9996000163347329E-2</v>
      </c>
      <c r="F34" s="147">
        <v>0.118788123760244</v>
      </c>
      <c r="G34" s="147">
        <v>0</v>
      </c>
      <c r="H34" s="147">
        <v>1.5403080096269253E-2</v>
      </c>
      <c r="I34" s="147">
        <v>0</v>
      </c>
      <c r="J34" s="147">
        <v>1.2003601684735431E-2</v>
      </c>
      <c r="K34" s="147">
        <v>2.5100000000000001E-2</v>
      </c>
      <c r="L34" s="147">
        <v>0</v>
      </c>
      <c r="M34" s="147">
        <v>0</v>
      </c>
      <c r="N34" s="147">
        <v>0</v>
      </c>
      <c r="O34" s="147">
        <v>0</v>
      </c>
      <c r="P34" s="147">
        <v>0</v>
      </c>
      <c r="Q34" s="147">
        <v>0</v>
      </c>
      <c r="R34" s="147">
        <v>0</v>
      </c>
      <c r="S34" s="147">
        <v>0</v>
      </c>
      <c r="T34" s="147">
        <v>7.0000000000000007E-2</v>
      </c>
      <c r="U34" s="147">
        <v>0</v>
      </c>
      <c r="V34" s="147">
        <v>4.9999999999999989E-2</v>
      </c>
      <c r="W34" s="147">
        <v>0</v>
      </c>
      <c r="X34" s="147">
        <v>0</v>
      </c>
      <c r="Y34" s="147">
        <v>1.0001000122212222E-4</v>
      </c>
      <c r="Z34" s="147">
        <v>0</v>
      </c>
      <c r="AA34" s="147">
        <v>2E-3</v>
      </c>
      <c r="AB34" s="147">
        <v>2E-3</v>
      </c>
      <c r="AC34" s="147">
        <v>1.9999999999999997E-2</v>
      </c>
      <c r="AD34" s="147">
        <v>0.11550000000000001</v>
      </c>
      <c r="AE34" s="147">
        <v>0</v>
      </c>
      <c r="AF34" s="147">
        <v>0</v>
      </c>
      <c r="AG34" s="147">
        <v>0</v>
      </c>
      <c r="AH34" s="147">
        <v>0</v>
      </c>
      <c r="AI34" s="147">
        <v>0.11488511613916083</v>
      </c>
      <c r="AJ34" s="147">
        <v>0</v>
      </c>
      <c r="AK34" s="147">
        <v>0</v>
      </c>
      <c r="AL34" s="147">
        <v>0.13486513373226772</v>
      </c>
      <c r="AM34" s="147">
        <v>0</v>
      </c>
      <c r="AN34" s="147">
        <v>0</v>
      </c>
      <c r="AO34" s="147">
        <v>0</v>
      </c>
      <c r="AP34" s="147">
        <v>0</v>
      </c>
      <c r="AQ34" s="147">
        <v>0</v>
      </c>
      <c r="AR34" s="147">
        <v>0</v>
      </c>
      <c r="AS34" s="147">
        <v>0</v>
      </c>
      <c r="AT34" s="147">
        <v>0</v>
      </c>
      <c r="AU34" s="147">
        <v>0</v>
      </c>
      <c r="AV34" s="147">
        <v>0</v>
      </c>
      <c r="AW34" s="147">
        <v>0</v>
      </c>
      <c r="AX34" s="147">
        <v>0</v>
      </c>
      <c r="AY34" s="147">
        <v>0</v>
      </c>
      <c r="AZ34" s="147">
        <v>0</v>
      </c>
    </row>
    <row r="35" spans="1:52" customFormat="1" x14ac:dyDescent="0.15">
      <c r="A35" s="183" t="s">
        <v>225</v>
      </c>
      <c r="B35" s="147">
        <v>0</v>
      </c>
      <c r="C35" s="147">
        <v>0</v>
      </c>
      <c r="D35" s="147">
        <v>4.9990000215956809E-3</v>
      </c>
      <c r="E35" s="147">
        <v>0</v>
      </c>
      <c r="F35" s="147">
        <v>1.3998600789591047E-2</v>
      </c>
      <c r="G35" s="147">
        <v>0</v>
      </c>
      <c r="H35" s="147">
        <v>5.0010000312562504E-4</v>
      </c>
      <c r="I35" s="147">
        <v>0</v>
      </c>
      <c r="J35" s="147">
        <v>0</v>
      </c>
      <c r="K35" s="147">
        <v>0</v>
      </c>
      <c r="L35" s="147">
        <v>0</v>
      </c>
      <c r="M35" s="147">
        <v>0</v>
      </c>
      <c r="N35" s="147">
        <v>4.9990000682863407E-4</v>
      </c>
      <c r="O35" s="147">
        <v>0</v>
      </c>
      <c r="P35" s="147">
        <v>0</v>
      </c>
      <c r="Q35" s="147">
        <v>0</v>
      </c>
      <c r="R35" s="147">
        <v>0</v>
      </c>
      <c r="S35" s="147">
        <v>0</v>
      </c>
      <c r="T35" s="147">
        <v>0</v>
      </c>
      <c r="U35" s="147">
        <v>0</v>
      </c>
      <c r="V35" s="147">
        <v>0</v>
      </c>
      <c r="W35" s="147">
        <v>0</v>
      </c>
      <c r="X35" s="147">
        <v>0</v>
      </c>
      <c r="Y35" s="147">
        <v>0</v>
      </c>
      <c r="Z35" s="147">
        <v>0</v>
      </c>
      <c r="AA35" s="147">
        <v>0</v>
      </c>
      <c r="AB35" s="147">
        <v>0</v>
      </c>
      <c r="AC35" s="147">
        <v>0</v>
      </c>
      <c r="AD35" s="147">
        <v>0</v>
      </c>
      <c r="AE35" s="147">
        <v>0</v>
      </c>
      <c r="AF35" s="147">
        <v>0</v>
      </c>
      <c r="AG35" s="147">
        <v>0</v>
      </c>
      <c r="AH35" s="147">
        <v>0</v>
      </c>
      <c r="AI35" s="147">
        <v>0</v>
      </c>
      <c r="AJ35" s="147">
        <v>0</v>
      </c>
      <c r="AK35" s="147">
        <v>0</v>
      </c>
      <c r="AL35" s="147">
        <v>0</v>
      </c>
      <c r="AM35" s="147">
        <v>0</v>
      </c>
      <c r="AN35" s="147">
        <v>0</v>
      </c>
      <c r="AO35" s="147">
        <v>0</v>
      </c>
      <c r="AP35" s="147">
        <v>0</v>
      </c>
      <c r="AQ35" s="147">
        <v>0</v>
      </c>
      <c r="AR35" s="147">
        <v>0</v>
      </c>
      <c r="AS35" s="147">
        <v>0</v>
      </c>
      <c r="AT35" s="147">
        <v>0</v>
      </c>
      <c r="AU35" s="147">
        <v>0</v>
      </c>
      <c r="AV35" s="147">
        <v>0</v>
      </c>
      <c r="AW35" s="147">
        <v>0</v>
      </c>
      <c r="AX35" s="147">
        <v>0</v>
      </c>
      <c r="AY35" s="147">
        <v>0</v>
      </c>
      <c r="AZ35" s="147">
        <v>0</v>
      </c>
    </row>
    <row r="36" spans="1:52" customFormat="1" x14ac:dyDescent="0.15">
      <c r="A36" s="183" t="s">
        <v>226</v>
      </c>
      <c r="B36" s="147">
        <v>0</v>
      </c>
      <c r="C36" s="147">
        <v>7.5792424813826656E-2</v>
      </c>
      <c r="D36" s="147">
        <v>4.2991403685722872E-2</v>
      </c>
      <c r="E36" s="147">
        <v>0</v>
      </c>
      <c r="F36" s="147">
        <v>4.8895110312928709E-2</v>
      </c>
      <c r="G36" s="147">
        <v>0</v>
      </c>
      <c r="H36" s="147">
        <v>8.5017000531356253E-3</v>
      </c>
      <c r="I36" s="147">
        <v>0</v>
      </c>
      <c r="J36" s="147">
        <v>0</v>
      </c>
      <c r="K36" s="147">
        <v>0</v>
      </c>
      <c r="L36" s="147">
        <v>0</v>
      </c>
      <c r="M36" s="147">
        <v>0</v>
      </c>
      <c r="N36" s="147">
        <v>0</v>
      </c>
      <c r="O36" s="147">
        <v>0</v>
      </c>
      <c r="P36" s="147">
        <v>0</v>
      </c>
      <c r="Q36" s="147">
        <v>0</v>
      </c>
      <c r="R36" s="147">
        <v>0</v>
      </c>
      <c r="S36" s="147">
        <v>0</v>
      </c>
      <c r="T36" s="147">
        <v>0.02</v>
      </c>
      <c r="U36" s="147">
        <v>0</v>
      </c>
      <c r="V36" s="147">
        <v>0</v>
      </c>
      <c r="W36" s="147">
        <v>2.229777008428557E-2</v>
      </c>
      <c r="X36" s="147">
        <v>1.2E-2</v>
      </c>
      <c r="Y36" s="147">
        <v>8.0008000977697773E-3</v>
      </c>
      <c r="Z36" s="147">
        <v>3.9995999416098391E-3</v>
      </c>
      <c r="AA36" s="147">
        <v>1E-3</v>
      </c>
      <c r="AB36" s="147">
        <v>2E-3</v>
      </c>
      <c r="AC36" s="147">
        <v>0</v>
      </c>
      <c r="AD36" s="147">
        <v>0</v>
      </c>
      <c r="AE36" s="147">
        <v>0</v>
      </c>
      <c r="AF36" s="147">
        <v>0</v>
      </c>
      <c r="AG36" s="147">
        <v>0</v>
      </c>
      <c r="AH36" s="147">
        <v>0</v>
      </c>
      <c r="AI36" s="147">
        <v>0.11488511613916083</v>
      </c>
      <c r="AJ36" s="147">
        <v>0</v>
      </c>
      <c r="AK36" s="147">
        <v>0</v>
      </c>
      <c r="AL36" s="147">
        <v>0</v>
      </c>
      <c r="AM36" s="147">
        <v>0</v>
      </c>
      <c r="AN36" s="147">
        <v>0</v>
      </c>
      <c r="AO36" s="147">
        <v>0</v>
      </c>
      <c r="AP36" s="147">
        <v>0</v>
      </c>
      <c r="AQ36" s="147">
        <v>0</v>
      </c>
      <c r="AR36" s="147">
        <v>0</v>
      </c>
      <c r="AS36" s="147">
        <v>0</v>
      </c>
      <c r="AT36" s="147">
        <v>0</v>
      </c>
      <c r="AU36" s="147">
        <v>0</v>
      </c>
      <c r="AV36" s="147">
        <v>0</v>
      </c>
      <c r="AW36" s="147">
        <v>0</v>
      </c>
      <c r="AX36" s="147">
        <v>0</v>
      </c>
      <c r="AY36" s="147">
        <v>0</v>
      </c>
      <c r="AZ36" s="147">
        <v>0</v>
      </c>
    </row>
    <row r="37" spans="1:52" customFormat="1" x14ac:dyDescent="0.15">
      <c r="A37" s="183" t="s">
        <v>227</v>
      </c>
      <c r="B37" s="147">
        <v>0</v>
      </c>
      <c r="C37" s="147">
        <v>4.0895910223291677E-2</v>
      </c>
      <c r="D37" s="147">
        <v>9.9980000431913619E-3</v>
      </c>
      <c r="E37" s="147">
        <v>9.9980000816736621E-4</v>
      </c>
      <c r="F37" s="147">
        <v>0</v>
      </c>
      <c r="G37" s="147">
        <v>0</v>
      </c>
      <c r="H37" s="147">
        <v>2.3904780149404881E-2</v>
      </c>
      <c r="I37" s="147">
        <v>0</v>
      </c>
      <c r="J37" s="147">
        <v>4.0012007215784792E-3</v>
      </c>
      <c r="K37" s="147">
        <v>8.0000000000000004E-4</v>
      </c>
      <c r="L37" s="147">
        <v>0</v>
      </c>
      <c r="M37" s="147">
        <v>0</v>
      </c>
      <c r="N37" s="147">
        <v>1.1197760152961403E-2</v>
      </c>
      <c r="O37" s="147">
        <v>8.5008508670466922E-3</v>
      </c>
      <c r="P37" s="147">
        <v>0</v>
      </c>
      <c r="Q37" s="147">
        <v>0</v>
      </c>
      <c r="R37" s="147">
        <v>0</v>
      </c>
      <c r="S37" s="147">
        <v>8.2016399428345675E-3</v>
      </c>
      <c r="T37" s="147">
        <v>0.05</v>
      </c>
      <c r="U37" s="147">
        <v>0.23322332368778884</v>
      </c>
      <c r="V37" s="147">
        <v>0</v>
      </c>
      <c r="W37" s="147">
        <v>3.8896110147027291E-2</v>
      </c>
      <c r="X37" s="147">
        <v>0.02</v>
      </c>
      <c r="Y37" s="147">
        <v>5.4305430663612368E-2</v>
      </c>
      <c r="Z37" s="147">
        <v>2.7397259600027399E-2</v>
      </c>
      <c r="AA37" s="147">
        <v>0</v>
      </c>
      <c r="AB37" s="147">
        <v>0</v>
      </c>
      <c r="AC37" s="147">
        <v>0</v>
      </c>
      <c r="AD37" s="147">
        <v>0.19239999999999999</v>
      </c>
      <c r="AE37" s="147">
        <v>0</v>
      </c>
      <c r="AF37" s="147">
        <v>0</v>
      </c>
      <c r="AG37" s="147">
        <v>0</v>
      </c>
      <c r="AH37" s="147">
        <v>0</v>
      </c>
      <c r="AI37" s="147">
        <v>0.11488511613916083</v>
      </c>
      <c r="AJ37" s="147">
        <v>0</v>
      </c>
      <c r="AK37" s="147">
        <v>0.05</v>
      </c>
      <c r="AL37" s="147">
        <v>6.693306507082919E-2</v>
      </c>
      <c r="AM37" s="147">
        <v>0</v>
      </c>
      <c r="AN37" s="147">
        <v>0</v>
      </c>
      <c r="AO37" s="147">
        <v>0</v>
      </c>
      <c r="AP37" s="147">
        <v>0</v>
      </c>
      <c r="AQ37" s="147">
        <v>0</v>
      </c>
      <c r="AR37" s="147">
        <v>0</v>
      </c>
      <c r="AS37" s="147">
        <v>0</v>
      </c>
      <c r="AT37" s="147">
        <v>0</v>
      </c>
      <c r="AU37" s="147">
        <v>0</v>
      </c>
      <c r="AV37" s="147">
        <v>0</v>
      </c>
      <c r="AW37" s="147">
        <v>0</v>
      </c>
      <c r="AX37" s="147">
        <v>0</v>
      </c>
      <c r="AY37" s="147">
        <v>0</v>
      </c>
      <c r="AZ37" s="147">
        <v>0</v>
      </c>
    </row>
    <row r="38" spans="1:52" customFormat="1" x14ac:dyDescent="0.15">
      <c r="A38" s="183" t="s">
        <v>228</v>
      </c>
      <c r="B38" s="147">
        <v>0</v>
      </c>
      <c r="C38" s="147">
        <v>0</v>
      </c>
      <c r="D38" s="147">
        <v>2.9994000129574087E-2</v>
      </c>
      <c r="E38" s="147">
        <v>1.4997000122510496E-2</v>
      </c>
      <c r="F38" s="147">
        <v>8.3791620536266376E-2</v>
      </c>
      <c r="G38" s="147">
        <v>0</v>
      </c>
      <c r="H38" s="147">
        <v>8.5017000531356253E-3</v>
      </c>
      <c r="I38" s="147">
        <v>0</v>
      </c>
      <c r="J38" s="147">
        <v>3.0009004261838577E-3</v>
      </c>
      <c r="K38" s="147">
        <v>0</v>
      </c>
      <c r="L38" s="147">
        <v>0</v>
      </c>
      <c r="M38" s="147">
        <v>0</v>
      </c>
      <c r="N38" s="147">
        <v>7.9984001092581463E-4</v>
      </c>
      <c r="O38" s="147">
        <v>0</v>
      </c>
      <c r="P38" s="147">
        <v>0</v>
      </c>
      <c r="Q38" s="147">
        <v>0</v>
      </c>
      <c r="R38" s="147">
        <v>0</v>
      </c>
      <c r="S38" s="147">
        <v>6.0312062079624917E-2</v>
      </c>
      <c r="T38" s="147">
        <v>2.5000000000000001E-2</v>
      </c>
      <c r="U38" s="147">
        <v>0</v>
      </c>
      <c r="V38" s="147">
        <v>0</v>
      </c>
      <c r="W38" s="147">
        <v>7.9992000302369741E-3</v>
      </c>
      <c r="X38" s="147">
        <v>4.4999999999999998E-2</v>
      </c>
      <c r="Y38" s="147">
        <v>1.0001000122212222E-4</v>
      </c>
      <c r="Z38" s="147">
        <v>9.9989988540246128E-5</v>
      </c>
      <c r="AA38" s="147">
        <v>0</v>
      </c>
      <c r="AB38" s="147">
        <v>0</v>
      </c>
      <c r="AC38" s="147">
        <v>4.9999999999999992E-3</v>
      </c>
      <c r="AD38" s="147">
        <v>0</v>
      </c>
      <c r="AE38" s="147">
        <v>0</v>
      </c>
      <c r="AF38" s="147">
        <v>0</v>
      </c>
      <c r="AG38" s="147">
        <v>0</v>
      </c>
      <c r="AH38" s="147">
        <v>0</v>
      </c>
      <c r="AI38" s="147">
        <v>5.6943056260279699E-2</v>
      </c>
      <c r="AJ38" s="147">
        <v>0</v>
      </c>
      <c r="AK38" s="147">
        <v>0</v>
      </c>
      <c r="AL38" s="147">
        <v>0</v>
      </c>
      <c r="AM38" s="147">
        <v>0</v>
      </c>
      <c r="AN38" s="147">
        <v>0</v>
      </c>
      <c r="AO38" s="147">
        <v>0</v>
      </c>
      <c r="AP38" s="147">
        <v>0</v>
      </c>
      <c r="AQ38" s="147">
        <v>0</v>
      </c>
      <c r="AR38" s="147">
        <v>0</v>
      </c>
      <c r="AS38" s="147">
        <v>0</v>
      </c>
      <c r="AT38" s="147">
        <v>0</v>
      </c>
      <c r="AU38" s="147">
        <v>0</v>
      </c>
      <c r="AV38" s="147">
        <v>0</v>
      </c>
      <c r="AW38" s="147">
        <v>0</v>
      </c>
      <c r="AX38" s="147">
        <v>0</v>
      </c>
      <c r="AY38" s="147">
        <v>0</v>
      </c>
      <c r="AZ38" s="147">
        <v>0</v>
      </c>
    </row>
    <row r="39" spans="1:52" x14ac:dyDescent="0.15">
      <c r="A39" s="183" t="s">
        <v>229</v>
      </c>
      <c r="B39" s="147">
        <v>0</v>
      </c>
      <c r="C39" s="147">
        <v>7.4792520408367175E-2</v>
      </c>
      <c r="D39" s="147">
        <v>0</v>
      </c>
      <c r="E39" s="147">
        <v>9.9980000816736621E-4</v>
      </c>
      <c r="F39" s="147">
        <v>8.3791620536266376E-2</v>
      </c>
      <c r="G39" s="147">
        <v>0</v>
      </c>
      <c r="H39" s="147">
        <v>1.5403080096269253E-2</v>
      </c>
      <c r="I39" s="147">
        <v>0</v>
      </c>
      <c r="J39" s="147">
        <v>6.0018008523677153E-3</v>
      </c>
      <c r="K39" s="147">
        <v>3.0000000000000001E-3</v>
      </c>
      <c r="L39" s="147">
        <v>8.0007999138313854E-4</v>
      </c>
      <c r="M39" s="147">
        <v>1.9994001276497049E-4</v>
      </c>
      <c r="N39" s="147">
        <v>1.5696860214419111E-2</v>
      </c>
      <c r="O39" s="147">
        <v>3.1303133310419E-2</v>
      </c>
      <c r="P39" s="147">
        <v>0</v>
      </c>
      <c r="Q39" s="147">
        <v>0</v>
      </c>
      <c r="R39" s="147">
        <v>0</v>
      </c>
      <c r="S39" s="147">
        <v>1.0001999930286058E-3</v>
      </c>
      <c r="T39" s="147">
        <v>0.1</v>
      </c>
      <c r="U39" s="147">
        <v>1.2001200241224126E-2</v>
      </c>
      <c r="V39" s="147">
        <v>0</v>
      </c>
      <c r="W39" s="147">
        <v>0</v>
      </c>
      <c r="X39" s="147">
        <v>0</v>
      </c>
      <c r="Y39" s="147">
        <v>3.8003800464406442E-3</v>
      </c>
      <c r="Z39" s="147">
        <v>4.0995899401500861E-3</v>
      </c>
      <c r="AA39" s="147">
        <v>0</v>
      </c>
      <c r="AB39" s="147">
        <v>2E-3</v>
      </c>
      <c r="AC39" s="147">
        <v>4.9999999999999992E-3</v>
      </c>
      <c r="AD39" s="147">
        <v>4.4000000000000003E-3</v>
      </c>
      <c r="AE39" s="147">
        <v>0</v>
      </c>
      <c r="AF39" s="147">
        <v>0</v>
      </c>
      <c r="AG39" s="147">
        <v>0</v>
      </c>
      <c r="AH39" s="147">
        <v>0</v>
      </c>
      <c r="AI39" s="147">
        <v>5.6943056260279699E-2</v>
      </c>
      <c r="AJ39" s="147">
        <v>0</v>
      </c>
      <c r="AK39" s="147">
        <v>0.04</v>
      </c>
      <c r="AL39" s="147">
        <v>6.693306507082919E-2</v>
      </c>
      <c r="AM39" s="147">
        <v>0</v>
      </c>
      <c r="AN39" s="147">
        <v>0</v>
      </c>
      <c r="AO39" s="147">
        <v>0</v>
      </c>
      <c r="AP39" s="147">
        <v>0</v>
      </c>
      <c r="AQ39" s="147">
        <v>0</v>
      </c>
      <c r="AR39" s="147">
        <v>0</v>
      </c>
      <c r="AS39" s="147">
        <v>0</v>
      </c>
      <c r="AT39" s="147">
        <v>0</v>
      </c>
      <c r="AU39" s="147">
        <v>0</v>
      </c>
      <c r="AV39" s="147">
        <v>0</v>
      </c>
      <c r="AW39" s="147">
        <v>0</v>
      </c>
      <c r="AX39" s="147">
        <v>0</v>
      </c>
      <c r="AY39" s="147">
        <v>0</v>
      </c>
      <c r="AZ39" s="147">
        <v>0</v>
      </c>
    </row>
    <row r="40" spans="1:52" x14ac:dyDescent="0.15">
      <c r="A40" s="183" t="s">
        <v>230</v>
      </c>
      <c r="B40" s="147">
        <v>0</v>
      </c>
      <c r="C40" s="147">
        <v>0</v>
      </c>
      <c r="D40" s="147">
        <v>9.998000043191361E-4</v>
      </c>
      <c r="E40" s="147">
        <v>9.9980000816736621E-4</v>
      </c>
      <c r="F40" s="147">
        <v>9.9990000639936017E-4</v>
      </c>
      <c r="G40" s="147">
        <v>0</v>
      </c>
      <c r="H40" s="147">
        <v>0</v>
      </c>
      <c r="I40" s="147">
        <v>0</v>
      </c>
      <c r="J40" s="147">
        <v>1.0003001853946198E-3</v>
      </c>
      <c r="K40" s="147">
        <v>0</v>
      </c>
      <c r="L40" s="147">
        <v>0</v>
      </c>
      <c r="M40" s="147">
        <v>0</v>
      </c>
      <c r="N40" s="147">
        <v>0</v>
      </c>
      <c r="O40" s="147">
        <v>0</v>
      </c>
      <c r="P40" s="147">
        <v>0</v>
      </c>
      <c r="Q40" s="147">
        <v>0</v>
      </c>
      <c r="R40" s="147">
        <v>0</v>
      </c>
      <c r="S40" s="147">
        <v>0</v>
      </c>
      <c r="T40" s="147">
        <v>0</v>
      </c>
      <c r="U40" s="147">
        <v>0</v>
      </c>
      <c r="V40" s="147">
        <v>0</v>
      </c>
      <c r="W40" s="147">
        <v>0</v>
      </c>
      <c r="X40" s="147">
        <v>0</v>
      </c>
      <c r="Y40" s="147">
        <v>0</v>
      </c>
      <c r="Z40" s="147">
        <v>0</v>
      </c>
      <c r="AA40" s="147">
        <v>0</v>
      </c>
      <c r="AB40" s="147">
        <v>0</v>
      </c>
      <c r="AC40" s="147">
        <v>0</v>
      </c>
      <c r="AD40" s="147">
        <v>0</v>
      </c>
      <c r="AE40" s="147">
        <v>0</v>
      </c>
      <c r="AF40" s="147">
        <v>0</v>
      </c>
      <c r="AG40" s="147">
        <v>0</v>
      </c>
      <c r="AH40" s="147">
        <v>0</v>
      </c>
      <c r="AI40" s="147">
        <v>0</v>
      </c>
      <c r="AJ40" s="147">
        <v>0</v>
      </c>
      <c r="AK40" s="147">
        <v>0</v>
      </c>
      <c r="AL40" s="147">
        <v>0</v>
      </c>
      <c r="AM40" s="147">
        <v>0</v>
      </c>
      <c r="AN40" s="147">
        <v>0</v>
      </c>
      <c r="AO40" s="147">
        <v>0</v>
      </c>
      <c r="AP40" s="147">
        <v>0</v>
      </c>
      <c r="AQ40" s="147">
        <v>0</v>
      </c>
      <c r="AR40" s="147">
        <v>0</v>
      </c>
      <c r="AS40" s="147">
        <v>0</v>
      </c>
      <c r="AT40" s="147">
        <v>0</v>
      </c>
      <c r="AU40" s="147">
        <v>0</v>
      </c>
      <c r="AV40" s="147">
        <v>0</v>
      </c>
      <c r="AW40" s="147">
        <v>0</v>
      </c>
      <c r="AX40" s="147">
        <v>0</v>
      </c>
      <c r="AY40" s="147">
        <v>0</v>
      </c>
      <c r="AZ40" s="147">
        <v>0</v>
      </c>
    </row>
    <row r="41" spans="1:52" x14ac:dyDescent="0.15">
      <c r="A41" s="183" t="s">
        <v>231</v>
      </c>
      <c r="B41" s="147">
        <v>0.12</v>
      </c>
      <c r="C41" s="147">
        <v>0</v>
      </c>
      <c r="D41" s="147">
        <v>0</v>
      </c>
      <c r="E41" s="147">
        <v>2.9994003345021016E-4</v>
      </c>
      <c r="F41" s="147">
        <v>0</v>
      </c>
      <c r="G41" s="147">
        <v>0</v>
      </c>
      <c r="H41" s="147">
        <v>0</v>
      </c>
      <c r="I41" s="147">
        <v>0</v>
      </c>
      <c r="J41" s="147">
        <v>0.12413723991047211</v>
      </c>
      <c r="K41" s="147">
        <v>3.7199999999999997E-2</v>
      </c>
      <c r="L41" s="147">
        <v>6.5606563593417308E-2</v>
      </c>
      <c r="M41" s="147">
        <v>3.8988303549169254E-2</v>
      </c>
      <c r="N41" s="147">
        <v>0</v>
      </c>
      <c r="O41" s="147">
        <v>0</v>
      </c>
      <c r="P41" s="147">
        <v>0</v>
      </c>
      <c r="Q41" s="147">
        <v>1E-3</v>
      </c>
      <c r="R41" s="147">
        <v>1.8E-3</v>
      </c>
      <c r="S41" s="147">
        <v>0.22084416246071617</v>
      </c>
      <c r="T41" s="147">
        <v>0</v>
      </c>
      <c r="U41" s="147">
        <v>0</v>
      </c>
      <c r="V41" s="147">
        <v>0</v>
      </c>
      <c r="W41" s="147">
        <v>1.1198880042331764E-2</v>
      </c>
      <c r="X41" s="147">
        <v>6.4100000000000004E-2</v>
      </c>
      <c r="Y41" s="147">
        <v>8.7508751069356933E-2</v>
      </c>
      <c r="Z41" s="147">
        <v>9.3890613429290906E-2</v>
      </c>
      <c r="AA41" s="147">
        <v>0.01</v>
      </c>
      <c r="AB41" s="147">
        <v>0</v>
      </c>
      <c r="AC41" s="147">
        <v>5.9999999999999984E-2</v>
      </c>
      <c r="AD41" s="147">
        <v>0</v>
      </c>
      <c r="AE41" s="147">
        <v>0</v>
      </c>
      <c r="AF41" s="147">
        <v>0</v>
      </c>
      <c r="AG41" s="147">
        <v>0</v>
      </c>
      <c r="AH41" s="147">
        <v>0</v>
      </c>
      <c r="AI41" s="147">
        <v>0</v>
      </c>
      <c r="AJ41" s="147">
        <v>0</v>
      </c>
      <c r="AK41" s="147">
        <v>0</v>
      </c>
      <c r="AL41" s="147">
        <v>0</v>
      </c>
      <c r="AM41" s="147">
        <v>0</v>
      </c>
      <c r="AN41" s="147">
        <v>1E-3</v>
      </c>
      <c r="AO41" s="147">
        <v>0</v>
      </c>
      <c r="AP41" s="147">
        <v>1.0000000000000002E-2</v>
      </c>
      <c r="AQ41" s="147">
        <v>0</v>
      </c>
      <c r="AR41" s="147">
        <v>0</v>
      </c>
      <c r="AS41" s="147">
        <v>0</v>
      </c>
      <c r="AT41" s="147">
        <v>0</v>
      </c>
      <c r="AU41" s="147">
        <v>0</v>
      </c>
      <c r="AV41" s="147">
        <v>0</v>
      </c>
      <c r="AW41" s="147">
        <v>0</v>
      </c>
      <c r="AX41" s="147">
        <v>0</v>
      </c>
      <c r="AY41" s="147">
        <v>0</v>
      </c>
      <c r="AZ41" s="147">
        <v>0</v>
      </c>
    </row>
    <row r="42" spans="1:52" x14ac:dyDescent="0.15">
      <c r="A42" s="183" t="s">
        <v>232</v>
      </c>
      <c r="B42" s="147">
        <v>1E-4</v>
      </c>
      <c r="C42" s="147">
        <v>0</v>
      </c>
      <c r="D42" s="147">
        <v>0</v>
      </c>
      <c r="E42" s="147">
        <v>0</v>
      </c>
      <c r="F42" s="147">
        <v>0</v>
      </c>
      <c r="G42" s="147">
        <v>0</v>
      </c>
      <c r="H42" s="147">
        <v>0</v>
      </c>
      <c r="I42" s="147">
        <v>0</v>
      </c>
      <c r="J42" s="147">
        <v>1.0003000153946172E-4</v>
      </c>
      <c r="K42" s="147">
        <v>0</v>
      </c>
      <c r="L42" s="147">
        <v>0</v>
      </c>
      <c r="M42" s="147">
        <v>0</v>
      </c>
      <c r="N42" s="147">
        <v>0</v>
      </c>
      <c r="O42" s="147">
        <v>0</v>
      </c>
      <c r="P42" s="147">
        <v>0</v>
      </c>
      <c r="Q42" s="147">
        <v>0</v>
      </c>
      <c r="R42" s="147">
        <v>0</v>
      </c>
      <c r="S42" s="147">
        <v>1.0001999930286059E-4</v>
      </c>
      <c r="T42" s="147">
        <v>0</v>
      </c>
      <c r="U42" s="147">
        <v>0</v>
      </c>
      <c r="V42" s="147">
        <v>0</v>
      </c>
      <c r="W42" s="147">
        <v>9.9990000377962176E-4</v>
      </c>
      <c r="X42" s="147">
        <v>0</v>
      </c>
      <c r="Y42" s="147">
        <v>1.0001000122212222E-4</v>
      </c>
      <c r="Z42" s="147">
        <v>0</v>
      </c>
      <c r="AA42" s="147">
        <v>0</v>
      </c>
      <c r="AB42" s="147">
        <v>0</v>
      </c>
      <c r="AC42" s="147">
        <v>0</v>
      </c>
      <c r="AD42" s="147">
        <v>0</v>
      </c>
      <c r="AE42" s="147">
        <v>0</v>
      </c>
      <c r="AF42" s="147">
        <v>0</v>
      </c>
      <c r="AG42" s="147">
        <v>0</v>
      </c>
      <c r="AH42" s="147">
        <v>0</v>
      </c>
      <c r="AI42" s="147">
        <v>0</v>
      </c>
      <c r="AJ42" s="147">
        <v>0</v>
      </c>
      <c r="AK42" s="147">
        <v>0</v>
      </c>
      <c r="AL42" s="147">
        <v>0</v>
      </c>
      <c r="AM42" s="147">
        <v>0</v>
      </c>
      <c r="AN42" s="147">
        <v>0</v>
      </c>
      <c r="AO42" s="147">
        <v>0</v>
      </c>
      <c r="AP42" s="147">
        <v>0</v>
      </c>
      <c r="AQ42" s="147">
        <v>0</v>
      </c>
      <c r="AR42" s="147">
        <v>0</v>
      </c>
      <c r="AS42" s="147">
        <v>0</v>
      </c>
      <c r="AT42" s="147">
        <v>0</v>
      </c>
      <c r="AU42" s="147">
        <v>0</v>
      </c>
      <c r="AV42" s="147">
        <v>0</v>
      </c>
      <c r="AW42" s="147">
        <v>0</v>
      </c>
      <c r="AX42" s="147">
        <v>0</v>
      </c>
      <c r="AY42" s="147">
        <v>0</v>
      </c>
      <c r="AZ42" s="147">
        <v>0</v>
      </c>
    </row>
    <row r="43" spans="1:52" x14ac:dyDescent="0.15">
      <c r="A43" s="183" t="s">
        <v>233</v>
      </c>
      <c r="B43" s="147">
        <v>0.12</v>
      </c>
      <c r="C43" s="147">
        <v>0</v>
      </c>
      <c r="D43" s="147">
        <v>0</v>
      </c>
      <c r="E43" s="147">
        <v>0.13677264911729578</v>
      </c>
      <c r="F43" s="147">
        <v>0</v>
      </c>
      <c r="G43" s="147">
        <v>0</v>
      </c>
      <c r="H43" s="147">
        <v>9.6019210600120086E-3</v>
      </c>
      <c r="I43" s="147">
        <v>0</v>
      </c>
      <c r="J43" s="147">
        <v>9.2127641417844394E-2</v>
      </c>
      <c r="K43" s="147">
        <v>0.124</v>
      </c>
      <c r="L43" s="147">
        <v>3.900390077992799E-3</v>
      </c>
      <c r="M43" s="147">
        <v>1.9894031876114566E-2</v>
      </c>
      <c r="N43" s="147">
        <v>1.6696660228076379E-2</v>
      </c>
      <c r="O43" s="147">
        <v>2.2302229651193127E-2</v>
      </c>
      <c r="P43" s="147">
        <v>0</v>
      </c>
      <c r="Q43" s="147">
        <v>2.1000000000000001E-2</v>
      </c>
      <c r="R43" s="147">
        <v>0</v>
      </c>
      <c r="S43" s="147">
        <v>1.4302859900309065E-2</v>
      </c>
      <c r="T43" s="147">
        <v>0.17499999999999999</v>
      </c>
      <c r="U43" s="147">
        <v>3.5003502603570401E-2</v>
      </c>
      <c r="V43" s="147">
        <v>0</v>
      </c>
      <c r="W43" s="147">
        <v>2.2397760084663529E-2</v>
      </c>
      <c r="X43" s="147">
        <v>0.12809999999999999</v>
      </c>
      <c r="Y43" s="147">
        <v>7.8407840958143821E-2</v>
      </c>
      <c r="Z43" s="147">
        <v>8.4191578770887121E-2</v>
      </c>
      <c r="AA43" s="147">
        <v>0.02</v>
      </c>
      <c r="AB43" s="147">
        <v>0.01</v>
      </c>
      <c r="AC43" s="147">
        <v>0.11999999999999997</v>
      </c>
      <c r="AD43" s="147">
        <v>6.0000000000000001E-3</v>
      </c>
      <c r="AE43" s="147">
        <v>0</v>
      </c>
      <c r="AF43" s="147">
        <v>0</v>
      </c>
      <c r="AG43" s="147">
        <v>0</v>
      </c>
      <c r="AH43" s="147">
        <v>0</v>
      </c>
      <c r="AI43" s="147">
        <v>1.1988012323216788E-2</v>
      </c>
      <c r="AJ43" s="147">
        <v>0</v>
      </c>
      <c r="AK43" s="147">
        <v>0</v>
      </c>
      <c r="AL43" s="147">
        <v>0</v>
      </c>
      <c r="AM43" s="147">
        <v>0</v>
      </c>
      <c r="AN43" s="147">
        <v>0.02</v>
      </c>
      <c r="AO43" s="147">
        <v>0.05</v>
      </c>
      <c r="AP43" s="147">
        <v>2.0000000000000004E-2</v>
      </c>
      <c r="AQ43" s="147">
        <v>0</v>
      </c>
      <c r="AR43" s="147">
        <v>0</v>
      </c>
      <c r="AS43" s="147">
        <v>0</v>
      </c>
      <c r="AT43" s="147">
        <v>0</v>
      </c>
      <c r="AU43" s="147">
        <v>0</v>
      </c>
      <c r="AV43" s="147">
        <v>0</v>
      </c>
      <c r="AW43" s="147">
        <v>0</v>
      </c>
      <c r="AX43" s="147">
        <v>0</v>
      </c>
      <c r="AY43" s="147">
        <v>0</v>
      </c>
      <c r="AZ43" s="147">
        <v>0</v>
      </c>
    </row>
    <row r="44" spans="1:52" x14ac:dyDescent="0.15">
      <c r="A44" s="183" t="s">
        <v>234</v>
      </c>
      <c r="B44" s="147">
        <v>0.05</v>
      </c>
      <c r="C44" s="147">
        <v>0</v>
      </c>
      <c r="D44" s="147">
        <v>0</v>
      </c>
      <c r="E44" s="147">
        <v>0</v>
      </c>
      <c r="F44" s="147">
        <v>0</v>
      </c>
      <c r="G44" s="147">
        <v>0</v>
      </c>
      <c r="H44" s="147">
        <v>0</v>
      </c>
      <c r="I44" s="147">
        <v>0</v>
      </c>
      <c r="J44" s="147">
        <v>1.1003300669340797E-2</v>
      </c>
      <c r="K44" s="147">
        <v>2.9999999999999997E-4</v>
      </c>
      <c r="L44" s="147">
        <v>0.40154015567541251</v>
      </c>
      <c r="M44" s="147">
        <v>0.17504748766973169</v>
      </c>
      <c r="N44" s="147">
        <v>0</v>
      </c>
      <c r="O44" s="147">
        <v>1.0000999843584363E-4</v>
      </c>
      <c r="P44" s="147">
        <v>7.339266009541047E-2</v>
      </c>
      <c r="Q44" s="147">
        <v>6.0000000000000001E-3</v>
      </c>
      <c r="R44" s="147">
        <v>0.1023</v>
      </c>
      <c r="S44" s="147">
        <v>3.1006200983886775E-3</v>
      </c>
      <c r="T44" s="147">
        <v>0</v>
      </c>
      <c r="U44" s="147">
        <v>0</v>
      </c>
      <c r="V44" s="147">
        <v>0</v>
      </c>
      <c r="W44" s="147">
        <v>3.1996800120947899E-3</v>
      </c>
      <c r="X44" s="147">
        <v>1.9E-2</v>
      </c>
      <c r="Y44" s="147">
        <v>0.31893188189734761</v>
      </c>
      <c r="Z44" s="147">
        <v>0.3421657950047215</v>
      </c>
      <c r="AA44" s="147">
        <v>0.1</v>
      </c>
      <c r="AB44" s="147">
        <v>0.01</v>
      </c>
      <c r="AC44" s="147">
        <v>1.9999999999999997E-2</v>
      </c>
      <c r="AD44" s="147">
        <v>0</v>
      </c>
      <c r="AE44" s="147">
        <v>0</v>
      </c>
      <c r="AF44" s="147">
        <v>0</v>
      </c>
      <c r="AG44" s="147">
        <v>0</v>
      </c>
      <c r="AH44" s="147">
        <v>0</v>
      </c>
      <c r="AI44" s="147">
        <v>0</v>
      </c>
      <c r="AJ44" s="147">
        <v>0</v>
      </c>
      <c r="AK44" s="147">
        <v>0</v>
      </c>
      <c r="AL44" s="147">
        <v>0</v>
      </c>
      <c r="AM44" s="147">
        <v>0</v>
      </c>
      <c r="AN44" s="147">
        <v>0.30299999999999999</v>
      </c>
      <c r="AO44" s="147">
        <v>0.05</v>
      </c>
      <c r="AP44" s="147">
        <v>0.30000000000000004</v>
      </c>
      <c r="AQ44" s="147">
        <v>0</v>
      </c>
      <c r="AR44" s="147">
        <v>0</v>
      </c>
      <c r="AS44" s="147">
        <v>0</v>
      </c>
      <c r="AT44" s="147">
        <v>0</v>
      </c>
      <c r="AU44" s="147">
        <v>0</v>
      </c>
      <c r="AV44" s="147">
        <v>0</v>
      </c>
      <c r="AW44" s="147">
        <v>0</v>
      </c>
      <c r="AX44" s="147">
        <v>0</v>
      </c>
      <c r="AY44" s="147">
        <v>0</v>
      </c>
      <c r="AZ44" s="147">
        <v>0</v>
      </c>
    </row>
    <row r="45" spans="1:52" x14ac:dyDescent="0.15">
      <c r="A45" s="183" t="s">
        <v>235</v>
      </c>
      <c r="B45" s="147">
        <v>0.1</v>
      </c>
      <c r="C45" s="147">
        <v>0</v>
      </c>
      <c r="D45" s="147">
        <v>0</v>
      </c>
      <c r="E45" s="147">
        <v>0</v>
      </c>
      <c r="F45" s="147">
        <v>0</v>
      </c>
      <c r="G45" s="147">
        <v>0</v>
      </c>
      <c r="H45" s="147">
        <v>0</v>
      </c>
      <c r="I45" s="147">
        <v>0</v>
      </c>
      <c r="J45" s="147">
        <v>1.5004500930919267E-2</v>
      </c>
      <c r="K45" s="147">
        <v>2.6800000000000001E-2</v>
      </c>
      <c r="L45" s="147">
        <v>2.2302229759804986E-2</v>
      </c>
      <c r="M45" s="147">
        <v>0.17314805166246444</v>
      </c>
      <c r="N45" s="147">
        <v>0</v>
      </c>
      <c r="O45" s="147">
        <v>0</v>
      </c>
      <c r="P45" s="147">
        <v>0.40425956252553752</v>
      </c>
      <c r="Q45" s="147">
        <v>0.66</v>
      </c>
      <c r="R45" s="147">
        <v>0.1318</v>
      </c>
      <c r="S45" s="147">
        <v>5.7311463700539092E-2</v>
      </c>
      <c r="T45" s="147">
        <v>2.5000000000000001E-2</v>
      </c>
      <c r="U45" s="147">
        <v>0</v>
      </c>
      <c r="V45" s="147">
        <v>0</v>
      </c>
      <c r="W45" s="147">
        <v>3.3996600128507145E-3</v>
      </c>
      <c r="X45" s="147">
        <v>1.9E-2</v>
      </c>
      <c r="Y45" s="147">
        <v>8.7308735766912754E-2</v>
      </c>
      <c r="Z45" s="147">
        <v>9.369062863221049E-2</v>
      </c>
      <c r="AA45" s="147">
        <v>0.2</v>
      </c>
      <c r="AB45" s="147">
        <v>0.01</v>
      </c>
      <c r="AC45" s="147">
        <v>1.4999999999999996E-2</v>
      </c>
      <c r="AD45" s="147">
        <v>0</v>
      </c>
      <c r="AE45" s="147">
        <v>0</v>
      </c>
      <c r="AF45" s="147">
        <v>0</v>
      </c>
      <c r="AG45" s="147">
        <v>0</v>
      </c>
      <c r="AH45" s="147">
        <v>0</v>
      </c>
      <c r="AI45" s="147">
        <v>2.9970030558041962E-3</v>
      </c>
      <c r="AJ45" s="147">
        <v>0</v>
      </c>
      <c r="AK45" s="147">
        <v>0</v>
      </c>
      <c r="AL45" s="147">
        <v>0</v>
      </c>
      <c r="AM45" s="147">
        <v>0</v>
      </c>
      <c r="AN45" s="147">
        <v>0.30299999999999999</v>
      </c>
      <c r="AO45" s="147">
        <v>0.1</v>
      </c>
      <c r="AP45" s="147">
        <v>0.30000000000000004</v>
      </c>
      <c r="AQ45" s="147">
        <v>1.5000000356999995E-2</v>
      </c>
      <c r="AR45" s="147">
        <v>0</v>
      </c>
      <c r="AS45" s="147">
        <v>0</v>
      </c>
      <c r="AT45" s="147">
        <v>0</v>
      </c>
      <c r="AU45" s="147">
        <v>0</v>
      </c>
      <c r="AV45" s="147">
        <v>0</v>
      </c>
      <c r="AW45" s="147">
        <v>0</v>
      </c>
      <c r="AX45" s="147">
        <v>0</v>
      </c>
      <c r="AY45" s="147">
        <v>0</v>
      </c>
      <c r="AZ45" s="147">
        <v>0</v>
      </c>
    </row>
    <row r="46" spans="1:52" x14ac:dyDescent="0.15">
      <c r="A46" s="183" t="s">
        <v>236</v>
      </c>
      <c r="B46" s="147">
        <v>0.3</v>
      </c>
      <c r="C46" s="147">
        <v>0</v>
      </c>
      <c r="D46" s="147">
        <v>0</v>
      </c>
      <c r="E46" s="147">
        <v>0</v>
      </c>
      <c r="F46" s="147">
        <v>0</v>
      </c>
      <c r="G46" s="147">
        <v>0.9</v>
      </c>
      <c r="H46" s="147">
        <v>0</v>
      </c>
      <c r="I46" s="147">
        <v>0</v>
      </c>
      <c r="J46" s="147">
        <v>4.901470315433628E-2</v>
      </c>
      <c r="K46" s="147">
        <v>7.4000000000000003E-3</v>
      </c>
      <c r="L46" s="147">
        <v>8.0808079129696994E-2</v>
      </c>
      <c r="M46" s="147">
        <v>3.3989805830045003E-2</v>
      </c>
      <c r="N46" s="147">
        <v>0</v>
      </c>
      <c r="O46" s="147">
        <v>0</v>
      </c>
      <c r="P46" s="147">
        <v>2.9797020038736129E-2</v>
      </c>
      <c r="Q46" s="147">
        <v>1.0999999999999999E-2</v>
      </c>
      <c r="R46" s="147">
        <v>5.6300000000000003E-2</v>
      </c>
      <c r="S46" s="147">
        <v>1.0001999930286058E-3</v>
      </c>
      <c r="T46" s="147">
        <v>0</v>
      </c>
      <c r="U46" s="147">
        <v>0</v>
      </c>
      <c r="V46" s="147">
        <v>0</v>
      </c>
      <c r="W46" s="147">
        <v>0</v>
      </c>
      <c r="X46" s="147">
        <v>0</v>
      </c>
      <c r="Y46" s="147">
        <v>2.7102710331195119E-2</v>
      </c>
      <c r="Z46" s="147">
        <v>2.9097090975211563E-2</v>
      </c>
      <c r="AA46" s="147">
        <v>0.05</v>
      </c>
      <c r="AB46" s="147">
        <v>0</v>
      </c>
      <c r="AC46" s="147">
        <v>4.9999999999999992E-3</v>
      </c>
      <c r="AD46" s="147">
        <v>0</v>
      </c>
      <c r="AE46" s="147">
        <v>0</v>
      </c>
      <c r="AF46" s="147">
        <v>0</v>
      </c>
      <c r="AG46" s="147">
        <v>0</v>
      </c>
      <c r="AH46" s="147">
        <v>0</v>
      </c>
      <c r="AI46" s="147">
        <v>0</v>
      </c>
      <c r="AJ46" s="147">
        <v>0</v>
      </c>
      <c r="AK46" s="147">
        <v>0</v>
      </c>
      <c r="AL46" s="147">
        <v>0</v>
      </c>
      <c r="AM46" s="147">
        <v>0</v>
      </c>
      <c r="AN46" s="147">
        <v>0.12</v>
      </c>
      <c r="AO46" s="147">
        <v>0.25</v>
      </c>
      <c r="AP46" s="147">
        <v>0.12000000000000001</v>
      </c>
      <c r="AQ46" s="147">
        <v>0</v>
      </c>
      <c r="AR46" s="147">
        <v>0</v>
      </c>
      <c r="AS46" s="147">
        <v>0</v>
      </c>
      <c r="AT46" s="147">
        <v>0</v>
      </c>
      <c r="AU46" s="147">
        <v>0</v>
      </c>
      <c r="AV46" s="147">
        <v>0</v>
      </c>
      <c r="AW46" s="147">
        <v>0</v>
      </c>
      <c r="AX46" s="147">
        <v>0</v>
      </c>
      <c r="AY46" s="147">
        <v>0</v>
      </c>
      <c r="AZ46" s="147">
        <v>0</v>
      </c>
    </row>
    <row r="47" spans="1:52" x14ac:dyDescent="0.15">
      <c r="A47" s="183" t="s">
        <v>237</v>
      </c>
      <c r="B47" s="147">
        <v>0.2</v>
      </c>
      <c r="C47" s="147">
        <v>0</v>
      </c>
      <c r="D47" s="147">
        <v>0</v>
      </c>
      <c r="E47" s="147">
        <v>0</v>
      </c>
      <c r="F47" s="147">
        <v>0</v>
      </c>
      <c r="G47" s="147">
        <v>0.1</v>
      </c>
      <c r="H47" s="147">
        <v>0</v>
      </c>
      <c r="I47" s="147">
        <v>0</v>
      </c>
      <c r="J47" s="147">
        <v>3.000900196183854E-2</v>
      </c>
      <c r="K47" s="147">
        <v>0.21909999999999999</v>
      </c>
      <c r="L47" s="147">
        <v>0.10131013290888986</v>
      </c>
      <c r="M47" s="147">
        <v>0.21883434183726019</v>
      </c>
      <c r="N47" s="147">
        <v>2.3995202827774469E-3</v>
      </c>
      <c r="O47" s="147">
        <v>3.5003502352545222E-3</v>
      </c>
      <c r="P47" s="147">
        <v>0.37016300048121198</v>
      </c>
      <c r="Q47" s="147">
        <v>0.29099999999999998</v>
      </c>
      <c r="R47" s="147">
        <v>0.63680000000000003</v>
      </c>
      <c r="S47" s="147">
        <v>3.0706140885978193E-2</v>
      </c>
      <c r="T47" s="147">
        <v>2.5000000000000001E-2</v>
      </c>
      <c r="U47" s="147">
        <v>0</v>
      </c>
      <c r="V47" s="147">
        <v>0.29999999999999993</v>
      </c>
      <c r="W47" s="147">
        <v>1.0898910041197878E-2</v>
      </c>
      <c r="X47" s="147">
        <v>6.2100000000000002E-2</v>
      </c>
      <c r="Y47" s="147">
        <v>0.18651865627925798</v>
      </c>
      <c r="Z47" s="147">
        <v>0.20017997607757249</v>
      </c>
      <c r="AA47" s="147">
        <v>0.47199999999999998</v>
      </c>
      <c r="AB47" s="147">
        <v>0.01</v>
      </c>
      <c r="AC47" s="147">
        <v>1.9999999999999997E-2</v>
      </c>
      <c r="AD47" s="147">
        <v>0</v>
      </c>
      <c r="AE47" s="147">
        <v>0</v>
      </c>
      <c r="AF47" s="147">
        <v>0</v>
      </c>
      <c r="AG47" s="147">
        <v>0</v>
      </c>
      <c r="AH47" s="147">
        <v>0.1</v>
      </c>
      <c r="AI47" s="147">
        <v>1.8981019353426574E-2</v>
      </c>
      <c r="AJ47" s="147">
        <v>0</v>
      </c>
      <c r="AK47" s="147">
        <v>0</v>
      </c>
      <c r="AL47" s="147">
        <v>0</v>
      </c>
      <c r="AM47" s="147">
        <v>0</v>
      </c>
      <c r="AN47" s="147">
        <v>0.12</v>
      </c>
      <c r="AO47" s="147">
        <v>0.15</v>
      </c>
      <c r="AP47" s="147">
        <v>0.12000000000000001</v>
      </c>
      <c r="AQ47" s="147">
        <v>1.5000000356999995E-2</v>
      </c>
      <c r="AR47" s="147">
        <v>0</v>
      </c>
      <c r="AS47" s="147">
        <v>0</v>
      </c>
      <c r="AT47" s="147">
        <v>0</v>
      </c>
      <c r="AU47" s="147">
        <v>0</v>
      </c>
      <c r="AV47" s="147">
        <v>0</v>
      </c>
      <c r="AW47" s="147">
        <v>0</v>
      </c>
      <c r="AX47" s="147">
        <v>0</v>
      </c>
      <c r="AY47" s="147">
        <v>0</v>
      </c>
      <c r="AZ47" s="147">
        <v>0</v>
      </c>
    </row>
    <row r="48" spans="1:52" x14ac:dyDescent="0.15">
      <c r="A48" s="183" t="s">
        <v>238</v>
      </c>
      <c r="B48" s="147">
        <v>0</v>
      </c>
      <c r="C48" s="147">
        <v>0.14358563778397759</v>
      </c>
      <c r="D48" s="147">
        <v>0</v>
      </c>
      <c r="E48" s="147">
        <v>2.9894020244204254E-2</v>
      </c>
      <c r="F48" s="147">
        <v>0</v>
      </c>
      <c r="G48" s="147">
        <v>0</v>
      </c>
      <c r="H48" s="147">
        <v>0</v>
      </c>
      <c r="I48" s="147">
        <v>0.95689999999999997</v>
      </c>
      <c r="J48" s="147">
        <v>0.11613483878731516</v>
      </c>
      <c r="K48" s="147">
        <v>0.30330000000000001</v>
      </c>
      <c r="L48" s="147">
        <v>2.7802779700564061E-2</v>
      </c>
      <c r="M48" s="147">
        <v>0.14445667055269124</v>
      </c>
      <c r="N48" s="147">
        <v>3.8992201932633477E-3</v>
      </c>
      <c r="O48" s="147">
        <v>2.9302931841702146E-2</v>
      </c>
      <c r="P48" s="147">
        <v>4.259573675537446E-2</v>
      </c>
      <c r="Q48" s="147">
        <v>1E-3</v>
      </c>
      <c r="R48" s="147">
        <v>0</v>
      </c>
      <c r="S48" s="147">
        <v>2.0003999860572115E-3</v>
      </c>
      <c r="T48" s="147">
        <v>0.17499999999999999</v>
      </c>
      <c r="U48" s="147">
        <v>0.5385538448249324</v>
      </c>
      <c r="V48" s="147">
        <v>4.9999999999999989E-2</v>
      </c>
      <c r="W48" s="147">
        <v>4.2395760160255966E-2</v>
      </c>
      <c r="X48" s="147">
        <v>0.2432</v>
      </c>
      <c r="Y48" s="147">
        <v>7.4407440909258937E-2</v>
      </c>
      <c r="Z48" s="147">
        <v>7.9892008833656547E-2</v>
      </c>
      <c r="AA48" s="147">
        <v>0.05</v>
      </c>
      <c r="AB48" s="147">
        <v>0.80100000000000005</v>
      </c>
      <c r="AC48" s="147">
        <v>1.9999999999999997E-2</v>
      </c>
      <c r="AD48" s="147">
        <v>1.2500000000000001E-2</v>
      </c>
      <c r="AE48" s="147">
        <v>0.439</v>
      </c>
      <c r="AF48" s="147">
        <v>0.35</v>
      </c>
      <c r="AG48" s="147">
        <v>0.65800000000000003</v>
      </c>
      <c r="AH48" s="147">
        <v>0.51300000000000001</v>
      </c>
      <c r="AI48" s="147">
        <v>0.29470527748741221</v>
      </c>
      <c r="AJ48" s="147">
        <v>0.75</v>
      </c>
      <c r="AK48" s="147">
        <v>0.45</v>
      </c>
      <c r="AL48" s="147">
        <v>0.41758241807472524</v>
      </c>
      <c r="AM48" s="147">
        <v>0.5</v>
      </c>
      <c r="AN48" s="147">
        <v>0.02</v>
      </c>
      <c r="AO48" s="147">
        <v>0.2</v>
      </c>
      <c r="AP48" s="147">
        <v>2.0000000000000004E-2</v>
      </c>
      <c r="AQ48" s="147">
        <v>0.12000000305599996</v>
      </c>
      <c r="AR48" s="147">
        <v>0</v>
      </c>
      <c r="AS48" s="147">
        <v>0</v>
      </c>
      <c r="AT48" s="147">
        <v>0</v>
      </c>
      <c r="AU48" s="147">
        <v>0</v>
      </c>
      <c r="AV48" s="147">
        <v>0.05</v>
      </c>
      <c r="AW48" s="147">
        <v>0</v>
      </c>
      <c r="AX48" s="147">
        <v>0</v>
      </c>
      <c r="AY48" s="147">
        <v>0</v>
      </c>
      <c r="AZ48" s="147">
        <v>0</v>
      </c>
    </row>
    <row r="49" spans="1:52" x14ac:dyDescent="0.15">
      <c r="A49" s="183" t="s">
        <v>239</v>
      </c>
      <c r="B49" s="147">
        <v>0.01</v>
      </c>
      <c r="C49" s="147">
        <v>0.11458854462565347</v>
      </c>
      <c r="D49" s="147">
        <v>0</v>
      </c>
      <c r="E49" s="147">
        <v>0</v>
      </c>
      <c r="F49" s="147">
        <v>0</v>
      </c>
      <c r="G49" s="147">
        <v>0</v>
      </c>
      <c r="H49" s="147">
        <v>0</v>
      </c>
      <c r="I49" s="147">
        <v>4.3099999999999999E-2</v>
      </c>
      <c r="J49" s="147">
        <v>0</v>
      </c>
      <c r="K49" s="147">
        <v>2.9999999999999997E-4</v>
      </c>
      <c r="L49" s="147">
        <v>0</v>
      </c>
      <c r="M49" s="147">
        <v>1.9994001276497049E-4</v>
      </c>
      <c r="N49" s="147">
        <v>0</v>
      </c>
      <c r="O49" s="147">
        <v>0</v>
      </c>
      <c r="P49" s="147">
        <v>0</v>
      </c>
      <c r="Q49" s="147">
        <v>0</v>
      </c>
      <c r="R49" s="147">
        <v>0</v>
      </c>
      <c r="S49" s="147">
        <v>1.0001999930286058E-3</v>
      </c>
      <c r="T49" s="147">
        <v>0</v>
      </c>
      <c r="U49" s="147">
        <v>0.16121612824044418</v>
      </c>
      <c r="V49" s="147">
        <v>0</v>
      </c>
      <c r="W49" s="147">
        <v>2.6997302302049801E-3</v>
      </c>
      <c r="X49" s="147">
        <v>1.6E-2</v>
      </c>
      <c r="Y49" s="147">
        <v>7.300730419214925E-3</v>
      </c>
      <c r="Z49" s="147">
        <v>7.7992198861391868E-3</v>
      </c>
      <c r="AA49" s="147">
        <v>0.05</v>
      </c>
      <c r="AB49" s="147">
        <v>0.05</v>
      </c>
      <c r="AC49" s="147">
        <v>0</v>
      </c>
      <c r="AD49" s="147">
        <v>0</v>
      </c>
      <c r="AE49" s="147">
        <v>0.55100000000000005</v>
      </c>
      <c r="AF49" s="147">
        <v>0.65</v>
      </c>
      <c r="AG49" s="147">
        <v>0.32900000000000001</v>
      </c>
      <c r="AH49" s="147">
        <v>0.38700000000000001</v>
      </c>
      <c r="AI49" s="147">
        <v>1.2987013241818184E-2</v>
      </c>
      <c r="AJ49" s="147">
        <v>0.25</v>
      </c>
      <c r="AK49" s="147">
        <v>0.45</v>
      </c>
      <c r="AL49" s="147">
        <v>0</v>
      </c>
      <c r="AM49" s="147">
        <v>0.5</v>
      </c>
      <c r="AN49" s="147">
        <v>0.01</v>
      </c>
      <c r="AO49" s="147">
        <v>0.15</v>
      </c>
      <c r="AP49" s="147">
        <v>1.0000000000000002E-2</v>
      </c>
      <c r="AQ49" s="147">
        <v>0.24000000611199993</v>
      </c>
      <c r="AR49" s="147">
        <v>0</v>
      </c>
      <c r="AS49" s="147">
        <v>0</v>
      </c>
      <c r="AT49" s="147">
        <v>0</v>
      </c>
      <c r="AU49" s="147">
        <v>0</v>
      </c>
      <c r="AV49" s="147">
        <v>0.48</v>
      </c>
      <c r="AW49" s="147">
        <v>0</v>
      </c>
      <c r="AX49" s="147">
        <v>0</v>
      </c>
      <c r="AY49" s="147">
        <v>0</v>
      </c>
      <c r="AZ49" s="147">
        <v>0</v>
      </c>
    </row>
    <row r="50" spans="1:52" x14ac:dyDescent="0.15">
      <c r="A50" s="183" t="s">
        <v>240</v>
      </c>
      <c r="B50" s="147">
        <v>0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147">
        <v>0</v>
      </c>
      <c r="P50" s="147">
        <v>0</v>
      </c>
      <c r="Q50" s="147">
        <v>0</v>
      </c>
      <c r="R50" s="147">
        <v>0</v>
      </c>
      <c r="S50" s="147">
        <v>0</v>
      </c>
      <c r="T50" s="147">
        <v>0</v>
      </c>
      <c r="U50" s="147">
        <v>0</v>
      </c>
      <c r="V50" s="147">
        <v>0</v>
      </c>
      <c r="W50" s="147">
        <v>0</v>
      </c>
      <c r="X50" s="147">
        <v>0</v>
      </c>
      <c r="Y50" s="147">
        <v>0</v>
      </c>
      <c r="Z50" s="147">
        <v>0</v>
      </c>
      <c r="AA50" s="147">
        <v>0</v>
      </c>
      <c r="AB50" s="147">
        <v>0</v>
      </c>
      <c r="AC50" s="147">
        <v>0</v>
      </c>
      <c r="AD50" s="147">
        <v>0</v>
      </c>
      <c r="AE50" s="147">
        <v>0</v>
      </c>
      <c r="AF50" s="147">
        <v>0</v>
      </c>
      <c r="AG50" s="147">
        <v>0</v>
      </c>
      <c r="AH50" s="147">
        <v>0</v>
      </c>
      <c r="AI50" s="147">
        <v>0</v>
      </c>
      <c r="AJ50" s="147">
        <v>0</v>
      </c>
      <c r="AK50" s="147">
        <v>0</v>
      </c>
      <c r="AL50" s="147">
        <v>0</v>
      </c>
      <c r="AM50" s="147">
        <v>0</v>
      </c>
      <c r="AN50" s="147">
        <v>0</v>
      </c>
      <c r="AO50" s="147">
        <v>0</v>
      </c>
      <c r="AP50" s="147">
        <v>0</v>
      </c>
      <c r="AQ50" s="147">
        <v>8.4999998623000034E-2</v>
      </c>
      <c r="AR50" s="147">
        <v>0</v>
      </c>
      <c r="AS50" s="147">
        <v>0</v>
      </c>
      <c r="AT50" s="147">
        <v>0</v>
      </c>
      <c r="AU50" s="147">
        <v>0</v>
      </c>
      <c r="AV50" s="147">
        <v>0.37</v>
      </c>
      <c r="AW50" s="147">
        <v>1</v>
      </c>
      <c r="AX50" s="147">
        <v>0</v>
      </c>
      <c r="AY50" s="147">
        <v>0</v>
      </c>
      <c r="AZ50" s="147">
        <v>0</v>
      </c>
    </row>
    <row r="51" spans="1:52" x14ac:dyDescent="0.15">
      <c r="A51" s="183" t="s">
        <v>241</v>
      </c>
      <c r="B51" s="147">
        <v>0</v>
      </c>
      <c r="C51" s="147">
        <v>0</v>
      </c>
      <c r="D51" s="147">
        <v>0</v>
      </c>
      <c r="E51" s="147">
        <v>0</v>
      </c>
      <c r="F51" s="147">
        <v>0</v>
      </c>
      <c r="G51" s="147">
        <v>0</v>
      </c>
      <c r="H51" s="147">
        <v>0</v>
      </c>
      <c r="I51" s="147">
        <v>0</v>
      </c>
      <c r="J51" s="147">
        <v>0</v>
      </c>
      <c r="K51" s="147">
        <v>0</v>
      </c>
      <c r="L51" s="147">
        <v>0</v>
      </c>
      <c r="M51" s="147">
        <v>0</v>
      </c>
      <c r="N51" s="147">
        <v>0</v>
      </c>
      <c r="O51" s="147">
        <v>0</v>
      </c>
      <c r="P51" s="147">
        <v>0</v>
      </c>
      <c r="Q51" s="147">
        <v>0</v>
      </c>
      <c r="R51" s="147">
        <v>0</v>
      </c>
      <c r="S51" s="147">
        <v>0</v>
      </c>
      <c r="T51" s="147">
        <v>0</v>
      </c>
      <c r="U51" s="147">
        <v>0</v>
      </c>
      <c r="V51" s="147">
        <v>0</v>
      </c>
      <c r="W51" s="147">
        <v>0</v>
      </c>
      <c r="X51" s="147">
        <v>0</v>
      </c>
      <c r="Y51" s="147">
        <v>0</v>
      </c>
      <c r="Z51" s="147">
        <v>0</v>
      </c>
      <c r="AA51" s="147">
        <v>0</v>
      </c>
      <c r="AB51" s="147">
        <v>0</v>
      </c>
      <c r="AC51" s="147">
        <v>0</v>
      </c>
      <c r="AD51" s="147">
        <v>0</v>
      </c>
      <c r="AE51" s="147">
        <v>0</v>
      </c>
      <c r="AF51" s="147">
        <v>0</v>
      </c>
      <c r="AG51" s="147">
        <v>0</v>
      </c>
      <c r="AH51" s="147">
        <v>0</v>
      </c>
      <c r="AI51" s="147">
        <v>0</v>
      </c>
      <c r="AJ51" s="147">
        <v>0</v>
      </c>
      <c r="AK51" s="147">
        <v>0</v>
      </c>
      <c r="AL51" s="147">
        <v>0</v>
      </c>
      <c r="AM51" s="147">
        <v>0</v>
      </c>
      <c r="AN51" s="147">
        <v>0.10299999999999999</v>
      </c>
      <c r="AO51" s="147">
        <v>0.05</v>
      </c>
      <c r="AP51" s="147">
        <v>0.10000000000000002</v>
      </c>
      <c r="AQ51" s="147">
        <v>0.52499999149500021</v>
      </c>
      <c r="AR51" s="147">
        <v>1</v>
      </c>
      <c r="AS51" s="147">
        <v>1</v>
      </c>
      <c r="AT51" s="147">
        <v>1</v>
      </c>
      <c r="AU51" s="147">
        <v>1</v>
      </c>
      <c r="AV51" s="147">
        <v>0.1</v>
      </c>
      <c r="AW51" s="147">
        <v>0</v>
      </c>
      <c r="AX51" s="147">
        <v>0</v>
      </c>
      <c r="AY51" s="147">
        <v>0</v>
      </c>
      <c r="AZ51" s="147">
        <v>0</v>
      </c>
    </row>
    <row r="52" spans="1:52" x14ac:dyDescent="0.15">
      <c r="A52" s="183" t="s">
        <v>242</v>
      </c>
      <c r="B52" s="147">
        <v>0</v>
      </c>
      <c r="C52" s="147">
        <v>0</v>
      </c>
      <c r="D52" s="147">
        <v>0</v>
      </c>
      <c r="E52" s="147">
        <v>0</v>
      </c>
      <c r="F52" s="147">
        <v>0</v>
      </c>
      <c r="G52" s="147">
        <v>0</v>
      </c>
      <c r="H52" s="147">
        <v>0</v>
      </c>
      <c r="I52" s="147">
        <v>0</v>
      </c>
      <c r="J52" s="147">
        <v>0</v>
      </c>
      <c r="K52" s="147">
        <v>0</v>
      </c>
      <c r="L52" s="147">
        <v>0</v>
      </c>
      <c r="M52" s="147">
        <v>0</v>
      </c>
      <c r="N52" s="147">
        <v>0</v>
      </c>
      <c r="O52" s="147">
        <v>0</v>
      </c>
      <c r="P52" s="147">
        <v>0</v>
      </c>
      <c r="Q52" s="147">
        <v>0</v>
      </c>
      <c r="R52" s="147">
        <v>0</v>
      </c>
      <c r="S52" s="147">
        <v>0</v>
      </c>
      <c r="T52" s="147">
        <v>0</v>
      </c>
      <c r="U52" s="147">
        <v>0</v>
      </c>
      <c r="V52" s="147">
        <v>0</v>
      </c>
      <c r="W52" s="147">
        <v>0</v>
      </c>
      <c r="X52" s="147">
        <v>0</v>
      </c>
      <c r="Y52" s="147">
        <v>0</v>
      </c>
      <c r="Z52" s="147">
        <v>0</v>
      </c>
      <c r="AA52" s="147">
        <v>0</v>
      </c>
      <c r="AB52" s="147">
        <v>0</v>
      </c>
      <c r="AC52" s="147">
        <v>0</v>
      </c>
      <c r="AD52" s="147">
        <v>0</v>
      </c>
      <c r="AE52" s="147">
        <v>0</v>
      </c>
      <c r="AF52" s="147">
        <v>0</v>
      </c>
      <c r="AG52" s="147">
        <v>0</v>
      </c>
      <c r="AH52" s="147">
        <v>0</v>
      </c>
      <c r="AI52" s="147">
        <v>0</v>
      </c>
      <c r="AJ52" s="147">
        <v>0</v>
      </c>
      <c r="AK52" s="147">
        <v>0</v>
      </c>
      <c r="AL52" s="147">
        <v>0</v>
      </c>
      <c r="AM52" s="147">
        <v>0</v>
      </c>
      <c r="AN52" s="147">
        <v>0</v>
      </c>
      <c r="AO52" s="147">
        <v>0</v>
      </c>
      <c r="AP52" s="147">
        <v>0</v>
      </c>
      <c r="AQ52" s="147">
        <v>0</v>
      </c>
      <c r="AR52" s="147">
        <v>0</v>
      </c>
      <c r="AS52" s="147">
        <v>0</v>
      </c>
      <c r="AT52" s="147">
        <v>0</v>
      </c>
      <c r="AU52" s="147">
        <v>0</v>
      </c>
      <c r="AV52" s="147">
        <v>0</v>
      </c>
      <c r="AW52" s="147">
        <v>0</v>
      </c>
      <c r="AX52" s="147">
        <v>0</v>
      </c>
      <c r="AY52" s="147">
        <v>0</v>
      </c>
      <c r="AZ52" s="147">
        <v>0</v>
      </c>
    </row>
    <row r="53" spans="1:52" x14ac:dyDescent="0.15">
      <c r="A53" s="183" t="s">
        <v>248</v>
      </c>
      <c r="B53" s="147">
        <v>0</v>
      </c>
      <c r="C53" s="147">
        <v>0</v>
      </c>
      <c r="D53" s="147">
        <v>0</v>
      </c>
      <c r="E53" s="147">
        <v>0</v>
      </c>
      <c r="F53" s="147">
        <v>0</v>
      </c>
      <c r="G53" s="147">
        <v>0</v>
      </c>
      <c r="H53" s="147">
        <v>0</v>
      </c>
      <c r="I53" s="147">
        <v>0</v>
      </c>
      <c r="J53" s="147">
        <v>0</v>
      </c>
      <c r="K53" s="147">
        <v>0</v>
      </c>
      <c r="L53" s="147">
        <v>0</v>
      </c>
      <c r="M53" s="147">
        <v>0</v>
      </c>
      <c r="N53" s="147">
        <v>0</v>
      </c>
      <c r="O53" s="147">
        <v>0</v>
      </c>
      <c r="P53" s="147">
        <v>0</v>
      </c>
      <c r="Q53" s="147">
        <v>0</v>
      </c>
      <c r="R53" s="147">
        <v>0</v>
      </c>
      <c r="S53" s="147">
        <v>0</v>
      </c>
      <c r="T53" s="147">
        <v>0</v>
      </c>
      <c r="U53" s="147">
        <v>0</v>
      </c>
      <c r="V53" s="147">
        <v>0</v>
      </c>
      <c r="W53" s="147">
        <v>0</v>
      </c>
      <c r="X53" s="147">
        <v>0</v>
      </c>
      <c r="Y53" s="147">
        <v>0</v>
      </c>
      <c r="Z53" s="147">
        <v>0</v>
      </c>
      <c r="AA53" s="147">
        <v>0</v>
      </c>
      <c r="AB53" s="147">
        <v>0</v>
      </c>
      <c r="AC53" s="147">
        <v>0</v>
      </c>
      <c r="AD53" s="147">
        <v>0</v>
      </c>
      <c r="AE53" s="147">
        <v>0</v>
      </c>
      <c r="AF53" s="147">
        <v>0</v>
      </c>
      <c r="AG53" s="147">
        <v>0</v>
      </c>
      <c r="AH53" s="147">
        <v>0</v>
      </c>
      <c r="AI53" s="147">
        <v>0</v>
      </c>
      <c r="AJ53" s="147">
        <v>0</v>
      </c>
      <c r="AK53" s="147">
        <v>0</v>
      </c>
      <c r="AL53" s="147">
        <v>0</v>
      </c>
      <c r="AM53" s="147">
        <v>0</v>
      </c>
      <c r="AN53" s="147">
        <v>0</v>
      </c>
      <c r="AO53" s="147">
        <v>0</v>
      </c>
      <c r="AP53" s="147">
        <v>0</v>
      </c>
      <c r="AQ53" s="147">
        <v>0</v>
      </c>
      <c r="AR53" s="147">
        <v>0</v>
      </c>
      <c r="AS53" s="147">
        <v>0</v>
      </c>
      <c r="AT53" s="147">
        <v>0</v>
      </c>
      <c r="AU53" s="147">
        <v>0</v>
      </c>
      <c r="AV53" s="147">
        <v>0</v>
      </c>
      <c r="AW53" s="147">
        <v>0</v>
      </c>
      <c r="AX53" s="147">
        <v>0</v>
      </c>
      <c r="AY53" s="147">
        <v>0</v>
      </c>
      <c r="AZ53" s="147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42" activePane="bottomRight" state="frozen"/>
      <selection pane="topRight" activeCell="C1" sqref="C1"/>
      <selection pane="bottomLeft" activeCell="A2" sqref="A2"/>
      <selection pane="bottomRight" activeCell="H57" sqref="H57"/>
    </sheetView>
  </sheetViews>
  <sheetFormatPr baseColWidth="10" defaultColWidth="8.83203125" defaultRowHeight="13" x14ac:dyDescent="0.15"/>
  <cols>
    <col min="1" max="1" width="3.33203125" customWidth="1"/>
    <col min="2" max="2" width="25" customWidth="1"/>
    <col min="3" max="4" width="11" style="114" customWidth="1"/>
    <col min="5" max="6" width="11" style="113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6" t="s">
        <v>241</v>
      </c>
      <c r="D1" s="186" t="s">
        <v>242</v>
      </c>
      <c r="E1" s="186" t="s">
        <v>249</v>
      </c>
      <c r="F1" s="186" t="s">
        <v>250</v>
      </c>
      <c r="G1"/>
      <c r="H1"/>
    </row>
    <row r="2" spans="1:8" x14ac:dyDescent="0.15">
      <c r="A2">
        <v>1</v>
      </c>
      <c r="B2" s="185" t="s">
        <v>192</v>
      </c>
      <c r="C2" s="114">
        <v>0</v>
      </c>
      <c r="D2" s="114">
        <v>0</v>
      </c>
      <c r="E2" s="113">
        <v>1</v>
      </c>
      <c r="F2" s="113">
        <v>1</v>
      </c>
      <c r="G2"/>
      <c r="H2"/>
    </row>
    <row r="3" spans="1:8" x14ac:dyDescent="0.15">
      <c r="A3">
        <v>2</v>
      </c>
      <c r="B3" s="185" t="s">
        <v>193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5" t="s">
        <v>194</v>
      </c>
      <c r="C4" s="114">
        <v>0</v>
      </c>
      <c r="D4" s="114">
        <v>0</v>
      </c>
      <c r="E4" s="113">
        <v>1</v>
      </c>
      <c r="F4" s="113">
        <v>1</v>
      </c>
      <c r="G4"/>
      <c r="H4"/>
    </row>
    <row r="5" spans="1:8" x14ac:dyDescent="0.15">
      <c r="A5">
        <v>4</v>
      </c>
      <c r="B5" s="185" t="s">
        <v>195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5" t="s">
        <v>196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5" t="s">
        <v>197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5" t="s">
        <v>198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5" t="s">
        <v>199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5" t="s">
        <v>200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5" t="s">
        <v>201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5" t="s">
        <v>202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5" t="s">
        <v>203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5" t="s">
        <v>204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5" t="s">
        <v>205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5" t="s">
        <v>206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5" t="s">
        <v>207</v>
      </c>
      <c r="C17" s="114">
        <v>0</v>
      </c>
      <c r="D17" s="114">
        <v>0</v>
      </c>
      <c r="E17" s="113">
        <v>1</v>
      </c>
      <c r="F17" s="113">
        <v>1</v>
      </c>
      <c r="G17"/>
      <c r="H17"/>
    </row>
    <row r="18" spans="1:8" ht="15" customHeight="1" x14ac:dyDescent="0.15">
      <c r="A18">
        <v>17</v>
      </c>
      <c r="B18" s="185" t="s">
        <v>208</v>
      </c>
      <c r="C18" s="114">
        <v>0</v>
      </c>
      <c r="D18" s="114">
        <v>0</v>
      </c>
      <c r="E18" s="113">
        <v>1</v>
      </c>
      <c r="F18" s="113">
        <v>1</v>
      </c>
      <c r="G18"/>
      <c r="H18"/>
    </row>
    <row r="19" spans="1:8" ht="15" customHeight="1" x14ac:dyDescent="0.15">
      <c r="A19">
        <v>18</v>
      </c>
      <c r="B19" s="185" t="s">
        <v>209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5" t="s">
        <v>210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5" t="s">
        <v>211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5" t="s">
        <v>212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5" t="s">
        <v>213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5" t="s">
        <v>214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5" t="s">
        <v>215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5" t="s">
        <v>216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5" t="s">
        <v>217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5" t="s">
        <v>218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5" t="s">
        <v>219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5" t="s">
        <v>220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5" t="s">
        <v>221</v>
      </c>
      <c r="C31" s="114">
        <v>1</v>
      </c>
      <c r="D31" s="114">
        <v>0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5" t="s">
        <v>222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5" t="s">
        <v>223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5" t="s">
        <v>224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5" t="s">
        <v>225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5" t="s">
        <v>226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5" t="s">
        <v>227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5" t="s">
        <v>228</v>
      </c>
      <c r="C38" s="114">
        <v>0</v>
      </c>
      <c r="D38" s="114">
        <v>0</v>
      </c>
      <c r="E38" s="114">
        <v>1</v>
      </c>
      <c r="F38" s="114">
        <v>1</v>
      </c>
      <c r="G38"/>
      <c r="H38"/>
    </row>
    <row r="39" spans="1:8" ht="15" customHeight="1" x14ac:dyDescent="0.15">
      <c r="A39">
        <v>38</v>
      </c>
      <c r="B39" s="185" t="s">
        <v>229</v>
      </c>
      <c r="C39" s="114">
        <v>1</v>
      </c>
      <c r="D39" s="114">
        <v>0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5" t="s">
        <v>230</v>
      </c>
      <c r="C40" s="114">
        <v>1</v>
      </c>
      <c r="D40" s="114">
        <v>0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5" t="s">
        <v>231</v>
      </c>
      <c r="C41" s="114">
        <v>1</v>
      </c>
      <c r="D41" s="114">
        <v>0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5" t="s">
        <v>232</v>
      </c>
      <c r="C42" s="114">
        <v>1</v>
      </c>
      <c r="D42" s="114">
        <v>0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5" t="s">
        <v>233</v>
      </c>
      <c r="C43" s="114">
        <v>1</v>
      </c>
      <c r="D43" s="114">
        <v>0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5" t="s">
        <v>234</v>
      </c>
      <c r="C44" s="114">
        <v>1</v>
      </c>
      <c r="D44" s="114">
        <v>0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5" t="s">
        <v>235</v>
      </c>
      <c r="C45" s="114">
        <v>1</v>
      </c>
      <c r="D45" s="114">
        <v>0</v>
      </c>
      <c r="E45" s="113">
        <v>0</v>
      </c>
      <c r="F45" s="113">
        <v>1</v>
      </c>
      <c r="G45"/>
      <c r="H45"/>
    </row>
    <row r="46" spans="1:8" ht="15" customHeight="1" x14ac:dyDescent="0.15">
      <c r="A46">
        <v>45</v>
      </c>
      <c r="B46" s="185" t="s">
        <v>236</v>
      </c>
      <c r="C46" s="114">
        <v>1</v>
      </c>
      <c r="D46" s="114">
        <v>0</v>
      </c>
      <c r="E46" s="114">
        <v>0</v>
      </c>
      <c r="F46" s="114">
        <v>1</v>
      </c>
      <c r="G46"/>
      <c r="H46"/>
    </row>
    <row r="47" spans="1:8" ht="15" customHeight="1" x14ac:dyDescent="0.15">
      <c r="A47">
        <v>46</v>
      </c>
      <c r="B47" s="185" t="s">
        <v>237</v>
      </c>
      <c r="C47" s="114">
        <v>1</v>
      </c>
      <c r="D47" s="114">
        <v>0</v>
      </c>
      <c r="E47" s="113">
        <v>0</v>
      </c>
      <c r="F47" s="113">
        <v>1</v>
      </c>
      <c r="G47"/>
      <c r="H47"/>
    </row>
    <row r="48" spans="1:8" ht="15" customHeight="1" x14ac:dyDescent="0.15">
      <c r="A48">
        <v>47</v>
      </c>
      <c r="B48" s="185" t="s">
        <v>238</v>
      </c>
      <c r="C48" s="114">
        <v>1</v>
      </c>
      <c r="D48" s="114">
        <v>0</v>
      </c>
      <c r="E48" s="113">
        <v>0</v>
      </c>
      <c r="F48" s="113">
        <v>1</v>
      </c>
      <c r="G48"/>
      <c r="H48"/>
    </row>
    <row r="49" spans="1:8" ht="15" customHeight="1" x14ac:dyDescent="0.15">
      <c r="A49">
        <v>48</v>
      </c>
      <c r="B49" s="185" t="s">
        <v>239</v>
      </c>
      <c r="C49" s="114">
        <v>1</v>
      </c>
      <c r="D49" s="114">
        <v>0</v>
      </c>
      <c r="E49" s="113">
        <v>0</v>
      </c>
      <c r="F49" s="113">
        <v>1</v>
      </c>
      <c r="G49"/>
      <c r="H49"/>
    </row>
    <row r="50" spans="1:8" ht="15" customHeight="1" x14ac:dyDescent="0.15">
      <c r="A50">
        <v>49</v>
      </c>
      <c r="B50" s="185" t="s">
        <v>240</v>
      </c>
      <c r="C50" s="114">
        <v>1</v>
      </c>
      <c r="D50" s="114">
        <v>0</v>
      </c>
      <c r="E50" s="113">
        <v>0</v>
      </c>
      <c r="F50" s="113">
        <v>1</v>
      </c>
      <c r="G50"/>
      <c r="H50"/>
    </row>
    <row r="51" spans="1:8" ht="15" customHeight="1" x14ac:dyDescent="0.15">
      <c r="A51">
        <v>50</v>
      </c>
      <c r="B51" s="185" t="s">
        <v>241</v>
      </c>
      <c r="C51" s="114">
        <v>0</v>
      </c>
      <c r="D51" s="114">
        <v>1</v>
      </c>
      <c r="E51" s="113">
        <v>0</v>
      </c>
      <c r="F51" s="113">
        <v>1</v>
      </c>
      <c r="G51"/>
      <c r="H51"/>
    </row>
    <row r="52" spans="1:8" ht="15" customHeight="1" x14ac:dyDescent="0.15">
      <c r="A52">
        <v>51</v>
      </c>
      <c r="B52" s="185" t="s">
        <v>242</v>
      </c>
      <c r="C52" s="114">
        <v>0</v>
      </c>
      <c r="D52" s="114">
        <v>0</v>
      </c>
      <c r="E52" s="113">
        <v>1</v>
      </c>
      <c r="F52" s="113">
        <v>1</v>
      </c>
      <c r="G52"/>
      <c r="H52"/>
    </row>
    <row r="53" spans="1:8" ht="15" customHeight="1" x14ac:dyDescent="0.15">
      <c r="A53">
        <v>52</v>
      </c>
      <c r="B53" s="185" t="s">
        <v>243</v>
      </c>
      <c r="C53" s="114">
        <v>0</v>
      </c>
      <c r="D53" s="114">
        <v>1</v>
      </c>
      <c r="E53" s="113">
        <v>0</v>
      </c>
      <c r="F53" s="113">
        <v>1</v>
      </c>
      <c r="G53"/>
      <c r="H53"/>
    </row>
    <row r="54" spans="1:8" ht="15" customHeight="1" x14ac:dyDescent="0.15">
      <c r="A54">
        <v>53</v>
      </c>
      <c r="B54" s="185" t="s">
        <v>244</v>
      </c>
      <c r="C54" s="114">
        <v>0</v>
      </c>
      <c r="D54" s="114">
        <v>1</v>
      </c>
      <c r="E54" s="113">
        <v>0</v>
      </c>
      <c r="F54" s="113">
        <v>1</v>
      </c>
      <c r="G54"/>
      <c r="H54"/>
    </row>
    <row r="55" spans="1:8" ht="15" customHeight="1" x14ac:dyDescent="0.15">
      <c r="A55">
        <v>54</v>
      </c>
      <c r="B55" s="185" t="s">
        <v>245</v>
      </c>
      <c r="C55" s="114">
        <v>0</v>
      </c>
      <c r="D55" s="114">
        <v>1</v>
      </c>
      <c r="E55" s="113">
        <v>0</v>
      </c>
      <c r="F55" s="113">
        <v>1</v>
      </c>
      <c r="G55"/>
      <c r="H55"/>
    </row>
    <row r="56" spans="1:8" ht="15" customHeight="1" x14ac:dyDescent="0.15">
      <c r="A56">
        <v>55</v>
      </c>
      <c r="B56" s="185" t="s">
        <v>246</v>
      </c>
      <c r="C56" s="114">
        <v>0</v>
      </c>
      <c r="D56" s="114">
        <v>1</v>
      </c>
      <c r="E56" s="113">
        <v>0</v>
      </c>
      <c r="F56" s="113">
        <v>1</v>
      </c>
      <c r="G56"/>
      <c r="H56"/>
    </row>
    <row r="57" spans="1:8" ht="15" customHeight="1" x14ac:dyDescent="0.15">
      <c r="A57">
        <v>56</v>
      </c>
      <c r="B57" s="185" t="s">
        <v>247</v>
      </c>
      <c r="C57" s="114">
        <v>0</v>
      </c>
      <c r="D57" s="114">
        <v>1</v>
      </c>
      <c r="E57" s="113">
        <v>0</v>
      </c>
      <c r="F57" s="113">
        <v>1</v>
      </c>
      <c r="G57"/>
      <c r="H57"/>
    </row>
    <row r="58" spans="1:8" ht="15" customHeight="1" x14ac:dyDescent="0.15">
      <c r="C58"/>
      <c r="D58"/>
      <c r="E58"/>
      <c r="F58"/>
      <c r="G58"/>
      <c r="H58"/>
    </row>
    <row r="59" spans="1:8" ht="15" customHeight="1" x14ac:dyDescent="0.15">
      <c r="C59"/>
      <c r="D59"/>
      <c r="E59"/>
      <c r="F59"/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" bestFit="1" customWidth="1"/>
    <col min="3" max="4" width="11.83203125" bestFit="1" customWidth="1"/>
    <col min="5" max="5" width="8.83203125" bestFit="1" customWidth="1"/>
    <col min="6" max="6" width="7.5" customWidth="1"/>
    <col min="7" max="7" width="8.83203125" customWidth="1"/>
    <col min="8" max="8" width="11.83203125" customWidth="1"/>
  </cols>
  <sheetData>
    <row r="1" spans="1:8" s="115" customFormat="1" ht="112" x14ac:dyDescent="0.15">
      <c r="A1" s="5" t="s">
        <v>21</v>
      </c>
      <c r="B1" s="3" t="s">
        <v>0</v>
      </c>
      <c r="C1" s="188" t="s">
        <v>243</v>
      </c>
      <c r="D1" s="188" t="s">
        <v>244</v>
      </c>
      <c r="E1" s="188" t="s">
        <v>245</v>
      </c>
      <c r="F1" s="188" t="s">
        <v>246</v>
      </c>
      <c r="G1" s="188" t="s">
        <v>247</v>
      </c>
      <c r="H1" s="188" t="s">
        <v>251</v>
      </c>
    </row>
    <row r="2" spans="1:8" ht="15" customHeight="1" x14ac:dyDescent="0.15">
      <c r="A2">
        <v>1</v>
      </c>
      <c r="B2" s="18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ht="15" customHeight="1" x14ac:dyDescent="0.15">
      <c r="A3">
        <v>2</v>
      </c>
      <c r="B3" s="187" t="s">
        <v>193</v>
      </c>
      <c r="C3">
        <v>0</v>
      </c>
      <c r="D3">
        <v>0</v>
      </c>
      <c r="E3">
        <v>0</v>
      </c>
      <c r="F3">
        <v>0</v>
      </c>
      <c r="G3">
        <v>4.4180999999999998E-2</v>
      </c>
      <c r="H3">
        <v>4.4180999999999998E-2</v>
      </c>
    </row>
    <row r="4" spans="1:8" ht="15" customHeight="1" x14ac:dyDescent="0.15">
      <c r="A4">
        <v>3</v>
      </c>
      <c r="B4" s="18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ht="15" customHeight="1" x14ac:dyDescent="0.15">
      <c r="A5">
        <v>4</v>
      </c>
      <c r="B5" s="187" t="s">
        <v>195</v>
      </c>
      <c r="C5">
        <v>0</v>
      </c>
      <c r="D5">
        <v>0</v>
      </c>
      <c r="E5">
        <v>1.6538000000000001E-2</v>
      </c>
      <c r="F5">
        <v>0</v>
      </c>
      <c r="G5">
        <v>0</v>
      </c>
      <c r="H5">
        <v>1.6538000000000001E-2</v>
      </c>
    </row>
    <row r="6" spans="1:8" ht="15" customHeight="1" x14ac:dyDescent="0.15">
      <c r="A6">
        <v>5</v>
      </c>
      <c r="B6" s="187" t="s">
        <v>196</v>
      </c>
      <c r="C6">
        <v>0</v>
      </c>
      <c r="D6">
        <v>0</v>
      </c>
      <c r="E6">
        <v>1.877E-3</v>
      </c>
      <c r="F6">
        <v>0</v>
      </c>
      <c r="G6">
        <v>0</v>
      </c>
      <c r="H6">
        <v>1.877E-3</v>
      </c>
    </row>
    <row r="7" spans="1:8" ht="15" customHeight="1" x14ac:dyDescent="0.15">
      <c r="A7">
        <v>6</v>
      </c>
      <c r="B7" s="187" t="s">
        <v>197</v>
      </c>
      <c r="C7">
        <v>0</v>
      </c>
      <c r="D7">
        <v>0</v>
      </c>
      <c r="E7">
        <v>0</v>
      </c>
      <c r="F7">
        <v>9.9999999999999995E-7</v>
      </c>
      <c r="G7">
        <v>0</v>
      </c>
      <c r="H7">
        <v>9.9999999999999995E-7</v>
      </c>
    </row>
    <row r="8" spans="1:8" ht="15" customHeight="1" x14ac:dyDescent="0.15">
      <c r="A8">
        <v>7</v>
      </c>
      <c r="B8" s="187" t="s">
        <v>198</v>
      </c>
      <c r="C8">
        <v>0</v>
      </c>
      <c r="D8">
        <v>0</v>
      </c>
      <c r="E8">
        <v>0</v>
      </c>
      <c r="F8">
        <v>6.0000000000000002E-5</v>
      </c>
      <c r="G8">
        <v>0</v>
      </c>
      <c r="H8">
        <v>6.0000000000000002E-5</v>
      </c>
    </row>
    <row r="9" spans="1:8" ht="15" customHeight="1" x14ac:dyDescent="0.15">
      <c r="A9">
        <v>8</v>
      </c>
      <c r="B9" s="187" t="s">
        <v>199</v>
      </c>
      <c r="C9">
        <v>0</v>
      </c>
      <c r="D9">
        <v>0</v>
      </c>
      <c r="E9">
        <v>0</v>
      </c>
      <c r="F9">
        <v>1.2999999999999999E-5</v>
      </c>
      <c r="G9">
        <v>0</v>
      </c>
      <c r="H9">
        <v>1.2999999999999999E-5</v>
      </c>
    </row>
    <row r="10" spans="1:8" ht="15" customHeight="1" x14ac:dyDescent="0.15">
      <c r="A10">
        <v>9</v>
      </c>
      <c r="B10" s="187" t="s">
        <v>200</v>
      </c>
      <c r="C10">
        <v>0.77360773100000002</v>
      </c>
      <c r="D10">
        <v>0</v>
      </c>
      <c r="E10">
        <v>0</v>
      </c>
      <c r="F10">
        <v>0</v>
      </c>
      <c r="G10">
        <v>0</v>
      </c>
      <c r="H10">
        <v>0.77360773100000002</v>
      </c>
    </row>
    <row r="11" spans="1:8" ht="15" customHeight="1" x14ac:dyDescent="0.15">
      <c r="A11">
        <v>10</v>
      </c>
      <c r="B11" s="187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ht="15" customHeight="1" x14ac:dyDescent="0.15">
      <c r="A12">
        <v>11</v>
      </c>
      <c r="B12" s="187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ht="15" customHeight="1" x14ac:dyDescent="0.15">
      <c r="A13">
        <v>12</v>
      </c>
      <c r="B13" s="187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ht="15" customHeight="1" x14ac:dyDescent="0.15">
      <c r="A14">
        <v>13</v>
      </c>
      <c r="B14" s="187" t="s">
        <v>204</v>
      </c>
      <c r="C14">
        <v>3.6359999999999999E-3</v>
      </c>
      <c r="D14">
        <v>0</v>
      </c>
      <c r="E14">
        <v>0</v>
      </c>
      <c r="F14">
        <v>0</v>
      </c>
      <c r="G14">
        <v>0</v>
      </c>
      <c r="H14">
        <v>3.6359999999999999E-3</v>
      </c>
    </row>
    <row r="15" spans="1:8" ht="15" customHeight="1" x14ac:dyDescent="0.15">
      <c r="A15">
        <v>14</v>
      </c>
      <c r="B15" s="187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ht="15" customHeight="1" x14ac:dyDescent="0.15">
      <c r="A16">
        <v>15</v>
      </c>
      <c r="B16" s="187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ht="15" customHeight="1" x14ac:dyDescent="0.15">
      <c r="A17">
        <v>16</v>
      </c>
      <c r="B17" s="18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ht="15" customHeight="1" x14ac:dyDescent="0.15">
      <c r="A18">
        <v>17</v>
      </c>
      <c r="B18" s="18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ht="15" customHeight="1" x14ac:dyDescent="0.15">
      <c r="A19">
        <v>18</v>
      </c>
      <c r="B19" s="187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ht="15" customHeight="1" x14ac:dyDescent="0.15">
      <c r="A20">
        <v>19</v>
      </c>
      <c r="B20" s="18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ht="15" customHeight="1" x14ac:dyDescent="0.15">
      <c r="A21">
        <v>20</v>
      </c>
      <c r="B21" s="187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ht="15" customHeight="1" x14ac:dyDescent="0.15">
      <c r="A22">
        <v>21</v>
      </c>
      <c r="B22" s="187" t="s">
        <v>212</v>
      </c>
      <c r="C22">
        <v>0</v>
      </c>
      <c r="D22">
        <v>1.01E-4</v>
      </c>
      <c r="E22">
        <v>0</v>
      </c>
      <c r="F22">
        <v>0</v>
      </c>
      <c r="G22">
        <v>0</v>
      </c>
      <c r="H22">
        <v>1.01E-4</v>
      </c>
    </row>
    <row r="23" spans="1:8" ht="15" customHeight="1" x14ac:dyDescent="0.15">
      <c r="A23">
        <v>22</v>
      </c>
      <c r="B23" s="187" t="s">
        <v>213</v>
      </c>
      <c r="C23">
        <v>2.02E-4</v>
      </c>
      <c r="D23">
        <v>0</v>
      </c>
      <c r="E23">
        <v>0</v>
      </c>
      <c r="F23">
        <v>0</v>
      </c>
      <c r="G23">
        <v>0</v>
      </c>
      <c r="H23">
        <v>2.02E-4</v>
      </c>
    </row>
    <row r="24" spans="1:8" ht="15" customHeight="1" x14ac:dyDescent="0.15">
      <c r="A24">
        <v>23</v>
      </c>
      <c r="B24" s="187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ht="15" customHeight="1" x14ac:dyDescent="0.15">
      <c r="A25">
        <v>24</v>
      </c>
      <c r="B25" s="187" t="s">
        <v>215</v>
      </c>
      <c r="C25">
        <v>1.4139999999999999E-3</v>
      </c>
      <c r="D25">
        <v>0</v>
      </c>
      <c r="E25">
        <v>0</v>
      </c>
      <c r="F25">
        <v>0</v>
      </c>
      <c r="G25">
        <v>0</v>
      </c>
      <c r="H25">
        <v>1.4139999999999999E-3</v>
      </c>
    </row>
    <row r="26" spans="1:8" ht="15" customHeight="1" x14ac:dyDescent="0.15">
      <c r="A26">
        <v>25</v>
      </c>
      <c r="B26" s="18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ht="15" customHeight="1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ht="15" customHeight="1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ht="15" customHeight="1" x14ac:dyDescent="0.15">
      <c r="A29">
        <v>28</v>
      </c>
      <c r="B29" s="18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ht="15" customHeight="1" x14ac:dyDescent="0.15">
      <c r="A30">
        <v>29</v>
      </c>
      <c r="B30" s="187" t="s">
        <v>220</v>
      </c>
      <c r="C30">
        <v>0</v>
      </c>
      <c r="D30">
        <v>1.3672160000000001E-3</v>
      </c>
      <c r="E30">
        <v>0</v>
      </c>
      <c r="F30">
        <v>0</v>
      </c>
      <c r="G30">
        <v>0</v>
      </c>
      <c r="H30">
        <v>1.3672160000000001E-3</v>
      </c>
    </row>
    <row r="31" spans="1:8" ht="15" customHeight="1" x14ac:dyDescent="0.15">
      <c r="A31">
        <v>30</v>
      </c>
      <c r="B31" s="187" t="s">
        <v>221</v>
      </c>
      <c r="C31">
        <v>0</v>
      </c>
      <c r="D31">
        <v>1.6161999999999999E-2</v>
      </c>
      <c r="E31">
        <v>0</v>
      </c>
      <c r="F31">
        <v>0</v>
      </c>
      <c r="G31">
        <v>0</v>
      </c>
      <c r="H31">
        <v>1.6161999999999999E-2</v>
      </c>
    </row>
    <row r="32" spans="1:8" ht="15" customHeight="1" x14ac:dyDescent="0.15">
      <c r="A32">
        <v>31</v>
      </c>
      <c r="B32" s="18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ht="15" customHeight="1" x14ac:dyDescent="0.15">
      <c r="A33">
        <v>32</v>
      </c>
      <c r="B33" s="18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ht="15" customHeight="1" x14ac:dyDescent="0.15">
      <c r="A34">
        <v>33</v>
      </c>
      <c r="B34" s="187" t="s">
        <v>224</v>
      </c>
      <c r="C34">
        <v>0</v>
      </c>
      <c r="D34">
        <v>2.0200000000000001E-3</v>
      </c>
      <c r="E34">
        <v>0</v>
      </c>
      <c r="F34">
        <v>0</v>
      </c>
      <c r="G34">
        <v>0</v>
      </c>
      <c r="H34">
        <v>2.0200000000000001E-3</v>
      </c>
    </row>
    <row r="35" spans="1:8" ht="15" customHeight="1" x14ac:dyDescent="0.15">
      <c r="A35">
        <v>34</v>
      </c>
      <c r="B35" s="18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ht="15" customHeight="1" x14ac:dyDescent="0.15">
      <c r="A36">
        <v>35</v>
      </c>
      <c r="B36" s="18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ht="15" customHeight="1" x14ac:dyDescent="0.15">
      <c r="A37">
        <v>36</v>
      </c>
      <c r="B37" s="18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ht="15" customHeight="1" x14ac:dyDescent="0.15">
      <c r="A38">
        <v>37</v>
      </c>
      <c r="B38" s="187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ht="15" customHeight="1" x14ac:dyDescent="0.15">
      <c r="A39">
        <v>38</v>
      </c>
      <c r="B39" s="187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ht="15" customHeight="1" x14ac:dyDescent="0.15">
      <c r="A40">
        <v>39</v>
      </c>
      <c r="B40" s="187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ht="15" customHeight="1" x14ac:dyDescent="0.15">
      <c r="A41">
        <v>40</v>
      </c>
      <c r="B41" s="187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ht="15" customHeight="1" x14ac:dyDescent="0.15">
      <c r="A42">
        <v>41</v>
      </c>
      <c r="B42" s="187" t="s">
        <v>232</v>
      </c>
      <c r="C42">
        <v>4.0400000000000002E-3</v>
      </c>
      <c r="D42">
        <v>0</v>
      </c>
      <c r="E42">
        <v>0</v>
      </c>
      <c r="F42">
        <v>0</v>
      </c>
      <c r="G42">
        <v>0</v>
      </c>
      <c r="H42">
        <v>4.0400000000000002E-3</v>
      </c>
    </row>
    <row r="43" spans="1:8" ht="15" customHeight="1" x14ac:dyDescent="0.15">
      <c r="A43">
        <v>42</v>
      </c>
      <c r="B43" s="187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ht="15" customHeight="1" x14ac:dyDescent="0.15">
      <c r="A44">
        <v>43</v>
      </c>
      <c r="B44" s="187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ht="15" customHeight="1" x14ac:dyDescent="0.15">
      <c r="A45">
        <v>44</v>
      </c>
      <c r="B45" s="187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ht="15" customHeight="1" x14ac:dyDescent="0.15">
      <c r="A46">
        <v>45</v>
      </c>
      <c r="B46" s="187" t="s">
        <v>236</v>
      </c>
      <c r="C46">
        <v>0</v>
      </c>
      <c r="D46">
        <v>0</v>
      </c>
      <c r="E46">
        <v>0</v>
      </c>
      <c r="F46">
        <v>0</v>
      </c>
      <c r="G46">
        <v>1.2730999999999999E-2</v>
      </c>
      <c r="H46">
        <v>1.2730999999999999E-2</v>
      </c>
    </row>
    <row r="47" spans="1:8" ht="15" customHeight="1" x14ac:dyDescent="0.15">
      <c r="A47">
        <v>46</v>
      </c>
      <c r="B47" s="187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ht="15" customHeight="1" x14ac:dyDescent="0.15">
      <c r="A48">
        <v>47</v>
      </c>
      <c r="B48" s="187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ht="15" customHeight="1" x14ac:dyDescent="0.15">
      <c r="A49">
        <v>48</v>
      </c>
      <c r="B49" s="187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15">
      <c r="A50">
        <v>49</v>
      </c>
      <c r="B50" s="187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15">
      <c r="A51">
        <v>50</v>
      </c>
      <c r="B51" s="187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15">
      <c r="A52">
        <v>51</v>
      </c>
      <c r="B52" s="187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5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" bestFit="1" customWidth="1"/>
    <col min="3" max="5" width="2.33203125" bestFit="1" customWidth="1"/>
    <col min="6" max="8" width="2.33203125" customWidth="1"/>
  </cols>
  <sheetData>
    <row r="1" spans="1:8" s="115" customFormat="1" ht="112" x14ac:dyDescent="0.15">
      <c r="A1" s="5" t="s">
        <v>22</v>
      </c>
      <c r="B1" s="3" t="s">
        <v>0</v>
      </c>
      <c r="C1" s="190" t="s">
        <v>243</v>
      </c>
      <c r="D1" s="190" t="s">
        <v>244</v>
      </c>
      <c r="E1" s="190" t="s">
        <v>245</v>
      </c>
      <c r="F1" s="190" t="s">
        <v>246</v>
      </c>
      <c r="G1" s="190" t="s">
        <v>247</v>
      </c>
      <c r="H1" s="190" t="s">
        <v>251</v>
      </c>
    </row>
    <row r="2" spans="1:8" x14ac:dyDescent="0.15">
      <c r="A2">
        <v>1</v>
      </c>
      <c r="B2" s="18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8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8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89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8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15">
      <c r="A7">
        <v>6</v>
      </c>
      <c r="B7" s="189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15">
      <c r="A8">
        <v>7</v>
      </c>
      <c r="B8" s="189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8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89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89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89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8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15">
      <c r="A14">
        <v>13</v>
      </c>
      <c r="B14" s="189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8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15">
      <c r="A16">
        <v>15</v>
      </c>
      <c r="B16" s="189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15">
      <c r="A17">
        <v>16</v>
      </c>
      <c r="B17" s="189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15">
      <c r="A18">
        <v>17</v>
      </c>
      <c r="B18" s="189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15">
      <c r="A19">
        <v>18</v>
      </c>
      <c r="B19" s="189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89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15">
      <c r="A21">
        <v>20</v>
      </c>
      <c r="B21" s="189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89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15">
      <c r="A23">
        <v>22</v>
      </c>
      <c r="B23" s="189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89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89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8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89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15">
      <c r="A29">
        <v>28</v>
      </c>
      <c r="B29" s="18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8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8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8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15">
      <c r="A33">
        <v>32</v>
      </c>
      <c r="B33" s="18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15">
      <c r="A34">
        <v>33</v>
      </c>
      <c r="B34" s="18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8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8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8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89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8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15">
      <c r="A40">
        <v>39</v>
      </c>
      <c r="B40" s="189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15">
      <c r="A41">
        <v>40</v>
      </c>
      <c r="B41" s="189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15">
      <c r="A42">
        <v>41</v>
      </c>
      <c r="B42" s="189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15">
      <c r="A43">
        <v>42</v>
      </c>
      <c r="B43" s="189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15">
      <c r="A44">
        <v>43</v>
      </c>
      <c r="B44" s="189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15">
      <c r="A45">
        <v>44</v>
      </c>
      <c r="B45" s="189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15">
      <c r="A46">
        <v>45</v>
      </c>
      <c r="B46" s="189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15">
      <c r="A47">
        <v>46</v>
      </c>
      <c r="B47" s="189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15">
      <c r="A48">
        <v>47</v>
      </c>
      <c r="B48" s="189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15">
      <c r="A49">
        <v>48</v>
      </c>
      <c r="B49" s="189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15">
      <c r="A50">
        <v>49</v>
      </c>
      <c r="B50" s="189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15">
      <c r="A51">
        <v>50</v>
      </c>
      <c r="B51" s="18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15">
      <c r="A52">
        <v>51</v>
      </c>
      <c r="B52" s="189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1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1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1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1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1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1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1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1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1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1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1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1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1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1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1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1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1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1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1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1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1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1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1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1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1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1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1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1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1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1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1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1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1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1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1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91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91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91" t="s">
        <v>229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91" t="s">
        <v>230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91" t="s">
        <v>231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91" t="s">
        <v>232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91" t="s">
        <v>233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91" t="s">
        <v>234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91" t="s">
        <v>235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91" t="s">
        <v>236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91" t="s">
        <v>237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91" t="s">
        <v>238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91" t="s">
        <v>239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91" t="s">
        <v>240</v>
      </c>
      <c r="F50">
        <v>0.98</v>
      </c>
      <c r="G50">
        <v>0.8</v>
      </c>
      <c r="H50">
        <v>0.8</v>
      </c>
      <c r="I50">
        <v>0</v>
      </c>
      <c r="J50" s="114">
        <v>0</v>
      </c>
      <c r="K50" s="114">
        <v>0</v>
      </c>
      <c r="Y50"/>
      <c r="AC50"/>
      <c r="AG50"/>
    </row>
    <row r="51" spans="4:33" ht="15" customHeight="1" x14ac:dyDescent="0.15">
      <c r="D51">
        <v>50</v>
      </c>
      <c r="E51" s="191" t="s">
        <v>241</v>
      </c>
      <c r="F51">
        <v>0.98</v>
      </c>
      <c r="G51">
        <v>0.8</v>
      </c>
      <c r="H51">
        <v>0</v>
      </c>
      <c r="I51">
        <v>0</v>
      </c>
      <c r="J51" s="114">
        <v>0</v>
      </c>
      <c r="K51" s="114">
        <v>0</v>
      </c>
      <c r="Y51"/>
      <c r="AC51"/>
      <c r="AG51"/>
    </row>
    <row r="52" spans="4:33" ht="15" customHeight="1" x14ac:dyDescent="0.15">
      <c r="D52">
        <v>51</v>
      </c>
      <c r="E52" s="191" t="s">
        <v>242</v>
      </c>
      <c r="F52">
        <v>0.98</v>
      </c>
      <c r="G52">
        <v>0.8</v>
      </c>
      <c r="H52">
        <v>0</v>
      </c>
      <c r="I52">
        <v>0</v>
      </c>
      <c r="J52" s="114">
        <v>0</v>
      </c>
      <c r="K52" s="114">
        <v>0</v>
      </c>
      <c r="Y52"/>
      <c r="AC52"/>
      <c r="AG52"/>
    </row>
    <row r="53" spans="4:33" ht="15" customHeight="1" x14ac:dyDescent="0.15">
      <c r="J53"/>
      <c r="K53"/>
      <c r="Y53"/>
      <c r="AC53"/>
      <c r="AG53"/>
    </row>
    <row r="54" spans="4:33" ht="15" customHeight="1" x14ac:dyDescent="0.15">
      <c r="J54"/>
      <c r="K54"/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Z53"/>
  <sheetViews>
    <sheetView workbookViewId="0">
      <selection activeCell="A3" sqref="A3"/>
    </sheetView>
  </sheetViews>
  <sheetFormatPr baseColWidth="10" defaultRowHeight="13" x14ac:dyDescent="0.15"/>
  <cols>
    <col min="1" max="1" width="25" style="112" bestFit="1" customWidth="1"/>
    <col min="2" max="49" width="3.83203125" style="112" customWidth="1"/>
    <col min="50" max="52" width="2.33203125" style="112" customWidth="1"/>
    <col min="53" max="16384" width="10.83203125" style="112"/>
  </cols>
  <sheetData>
    <row r="1" spans="1:52" x14ac:dyDescent="0.15">
      <c r="A1" s="63" t="s">
        <v>118</v>
      </c>
      <c r="B1" s="193" t="s">
        <v>192</v>
      </c>
      <c r="C1" s="193" t="s">
        <v>193</v>
      </c>
      <c r="D1" s="193" t="s">
        <v>194</v>
      </c>
      <c r="E1" s="193" t="s">
        <v>195</v>
      </c>
      <c r="F1" s="193" t="s">
        <v>196</v>
      </c>
      <c r="G1" s="193" t="s">
        <v>197</v>
      </c>
      <c r="H1" s="193" t="s">
        <v>198</v>
      </c>
      <c r="I1" s="193" t="s">
        <v>199</v>
      </c>
      <c r="J1" s="193" t="s">
        <v>200</v>
      </c>
      <c r="K1" s="193" t="s">
        <v>201</v>
      </c>
      <c r="L1" s="193" t="s">
        <v>202</v>
      </c>
      <c r="M1" s="193" t="s">
        <v>203</v>
      </c>
      <c r="N1" s="193" t="s">
        <v>204</v>
      </c>
      <c r="O1" s="193" t="s">
        <v>205</v>
      </c>
      <c r="P1" s="193" t="s">
        <v>206</v>
      </c>
      <c r="Q1" s="193" t="s">
        <v>207</v>
      </c>
      <c r="R1" s="193" t="s">
        <v>208</v>
      </c>
      <c r="S1" s="193" t="s">
        <v>209</v>
      </c>
      <c r="T1" s="193" t="s">
        <v>210</v>
      </c>
      <c r="U1" s="193" t="s">
        <v>211</v>
      </c>
      <c r="V1" s="193" t="s">
        <v>212</v>
      </c>
      <c r="W1" s="193" t="s">
        <v>213</v>
      </c>
      <c r="X1" s="193" t="s">
        <v>214</v>
      </c>
      <c r="Y1" s="193" t="s">
        <v>215</v>
      </c>
      <c r="Z1" s="193" t="s">
        <v>216</v>
      </c>
      <c r="AA1" s="193" t="s">
        <v>217</v>
      </c>
      <c r="AB1" s="193" t="s">
        <v>218</v>
      </c>
      <c r="AC1" s="193" t="s">
        <v>219</v>
      </c>
      <c r="AD1" s="193" t="s">
        <v>220</v>
      </c>
      <c r="AE1" s="193" t="s">
        <v>221</v>
      </c>
      <c r="AF1" s="193" t="s">
        <v>222</v>
      </c>
      <c r="AG1" s="193" t="s">
        <v>223</v>
      </c>
      <c r="AH1" s="193" t="s">
        <v>224</v>
      </c>
      <c r="AI1" s="193" t="s">
        <v>225</v>
      </c>
      <c r="AJ1" s="193" t="s">
        <v>226</v>
      </c>
      <c r="AK1" s="193" t="s">
        <v>227</v>
      </c>
      <c r="AL1" s="193" t="s">
        <v>228</v>
      </c>
      <c r="AM1" s="193" t="s">
        <v>229</v>
      </c>
      <c r="AN1" s="193" t="s">
        <v>230</v>
      </c>
      <c r="AO1" s="193" t="s">
        <v>231</v>
      </c>
      <c r="AP1" s="193" t="s">
        <v>232</v>
      </c>
      <c r="AQ1" s="193" t="s">
        <v>233</v>
      </c>
      <c r="AR1" s="193" t="s">
        <v>234</v>
      </c>
      <c r="AS1" s="193" t="s">
        <v>235</v>
      </c>
      <c r="AT1" s="193" t="s">
        <v>236</v>
      </c>
      <c r="AU1" s="193" t="s">
        <v>237</v>
      </c>
      <c r="AV1" s="193" t="s">
        <v>238</v>
      </c>
      <c r="AW1" s="193" t="s">
        <v>239</v>
      </c>
      <c r="AX1" s="193" t="s">
        <v>240</v>
      </c>
      <c r="AY1" s="193" t="s">
        <v>241</v>
      </c>
      <c r="AZ1" s="193" t="s">
        <v>242</v>
      </c>
    </row>
    <row r="2" spans="1:52" customFormat="1" x14ac:dyDescent="0.15">
      <c r="A2" s="192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</row>
    <row r="3" spans="1:52" customFormat="1" x14ac:dyDescent="0.15">
      <c r="A3" s="192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</row>
    <row r="4" spans="1:52" customFormat="1" x14ac:dyDescent="0.15">
      <c r="A4" s="192" t="s">
        <v>194</v>
      </c>
      <c r="B4" s="112">
        <v>0.8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</row>
    <row r="5" spans="1:52" customFormat="1" x14ac:dyDescent="0.15">
      <c r="A5" s="192" t="s">
        <v>195</v>
      </c>
      <c r="B5" s="112">
        <v>0.8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</row>
    <row r="6" spans="1:52" customFormat="1" x14ac:dyDescent="0.15">
      <c r="A6" s="192" t="s">
        <v>196</v>
      </c>
      <c r="B6" s="112">
        <v>0.8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</row>
    <row r="7" spans="1:52" customFormat="1" x14ac:dyDescent="0.15">
      <c r="A7" s="192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</row>
    <row r="8" spans="1:52" customFormat="1" x14ac:dyDescent="0.15">
      <c r="A8" s="192" t="s">
        <v>198</v>
      </c>
      <c r="B8" s="112">
        <v>0</v>
      </c>
      <c r="C8" s="112">
        <v>0</v>
      </c>
      <c r="D8" s="112">
        <v>0</v>
      </c>
      <c r="E8" s="112">
        <v>0.8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</row>
    <row r="9" spans="1:52" customFormat="1" x14ac:dyDescent="0.15">
      <c r="A9" s="192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</row>
    <row r="10" spans="1:52" customFormat="1" x14ac:dyDescent="0.15">
      <c r="A10" s="192" t="s">
        <v>200</v>
      </c>
      <c r="B10" s="112">
        <v>0</v>
      </c>
      <c r="C10" s="112">
        <v>0</v>
      </c>
      <c r="D10" s="112">
        <v>0.8</v>
      </c>
      <c r="E10" s="112">
        <v>0.8</v>
      </c>
      <c r="F10" s="112">
        <v>0.8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</row>
    <row r="11" spans="1:52" customFormat="1" x14ac:dyDescent="0.15">
      <c r="A11" s="192" t="s">
        <v>201</v>
      </c>
      <c r="B11" s="112">
        <v>0</v>
      </c>
      <c r="C11" s="112">
        <v>0.8</v>
      </c>
      <c r="D11" s="112">
        <v>0.8</v>
      </c>
      <c r="E11" s="112">
        <v>0.8</v>
      </c>
      <c r="F11" s="112">
        <v>0.8</v>
      </c>
      <c r="G11" s="112">
        <v>0</v>
      </c>
      <c r="H11" s="112">
        <v>0.8</v>
      </c>
      <c r="I11" s="112">
        <v>0</v>
      </c>
      <c r="J11" s="112">
        <v>0.8</v>
      </c>
      <c r="K11" s="112">
        <v>0.8</v>
      </c>
      <c r="L11" s="112">
        <v>0.8</v>
      </c>
      <c r="M11" s="112">
        <v>0</v>
      </c>
      <c r="N11" s="112">
        <v>0.8</v>
      </c>
      <c r="O11" s="112">
        <v>0.8</v>
      </c>
      <c r="P11" s="112">
        <v>0</v>
      </c>
      <c r="Q11" s="112">
        <v>0</v>
      </c>
      <c r="R11" s="112">
        <v>0</v>
      </c>
      <c r="S11" s="112">
        <v>0.8</v>
      </c>
      <c r="T11" s="112">
        <v>0.8</v>
      </c>
      <c r="U11" s="112">
        <v>0.8</v>
      </c>
      <c r="V11" s="112">
        <v>0</v>
      </c>
      <c r="W11" s="112">
        <v>0.8</v>
      </c>
      <c r="X11" s="112">
        <v>0.8</v>
      </c>
      <c r="Y11" s="112">
        <v>0.8</v>
      </c>
      <c r="Z11" s="112">
        <v>0.8</v>
      </c>
      <c r="AA11" s="112">
        <v>0</v>
      </c>
      <c r="AB11" s="112">
        <v>0</v>
      </c>
      <c r="AC11" s="112">
        <v>0</v>
      </c>
      <c r="AD11" s="112">
        <v>0.8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0.8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</row>
    <row r="12" spans="1:52" customFormat="1" x14ac:dyDescent="0.15">
      <c r="A12" s="192" t="s">
        <v>202</v>
      </c>
      <c r="B12" s="112">
        <v>0</v>
      </c>
      <c r="C12" s="112">
        <v>0</v>
      </c>
      <c r="D12" s="112">
        <v>0</v>
      </c>
      <c r="E12" s="112">
        <v>0.8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</row>
    <row r="13" spans="1:52" customFormat="1" x14ac:dyDescent="0.15">
      <c r="A13" s="192" t="s">
        <v>203</v>
      </c>
      <c r="B13" s="112">
        <v>0.8</v>
      </c>
      <c r="C13" s="112">
        <v>0</v>
      </c>
      <c r="D13" s="112">
        <v>0.8</v>
      </c>
      <c r="E13" s="112">
        <v>0.8</v>
      </c>
      <c r="F13" s="112">
        <v>0</v>
      </c>
      <c r="G13" s="112">
        <v>0</v>
      </c>
      <c r="H13" s="112">
        <v>0</v>
      </c>
      <c r="I13" s="112">
        <v>0</v>
      </c>
      <c r="J13" s="112">
        <v>0.8</v>
      </c>
      <c r="K13" s="112">
        <v>0.8</v>
      </c>
      <c r="L13" s="112">
        <v>0.8</v>
      </c>
      <c r="M13" s="112">
        <v>0.8</v>
      </c>
      <c r="N13" s="112">
        <v>0.8</v>
      </c>
      <c r="O13" s="112">
        <v>0</v>
      </c>
      <c r="P13" s="112">
        <v>0</v>
      </c>
      <c r="Q13" s="112">
        <v>0</v>
      </c>
      <c r="R13" s="112">
        <v>0</v>
      </c>
      <c r="S13" s="112">
        <v>0.8</v>
      </c>
      <c r="T13" s="112">
        <v>0</v>
      </c>
      <c r="U13" s="112">
        <v>0</v>
      </c>
      <c r="V13" s="112">
        <v>0</v>
      </c>
      <c r="W13" s="112">
        <v>0.8</v>
      </c>
      <c r="X13" s="112">
        <v>0.8</v>
      </c>
      <c r="Y13" s="112">
        <v>0.8</v>
      </c>
      <c r="Z13" s="112">
        <v>0.8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</row>
    <row r="14" spans="1:52" customFormat="1" x14ac:dyDescent="0.15">
      <c r="A14" s="192" t="s">
        <v>204</v>
      </c>
      <c r="B14" s="112">
        <v>0</v>
      </c>
      <c r="C14" s="112">
        <v>0</v>
      </c>
      <c r="D14" s="112">
        <v>0</v>
      </c>
      <c r="E14" s="112">
        <v>0.8</v>
      </c>
      <c r="F14" s="112">
        <v>0.8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</row>
    <row r="15" spans="1:52" customFormat="1" x14ac:dyDescent="0.15">
      <c r="A15" s="192" t="s">
        <v>205</v>
      </c>
      <c r="B15" s="112">
        <v>0</v>
      </c>
      <c r="C15" s="112">
        <v>0</v>
      </c>
      <c r="D15" s="112">
        <v>0.8</v>
      </c>
      <c r="E15" s="112">
        <v>0.8</v>
      </c>
      <c r="F15" s="112">
        <v>0.8</v>
      </c>
      <c r="G15" s="112">
        <v>0</v>
      </c>
      <c r="H15" s="112">
        <v>0</v>
      </c>
      <c r="I15" s="112">
        <v>0</v>
      </c>
      <c r="J15" s="112">
        <v>0.8</v>
      </c>
      <c r="K15" s="112">
        <v>0.8</v>
      </c>
      <c r="L15" s="112">
        <v>0.8</v>
      </c>
      <c r="M15" s="112">
        <v>0</v>
      </c>
      <c r="N15" s="112">
        <v>0.8</v>
      </c>
      <c r="O15" s="112">
        <v>0.8</v>
      </c>
      <c r="P15" s="112">
        <v>0</v>
      </c>
      <c r="Q15" s="112">
        <v>0</v>
      </c>
      <c r="R15" s="112">
        <v>0</v>
      </c>
      <c r="S15" s="112">
        <v>0.8</v>
      </c>
      <c r="T15" s="112">
        <v>0.8</v>
      </c>
      <c r="U15" s="112">
        <v>0</v>
      </c>
      <c r="V15" s="112">
        <v>0</v>
      </c>
      <c r="W15" s="112">
        <v>0.8</v>
      </c>
      <c r="X15" s="112">
        <v>0.8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0.8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</row>
    <row r="16" spans="1:52" customFormat="1" x14ac:dyDescent="0.15">
      <c r="A16" s="192" t="s">
        <v>206</v>
      </c>
      <c r="B16" s="112">
        <v>0.8</v>
      </c>
      <c r="C16" s="112">
        <v>0</v>
      </c>
      <c r="D16" s="112">
        <v>0.8</v>
      </c>
      <c r="E16" s="112">
        <v>0.8</v>
      </c>
      <c r="F16" s="112">
        <v>0.8</v>
      </c>
      <c r="G16" s="112">
        <v>0</v>
      </c>
      <c r="H16" s="112">
        <v>0</v>
      </c>
      <c r="I16" s="112">
        <v>0</v>
      </c>
      <c r="J16" s="112">
        <v>0.8</v>
      </c>
      <c r="K16" s="112">
        <v>0</v>
      </c>
      <c r="L16" s="112">
        <v>0.8</v>
      </c>
      <c r="M16" s="112">
        <v>0.8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0.8</v>
      </c>
      <c r="X16" s="112">
        <v>0.8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</row>
    <row r="17" spans="1:52" customFormat="1" x14ac:dyDescent="0.15">
      <c r="A17" s="192" t="s">
        <v>207</v>
      </c>
      <c r="B17" s="112">
        <v>0.8</v>
      </c>
      <c r="C17" s="112">
        <v>0</v>
      </c>
      <c r="D17" s="112">
        <v>0.8</v>
      </c>
      <c r="E17" s="112">
        <v>0.8</v>
      </c>
      <c r="F17" s="112">
        <v>0.8</v>
      </c>
      <c r="G17" s="112">
        <v>0</v>
      </c>
      <c r="H17" s="112">
        <v>0</v>
      </c>
      <c r="I17" s="112">
        <v>0</v>
      </c>
      <c r="J17" s="112">
        <v>0.8</v>
      </c>
      <c r="K17" s="112">
        <v>0</v>
      </c>
      <c r="L17" s="112">
        <v>0.8</v>
      </c>
      <c r="M17" s="112">
        <v>0</v>
      </c>
      <c r="N17" s="112">
        <v>0.8</v>
      </c>
      <c r="O17" s="112">
        <v>0</v>
      </c>
      <c r="P17" s="112">
        <v>0</v>
      </c>
      <c r="Q17" s="112">
        <v>0</v>
      </c>
      <c r="R17" s="112">
        <v>0</v>
      </c>
      <c r="S17" s="112">
        <v>0.8</v>
      </c>
      <c r="T17" s="112">
        <v>0</v>
      </c>
      <c r="U17" s="112">
        <v>0</v>
      </c>
      <c r="V17" s="112">
        <v>0</v>
      </c>
      <c r="W17" s="112">
        <v>0.8</v>
      </c>
      <c r="X17" s="112">
        <v>0.8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</row>
    <row r="18" spans="1:52" customFormat="1" x14ac:dyDescent="0.15">
      <c r="A18" s="192" t="s">
        <v>208</v>
      </c>
      <c r="B18" s="112">
        <v>0.8</v>
      </c>
      <c r="C18" s="112">
        <v>0</v>
      </c>
      <c r="D18" s="112">
        <v>0.8</v>
      </c>
      <c r="E18" s="112">
        <v>0.8</v>
      </c>
      <c r="F18" s="112">
        <v>0.8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</row>
    <row r="19" spans="1:52" customFormat="1" x14ac:dyDescent="0.15">
      <c r="A19" s="192" t="s">
        <v>209</v>
      </c>
      <c r="B19" s="112">
        <v>0</v>
      </c>
      <c r="C19" s="112">
        <v>0</v>
      </c>
      <c r="D19" s="112">
        <v>0.8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0.8</v>
      </c>
      <c r="K19" s="112">
        <v>0</v>
      </c>
      <c r="L19" s="112">
        <v>0</v>
      </c>
      <c r="M19" s="112">
        <v>0</v>
      </c>
      <c r="N19" s="112">
        <v>0.8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0.8</v>
      </c>
      <c r="X19" s="112">
        <v>0.8</v>
      </c>
      <c r="Y19" s="112">
        <v>0.8</v>
      </c>
      <c r="Z19" s="112">
        <v>0.8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</row>
    <row r="20" spans="1:52" customFormat="1" x14ac:dyDescent="0.15">
      <c r="A20" s="192" t="s">
        <v>210</v>
      </c>
      <c r="B20" s="112">
        <v>0</v>
      </c>
      <c r="C20" s="112">
        <v>0.8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</row>
    <row r="21" spans="1:52" customFormat="1" x14ac:dyDescent="0.15">
      <c r="A21" s="192" t="s">
        <v>211</v>
      </c>
      <c r="B21" s="112">
        <v>0</v>
      </c>
      <c r="C21" s="112">
        <v>0</v>
      </c>
      <c r="D21" s="112">
        <v>0.8</v>
      </c>
      <c r="E21" s="112">
        <v>0.8</v>
      </c>
      <c r="F21" s="112">
        <v>0.8</v>
      </c>
      <c r="G21" s="112">
        <v>0</v>
      </c>
      <c r="H21" s="112">
        <v>0</v>
      </c>
      <c r="I21" s="112">
        <v>0</v>
      </c>
      <c r="J21" s="112">
        <v>0.8</v>
      </c>
      <c r="K21" s="112">
        <v>0.8</v>
      </c>
      <c r="L21" s="112">
        <v>0</v>
      </c>
      <c r="M21" s="112">
        <v>0.8</v>
      </c>
      <c r="N21" s="112">
        <v>0.8</v>
      </c>
      <c r="O21" s="112">
        <v>0</v>
      </c>
      <c r="P21" s="112">
        <v>0</v>
      </c>
      <c r="Q21" s="112">
        <v>0</v>
      </c>
      <c r="R21" s="112">
        <v>0</v>
      </c>
      <c r="S21" s="112">
        <v>0.8</v>
      </c>
      <c r="T21" s="112">
        <v>0.8</v>
      </c>
      <c r="U21" s="112">
        <v>0.8</v>
      </c>
      <c r="V21" s="112">
        <v>0</v>
      </c>
      <c r="W21" s="112">
        <v>0.8</v>
      </c>
      <c r="X21" s="112">
        <v>0.8</v>
      </c>
      <c r="Y21" s="112">
        <v>0.8</v>
      </c>
      <c r="Z21" s="112">
        <v>0.8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0.8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</row>
    <row r="22" spans="1:52" customFormat="1" x14ac:dyDescent="0.15">
      <c r="A22" s="192" t="s">
        <v>212</v>
      </c>
      <c r="B22" s="112">
        <v>0</v>
      </c>
      <c r="C22" s="112">
        <v>0</v>
      </c>
      <c r="D22" s="112">
        <v>0.8</v>
      </c>
      <c r="E22" s="112">
        <v>0</v>
      </c>
      <c r="F22" s="112">
        <v>0</v>
      </c>
      <c r="G22" s="112">
        <v>0</v>
      </c>
      <c r="H22" s="112">
        <v>0.8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</row>
    <row r="23" spans="1:52" customFormat="1" x14ac:dyDescent="0.15">
      <c r="A23" s="192" t="s">
        <v>213</v>
      </c>
      <c r="B23" s="112">
        <v>0</v>
      </c>
      <c r="C23" s="112">
        <v>0.8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</row>
    <row r="24" spans="1:52" customFormat="1" x14ac:dyDescent="0.15">
      <c r="A24" s="192" t="s">
        <v>214</v>
      </c>
      <c r="B24" s="112">
        <v>0.8</v>
      </c>
      <c r="C24" s="112">
        <v>0.8</v>
      </c>
      <c r="D24" s="112">
        <v>0.8</v>
      </c>
      <c r="E24" s="112">
        <v>0</v>
      </c>
      <c r="F24" s="112">
        <v>0</v>
      </c>
      <c r="G24" s="112">
        <v>0</v>
      </c>
      <c r="H24" s="112">
        <v>0.8</v>
      </c>
      <c r="I24" s="112">
        <v>0</v>
      </c>
      <c r="J24" s="112">
        <v>0.8</v>
      </c>
      <c r="K24" s="112">
        <v>0.8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0.8</v>
      </c>
      <c r="T24" s="112">
        <v>0.8</v>
      </c>
      <c r="U24" s="112">
        <v>0</v>
      </c>
      <c r="V24" s="112">
        <v>0</v>
      </c>
      <c r="W24" s="112">
        <v>0.8</v>
      </c>
      <c r="X24" s="112">
        <v>0.8</v>
      </c>
      <c r="Y24" s="112">
        <v>0.8</v>
      </c>
      <c r="Z24" s="112">
        <v>0.8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0.8</v>
      </c>
      <c r="AJ24" s="112">
        <v>0</v>
      </c>
      <c r="AK24" s="112">
        <v>0</v>
      </c>
      <c r="AL24" s="112">
        <v>0.8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</row>
    <row r="25" spans="1:52" customFormat="1" x14ac:dyDescent="0.15">
      <c r="A25" s="192" t="s">
        <v>215</v>
      </c>
      <c r="B25" s="112">
        <v>0</v>
      </c>
      <c r="C25" s="112">
        <v>0.8</v>
      </c>
      <c r="D25" s="112">
        <v>0</v>
      </c>
      <c r="E25" s="112">
        <v>0.8</v>
      </c>
      <c r="F25" s="112">
        <v>0.8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</row>
    <row r="26" spans="1:52" customFormat="1" x14ac:dyDescent="0.15">
      <c r="A26" s="192" t="s">
        <v>216</v>
      </c>
      <c r="B26" s="112">
        <v>0.8</v>
      </c>
      <c r="C26" s="112">
        <v>0.8</v>
      </c>
      <c r="D26" s="112">
        <v>0.8</v>
      </c>
      <c r="E26" s="112">
        <v>0.8</v>
      </c>
      <c r="F26" s="112">
        <v>0.8</v>
      </c>
      <c r="G26" s="112">
        <v>0</v>
      </c>
      <c r="H26" s="112">
        <v>0.8</v>
      </c>
      <c r="I26" s="112">
        <v>0</v>
      </c>
      <c r="J26" s="112">
        <v>0.8</v>
      </c>
      <c r="K26" s="112">
        <v>0.8</v>
      </c>
      <c r="L26" s="112">
        <v>0.8</v>
      </c>
      <c r="M26" s="112">
        <v>0.8</v>
      </c>
      <c r="N26" s="112">
        <v>0.8</v>
      </c>
      <c r="O26" s="112">
        <v>0.8</v>
      </c>
      <c r="P26" s="112">
        <v>0</v>
      </c>
      <c r="Q26" s="112">
        <v>0</v>
      </c>
      <c r="R26" s="112">
        <v>0</v>
      </c>
      <c r="S26" s="112">
        <v>0.8</v>
      </c>
      <c r="T26" s="112">
        <v>0.8</v>
      </c>
      <c r="U26" s="112">
        <v>0.8</v>
      </c>
      <c r="V26" s="112">
        <v>0</v>
      </c>
      <c r="W26" s="112">
        <v>0.8</v>
      </c>
      <c r="X26" s="112">
        <v>0.8</v>
      </c>
      <c r="Y26" s="112">
        <v>0.8</v>
      </c>
      <c r="Z26" s="112">
        <v>0.8</v>
      </c>
      <c r="AA26" s="112">
        <v>0.8</v>
      </c>
      <c r="AB26" s="112">
        <v>0</v>
      </c>
      <c r="AC26" s="112">
        <v>0.8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0.8</v>
      </c>
      <c r="AJ26" s="112">
        <v>0</v>
      </c>
      <c r="AK26" s="112">
        <v>0</v>
      </c>
      <c r="AL26" s="112">
        <v>0.8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</row>
    <row r="27" spans="1:52" customFormat="1" x14ac:dyDescent="0.15">
      <c r="A27" s="192" t="s">
        <v>217</v>
      </c>
      <c r="B27" s="112">
        <v>0.8</v>
      </c>
      <c r="C27" s="112">
        <v>0</v>
      </c>
      <c r="D27" s="112">
        <v>0.8</v>
      </c>
      <c r="E27" s="112">
        <v>0.8</v>
      </c>
      <c r="F27" s="112">
        <v>0</v>
      </c>
      <c r="G27" s="112">
        <v>0</v>
      </c>
      <c r="H27" s="112">
        <v>0.8</v>
      </c>
      <c r="I27" s="112">
        <v>0</v>
      </c>
      <c r="J27" s="112">
        <v>0.8</v>
      </c>
      <c r="K27" s="112">
        <v>0.8</v>
      </c>
      <c r="L27" s="112">
        <v>0.8</v>
      </c>
      <c r="M27" s="112">
        <v>0.8</v>
      </c>
      <c r="N27" s="112">
        <v>0.8</v>
      </c>
      <c r="O27" s="112">
        <v>0.8</v>
      </c>
      <c r="P27" s="112">
        <v>0</v>
      </c>
      <c r="Q27" s="112">
        <v>0.8</v>
      </c>
      <c r="R27" s="112">
        <v>0.8</v>
      </c>
      <c r="S27" s="112">
        <v>0.8</v>
      </c>
      <c r="T27" s="112">
        <v>0.8</v>
      </c>
      <c r="U27" s="112">
        <v>0</v>
      </c>
      <c r="V27" s="112">
        <v>0</v>
      </c>
      <c r="W27" s="112">
        <v>0.8</v>
      </c>
      <c r="X27" s="112">
        <v>0.8</v>
      </c>
      <c r="Y27" s="112">
        <v>0.8</v>
      </c>
      <c r="Z27" s="112">
        <v>0.8</v>
      </c>
      <c r="AA27" s="112">
        <v>0.8</v>
      </c>
      <c r="AB27" s="112">
        <v>0</v>
      </c>
      <c r="AC27" s="112">
        <v>0.8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0.8</v>
      </c>
      <c r="AJ27" s="112">
        <v>0</v>
      </c>
      <c r="AK27" s="112">
        <v>0</v>
      </c>
      <c r="AL27" s="112">
        <v>0.8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</row>
    <row r="28" spans="1:52" customFormat="1" x14ac:dyDescent="0.15">
      <c r="A28" s="192" t="s">
        <v>218</v>
      </c>
      <c r="B28" s="112">
        <v>0</v>
      </c>
      <c r="C28" s="112">
        <v>0.8</v>
      </c>
      <c r="D28" s="112">
        <v>0.8</v>
      </c>
      <c r="E28" s="112">
        <v>0</v>
      </c>
      <c r="F28" s="112">
        <v>0</v>
      </c>
      <c r="G28" s="112">
        <v>0</v>
      </c>
      <c r="H28" s="112">
        <v>0.8</v>
      </c>
      <c r="I28" s="112">
        <v>0</v>
      </c>
      <c r="J28" s="112">
        <v>0.8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</row>
    <row r="29" spans="1:52" customFormat="1" x14ac:dyDescent="0.15">
      <c r="A29" s="192" t="s">
        <v>219</v>
      </c>
      <c r="B29" s="112">
        <v>0.8</v>
      </c>
      <c r="C29" s="112">
        <v>0.8</v>
      </c>
      <c r="D29" s="112">
        <v>0.8</v>
      </c>
      <c r="E29" s="112">
        <v>0.8</v>
      </c>
      <c r="F29" s="112">
        <v>0</v>
      </c>
      <c r="G29" s="112">
        <v>0</v>
      </c>
      <c r="H29" s="112">
        <v>0.8</v>
      </c>
      <c r="I29" s="112">
        <v>0</v>
      </c>
      <c r="J29" s="112">
        <v>0.8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0.8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</row>
    <row r="30" spans="1:52" customFormat="1" x14ac:dyDescent="0.15">
      <c r="A30" s="192" t="s">
        <v>220</v>
      </c>
      <c r="B30" s="112">
        <v>0</v>
      </c>
      <c r="C30" s="112">
        <v>0.8</v>
      </c>
      <c r="D30" s="112">
        <v>0.8</v>
      </c>
      <c r="E30" s="112">
        <v>0</v>
      </c>
      <c r="F30" s="112">
        <v>0</v>
      </c>
      <c r="G30" s="112">
        <v>0</v>
      </c>
      <c r="H30" s="112">
        <v>0.8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0.8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</v>
      </c>
      <c r="AI30" s="112">
        <v>0.8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</row>
    <row r="31" spans="1:52" customFormat="1" x14ac:dyDescent="0.15">
      <c r="A31" s="192" t="s">
        <v>221</v>
      </c>
      <c r="B31" s="112">
        <v>0.8</v>
      </c>
      <c r="C31" s="112">
        <v>0.8</v>
      </c>
      <c r="D31" s="112">
        <v>0.8</v>
      </c>
      <c r="E31" s="112">
        <v>0.8</v>
      </c>
      <c r="F31" s="112">
        <v>0.8</v>
      </c>
      <c r="G31" s="112">
        <v>0</v>
      </c>
      <c r="H31" s="112">
        <v>0.8</v>
      </c>
      <c r="I31" s="112">
        <v>0</v>
      </c>
      <c r="J31" s="112">
        <v>0.8</v>
      </c>
      <c r="K31" s="112">
        <v>0.8</v>
      </c>
      <c r="L31" s="112">
        <v>0.8</v>
      </c>
      <c r="M31" s="112">
        <v>0.8</v>
      </c>
      <c r="N31" s="112">
        <v>0.8</v>
      </c>
      <c r="O31" s="112">
        <v>0.8</v>
      </c>
      <c r="P31" s="112">
        <v>0.8</v>
      </c>
      <c r="Q31" s="112">
        <v>0</v>
      </c>
      <c r="R31" s="112">
        <v>0</v>
      </c>
      <c r="S31" s="112">
        <v>0.8</v>
      </c>
      <c r="T31" s="112">
        <v>0.8</v>
      </c>
      <c r="U31" s="112">
        <v>0.8</v>
      </c>
      <c r="V31" s="112">
        <v>0.8</v>
      </c>
      <c r="W31" s="112">
        <v>0.8</v>
      </c>
      <c r="X31" s="112">
        <v>0.8</v>
      </c>
      <c r="Y31" s="112">
        <v>0.8</v>
      </c>
      <c r="Z31" s="112">
        <v>0.8</v>
      </c>
      <c r="AA31" s="112">
        <v>0.8</v>
      </c>
      <c r="AB31" s="112">
        <v>0.8</v>
      </c>
      <c r="AC31" s="112">
        <v>0.8</v>
      </c>
      <c r="AD31" s="112">
        <v>0.8</v>
      </c>
      <c r="AE31" s="112">
        <v>0.8</v>
      </c>
      <c r="AF31" s="112">
        <v>0</v>
      </c>
      <c r="AG31" s="112">
        <v>0.8</v>
      </c>
      <c r="AH31" s="112">
        <v>0</v>
      </c>
      <c r="AI31" s="112">
        <v>0.8</v>
      </c>
      <c r="AJ31" s="112">
        <v>0</v>
      </c>
      <c r="AK31" s="112">
        <v>0.8</v>
      </c>
      <c r="AL31" s="112">
        <v>0.8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</row>
    <row r="32" spans="1:52" customFormat="1" x14ac:dyDescent="0.15">
      <c r="A32" s="192" t="s">
        <v>222</v>
      </c>
      <c r="B32" s="112">
        <v>0</v>
      </c>
      <c r="C32" s="112">
        <v>0.8</v>
      </c>
      <c r="D32" s="112">
        <v>0.8</v>
      </c>
      <c r="E32" s="112">
        <v>0.8</v>
      </c>
      <c r="F32" s="112">
        <v>0</v>
      </c>
      <c r="G32" s="112">
        <v>0</v>
      </c>
      <c r="H32" s="112">
        <v>0.8</v>
      </c>
      <c r="I32" s="112">
        <v>0</v>
      </c>
      <c r="J32" s="112">
        <v>0.8</v>
      </c>
      <c r="K32" s="112">
        <v>0.8</v>
      </c>
      <c r="L32" s="112">
        <v>0.8</v>
      </c>
      <c r="M32" s="112">
        <v>0.8</v>
      </c>
      <c r="N32" s="112">
        <v>0</v>
      </c>
      <c r="O32" s="112">
        <v>0.8</v>
      </c>
      <c r="P32" s="112">
        <v>0.8</v>
      </c>
      <c r="Q32" s="112">
        <v>0</v>
      </c>
      <c r="R32" s="112">
        <v>0</v>
      </c>
      <c r="S32" s="112">
        <v>0.8</v>
      </c>
      <c r="T32" s="112">
        <v>0.8</v>
      </c>
      <c r="U32" s="112">
        <v>0.8</v>
      </c>
      <c r="V32" s="112">
        <v>0.8</v>
      </c>
      <c r="W32" s="112">
        <v>0.8</v>
      </c>
      <c r="X32" s="112">
        <v>0.8</v>
      </c>
      <c r="Y32" s="112">
        <v>0.8</v>
      </c>
      <c r="Z32" s="112">
        <v>0.8</v>
      </c>
      <c r="AA32" s="112">
        <v>0.8</v>
      </c>
      <c r="AB32" s="112">
        <v>0.8</v>
      </c>
      <c r="AC32" s="112">
        <v>0.8</v>
      </c>
      <c r="AD32" s="112">
        <v>0.8</v>
      </c>
      <c r="AE32" s="112">
        <v>0.8</v>
      </c>
      <c r="AF32" s="112">
        <v>0</v>
      </c>
      <c r="AG32" s="112">
        <v>0</v>
      </c>
      <c r="AH32" s="112">
        <v>0</v>
      </c>
      <c r="AI32" s="112">
        <v>0.8</v>
      </c>
      <c r="AJ32" s="112">
        <v>0</v>
      </c>
      <c r="AK32" s="112">
        <v>0</v>
      </c>
      <c r="AL32" s="112">
        <v>0.8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</row>
    <row r="33" spans="1:52" x14ac:dyDescent="0.15">
      <c r="A33" s="192" t="s">
        <v>223</v>
      </c>
      <c r="B33" s="112">
        <v>0</v>
      </c>
      <c r="C33" s="112">
        <v>0.8</v>
      </c>
      <c r="D33" s="112">
        <v>0.8</v>
      </c>
      <c r="E33" s="112">
        <v>0.8</v>
      </c>
      <c r="F33" s="112">
        <v>0.8</v>
      </c>
      <c r="G33" s="112">
        <v>0</v>
      </c>
      <c r="H33" s="112">
        <v>0.8</v>
      </c>
      <c r="I33" s="112">
        <v>0</v>
      </c>
      <c r="J33" s="112">
        <v>0.8</v>
      </c>
      <c r="K33" s="112">
        <v>0.8</v>
      </c>
      <c r="L33" s="112">
        <v>0.8</v>
      </c>
      <c r="M33" s="112">
        <v>0.8</v>
      </c>
      <c r="N33" s="112">
        <v>0.8</v>
      </c>
      <c r="O33" s="112">
        <v>0.8</v>
      </c>
      <c r="P33" s="112">
        <v>0</v>
      </c>
      <c r="Q33" s="112">
        <v>0</v>
      </c>
      <c r="R33" s="112">
        <v>0</v>
      </c>
      <c r="S33" s="112">
        <v>0.8</v>
      </c>
      <c r="T33" s="112">
        <v>0.8</v>
      </c>
      <c r="U33" s="112">
        <v>0</v>
      </c>
      <c r="V33" s="112">
        <v>0.8</v>
      </c>
      <c r="W33" s="112">
        <v>0</v>
      </c>
      <c r="X33" s="112">
        <v>0</v>
      </c>
      <c r="Y33" s="112">
        <v>0</v>
      </c>
      <c r="Z33" s="112">
        <v>0</v>
      </c>
      <c r="AA33" s="112">
        <v>0.8</v>
      </c>
      <c r="AB33" s="112">
        <v>0.8</v>
      </c>
      <c r="AC33" s="112">
        <v>0.8</v>
      </c>
      <c r="AD33" s="112">
        <v>0</v>
      </c>
      <c r="AE33" s="112">
        <v>0</v>
      </c>
      <c r="AF33" s="112">
        <v>0</v>
      </c>
      <c r="AG33" s="112">
        <v>0.8</v>
      </c>
      <c r="AH33" s="112">
        <v>0</v>
      </c>
      <c r="AI33" s="112">
        <v>0</v>
      </c>
      <c r="AJ33" s="112">
        <v>0</v>
      </c>
      <c r="AK33" s="112">
        <v>0</v>
      </c>
      <c r="AL33" s="112">
        <v>0.8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</row>
    <row r="34" spans="1:52" x14ac:dyDescent="0.15">
      <c r="A34" s="192" t="s">
        <v>224</v>
      </c>
      <c r="B34" s="112">
        <v>0</v>
      </c>
      <c r="C34" s="112">
        <v>0.8</v>
      </c>
      <c r="D34" s="112">
        <v>0.8</v>
      </c>
      <c r="E34" s="112">
        <v>0.8</v>
      </c>
      <c r="F34" s="112">
        <v>0.8</v>
      </c>
      <c r="G34" s="112">
        <v>0</v>
      </c>
      <c r="H34" s="112">
        <v>0.8</v>
      </c>
      <c r="I34" s="112">
        <v>0</v>
      </c>
      <c r="J34" s="112">
        <v>0.8</v>
      </c>
      <c r="K34" s="112">
        <v>0.8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0.8</v>
      </c>
      <c r="U34" s="112">
        <v>0</v>
      </c>
      <c r="V34" s="112">
        <v>0.8</v>
      </c>
      <c r="W34" s="112">
        <v>0</v>
      </c>
      <c r="X34" s="112">
        <v>0</v>
      </c>
      <c r="Y34" s="112">
        <v>0.8</v>
      </c>
      <c r="Z34" s="112">
        <v>0</v>
      </c>
      <c r="AA34" s="112">
        <v>0.8</v>
      </c>
      <c r="AB34" s="112">
        <v>0.8</v>
      </c>
      <c r="AC34" s="112">
        <v>0.8</v>
      </c>
      <c r="AD34" s="112">
        <v>0.8</v>
      </c>
      <c r="AE34" s="112">
        <v>0</v>
      </c>
      <c r="AF34" s="112">
        <v>0</v>
      </c>
      <c r="AG34" s="112">
        <v>0</v>
      </c>
      <c r="AH34" s="112">
        <v>0</v>
      </c>
      <c r="AI34" s="112">
        <v>0.8</v>
      </c>
      <c r="AJ34" s="112">
        <v>0</v>
      </c>
      <c r="AK34" s="112">
        <v>0</v>
      </c>
      <c r="AL34" s="112">
        <v>0.8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</row>
    <row r="35" spans="1:52" x14ac:dyDescent="0.15">
      <c r="A35" s="192" t="s">
        <v>225</v>
      </c>
      <c r="B35" s="112">
        <v>0</v>
      </c>
      <c r="C35" s="112">
        <v>0</v>
      </c>
      <c r="D35" s="112">
        <v>0.8</v>
      </c>
      <c r="E35" s="112">
        <v>0</v>
      </c>
      <c r="F35" s="112">
        <v>0.8</v>
      </c>
      <c r="G35" s="112">
        <v>0</v>
      </c>
      <c r="H35" s="112">
        <v>0.8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0.8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</row>
    <row r="36" spans="1:52" x14ac:dyDescent="0.15">
      <c r="A36" s="192" t="s">
        <v>226</v>
      </c>
      <c r="B36" s="112">
        <v>0</v>
      </c>
      <c r="C36" s="112">
        <v>0.8</v>
      </c>
      <c r="D36" s="112">
        <v>0.8</v>
      </c>
      <c r="E36" s="112">
        <v>0</v>
      </c>
      <c r="F36" s="112">
        <v>0.8</v>
      </c>
      <c r="G36" s="112">
        <v>0</v>
      </c>
      <c r="H36" s="112">
        <v>0.8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0.8</v>
      </c>
      <c r="U36" s="112">
        <v>0</v>
      </c>
      <c r="V36" s="112">
        <v>0</v>
      </c>
      <c r="W36" s="112">
        <v>0.8</v>
      </c>
      <c r="X36" s="112">
        <v>0.8</v>
      </c>
      <c r="Y36" s="112">
        <v>0.8</v>
      </c>
      <c r="Z36" s="112">
        <v>0.8</v>
      </c>
      <c r="AA36" s="112">
        <v>0.8</v>
      </c>
      <c r="AB36" s="112">
        <v>0.8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0.8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</row>
    <row r="37" spans="1:52" x14ac:dyDescent="0.15">
      <c r="A37" s="192" t="s">
        <v>227</v>
      </c>
      <c r="B37" s="112">
        <v>0</v>
      </c>
      <c r="C37" s="112">
        <v>0.8</v>
      </c>
      <c r="D37" s="112">
        <v>0.8</v>
      </c>
      <c r="E37" s="112">
        <v>0.8</v>
      </c>
      <c r="F37" s="112">
        <v>0</v>
      </c>
      <c r="G37" s="112">
        <v>0</v>
      </c>
      <c r="H37" s="112">
        <v>0.8</v>
      </c>
      <c r="I37" s="112">
        <v>0</v>
      </c>
      <c r="J37" s="112">
        <v>0.8</v>
      </c>
      <c r="K37" s="112">
        <v>0.8</v>
      </c>
      <c r="L37" s="112">
        <v>0</v>
      </c>
      <c r="M37" s="112">
        <v>0</v>
      </c>
      <c r="N37" s="112">
        <v>0.8</v>
      </c>
      <c r="O37" s="112">
        <v>0.8</v>
      </c>
      <c r="P37" s="112">
        <v>0</v>
      </c>
      <c r="Q37" s="112">
        <v>0</v>
      </c>
      <c r="R37" s="112">
        <v>0</v>
      </c>
      <c r="S37" s="112">
        <v>0.8</v>
      </c>
      <c r="T37" s="112">
        <v>0.8</v>
      </c>
      <c r="U37" s="112">
        <v>0.8</v>
      </c>
      <c r="V37" s="112">
        <v>0</v>
      </c>
      <c r="W37" s="112">
        <v>0.8</v>
      </c>
      <c r="X37" s="112">
        <v>0.8</v>
      </c>
      <c r="Y37" s="112">
        <v>0.8</v>
      </c>
      <c r="Z37" s="112">
        <v>0.8</v>
      </c>
      <c r="AA37" s="112">
        <v>0</v>
      </c>
      <c r="AB37" s="112">
        <v>0</v>
      </c>
      <c r="AC37" s="112">
        <v>0</v>
      </c>
      <c r="AD37" s="112">
        <v>0.8</v>
      </c>
      <c r="AE37" s="112">
        <v>0</v>
      </c>
      <c r="AF37" s="112">
        <v>0</v>
      </c>
      <c r="AG37" s="112">
        <v>0</v>
      </c>
      <c r="AH37" s="112">
        <v>0</v>
      </c>
      <c r="AI37" s="112">
        <v>0.8</v>
      </c>
      <c r="AJ37" s="112">
        <v>0</v>
      </c>
      <c r="AK37" s="112">
        <v>0.8</v>
      </c>
      <c r="AL37" s="112">
        <v>0.8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</row>
    <row r="38" spans="1:52" x14ac:dyDescent="0.15">
      <c r="A38" s="192" t="s">
        <v>228</v>
      </c>
      <c r="B38" s="112">
        <v>0</v>
      </c>
      <c r="C38" s="112">
        <v>0</v>
      </c>
      <c r="D38" s="112">
        <v>0.8</v>
      </c>
      <c r="E38" s="112">
        <v>0.8</v>
      </c>
      <c r="F38" s="112">
        <v>0.8</v>
      </c>
      <c r="G38" s="112">
        <v>0</v>
      </c>
      <c r="H38" s="112">
        <v>0.8</v>
      </c>
      <c r="I38" s="112">
        <v>0</v>
      </c>
      <c r="J38" s="112">
        <v>0.8</v>
      </c>
      <c r="K38" s="112">
        <v>0</v>
      </c>
      <c r="L38" s="112">
        <v>0</v>
      </c>
      <c r="M38" s="112">
        <v>0</v>
      </c>
      <c r="N38" s="112">
        <v>0.8</v>
      </c>
      <c r="O38" s="112">
        <v>0</v>
      </c>
      <c r="P38" s="112">
        <v>0</v>
      </c>
      <c r="Q38" s="112">
        <v>0</v>
      </c>
      <c r="R38" s="112">
        <v>0</v>
      </c>
      <c r="S38" s="112">
        <v>0.8</v>
      </c>
      <c r="T38" s="112">
        <v>0.8</v>
      </c>
      <c r="U38" s="112">
        <v>0</v>
      </c>
      <c r="V38" s="112">
        <v>0</v>
      </c>
      <c r="W38" s="112">
        <v>0.8</v>
      </c>
      <c r="X38" s="112">
        <v>0.8</v>
      </c>
      <c r="Y38" s="112">
        <v>0.8</v>
      </c>
      <c r="Z38" s="112">
        <v>0.8</v>
      </c>
      <c r="AA38" s="112">
        <v>0</v>
      </c>
      <c r="AB38" s="112">
        <v>0</v>
      </c>
      <c r="AC38" s="112">
        <v>0.8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0.8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</row>
    <row r="39" spans="1:52" x14ac:dyDescent="0.15">
      <c r="A39" s="192" t="s">
        <v>229</v>
      </c>
      <c r="B39" s="112">
        <v>0</v>
      </c>
      <c r="C39" s="112">
        <v>0.8</v>
      </c>
      <c r="D39" s="112">
        <v>0</v>
      </c>
      <c r="E39" s="112">
        <v>0.8</v>
      </c>
      <c r="F39" s="112">
        <v>0.8</v>
      </c>
      <c r="G39" s="112">
        <v>0</v>
      </c>
      <c r="H39" s="112">
        <v>0.8</v>
      </c>
      <c r="I39" s="112">
        <v>0</v>
      </c>
      <c r="J39" s="112">
        <v>0.8</v>
      </c>
      <c r="K39" s="112">
        <v>0.8</v>
      </c>
      <c r="L39" s="112">
        <v>0.8</v>
      </c>
      <c r="M39" s="112">
        <v>0.8</v>
      </c>
      <c r="N39" s="112">
        <v>0.8</v>
      </c>
      <c r="O39" s="112">
        <v>0.8</v>
      </c>
      <c r="P39" s="112">
        <v>0</v>
      </c>
      <c r="Q39" s="112">
        <v>0</v>
      </c>
      <c r="R39" s="112">
        <v>0</v>
      </c>
      <c r="S39" s="112">
        <v>0.8</v>
      </c>
      <c r="T39" s="112">
        <v>0.8</v>
      </c>
      <c r="U39" s="112">
        <v>0.8</v>
      </c>
      <c r="V39" s="112">
        <v>0</v>
      </c>
      <c r="W39" s="112">
        <v>0</v>
      </c>
      <c r="X39" s="112">
        <v>0</v>
      </c>
      <c r="Y39" s="112">
        <v>0.8</v>
      </c>
      <c r="Z39" s="112">
        <v>0.8</v>
      </c>
      <c r="AA39" s="112">
        <v>0</v>
      </c>
      <c r="AB39" s="112">
        <v>0.8</v>
      </c>
      <c r="AC39" s="112">
        <v>0.8</v>
      </c>
      <c r="AD39" s="112">
        <v>0.8</v>
      </c>
      <c r="AE39" s="112">
        <v>0</v>
      </c>
      <c r="AF39" s="112">
        <v>0</v>
      </c>
      <c r="AG39" s="112">
        <v>0</v>
      </c>
      <c r="AH39" s="112">
        <v>0</v>
      </c>
      <c r="AI39" s="112">
        <v>0.8</v>
      </c>
      <c r="AJ39" s="112">
        <v>0</v>
      </c>
      <c r="AK39" s="112">
        <v>0.8</v>
      </c>
      <c r="AL39" s="112">
        <v>0.8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</row>
    <row r="40" spans="1:52" x14ac:dyDescent="0.15">
      <c r="A40" s="192" t="s">
        <v>230</v>
      </c>
      <c r="B40" s="112">
        <v>0</v>
      </c>
      <c r="C40" s="112">
        <v>0</v>
      </c>
      <c r="D40" s="112">
        <v>0.8</v>
      </c>
      <c r="E40" s="112">
        <v>0.8</v>
      </c>
      <c r="F40" s="112">
        <v>0.8</v>
      </c>
      <c r="G40" s="112">
        <v>0</v>
      </c>
      <c r="H40" s="112">
        <v>0</v>
      </c>
      <c r="I40" s="112">
        <v>0</v>
      </c>
      <c r="J40" s="112">
        <v>0.8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</row>
    <row r="41" spans="1:52" x14ac:dyDescent="0.15">
      <c r="A41" s="192" t="s">
        <v>231</v>
      </c>
      <c r="B41" s="112">
        <v>0.8</v>
      </c>
      <c r="C41" s="112">
        <v>0</v>
      </c>
      <c r="D41" s="112">
        <v>0</v>
      </c>
      <c r="E41" s="112">
        <v>0.8</v>
      </c>
      <c r="F41" s="112">
        <v>0</v>
      </c>
      <c r="G41" s="112">
        <v>0</v>
      </c>
      <c r="H41" s="112">
        <v>0</v>
      </c>
      <c r="I41" s="112">
        <v>0</v>
      </c>
      <c r="J41" s="112">
        <v>0.8</v>
      </c>
      <c r="K41" s="112">
        <v>0.8</v>
      </c>
      <c r="L41" s="112">
        <v>0.8</v>
      </c>
      <c r="M41" s="112">
        <v>0.8</v>
      </c>
      <c r="N41" s="112">
        <v>0</v>
      </c>
      <c r="O41" s="112">
        <v>0</v>
      </c>
      <c r="P41" s="112">
        <v>0</v>
      </c>
      <c r="Q41" s="112">
        <v>0.8</v>
      </c>
      <c r="R41" s="112">
        <v>0.8</v>
      </c>
      <c r="S41" s="112">
        <v>0.8</v>
      </c>
      <c r="T41" s="112">
        <v>0</v>
      </c>
      <c r="U41" s="112">
        <v>0</v>
      </c>
      <c r="V41" s="112">
        <v>0</v>
      </c>
      <c r="W41" s="112">
        <v>0.8</v>
      </c>
      <c r="X41" s="112">
        <v>0.8</v>
      </c>
      <c r="Y41" s="112">
        <v>0.8</v>
      </c>
      <c r="Z41" s="112">
        <v>0.8</v>
      </c>
      <c r="AA41" s="112">
        <v>0.8</v>
      </c>
      <c r="AB41" s="112">
        <v>0</v>
      </c>
      <c r="AC41" s="112">
        <v>0.8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0.8</v>
      </c>
      <c r="AO41" s="112">
        <v>0</v>
      </c>
      <c r="AP41" s="112">
        <v>0.8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</row>
    <row r="42" spans="1:52" x14ac:dyDescent="0.15">
      <c r="A42" s="192" t="s">
        <v>232</v>
      </c>
      <c r="B42" s="112">
        <v>0.8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0.8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0.8</v>
      </c>
      <c r="T42" s="112">
        <v>0</v>
      </c>
      <c r="U42" s="112">
        <v>0</v>
      </c>
      <c r="V42" s="112">
        <v>0</v>
      </c>
      <c r="W42" s="112">
        <v>0.8</v>
      </c>
      <c r="X42" s="112">
        <v>0</v>
      </c>
      <c r="Y42" s="112">
        <v>0.8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</row>
    <row r="43" spans="1:52" x14ac:dyDescent="0.15">
      <c r="A43" s="192" t="s">
        <v>233</v>
      </c>
      <c r="B43" s="112">
        <v>0.8</v>
      </c>
      <c r="C43" s="112">
        <v>0</v>
      </c>
      <c r="D43" s="112">
        <v>0</v>
      </c>
      <c r="E43" s="112">
        <v>0.8</v>
      </c>
      <c r="F43" s="112">
        <v>0</v>
      </c>
      <c r="G43" s="112">
        <v>0</v>
      </c>
      <c r="H43" s="112">
        <v>0.8</v>
      </c>
      <c r="I43" s="112">
        <v>0</v>
      </c>
      <c r="J43" s="112">
        <v>0.8</v>
      </c>
      <c r="K43" s="112">
        <v>0.8</v>
      </c>
      <c r="L43" s="112">
        <v>0.8</v>
      </c>
      <c r="M43" s="112">
        <v>0.8</v>
      </c>
      <c r="N43" s="112">
        <v>0.8</v>
      </c>
      <c r="O43" s="112">
        <v>0.8</v>
      </c>
      <c r="P43" s="112">
        <v>0</v>
      </c>
      <c r="Q43" s="112">
        <v>0.8</v>
      </c>
      <c r="R43" s="112">
        <v>0</v>
      </c>
      <c r="S43" s="112">
        <v>0.8</v>
      </c>
      <c r="T43" s="112">
        <v>0.8</v>
      </c>
      <c r="U43" s="112">
        <v>0.8</v>
      </c>
      <c r="V43" s="112">
        <v>0</v>
      </c>
      <c r="W43" s="112">
        <v>0.8</v>
      </c>
      <c r="X43" s="112">
        <v>0.8</v>
      </c>
      <c r="Y43" s="112">
        <v>0.8</v>
      </c>
      <c r="Z43" s="112">
        <v>0.8</v>
      </c>
      <c r="AA43" s="112">
        <v>0.8</v>
      </c>
      <c r="AB43" s="112">
        <v>0.8</v>
      </c>
      <c r="AC43" s="112">
        <v>0.8</v>
      </c>
      <c r="AD43" s="112">
        <v>0.8</v>
      </c>
      <c r="AE43" s="112">
        <v>0</v>
      </c>
      <c r="AF43" s="112">
        <v>0</v>
      </c>
      <c r="AG43" s="112">
        <v>0</v>
      </c>
      <c r="AH43" s="112">
        <v>0</v>
      </c>
      <c r="AI43" s="112">
        <v>0.8</v>
      </c>
      <c r="AJ43" s="112">
        <v>0</v>
      </c>
      <c r="AK43" s="112">
        <v>0</v>
      </c>
      <c r="AL43" s="112">
        <v>0</v>
      </c>
      <c r="AM43" s="112">
        <v>0</v>
      </c>
      <c r="AN43" s="112">
        <v>0.8</v>
      </c>
      <c r="AO43" s="112">
        <v>0.8</v>
      </c>
      <c r="AP43" s="112">
        <v>0.8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</row>
    <row r="44" spans="1:52" x14ac:dyDescent="0.15">
      <c r="A44" s="192" t="s">
        <v>234</v>
      </c>
      <c r="B44" s="112">
        <v>0.8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0.8</v>
      </c>
      <c r="K44" s="112">
        <v>0.8</v>
      </c>
      <c r="L44" s="112">
        <v>0.8</v>
      </c>
      <c r="M44" s="112">
        <v>0.8</v>
      </c>
      <c r="N44" s="112">
        <v>0</v>
      </c>
      <c r="O44" s="112">
        <v>0.8</v>
      </c>
      <c r="P44" s="112">
        <v>0.8</v>
      </c>
      <c r="Q44" s="112">
        <v>0.8</v>
      </c>
      <c r="R44" s="112">
        <v>0.8</v>
      </c>
      <c r="S44" s="112">
        <v>0.8</v>
      </c>
      <c r="T44" s="112">
        <v>0</v>
      </c>
      <c r="U44" s="112">
        <v>0</v>
      </c>
      <c r="V44" s="112">
        <v>0</v>
      </c>
      <c r="W44" s="112">
        <v>0.8</v>
      </c>
      <c r="X44" s="112">
        <v>0.8</v>
      </c>
      <c r="Y44" s="112">
        <v>0.8</v>
      </c>
      <c r="Z44" s="112">
        <v>0.8</v>
      </c>
      <c r="AA44" s="112">
        <v>0.8</v>
      </c>
      <c r="AB44" s="112">
        <v>0.8</v>
      </c>
      <c r="AC44" s="112">
        <v>0.8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0.8</v>
      </c>
      <c r="AO44" s="112">
        <v>0.8</v>
      </c>
      <c r="AP44" s="112">
        <v>0.8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</row>
    <row r="45" spans="1:52" x14ac:dyDescent="0.15">
      <c r="A45" s="192" t="s">
        <v>235</v>
      </c>
      <c r="B45" s="112">
        <v>0.8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0.8</v>
      </c>
      <c r="K45" s="112">
        <v>0.8</v>
      </c>
      <c r="L45" s="112">
        <v>0.8</v>
      </c>
      <c r="M45" s="112">
        <v>0.8</v>
      </c>
      <c r="N45" s="112">
        <v>0</v>
      </c>
      <c r="O45" s="112">
        <v>0</v>
      </c>
      <c r="P45" s="112">
        <v>0.8</v>
      </c>
      <c r="Q45" s="112">
        <v>0.8</v>
      </c>
      <c r="R45" s="112">
        <v>0.8</v>
      </c>
      <c r="S45" s="112">
        <v>0.8</v>
      </c>
      <c r="T45" s="112">
        <v>0.8</v>
      </c>
      <c r="U45" s="112">
        <v>0</v>
      </c>
      <c r="V45" s="112">
        <v>0</v>
      </c>
      <c r="W45" s="112">
        <v>0.8</v>
      </c>
      <c r="X45" s="112">
        <v>0.8</v>
      </c>
      <c r="Y45" s="112">
        <v>0.8</v>
      </c>
      <c r="Z45" s="112">
        <v>0.8</v>
      </c>
      <c r="AA45" s="112">
        <v>0.8</v>
      </c>
      <c r="AB45" s="112">
        <v>0.8</v>
      </c>
      <c r="AC45" s="112">
        <v>0.8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0.8</v>
      </c>
      <c r="AJ45" s="112">
        <v>0</v>
      </c>
      <c r="AK45" s="112">
        <v>0</v>
      </c>
      <c r="AL45" s="112">
        <v>0</v>
      </c>
      <c r="AM45" s="112">
        <v>0</v>
      </c>
      <c r="AN45" s="112">
        <v>0.8</v>
      </c>
      <c r="AO45" s="112">
        <v>0.8</v>
      </c>
      <c r="AP45" s="112">
        <v>0.8</v>
      </c>
      <c r="AQ45" s="112">
        <v>0.8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</row>
    <row r="46" spans="1:52" x14ac:dyDescent="0.15">
      <c r="A46" s="192" t="s">
        <v>236</v>
      </c>
      <c r="B46" s="112">
        <v>0.8</v>
      </c>
      <c r="C46" s="112">
        <v>0</v>
      </c>
      <c r="D46" s="112">
        <v>0</v>
      </c>
      <c r="E46" s="112">
        <v>0</v>
      </c>
      <c r="F46" s="112">
        <v>0</v>
      </c>
      <c r="G46" s="112">
        <v>0.8</v>
      </c>
      <c r="H46" s="112">
        <v>0</v>
      </c>
      <c r="I46" s="112">
        <v>0</v>
      </c>
      <c r="J46" s="112">
        <v>0.8</v>
      </c>
      <c r="K46" s="112">
        <v>0.8</v>
      </c>
      <c r="L46" s="112">
        <v>0.8</v>
      </c>
      <c r="M46" s="112">
        <v>0.8</v>
      </c>
      <c r="N46" s="112">
        <v>0</v>
      </c>
      <c r="O46" s="112">
        <v>0</v>
      </c>
      <c r="P46" s="112">
        <v>0.8</v>
      </c>
      <c r="Q46" s="112">
        <v>0.8</v>
      </c>
      <c r="R46" s="112">
        <v>0.8</v>
      </c>
      <c r="S46" s="112">
        <v>0.8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0.8</v>
      </c>
      <c r="Z46" s="112">
        <v>0.8</v>
      </c>
      <c r="AA46" s="112">
        <v>0.8</v>
      </c>
      <c r="AB46" s="112">
        <v>0</v>
      </c>
      <c r="AC46" s="112">
        <v>0.8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</v>
      </c>
      <c r="AN46" s="112">
        <v>0.8</v>
      </c>
      <c r="AO46" s="112">
        <v>0.8</v>
      </c>
      <c r="AP46" s="112">
        <v>0.8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</row>
    <row r="47" spans="1:52" x14ac:dyDescent="0.15">
      <c r="A47" s="192" t="s">
        <v>237</v>
      </c>
      <c r="B47" s="112">
        <v>0.8</v>
      </c>
      <c r="C47" s="112">
        <v>0</v>
      </c>
      <c r="D47" s="112">
        <v>0</v>
      </c>
      <c r="E47" s="112">
        <v>0</v>
      </c>
      <c r="F47" s="112">
        <v>0</v>
      </c>
      <c r="G47" s="112">
        <v>0.8</v>
      </c>
      <c r="H47" s="112">
        <v>0</v>
      </c>
      <c r="I47" s="112">
        <v>0</v>
      </c>
      <c r="J47" s="112">
        <v>0.8</v>
      </c>
      <c r="K47" s="112">
        <v>0.8</v>
      </c>
      <c r="L47" s="112">
        <v>0.8</v>
      </c>
      <c r="M47" s="112">
        <v>0.8</v>
      </c>
      <c r="N47" s="112">
        <v>0.8</v>
      </c>
      <c r="O47" s="112">
        <v>0.8</v>
      </c>
      <c r="P47" s="112">
        <v>0.8</v>
      </c>
      <c r="Q47" s="112">
        <v>0.8</v>
      </c>
      <c r="R47" s="112">
        <v>0.8</v>
      </c>
      <c r="S47" s="112">
        <v>0.8</v>
      </c>
      <c r="T47" s="112">
        <v>0.8</v>
      </c>
      <c r="U47" s="112">
        <v>0</v>
      </c>
      <c r="V47" s="112">
        <v>0.8</v>
      </c>
      <c r="W47" s="112">
        <v>0.8</v>
      </c>
      <c r="X47" s="112">
        <v>0.8</v>
      </c>
      <c r="Y47" s="112">
        <v>0.8</v>
      </c>
      <c r="Z47" s="112">
        <v>0.8</v>
      </c>
      <c r="AA47" s="112">
        <v>0.8</v>
      </c>
      <c r="AB47" s="112">
        <v>0.8</v>
      </c>
      <c r="AC47" s="112">
        <v>0.8</v>
      </c>
      <c r="AD47" s="112">
        <v>0</v>
      </c>
      <c r="AE47" s="112">
        <v>0</v>
      </c>
      <c r="AF47" s="112">
        <v>0</v>
      </c>
      <c r="AG47" s="112">
        <v>0</v>
      </c>
      <c r="AH47" s="112">
        <v>0.8</v>
      </c>
      <c r="AI47" s="112">
        <v>0.8</v>
      </c>
      <c r="AJ47" s="112">
        <v>0</v>
      </c>
      <c r="AK47" s="112">
        <v>0</v>
      </c>
      <c r="AL47" s="112">
        <v>0</v>
      </c>
      <c r="AM47" s="112">
        <v>0</v>
      </c>
      <c r="AN47" s="112">
        <v>0.8</v>
      </c>
      <c r="AO47" s="112">
        <v>0.8</v>
      </c>
      <c r="AP47" s="112">
        <v>0.8</v>
      </c>
      <c r="AQ47" s="112">
        <v>0.8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</row>
    <row r="48" spans="1:52" x14ac:dyDescent="0.15">
      <c r="A48" s="192" t="s">
        <v>238</v>
      </c>
      <c r="B48" s="112">
        <v>0</v>
      </c>
      <c r="C48" s="112">
        <v>0.8</v>
      </c>
      <c r="D48" s="112">
        <v>0</v>
      </c>
      <c r="E48" s="112">
        <v>0.8</v>
      </c>
      <c r="F48" s="112">
        <v>0</v>
      </c>
      <c r="G48" s="112">
        <v>0</v>
      </c>
      <c r="H48" s="112">
        <v>0</v>
      </c>
      <c r="I48" s="112">
        <v>0.8</v>
      </c>
      <c r="J48" s="112">
        <v>0.8</v>
      </c>
      <c r="K48" s="112">
        <v>0.8</v>
      </c>
      <c r="L48" s="112">
        <v>0.8</v>
      </c>
      <c r="M48" s="112">
        <v>0.8</v>
      </c>
      <c r="N48" s="112">
        <v>0.8</v>
      </c>
      <c r="O48" s="112">
        <v>0.8</v>
      </c>
      <c r="P48" s="112">
        <v>0.8</v>
      </c>
      <c r="Q48" s="112">
        <v>0.8</v>
      </c>
      <c r="R48" s="112">
        <v>0</v>
      </c>
      <c r="S48" s="112">
        <v>0.8</v>
      </c>
      <c r="T48" s="112">
        <v>0.8</v>
      </c>
      <c r="U48" s="112">
        <v>0.8</v>
      </c>
      <c r="V48" s="112">
        <v>0.8</v>
      </c>
      <c r="W48" s="112">
        <v>0.8</v>
      </c>
      <c r="X48" s="112">
        <v>0.8</v>
      </c>
      <c r="Y48" s="112">
        <v>0.8</v>
      </c>
      <c r="Z48" s="112">
        <v>0.8</v>
      </c>
      <c r="AA48" s="112">
        <v>0.8</v>
      </c>
      <c r="AB48" s="112">
        <v>0.8</v>
      </c>
      <c r="AC48" s="112">
        <v>0.8</v>
      </c>
      <c r="AD48" s="112">
        <v>0.8</v>
      </c>
      <c r="AE48" s="112">
        <v>0.8</v>
      </c>
      <c r="AF48" s="112">
        <v>0.8</v>
      </c>
      <c r="AG48" s="112">
        <v>0.8</v>
      </c>
      <c r="AH48" s="112">
        <v>0.8</v>
      </c>
      <c r="AI48" s="112">
        <v>0.8</v>
      </c>
      <c r="AJ48" s="112">
        <v>0.8</v>
      </c>
      <c r="AK48" s="112">
        <v>0.8</v>
      </c>
      <c r="AL48" s="112">
        <v>0.8</v>
      </c>
      <c r="AM48" s="112">
        <v>0.8</v>
      </c>
      <c r="AN48" s="112">
        <v>0.8</v>
      </c>
      <c r="AO48" s="112">
        <v>0.8</v>
      </c>
      <c r="AP48" s="112">
        <v>0.8</v>
      </c>
      <c r="AQ48" s="112">
        <v>0.8</v>
      </c>
      <c r="AR48" s="112">
        <v>0</v>
      </c>
      <c r="AS48" s="112">
        <v>0</v>
      </c>
      <c r="AT48" s="112">
        <v>0</v>
      </c>
      <c r="AU48" s="112">
        <v>0</v>
      </c>
      <c r="AV48" s="112">
        <v>0.8</v>
      </c>
      <c r="AW48" s="112">
        <v>0</v>
      </c>
      <c r="AX48" s="112">
        <v>0</v>
      </c>
      <c r="AY48" s="112">
        <v>0</v>
      </c>
      <c r="AZ48" s="112">
        <v>0</v>
      </c>
    </row>
    <row r="49" spans="1:52" x14ac:dyDescent="0.15">
      <c r="A49" s="192" t="s">
        <v>239</v>
      </c>
      <c r="B49" s="112">
        <v>0.8</v>
      </c>
      <c r="C49" s="112">
        <v>0.8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0.8</v>
      </c>
      <c r="J49" s="112">
        <v>0</v>
      </c>
      <c r="K49" s="112">
        <v>0.8</v>
      </c>
      <c r="L49" s="112">
        <v>0</v>
      </c>
      <c r="M49" s="112">
        <v>0.8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0.8</v>
      </c>
      <c r="T49" s="112">
        <v>0</v>
      </c>
      <c r="U49" s="112">
        <v>0.8</v>
      </c>
      <c r="V49" s="112">
        <v>0</v>
      </c>
      <c r="W49" s="112">
        <v>0.8</v>
      </c>
      <c r="X49" s="112">
        <v>0.8</v>
      </c>
      <c r="Y49" s="112">
        <v>0.8</v>
      </c>
      <c r="Z49" s="112">
        <v>0.8</v>
      </c>
      <c r="AA49" s="112">
        <v>0.8</v>
      </c>
      <c r="AB49" s="112">
        <v>0.8</v>
      </c>
      <c r="AC49" s="112">
        <v>0</v>
      </c>
      <c r="AD49" s="112">
        <v>0</v>
      </c>
      <c r="AE49" s="112">
        <v>0.8</v>
      </c>
      <c r="AF49" s="112">
        <v>0.8</v>
      </c>
      <c r="AG49" s="112">
        <v>0.8</v>
      </c>
      <c r="AH49" s="112">
        <v>0.8</v>
      </c>
      <c r="AI49" s="112">
        <v>0.8</v>
      </c>
      <c r="AJ49" s="112">
        <v>0.8</v>
      </c>
      <c r="AK49" s="112">
        <v>0.8</v>
      </c>
      <c r="AL49" s="112">
        <v>0</v>
      </c>
      <c r="AM49" s="112">
        <v>0.8</v>
      </c>
      <c r="AN49" s="112">
        <v>0.8</v>
      </c>
      <c r="AO49" s="112">
        <v>0.8</v>
      </c>
      <c r="AP49" s="112">
        <v>0.8</v>
      </c>
      <c r="AQ49" s="112">
        <v>0.8</v>
      </c>
      <c r="AR49" s="112">
        <v>0</v>
      </c>
      <c r="AS49" s="112">
        <v>0</v>
      </c>
      <c r="AT49" s="112">
        <v>0</v>
      </c>
      <c r="AU49" s="112">
        <v>0</v>
      </c>
      <c r="AV49" s="112">
        <v>0.8</v>
      </c>
      <c r="AW49" s="112">
        <v>0</v>
      </c>
      <c r="AX49" s="112">
        <v>0</v>
      </c>
      <c r="AY49" s="112">
        <v>0</v>
      </c>
      <c r="AZ49" s="112">
        <v>0</v>
      </c>
    </row>
    <row r="50" spans="1:52" x14ac:dyDescent="0.15">
      <c r="A50" s="192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0.8</v>
      </c>
      <c r="AR50" s="112">
        <v>0</v>
      </c>
      <c r="AS50" s="112">
        <v>0</v>
      </c>
      <c r="AT50" s="112">
        <v>0</v>
      </c>
      <c r="AU50" s="112">
        <v>0</v>
      </c>
      <c r="AV50" s="112">
        <v>0.8</v>
      </c>
      <c r="AW50" s="112">
        <v>0.8</v>
      </c>
      <c r="AX50" s="112">
        <v>0</v>
      </c>
      <c r="AY50" s="112">
        <v>0</v>
      </c>
      <c r="AZ50" s="112">
        <v>0</v>
      </c>
    </row>
    <row r="51" spans="1:52" x14ac:dyDescent="0.15">
      <c r="A51" s="192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0.8</v>
      </c>
      <c r="AO51" s="112">
        <v>0.8</v>
      </c>
      <c r="AP51" s="112">
        <v>0.8</v>
      </c>
      <c r="AQ51" s="112">
        <v>0.8</v>
      </c>
      <c r="AR51" s="112">
        <v>0.8</v>
      </c>
      <c r="AS51" s="112">
        <v>0.8</v>
      </c>
      <c r="AT51" s="112">
        <v>0.8</v>
      </c>
      <c r="AU51" s="112">
        <v>0.8</v>
      </c>
      <c r="AV51" s="112">
        <v>0.8</v>
      </c>
      <c r="AW51" s="112">
        <v>0</v>
      </c>
      <c r="AX51" s="112">
        <v>0</v>
      </c>
      <c r="AY51" s="112">
        <v>0</v>
      </c>
      <c r="AZ51" s="112">
        <v>0</v>
      </c>
    </row>
    <row r="52" spans="1:52" x14ac:dyDescent="0.15">
      <c r="A52" s="192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</row>
    <row r="53" spans="1:52" x14ac:dyDescent="0.15">
      <c r="A53" s="192" t="s">
        <v>248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Z53"/>
  <sheetViews>
    <sheetView workbookViewId="0">
      <selection activeCell="A3" sqref="A3"/>
    </sheetView>
  </sheetViews>
  <sheetFormatPr baseColWidth="10" defaultRowHeight="13" x14ac:dyDescent="0.15"/>
  <cols>
    <col min="1" max="1" width="25" style="112" bestFit="1" customWidth="1"/>
    <col min="2" max="52" width="2.33203125" style="112" customWidth="1"/>
    <col min="53" max="16384" width="10.83203125" style="112"/>
  </cols>
  <sheetData>
    <row r="1" spans="1:52" x14ac:dyDescent="0.15">
      <c r="A1" s="63" t="s">
        <v>139</v>
      </c>
      <c r="B1" s="195" t="s">
        <v>192</v>
      </c>
      <c r="C1" s="195" t="s">
        <v>193</v>
      </c>
      <c r="D1" s="195" t="s">
        <v>194</v>
      </c>
      <c r="E1" s="195" t="s">
        <v>195</v>
      </c>
      <c r="F1" s="195" t="s">
        <v>196</v>
      </c>
      <c r="G1" s="195" t="s">
        <v>197</v>
      </c>
      <c r="H1" s="195" t="s">
        <v>198</v>
      </c>
      <c r="I1" s="195" t="s">
        <v>199</v>
      </c>
      <c r="J1" s="195" t="s">
        <v>200</v>
      </c>
      <c r="K1" s="195" t="s">
        <v>201</v>
      </c>
      <c r="L1" s="195" t="s">
        <v>202</v>
      </c>
      <c r="M1" s="195" t="s">
        <v>203</v>
      </c>
      <c r="N1" s="195" t="s">
        <v>204</v>
      </c>
      <c r="O1" s="195" t="s">
        <v>205</v>
      </c>
      <c r="P1" s="195" t="s">
        <v>206</v>
      </c>
      <c r="Q1" s="195" t="s">
        <v>207</v>
      </c>
      <c r="R1" s="195" t="s">
        <v>208</v>
      </c>
      <c r="S1" s="195" t="s">
        <v>209</v>
      </c>
      <c r="T1" s="195" t="s">
        <v>210</v>
      </c>
      <c r="U1" s="195" t="s">
        <v>211</v>
      </c>
      <c r="V1" s="195" t="s">
        <v>212</v>
      </c>
      <c r="W1" s="195" t="s">
        <v>213</v>
      </c>
      <c r="X1" s="195" t="s">
        <v>214</v>
      </c>
      <c r="Y1" s="195" t="s">
        <v>215</v>
      </c>
      <c r="Z1" s="195" t="s">
        <v>216</v>
      </c>
      <c r="AA1" s="195" t="s">
        <v>217</v>
      </c>
      <c r="AB1" s="195" t="s">
        <v>218</v>
      </c>
      <c r="AC1" s="195" t="s">
        <v>219</v>
      </c>
      <c r="AD1" s="195" t="s">
        <v>220</v>
      </c>
      <c r="AE1" s="195" t="s">
        <v>221</v>
      </c>
      <c r="AF1" s="195" t="s">
        <v>222</v>
      </c>
      <c r="AG1" s="195" t="s">
        <v>223</v>
      </c>
      <c r="AH1" s="195" t="s">
        <v>224</v>
      </c>
      <c r="AI1" s="195" t="s">
        <v>225</v>
      </c>
      <c r="AJ1" s="195" t="s">
        <v>226</v>
      </c>
      <c r="AK1" s="195" t="s">
        <v>227</v>
      </c>
      <c r="AL1" s="195" t="s">
        <v>228</v>
      </c>
      <c r="AM1" s="195" t="s">
        <v>229</v>
      </c>
      <c r="AN1" s="195" t="s">
        <v>230</v>
      </c>
      <c r="AO1" s="195" t="s">
        <v>231</v>
      </c>
      <c r="AP1" s="195" t="s">
        <v>232</v>
      </c>
      <c r="AQ1" s="195" t="s">
        <v>233</v>
      </c>
      <c r="AR1" s="195" t="s">
        <v>234</v>
      </c>
      <c r="AS1" s="195" t="s">
        <v>235</v>
      </c>
      <c r="AT1" s="195" t="s">
        <v>236</v>
      </c>
      <c r="AU1" s="195" t="s">
        <v>237</v>
      </c>
      <c r="AV1" s="195" t="s">
        <v>238</v>
      </c>
      <c r="AW1" s="195" t="s">
        <v>239</v>
      </c>
      <c r="AX1" s="195" t="s">
        <v>240</v>
      </c>
      <c r="AY1" s="195" t="s">
        <v>241</v>
      </c>
      <c r="AZ1" s="195" t="s">
        <v>242</v>
      </c>
    </row>
    <row r="2" spans="1:52" customFormat="1" x14ac:dyDescent="0.15">
      <c r="A2" s="194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</row>
    <row r="3" spans="1:52" customFormat="1" x14ac:dyDescent="0.15">
      <c r="A3" s="194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</row>
    <row r="4" spans="1:52" customFormat="1" x14ac:dyDescent="0.15">
      <c r="A4" s="194" t="s">
        <v>194</v>
      </c>
      <c r="B4" s="112">
        <v>1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</row>
    <row r="5" spans="1:52" customFormat="1" x14ac:dyDescent="0.15">
      <c r="A5" s="194" t="s">
        <v>195</v>
      </c>
      <c r="B5" s="112">
        <v>1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</row>
    <row r="6" spans="1:52" customFormat="1" x14ac:dyDescent="0.15">
      <c r="A6" s="194" t="s">
        <v>196</v>
      </c>
      <c r="B6" s="112">
        <v>1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</row>
    <row r="7" spans="1:52" customFormat="1" x14ac:dyDescent="0.15">
      <c r="A7" s="194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</row>
    <row r="8" spans="1:52" customFormat="1" x14ac:dyDescent="0.15">
      <c r="A8" s="194" t="s">
        <v>198</v>
      </c>
      <c r="B8" s="112">
        <v>0</v>
      </c>
      <c r="C8" s="112">
        <v>0</v>
      </c>
      <c r="D8" s="112">
        <v>0</v>
      </c>
      <c r="E8" s="112">
        <v>1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</row>
    <row r="9" spans="1:52" customFormat="1" x14ac:dyDescent="0.15">
      <c r="A9" s="194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</row>
    <row r="10" spans="1:52" customFormat="1" x14ac:dyDescent="0.15">
      <c r="A10" s="194" t="s">
        <v>200</v>
      </c>
      <c r="B10" s="112">
        <v>0</v>
      </c>
      <c r="C10" s="112">
        <v>0</v>
      </c>
      <c r="D10" s="112">
        <v>1</v>
      </c>
      <c r="E10" s="112">
        <v>1</v>
      </c>
      <c r="F10" s="112">
        <v>1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</row>
    <row r="11" spans="1:52" customFormat="1" x14ac:dyDescent="0.15">
      <c r="A11" s="194" t="s">
        <v>201</v>
      </c>
      <c r="B11" s="112">
        <v>0</v>
      </c>
      <c r="C11" s="112">
        <v>1</v>
      </c>
      <c r="D11" s="112">
        <v>1</v>
      </c>
      <c r="E11" s="112">
        <v>1</v>
      </c>
      <c r="F11" s="112">
        <v>1</v>
      </c>
      <c r="G11" s="112">
        <v>0</v>
      </c>
      <c r="H11" s="112">
        <v>1</v>
      </c>
      <c r="I11" s="112">
        <v>0</v>
      </c>
      <c r="J11" s="112">
        <v>1</v>
      </c>
      <c r="K11" s="112">
        <v>1</v>
      </c>
      <c r="L11" s="112">
        <v>1</v>
      </c>
      <c r="M11" s="112">
        <v>0</v>
      </c>
      <c r="N11" s="112">
        <v>1</v>
      </c>
      <c r="O11" s="112">
        <v>1</v>
      </c>
      <c r="P11" s="112">
        <v>0</v>
      </c>
      <c r="Q11" s="112">
        <v>0</v>
      </c>
      <c r="R11" s="112">
        <v>0</v>
      </c>
      <c r="S11" s="112">
        <v>1</v>
      </c>
      <c r="T11" s="112">
        <v>1</v>
      </c>
      <c r="U11" s="112">
        <v>1</v>
      </c>
      <c r="V11" s="112">
        <v>0</v>
      </c>
      <c r="W11" s="112">
        <v>1</v>
      </c>
      <c r="X11" s="112">
        <v>1</v>
      </c>
      <c r="Y11" s="112">
        <v>1</v>
      </c>
      <c r="Z11" s="112">
        <v>1</v>
      </c>
      <c r="AA11" s="112">
        <v>0</v>
      </c>
      <c r="AB11" s="112">
        <v>0</v>
      </c>
      <c r="AC11" s="112">
        <v>0</v>
      </c>
      <c r="AD11" s="112">
        <v>1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1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</row>
    <row r="12" spans="1:52" customFormat="1" x14ac:dyDescent="0.15">
      <c r="A12" s="194" t="s">
        <v>202</v>
      </c>
      <c r="B12" s="112">
        <v>0</v>
      </c>
      <c r="C12" s="112">
        <v>0</v>
      </c>
      <c r="D12" s="112">
        <v>0</v>
      </c>
      <c r="E12" s="112">
        <v>1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</row>
    <row r="13" spans="1:52" customFormat="1" x14ac:dyDescent="0.15">
      <c r="A13" s="194" t="s">
        <v>203</v>
      </c>
      <c r="B13" s="112">
        <v>1</v>
      </c>
      <c r="C13" s="112">
        <v>0</v>
      </c>
      <c r="D13" s="112">
        <v>1</v>
      </c>
      <c r="E13" s="112">
        <v>1</v>
      </c>
      <c r="F13" s="112">
        <v>0</v>
      </c>
      <c r="G13" s="112">
        <v>0</v>
      </c>
      <c r="H13" s="112">
        <v>0</v>
      </c>
      <c r="I13" s="112">
        <v>0</v>
      </c>
      <c r="J13" s="112">
        <v>1</v>
      </c>
      <c r="K13" s="112">
        <v>1</v>
      </c>
      <c r="L13" s="112">
        <v>1</v>
      </c>
      <c r="M13" s="112">
        <v>1</v>
      </c>
      <c r="N13" s="112">
        <v>1</v>
      </c>
      <c r="O13" s="112">
        <v>0</v>
      </c>
      <c r="P13" s="112">
        <v>0</v>
      </c>
      <c r="Q13" s="112">
        <v>0</v>
      </c>
      <c r="R13" s="112">
        <v>0</v>
      </c>
      <c r="S13" s="112">
        <v>1</v>
      </c>
      <c r="T13" s="112">
        <v>0</v>
      </c>
      <c r="U13" s="112">
        <v>0</v>
      </c>
      <c r="V13" s="112">
        <v>0</v>
      </c>
      <c r="W13" s="112">
        <v>1</v>
      </c>
      <c r="X13" s="112">
        <v>1</v>
      </c>
      <c r="Y13" s="112">
        <v>1</v>
      </c>
      <c r="Z13" s="112">
        <v>1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</row>
    <row r="14" spans="1:52" customFormat="1" x14ac:dyDescent="0.15">
      <c r="A14" s="194" t="s">
        <v>204</v>
      </c>
      <c r="B14" s="112">
        <v>0</v>
      </c>
      <c r="C14" s="112">
        <v>0</v>
      </c>
      <c r="D14" s="112">
        <v>0</v>
      </c>
      <c r="E14" s="112">
        <v>1</v>
      </c>
      <c r="F14" s="112">
        <v>1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</row>
    <row r="15" spans="1:52" customFormat="1" x14ac:dyDescent="0.15">
      <c r="A15" s="194" t="s">
        <v>205</v>
      </c>
      <c r="B15" s="112">
        <v>0</v>
      </c>
      <c r="C15" s="112">
        <v>0</v>
      </c>
      <c r="D15" s="112">
        <v>1</v>
      </c>
      <c r="E15" s="112">
        <v>1</v>
      </c>
      <c r="F15" s="112">
        <v>1</v>
      </c>
      <c r="G15" s="112">
        <v>0</v>
      </c>
      <c r="H15" s="112">
        <v>0</v>
      </c>
      <c r="I15" s="112">
        <v>0</v>
      </c>
      <c r="J15" s="112">
        <v>1</v>
      </c>
      <c r="K15" s="112">
        <v>1</v>
      </c>
      <c r="L15" s="112">
        <v>1</v>
      </c>
      <c r="M15" s="112">
        <v>0</v>
      </c>
      <c r="N15" s="112">
        <v>1</v>
      </c>
      <c r="O15" s="112">
        <v>1</v>
      </c>
      <c r="P15" s="112">
        <v>0</v>
      </c>
      <c r="Q15" s="112">
        <v>0</v>
      </c>
      <c r="R15" s="112">
        <v>0</v>
      </c>
      <c r="S15" s="112">
        <v>1</v>
      </c>
      <c r="T15" s="112">
        <v>1</v>
      </c>
      <c r="U15" s="112">
        <v>0</v>
      </c>
      <c r="V15" s="112">
        <v>0</v>
      </c>
      <c r="W15" s="112">
        <v>1</v>
      </c>
      <c r="X15" s="112">
        <v>1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1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</row>
    <row r="16" spans="1:52" customFormat="1" x14ac:dyDescent="0.15">
      <c r="A16" s="194" t="s">
        <v>206</v>
      </c>
      <c r="B16" s="112">
        <v>1</v>
      </c>
      <c r="C16" s="112">
        <v>0</v>
      </c>
      <c r="D16" s="112">
        <v>1</v>
      </c>
      <c r="E16" s="112">
        <v>1</v>
      </c>
      <c r="F16" s="112">
        <v>1</v>
      </c>
      <c r="G16" s="112">
        <v>0</v>
      </c>
      <c r="H16" s="112">
        <v>0</v>
      </c>
      <c r="I16" s="112">
        <v>0</v>
      </c>
      <c r="J16" s="112">
        <v>1</v>
      </c>
      <c r="K16" s="112">
        <v>0</v>
      </c>
      <c r="L16" s="112">
        <v>1</v>
      </c>
      <c r="M16" s="112">
        <v>1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1</v>
      </c>
      <c r="X16" s="112">
        <v>1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</row>
    <row r="17" spans="1:52" customFormat="1" x14ac:dyDescent="0.15">
      <c r="A17" s="194" t="s">
        <v>207</v>
      </c>
      <c r="B17" s="112">
        <v>1</v>
      </c>
      <c r="C17" s="112">
        <v>0</v>
      </c>
      <c r="D17" s="112">
        <v>1</v>
      </c>
      <c r="E17" s="112">
        <v>1</v>
      </c>
      <c r="F17" s="112">
        <v>1</v>
      </c>
      <c r="G17" s="112">
        <v>0</v>
      </c>
      <c r="H17" s="112">
        <v>0</v>
      </c>
      <c r="I17" s="112">
        <v>0</v>
      </c>
      <c r="J17" s="112">
        <v>1</v>
      </c>
      <c r="K17" s="112">
        <v>0</v>
      </c>
      <c r="L17" s="112">
        <v>1</v>
      </c>
      <c r="M17" s="112">
        <v>0</v>
      </c>
      <c r="N17" s="112">
        <v>1</v>
      </c>
      <c r="O17" s="112">
        <v>0</v>
      </c>
      <c r="P17" s="112">
        <v>0</v>
      </c>
      <c r="Q17" s="112">
        <v>0</v>
      </c>
      <c r="R17" s="112">
        <v>0</v>
      </c>
      <c r="S17" s="112">
        <v>1</v>
      </c>
      <c r="T17" s="112">
        <v>0</v>
      </c>
      <c r="U17" s="112">
        <v>0</v>
      </c>
      <c r="V17" s="112">
        <v>0</v>
      </c>
      <c r="W17" s="112">
        <v>1</v>
      </c>
      <c r="X17" s="112">
        <v>1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</row>
    <row r="18" spans="1:52" customFormat="1" x14ac:dyDescent="0.15">
      <c r="A18" s="194" t="s">
        <v>208</v>
      </c>
      <c r="B18" s="112">
        <v>1</v>
      </c>
      <c r="C18" s="112">
        <v>0</v>
      </c>
      <c r="D18" s="112">
        <v>1</v>
      </c>
      <c r="E18" s="112">
        <v>1</v>
      </c>
      <c r="F18" s="112">
        <v>1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</row>
    <row r="19" spans="1:52" customFormat="1" x14ac:dyDescent="0.15">
      <c r="A19" s="194" t="s">
        <v>209</v>
      </c>
      <c r="B19" s="112">
        <v>0</v>
      </c>
      <c r="C19" s="112">
        <v>0</v>
      </c>
      <c r="D19" s="112">
        <v>1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1</v>
      </c>
      <c r="K19" s="112">
        <v>0</v>
      </c>
      <c r="L19" s="112">
        <v>0</v>
      </c>
      <c r="M19" s="112">
        <v>0</v>
      </c>
      <c r="N19" s="112">
        <v>1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1</v>
      </c>
      <c r="X19" s="112">
        <v>1</v>
      </c>
      <c r="Y19" s="112">
        <v>1</v>
      </c>
      <c r="Z19" s="112">
        <v>1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</row>
    <row r="20" spans="1:52" customFormat="1" x14ac:dyDescent="0.15">
      <c r="A20" s="194" t="s">
        <v>210</v>
      </c>
      <c r="B20" s="112">
        <v>0</v>
      </c>
      <c r="C20" s="112">
        <v>1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</row>
    <row r="21" spans="1:52" customFormat="1" x14ac:dyDescent="0.15">
      <c r="A21" s="194" t="s">
        <v>211</v>
      </c>
      <c r="B21" s="112">
        <v>0</v>
      </c>
      <c r="C21" s="112">
        <v>0</v>
      </c>
      <c r="D21" s="112">
        <v>1</v>
      </c>
      <c r="E21" s="112">
        <v>1</v>
      </c>
      <c r="F21" s="112">
        <v>1</v>
      </c>
      <c r="G21" s="112">
        <v>0</v>
      </c>
      <c r="H21" s="112">
        <v>0</v>
      </c>
      <c r="I21" s="112">
        <v>0</v>
      </c>
      <c r="J21" s="112">
        <v>1</v>
      </c>
      <c r="K21" s="112">
        <v>1</v>
      </c>
      <c r="L21" s="112">
        <v>0</v>
      </c>
      <c r="M21" s="112">
        <v>1</v>
      </c>
      <c r="N21" s="112">
        <v>1</v>
      </c>
      <c r="O21" s="112">
        <v>0</v>
      </c>
      <c r="P21" s="112">
        <v>0</v>
      </c>
      <c r="Q21" s="112">
        <v>0</v>
      </c>
      <c r="R21" s="112">
        <v>0</v>
      </c>
      <c r="S21" s="112">
        <v>1</v>
      </c>
      <c r="T21" s="112">
        <v>1</v>
      </c>
      <c r="U21" s="112">
        <v>1</v>
      </c>
      <c r="V21" s="112">
        <v>0</v>
      </c>
      <c r="W21" s="112">
        <v>1</v>
      </c>
      <c r="X21" s="112">
        <v>1</v>
      </c>
      <c r="Y21" s="112">
        <v>1</v>
      </c>
      <c r="Z21" s="112">
        <v>1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1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</row>
    <row r="22" spans="1:52" customFormat="1" x14ac:dyDescent="0.15">
      <c r="A22" s="194" t="s">
        <v>212</v>
      </c>
      <c r="B22" s="112">
        <v>0</v>
      </c>
      <c r="C22" s="112">
        <v>0</v>
      </c>
      <c r="D22" s="112">
        <v>1</v>
      </c>
      <c r="E22" s="112">
        <v>0</v>
      </c>
      <c r="F22" s="112">
        <v>0</v>
      </c>
      <c r="G22" s="112">
        <v>0</v>
      </c>
      <c r="H22" s="112">
        <v>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</row>
    <row r="23" spans="1:52" customFormat="1" x14ac:dyDescent="0.15">
      <c r="A23" s="194" t="s">
        <v>213</v>
      </c>
      <c r="B23" s="112">
        <v>0</v>
      </c>
      <c r="C23" s="112">
        <v>1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</row>
    <row r="24" spans="1:52" customFormat="1" x14ac:dyDescent="0.15">
      <c r="A24" s="194" t="s">
        <v>214</v>
      </c>
      <c r="B24" s="112">
        <v>1</v>
      </c>
      <c r="C24" s="112">
        <v>1</v>
      </c>
      <c r="D24" s="112">
        <v>1</v>
      </c>
      <c r="E24" s="112">
        <v>0</v>
      </c>
      <c r="F24" s="112">
        <v>0</v>
      </c>
      <c r="G24" s="112">
        <v>0</v>
      </c>
      <c r="H24" s="112">
        <v>1</v>
      </c>
      <c r="I24" s="112">
        <v>0</v>
      </c>
      <c r="J24" s="112">
        <v>1</v>
      </c>
      <c r="K24" s="112">
        <v>1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1</v>
      </c>
      <c r="T24" s="112">
        <v>1</v>
      </c>
      <c r="U24" s="112">
        <v>0</v>
      </c>
      <c r="V24" s="112">
        <v>0</v>
      </c>
      <c r="W24" s="112">
        <v>1</v>
      </c>
      <c r="X24" s="112">
        <v>1</v>
      </c>
      <c r="Y24" s="112">
        <v>1</v>
      </c>
      <c r="Z24" s="112">
        <v>1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1</v>
      </c>
      <c r="AJ24" s="112">
        <v>0</v>
      </c>
      <c r="AK24" s="112">
        <v>0</v>
      </c>
      <c r="AL24" s="112">
        <v>1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</row>
    <row r="25" spans="1:52" customFormat="1" x14ac:dyDescent="0.15">
      <c r="A25" s="194" t="s">
        <v>215</v>
      </c>
      <c r="B25" s="112">
        <v>0</v>
      </c>
      <c r="C25" s="112">
        <v>1</v>
      </c>
      <c r="D25" s="112">
        <v>0</v>
      </c>
      <c r="E25" s="112">
        <v>1</v>
      </c>
      <c r="F25" s="112">
        <v>1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</row>
    <row r="26" spans="1:52" customFormat="1" x14ac:dyDescent="0.15">
      <c r="A26" s="194" t="s">
        <v>216</v>
      </c>
      <c r="B26" s="112">
        <v>1</v>
      </c>
      <c r="C26" s="112">
        <v>1</v>
      </c>
      <c r="D26" s="112">
        <v>1</v>
      </c>
      <c r="E26" s="112">
        <v>1</v>
      </c>
      <c r="F26" s="112">
        <v>1</v>
      </c>
      <c r="G26" s="112">
        <v>0</v>
      </c>
      <c r="H26" s="112">
        <v>1</v>
      </c>
      <c r="I26" s="112">
        <v>0</v>
      </c>
      <c r="J26" s="112">
        <v>1</v>
      </c>
      <c r="K26" s="112">
        <v>1</v>
      </c>
      <c r="L26" s="112">
        <v>1</v>
      </c>
      <c r="M26" s="112">
        <v>1</v>
      </c>
      <c r="N26" s="112">
        <v>1</v>
      </c>
      <c r="O26" s="112">
        <v>1</v>
      </c>
      <c r="P26" s="112">
        <v>0</v>
      </c>
      <c r="Q26" s="112">
        <v>0</v>
      </c>
      <c r="R26" s="112">
        <v>0</v>
      </c>
      <c r="S26" s="112">
        <v>1</v>
      </c>
      <c r="T26" s="112">
        <v>1</v>
      </c>
      <c r="U26" s="112">
        <v>1</v>
      </c>
      <c r="V26" s="112">
        <v>0</v>
      </c>
      <c r="W26" s="112">
        <v>1</v>
      </c>
      <c r="X26" s="112">
        <v>1</v>
      </c>
      <c r="Y26" s="112">
        <v>1</v>
      </c>
      <c r="Z26" s="112">
        <v>1</v>
      </c>
      <c r="AA26" s="112">
        <v>1</v>
      </c>
      <c r="AB26" s="112">
        <v>0</v>
      </c>
      <c r="AC26" s="112">
        <v>1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1</v>
      </c>
      <c r="AJ26" s="112">
        <v>0</v>
      </c>
      <c r="AK26" s="112">
        <v>0</v>
      </c>
      <c r="AL26" s="112">
        <v>1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</row>
    <row r="27" spans="1:52" customFormat="1" x14ac:dyDescent="0.15">
      <c r="A27" s="194" t="s">
        <v>217</v>
      </c>
      <c r="B27" s="112">
        <v>1</v>
      </c>
      <c r="C27" s="112">
        <v>0</v>
      </c>
      <c r="D27" s="112">
        <v>1</v>
      </c>
      <c r="E27" s="112">
        <v>1</v>
      </c>
      <c r="F27" s="112">
        <v>0</v>
      </c>
      <c r="G27" s="112">
        <v>0</v>
      </c>
      <c r="H27" s="112">
        <v>1</v>
      </c>
      <c r="I27" s="112">
        <v>0</v>
      </c>
      <c r="J27" s="112">
        <v>1</v>
      </c>
      <c r="K27" s="112">
        <v>1</v>
      </c>
      <c r="L27" s="112">
        <v>1</v>
      </c>
      <c r="M27" s="112">
        <v>1</v>
      </c>
      <c r="N27" s="112">
        <v>1</v>
      </c>
      <c r="O27" s="112">
        <v>1</v>
      </c>
      <c r="P27" s="112">
        <v>0</v>
      </c>
      <c r="Q27" s="112">
        <v>1</v>
      </c>
      <c r="R27" s="112">
        <v>1</v>
      </c>
      <c r="S27" s="112">
        <v>1</v>
      </c>
      <c r="T27" s="112">
        <v>1</v>
      </c>
      <c r="U27" s="112">
        <v>0</v>
      </c>
      <c r="V27" s="112">
        <v>0</v>
      </c>
      <c r="W27" s="112">
        <v>1</v>
      </c>
      <c r="X27" s="112">
        <v>1</v>
      </c>
      <c r="Y27" s="112">
        <v>1</v>
      </c>
      <c r="Z27" s="112">
        <v>1</v>
      </c>
      <c r="AA27" s="112">
        <v>1</v>
      </c>
      <c r="AB27" s="112">
        <v>0</v>
      </c>
      <c r="AC27" s="112">
        <v>1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1</v>
      </c>
      <c r="AJ27" s="112">
        <v>0</v>
      </c>
      <c r="AK27" s="112">
        <v>0</v>
      </c>
      <c r="AL27" s="112">
        <v>1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</row>
    <row r="28" spans="1:52" customFormat="1" x14ac:dyDescent="0.15">
      <c r="A28" s="194" t="s">
        <v>218</v>
      </c>
      <c r="B28" s="112">
        <v>0</v>
      </c>
      <c r="C28" s="112">
        <v>1</v>
      </c>
      <c r="D28" s="112">
        <v>1</v>
      </c>
      <c r="E28" s="112">
        <v>0</v>
      </c>
      <c r="F28" s="112">
        <v>0</v>
      </c>
      <c r="G28" s="112">
        <v>0</v>
      </c>
      <c r="H28" s="112">
        <v>1</v>
      </c>
      <c r="I28" s="112">
        <v>0</v>
      </c>
      <c r="J28" s="112">
        <v>1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</row>
    <row r="29" spans="1:52" customFormat="1" x14ac:dyDescent="0.15">
      <c r="A29" s="194" t="s">
        <v>219</v>
      </c>
      <c r="B29" s="112">
        <v>1</v>
      </c>
      <c r="C29" s="112">
        <v>1</v>
      </c>
      <c r="D29" s="112">
        <v>1</v>
      </c>
      <c r="E29" s="112">
        <v>1</v>
      </c>
      <c r="F29" s="112">
        <v>0</v>
      </c>
      <c r="G29" s="112">
        <v>0</v>
      </c>
      <c r="H29" s="112">
        <v>1</v>
      </c>
      <c r="I29" s="112">
        <v>0</v>
      </c>
      <c r="J29" s="112">
        <v>1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1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</row>
    <row r="30" spans="1:52" customFormat="1" x14ac:dyDescent="0.15">
      <c r="A30" s="194" t="s">
        <v>220</v>
      </c>
      <c r="B30" s="112">
        <v>0</v>
      </c>
      <c r="C30" s="112">
        <v>1</v>
      </c>
      <c r="D30" s="112">
        <v>1</v>
      </c>
      <c r="E30" s="112">
        <v>0</v>
      </c>
      <c r="F30" s="112">
        <v>0</v>
      </c>
      <c r="G30" s="112">
        <v>0</v>
      </c>
      <c r="H30" s="112">
        <v>1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1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</v>
      </c>
      <c r="AI30" s="112">
        <v>1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</row>
    <row r="31" spans="1:52" customFormat="1" x14ac:dyDescent="0.15">
      <c r="A31" s="194" t="s">
        <v>221</v>
      </c>
      <c r="B31" s="112">
        <v>1</v>
      </c>
      <c r="C31" s="112">
        <v>1</v>
      </c>
      <c r="D31" s="112">
        <v>1</v>
      </c>
      <c r="E31" s="112">
        <v>1</v>
      </c>
      <c r="F31" s="112">
        <v>1</v>
      </c>
      <c r="G31" s="112">
        <v>0</v>
      </c>
      <c r="H31" s="112">
        <v>1</v>
      </c>
      <c r="I31" s="112">
        <v>0</v>
      </c>
      <c r="J31" s="112">
        <v>1</v>
      </c>
      <c r="K31" s="112">
        <v>1</v>
      </c>
      <c r="L31" s="112">
        <v>1</v>
      </c>
      <c r="M31" s="112">
        <v>1</v>
      </c>
      <c r="N31" s="112">
        <v>1</v>
      </c>
      <c r="O31" s="112">
        <v>1</v>
      </c>
      <c r="P31" s="112">
        <v>1</v>
      </c>
      <c r="Q31" s="112">
        <v>0</v>
      </c>
      <c r="R31" s="112">
        <v>0</v>
      </c>
      <c r="S31" s="112">
        <v>1</v>
      </c>
      <c r="T31" s="112">
        <v>1</v>
      </c>
      <c r="U31" s="112">
        <v>1</v>
      </c>
      <c r="V31" s="112">
        <v>1</v>
      </c>
      <c r="W31" s="112">
        <v>1</v>
      </c>
      <c r="X31" s="112">
        <v>1</v>
      </c>
      <c r="Y31" s="112">
        <v>1</v>
      </c>
      <c r="Z31" s="112">
        <v>1</v>
      </c>
      <c r="AA31" s="112">
        <v>1</v>
      </c>
      <c r="AB31" s="112">
        <v>1</v>
      </c>
      <c r="AC31" s="112">
        <v>1</v>
      </c>
      <c r="AD31" s="112">
        <v>1</v>
      </c>
      <c r="AE31" s="112">
        <v>1</v>
      </c>
      <c r="AF31" s="112">
        <v>0</v>
      </c>
      <c r="AG31" s="112">
        <v>1</v>
      </c>
      <c r="AH31" s="112">
        <v>0</v>
      </c>
      <c r="AI31" s="112">
        <v>1</v>
      </c>
      <c r="AJ31" s="112">
        <v>0</v>
      </c>
      <c r="AK31" s="112">
        <v>1</v>
      </c>
      <c r="AL31" s="112">
        <v>1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</row>
    <row r="32" spans="1:52" x14ac:dyDescent="0.15">
      <c r="A32" s="194" t="s">
        <v>222</v>
      </c>
      <c r="B32" s="112">
        <v>0</v>
      </c>
      <c r="C32" s="112">
        <v>1</v>
      </c>
      <c r="D32" s="112">
        <v>1</v>
      </c>
      <c r="E32" s="112">
        <v>1</v>
      </c>
      <c r="F32" s="112">
        <v>0</v>
      </c>
      <c r="G32" s="112">
        <v>0</v>
      </c>
      <c r="H32" s="112">
        <v>1</v>
      </c>
      <c r="I32" s="112">
        <v>0</v>
      </c>
      <c r="J32" s="112">
        <v>1</v>
      </c>
      <c r="K32" s="112">
        <v>1</v>
      </c>
      <c r="L32" s="112">
        <v>1</v>
      </c>
      <c r="M32" s="112">
        <v>1</v>
      </c>
      <c r="N32" s="112">
        <v>0</v>
      </c>
      <c r="O32" s="112">
        <v>1</v>
      </c>
      <c r="P32" s="112">
        <v>1</v>
      </c>
      <c r="Q32" s="112">
        <v>0</v>
      </c>
      <c r="R32" s="112">
        <v>0</v>
      </c>
      <c r="S32" s="112">
        <v>1</v>
      </c>
      <c r="T32" s="112">
        <v>1</v>
      </c>
      <c r="U32" s="112">
        <v>1</v>
      </c>
      <c r="V32" s="112">
        <v>1</v>
      </c>
      <c r="W32" s="112">
        <v>1</v>
      </c>
      <c r="X32" s="112">
        <v>1</v>
      </c>
      <c r="Y32" s="112">
        <v>1</v>
      </c>
      <c r="Z32" s="112">
        <v>1</v>
      </c>
      <c r="AA32" s="112">
        <v>1</v>
      </c>
      <c r="AB32" s="112">
        <v>1</v>
      </c>
      <c r="AC32" s="112">
        <v>1</v>
      </c>
      <c r="AD32" s="112">
        <v>1</v>
      </c>
      <c r="AE32" s="112">
        <v>1</v>
      </c>
      <c r="AF32" s="112">
        <v>0</v>
      </c>
      <c r="AG32" s="112">
        <v>0</v>
      </c>
      <c r="AH32" s="112">
        <v>0</v>
      </c>
      <c r="AI32" s="112">
        <v>1</v>
      </c>
      <c r="AJ32" s="112">
        <v>0</v>
      </c>
      <c r="AK32" s="112">
        <v>0</v>
      </c>
      <c r="AL32" s="112">
        <v>1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</row>
    <row r="33" spans="1:52" x14ac:dyDescent="0.15">
      <c r="A33" s="194" t="s">
        <v>223</v>
      </c>
      <c r="B33" s="112">
        <v>0</v>
      </c>
      <c r="C33" s="112">
        <v>1</v>
      </c>
      <c r="D33" s="112">
        <v>1</v>
      </c>
      <c r="E33" s="112">
        <v>1</v>
      </c>
      <c r="F33" s="112">
        <v>1</v>
      </c>
      <c r="G33" s="112">
        <v>0</v>
      </c>
      <c r="H33" s="112">
        <v>1</v>
      </c>
      <c r="I33" s="112">
        <v>0</v>
      </c>
      <c r="J33" s="112">
        <v>1</v>
      </c>
      <c r="K33" s="112">
        <v>1</v>
      </c>
      <c r="L33" s="112">
        <v>1</v>
      </c>
      <c r="M33" s="112">
        <v>1</v>
      </c>
      <c r="N33" s="112">
        <v>1</v>
      </c>
      <c r="O33" s="112">
        <v>1</v>
      </c>
      <c r="P33" s="112">
        <v>0</v>
      </c>
      <c r="Q33" s="112">
        <v>0</v>
      </c>
      <c r="R33" s="112">
        <v>0</v>
      </c>
      <c r="S33" s="112">
        <v>1</v>
      </c>
      <c r="T33" s="112">
        <v>1</v>
      </c>
      <c r="U33" s="112">
        <v>0</v>
      </c>
      <c r="V33" s="112">
        <v>1</v>
      </c>
      <c r="W33" s="112">
        <v>0</v>
      </c>
      <c r="X33" s="112">
        <v>0</v>
      </c>
      <c r="Y33" s="112">
        <v>0</v>
      </c>
      <c r="Z33" s="112">
        <v>0</v>
      </c>
      <c r="AA33" s="112">
        <v>1</v>
      </c>
      <c r="AB33" s="112">
        <v>1</v>
      </c>
      <c r="AC33" s="112">
        <v>1</v>
      </c>
      <c r="AD33" s="112">
        <v>0</v>
      </c>
      <c r="AE33" s="112">
        <v>0</v>
      </c>
      <c r="AF33" s="112">
        <v>0</v>
      </c>
      <c r="AG33" s="112">
        <v>1</v>
      </c>
      <c r="AH33" s="112">
        <v>0</v>
      </c>
      <c r="AI33" s="112">
        <v>0</v>
      </c>
      <c r="AJ33" s="112">
        <v>0</v>
      </c>
      <c r="AK33" s="112">
        <v>0</v>
      </c>
      <c r="AL33" s="112">
        <v>1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</row>
    <row r="34" spans="1:52" x14ac:dyDescent="0.15">
      <c r="A34" s="194" t="s">
        <v>224</v>
      </c>
      <c r="B34" s="112">
        <v>0</v>
      </c>
      <c r="C34" s="112">
        <v>1</v>
      </c>
      <c r="D34" s="112">
        <v>1</v>
      </c>
      <c r="E34" s="112">
        <v>1</v>
      </c>
      <c r="F34" s="112">
        <v>1</v>
      </c>
      <c r="G34" s="112">
        <v>0</v>
      </c>
      <c r="H34" s="112">
        <v>1</v>
      </c>
      <c r="I34" s="112">
        <v>0</v>
      </c>
      <c r="J34" s="112">
        <v>1</v>
      </c>
      <c r="K34" s="112">
        <v>1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1</v>
      </c>
      <c r="U34" s="112">
        <v>0</v>
      </c>
      <c r="V34" s="112">
        <v>1</v>
      </c>
      <c r="W34" s="112">
        <v>0</v>
      </c>
      <c r="X34" s="112">
        <v>0</v>
      </c>
      <c r="Y34" s="112">
        <v>1</v>
      </c>
      <c r="Z34" s="112">
        <v>0</v>
      </c>
      <c r="AA34" s="112">
        <v>1</v>
      </c>
      <c r="AB34" s="112">
        <v>1</v>
      </c>
      <c r="AC34" s="112">
        <v>1</v>
      </c>
      <c r="AD34" s="112">
        <v>1</v>
      </c>
      <c r="AE34" s="112">
        <v>0</v>
      </c>
      <c r="AF34" s="112">
        <v>0</v>
      </c>
      <c r="AG34" s="112">
        <v>0</v>
      </c>
      <c r="AH34" s="112">
        <v>0</v>
      </c>
      <c r="AI34" s="112">
        <v>1</v>
      </c>
      <c r="AJ34" s="112">
        <v>0</v>
      </c>
      <c r="AK34" s="112">
        <v>0</v>
      </c>
      <c r="AL34" s="112">
        <v>1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</row>
    <row r="35" spans="1:52" x14ac:dyDescent="0.15">
      <c r="A35" s="194" t="s">
        <v>225</v>
      </c>
      <c r="B35" s="112">
        <v>0</v>
      </c>
      <c r="C35" s="112">
        <v>0</v>
      </c>
      <c r="D35" s="112">
        <v>1</v>
      </c>
      <c r="E35" s="112">
        <v>0</v>
      </c>
      <c r="F35" s="112">
        <v>1</v>
      </c>
      <c r="G35" s="112">
        <v>0</v>
      </c>
      <c r="H35" s="112">
        <v>1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1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</row>
    <row r="36" spans="1:52" x14ac:dyDescent="0.15">
      <c r="A36" s="194" t="s">
        <v>226</v>
      </c>
      <c r="B36" s="112">
        <v>0</v>
      </c>
      <c r="C36" s="112">
        <v>1</v>
      </c>
      <c r="D36" s="112">
        <v>1</v>
      </c>
      <c r="E36" s="112">
        <v>0</v>
      </c>
      <c r="F36" s="112">
        <v>1</v>
      </c>
      <c r="G36" s="112">
        <v>0</v>
      </c>
      <c r="H36" s="112">
        <v>1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1</v>
      </c>
      <c r="U36" s="112">
        <v>0</v>
      </c>
      <c r="V36" s="112">
        <v>0</v>
      </c>
      <c r="W36" s="112">
        <v>1</v>
      </c>
      <c r="X36" s="112">
        <v>1</v>
      </c>
      <c r="Y36" s="112">
        <v>1</v>
      </c>
      <c r="Z36" s="112">
        <v>1</v>
      </c>
      <c r="AA36" s="112">
        <v>1</v>
      </c>
      <c r="AB36" s="112">
        <v>1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1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</row>
    <row r="37" spans="1:52" x14ac:dyDescent="0.15">
      <c r="A37" s="194" t="s">
        <v>227</v>
      </c>
      <c r="B37" s="112">
        <v>0</v>
      </c>
      <c r="C37" s="112">
        <v>1</v>
      </c>
      <c r="D37" s="112">
        <v>1</v>
      </c>
      <c r="E37" s="112">
        <v>1</v>
      </c>
      <c r="F37" s="112">
        <v>0</v>
      </c>
      <c r="G37" s="112">
        <v>0</v>
      </c>
      <c r="H37" s="112">
        <v>1</v>
      </c>
      <c r="I37" s="112">
        <v>0</v>
      </c>
      <c r="J37" s="112">
        <v>1</v>
      </c>
      <c r="K37" s="112">
        <v>1</v>
      </c>
      <c r="L37" s="112">
        <v>0</v>
      </c>
      <c r="M37" s="112">
        <v>0</v>
      </c>
      <c r="N37" s="112">
        <v>1</v>
      </c>
      <c r="O37" s="112">
        <v>1</v>
      </c>
      <c r="P37" s="112">
        <v>0</v>
      </c>
      <c r="Q37" s="112">
        <v>0</v>
      </c>
      <c r="R37" s="112">
        <v>0</v>
      </c>
      <c r="S37" s="112">
        <v>1</v>
      </c>
      <c r="T37" s="112">
        <v>1</v>
      </c>
      <c r="U37" s="112">
        <v>1</v>
      </c>
      <c r="V37" s="112">
        <v>0</v>
      </c>
      <c r="W37" s="112">
        <v>1</v>
      </c>
      <c r="X37" s="112">
        <v>1</v>
      </c>
      <c r="Y37" s="112">
        <v>1</v>
      </c>
      <c r="Z37" s="112">
        <v>1</v>
      </c>
      <c r="AA37" s="112">
        <v>0</v>
      </c>
      <c r="AB37" s="112">
        <v>0</v>
      </c>
      <c r="AC37" s="112">
        <v>0</v>
      </c>
      <c r="AD37" s="112">
        <v>1</v>
      </c>
      <c r="AE37" s="112">
        <v>0</v>
      </c>
      <c r="AF37" s="112">
        <v>0</v>
      </c>
      <c r="AG37" s="112">
        <v>0</v>
      </c>
      <c r="AH37" s="112">
        <v>0</v>
      </c>
      <c r="AI37" s="112">
        <v>1</v>
      </c>
      <c r="AJ37" s="112">
        <v>0</v>
      </c>
      <c r="AK37" s="112">
        <v>1</v>
      </c>
      <c r="AL37" s="112">
        <v>1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</row>
    <row r="38" spans="1:52" x14ac:dyDescent="0.15">
      <c r="A38" s="194" t="s">
        <v>228</v>
      </c>
      <c r="B38" s="112">
        <v>0</v>
      </c>
      <c r="C38" s="112">
        <v>0</v>
      </c>
      <c r="D38" s="112">
        <v>1</v>
      </c>
      <c r="E38" s="112">
        <v>1</v>
      </c>
      <c r="F38" s="112">
        <v>1</v>
      </c>
      <c r="G38" s="112">
        <v>0</v>
      </c>
      <c r="H38" s="112">
        <v>1</v>
      </c>
      <c r="I38" s="112">
        <v>0</v>
      </c>
      <c r="J38" s="112">
        <v>1</v>
      </c>
      <c r="K38" s="112">
        <v>0</v>
      </c>
      <c r="L38" s="112">
        <v>0</v>
      </c>
      <c r="M38" s="112">
        <v>0</v>
      </c>
      <c r="N38" s="112">
        <v>1</v>
      </c>
      <c r="O38" s="112">
        <v>0</v>
      </c>
      <c r="P38" s="112">
        <v>0</v>
      </c>
      <c r="Q38" s="112">
        <v>0</v>
      </c>
      <c r="R38" s="112">
        <v>0</v>
      </c>
      <c r="S38" s="112">
        <v>1</v>
      </c>
      <c r="T38" s="112">
        <v>1</v>
      </c>
      <c r="U38" s="112">
        <v>0</v>
      </c>
      <c r="V38" s="112">
        <v>0</v>
      </c>
      <c r="W38" s="112">
        <v>1</v>
      </c>
      <c r="X38" s="112">
        <v>1</v>
      </c>
      <c r="Y38" s="112">
        <v>1</v>
      </c>
      <c r="Z38" s="112">
        <v>1</v>
      </c>
      <c r="AA38" s="112">
        <v>0</v>
      </c>
      <c r="AB38" s="112">
        <v>0</v>
      </c>
      <c r="AC38" s="112">
        <v>1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1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</row>
    <row r="39" spans="1:52" x14ac:dyDescent="0.15">
      <c r="A39" s="194" t="s">
        <v>229</v>
      </c>
      <c r="B39" s="112">
        <v>0</v>
      </c>
      <c r="C39" s="112">
        <v>1</v>
      </c>
      <c r="D39" s="112">
        <v>0</v>
      </c>
      <c r="E39" s="112">
        <v>1</v>
      </c>
      <c r="F39" s="112">
        <v>1</v>
      </c>
      <c r="G39" s="112">
        <v>0</v>
      </c>
      <c r="H39" s="112">
        <v>1</v>
      </c>
      <c r="I39" s="112">
        <v>0</v>
      </c>
      <c r="J39" s="112">
        <v>1</v>
      </c>
      <c r="K39" s="112">
        <v>1</v>
      </c>
      <c r="L39" s="112">
        <v>1</v>
      </c>
      <c r="M39" s="112">
        <v>1</v>
      </c>
      <c r="N39" s="112">
        <v>1</v>
      </c>
      <c r="O39" s="112">
        <v>1</v>
      </c>
      <c r="P39" s="112">
        <v>0</v>
      </c>
      <c r="Q39" s="112">
        <v>0</v>
      </c>
      <c r="R39" s="112">
        <v>0</v>
      </c>
      <c r="S39" s="112">
        <v>1</v>
      </c>
      <c r="T39" s="112">
        <v>1</v>
      </c>
      <c r="U39" s="112">
        <v>1</v>
      </c>
      <c r="V39" s="112">
        <v>0</v>
      </c>
      <c r="W39" s="112">
        <v>0</v>
      </c>
      <c r="X39" s="112">
        <v>0</v>
      </c>
      <c r="Y39" s="112">
        <v>1</v>
      </c>
      <c r="Z39" s="112">
        <v>1</v>
      </c>
      <c r="AA39" s="112">
        <v>0</v>
      </c>
      <c r="AB39" s="112">
        <v>1</v>
      </c>
      <c r="AC39" s="112">
        <v>1</v>
      </c>
      <c r="AD39" s="112">
        <v>1</v>
      </c>
      <c r="AE39" s="112">
        <v>0</v>
      </c>
      <c r="AF39" s="112">
        <v>0</v>
      </c>
      <c r="AG39" s="112">
        <v>0</v>
      </c>
      <c r="AH39" s="112">
        <v>0</v>
      </c>
      <c r="AI39" s="112">
        <v>1</v>
      </c>
      <c r="AJ39" s="112">
        <v>0</v>
      </c>
      <c r="AK39" s="112">
        <v>1</v>
      </c>
      <c r="AL39" s="112">
        <v>1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</row>
    <row r="40" spans="1:52" x14ac:dyDescent="0.15">
      <c r="A40" s="194" t="s">
        <v>230</v>
      </c>
      <c r="B40" s="112">
        <v>0</v>
      </c>
      <c r="C40" s="112">
        <v>0</v>
      </c>
      <c r="D40" s="112">
        <v>1</v>
      </c>
      <c r="E40" s="112">
        <v>1</v>
      </c>
      <c r="F40" s="112">
        <v>1</v>
      </c>
      <c r="G40" s="112">
        <v>0</v>
      </c>
      <c r="H40" s="112">
        <v>0</v>
      </c>
      <c r="I40" s="112">
        <v>0</v>
      </c>
      <c r="J40" s="112">
        <v>1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</row>
    <row r="41" spans="1:52" x14ac:dyDescent="0.15">
      <c r="A41" s="194" t="s">
        <v>231</v>
      </c>
      <c r="B41" s="112">
        <v>1</v>
      </c>
      <c r="C41" s="112">
        <v>0</v>
      </c>
      <c r="D41" s="112">
        <v>0</v>
      </c>
      <c r="E41" s="112">
        <v>1</v>
      </c>
      <c r="F41" s="112">
        <v>0</v>
      </c>
      <c r="G41" s="112">
        <v>0</v>
      </c>
      <c r="H41" s="112">
        <v>0</v>
      </c>
      <c r="I41" s="112">
        <v>0</v>
      </c>
      <c r="J41" s="112">
        <v>1</v>
      </c>
      <c r="K41" s="112">
        <v>1</v>
      </c>
      <c r="L41" s="112">
        <v>1</v>
      </c>
      <c r="M41" s="112">
        <v>1</v>
      </c>
      <c r="N41" s="112">
        <v>0</v>
      </c>
      <c r="O41" s="112">
        <v>0</v>
      </c>
      <c r="P41" s="112">
        <v>0</v>
      </c>
      <c r="Q41" s="112">
        <v>1</v>
      </c>
      <c r="R41" s="112">
        <v>1</v>
      </c>
      <c r="S41" s="112">
        <v>1</v>
      </c>
      <c r="T41" s="112">
        <v>0</v>
      </c>
      <c r="U41" s="112">
        <v>0</v>
      </c>
      <c r="V41" s="112">
        <v>0</v>
      </c>
      <c r="W41" s="112">
        <v>1</v>
      </c>
      <c r="X41" s="112">
        <v>1</v>
      </c>
      <c r="Y41" s="112">
        <v>1</v>
      </c>
      <c r="Z41" s="112">
        <v>1</v>
      </c>
      <c r="AA41" s="112">
        <v>1</v>
      </c>
      <c r="AB41" s="112">
        <v>0</v>
      </c>
      <c r="AC41" s="112">
        <v>1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1</v>
      </c>
      <c r="AO41" s="112">
        <v>0</v>
      </c>
      <c r="AP41" s="112">
        <v>1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</row>
    <row r="42" spans="1:52" x14ac:dyDescent="0.15">
      <c r="A42" s="194" t="s">
        <v>232</v>
      </c>
      <c r="B42" s="112">
        <v>1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1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1</v>
      </c>
      <c r="T42" s="112">
        <v>0</v>
      </c>
      <c r="U42" s="112">
        <v>0</v>
      </c>
      <c r="V42" s="112">
        <v>0</v>
      </c>
      <c r="W42" s="112">
        <v>1</v>
      </c>
      <c r="X42" s="112">
        <v>0</v>
      </c>
      <c r="Y42" s="112">
        <v>1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</row>
    <row r="43" spans="1:52" x14ac:dyDescent="0.15">
      <c r="A43" s="194" t="s">
        <v>233</v>
      </c>
      <c r="B43" s="112">
        <v>1</v>
      </c>
      <c r="C43" s="112">
        <v>0</v>
      </c>
      <c r="D43" s="112">
        <v>0</v>
      </c>
      <c r="E43" s="112">
        <v>1</v>
      </c>
      <c r="F43" s="112">
        <v>0</v>
      </c>
      <c r="G43" s="112">
        <v>0</v>
      </c>
      <c r="H43" s="112">
        <v>1</v>
      </c>
      <c r="I43" s="112">
        <v>0</v>
      </c>
      <c r="J43" s="112">
        <v>1</v>
      </c>
      <c r="K43" s="112">
        <v>1</v>
      </c>
      <c r="L43" s="112">
        <v>1</v>
      </c>
      <c r="M43" s="112">
        <v>1</v>
      </c>
      <c r="N43" s="112">
        <v>1</v>
      </c>
      <c r="O43" s="112">
        <v>1</v>
      </c>
      <c r="P43" s="112">
        <v>0</v>
      </c>
      <c r="Q43" s="112">
        <v>1</v>
      </c>
      <c r="R43" s="112">
        <v>0</v>
      </c>
      <c r="S43" s="112">
        <v>1</v>
      </c>
      <c r="T43" s="112">
        <v>1</v>
      </c>
      <c r="U43" s="112">
        <v>1</v>
      </c>
      <c r="V43" s="112">
        <v>0</v>
      </c>
      <c r="W43" s="112">
        <v>1</v>
      </c>
      <c r="X43" s="112">
        <v>1</v>
      </c>
      <c r="Y43" s="112">
        <v>1</v>
      </c>
      <c r="Z43" s="112">
        <v>1</v>
      </c>
      <c r="AA43" s="112">
        <v>1</v>
      </c>
      <c r="AB43" s="112">
        <v>1</v>
      </c>
      <c r="AC43" s="112">
        <v>1</v>
      </c>
      <c r="AD43" s="112">
        <v>1</v>
      </c>
      <c r="AE43" s="112">
        <v>0</v>
      </c>
      <c r="AF43" s="112">
        <v>0</v>
      </c>
      <c r="AG43" s="112">
        <v>0</v>
      </c>
      <c r="AH43" s="112">
        <v>0</v>
      </c>
      <c r="AI43" s="112">
        <v>1</v>
      </c>
      <c r="AJ43" s="112">
        <v>0</v>
      </c>
      <c r="AK43" s="112">
        <v>0</v>
      </c>
      <c r="AL43" s="112">
        <v>0</v>
      </c>
      <c r="AM43" s="112">
        <v>0</v>
      </c>
      <c r="AN43" s="112">
        <v>1</v>
      </c>
      <c r="AO43" s="112">
        <v>1</v>
      </c>
      <c r="AP43" s="112">
        <v>1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</row>
    <row r="44" spans="1:52" x14ac:dyDescent="0.15">
      <c r="A44" s="194" t="s">
        <v>234</v>
      </c>
      <c r="B44" s="112">
        <v>1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1</v>
      </c>
      <c r="K44" s="112">
        <v>1</v>
      </c>
      <c r="L44" s="112">
        <v>1</v>
      </c>
      <c r="M44" s="112">
        <v>1</v>
      </c>
      <c r="N44" s="112">
        <v>0</v>
      </c>
      <c r="O44" s="112">
        <v>1</v>
      </c>
      <c r="P44" s="112">
        <v>1</v>
      </c>
      <c r="Q44" s="112">
        <v>1</v>
      </c>
      <c r="R44" s="112">
        <v>1</v>
      </c>
      <c r="S44" s="112">
        <v>1</v>
      </c>
      <c r="T44" s="112">
        <v>0</v>
      </c>
      <c r="U44" s="112">
        <v>0</v>
      </c>
      <c r="V44" s="112">
        <v>0</v>
      </c>
      <c r="W44" s="112">
        <v>1</v>
      </c>
      <c r="X44" s="112">
        <v>1</v>
      </c>
      <c r="Y44" s="112">
        <v>1</v>
      </c>
      <c r="Z44" s="112">
        <v>1</v>
      </c>
      <c r="AA44" s="112">
        <v>1</v>
      </c>
      <c r="AB44" s="112">
        <v>1</v>
      </c>
      <c r="AC44" s="112">
        <v>1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1</v>
      </c>
      <c r="AO44" s="112">
        <v>1</v>
      </c>
      <c r="AP44" s="112">
        <v>1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</row>
    <row r="45" spans="1:52" x14ac:dyDescent="0.15">
      <c r="A45" s="194" t="s">
        <v>235</v>
      </c>
      <c r="B45" s="112">
        <v>1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1</v>
      </c>
      <c r="K45" s="112">
        <v>1</v>
      </c>
      <c r="L45" s="112">
        <v>1</v>
      </c>
      <c r="M45" s="112">
        <v>1</v>
      </c>
      <c r="N45" s="112">
        <v>0</v>
      </c>
      <c r="O45" s="112">
        <v>0</v>
      </c>
      <c r="P45" s="112">
        <v>1</v>
      </c>
      <c r="Q45" s="112">
        <v>1</v>
      </c>
      <c r="R45" s="112">
        <v>1</v>
      </c>
      <c r="S45" s="112">
        <v>1</v>
      </c>
      <c r="T45" s="112">
        <v>1</v>
      </c>
      <c r="U45" s="112">
        <v>0</v>
      </c>
      <c r="V45" s="112">
        <v>0</v>
      </c>
      <c r="W45" s="112">
        <v>1</v>
      </c>
      <c r="X45" s="112">
        <v>1</v>
      </c>
      <c r="Y45" s="112">
        <v>1</v>
      </c>
      <c r="Z45" s="112">
        <v>1</v>
      </c>
      <c r="AA45" s="112">
        <v>1</v>
      </c>
      <c r="AB45" s="112">
        <v>1</v>
      </c>
      <c r="AC45" s="112">
        <v>1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1</v>
      </c>
      <c r="AJ45" s="112">
        <v>0</v>
      </c>
      <c r="AK45" s="112">
        <v>0</v>
      </c>
      <c r="AL45" s="112">
        <v>0</v>
      </c>
      <c r="AM45" s="112">
        <v>0</v>
      </c>
      <c r="AN45" s="112">
        <v>1</v>
      </c>
      <c r="AO45" s="112">
        <v>1</v>
      </c>
      <c r="AP45" s="112">
        <v>1</v>
      </c>
      <c r="AQ45" s="112">
        <v>1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</row>
    <row r="46" spans="1:52" x14ac:dyDescent="0.15">
      <c r="A46" s="194" t="s">
        <v>236</v>
      </c>
      <c r="B46" s="112">
        <v>1</v>
      </c>
      <c r="C46" s="112">
        <v>0</v>
      </c>
      <c r="D46" s="112">
        <v>0</v>
      </c>
      <c r="E46" s="112">
        <v>0</v>
      </c>
      <c r="F46" s="112">
        <v>0</v>
      </c>
      <c r="G46" s="112">
        <v>1</v>
      </c>
      <c r="H46" s="112">
        <v>0</v>
      </c>
      <c r="I46" s="112">
        <v>0</v>
      </c>
      <c r="J46" s="112">
        <v>1</v>
      </c>
      <c r="K46" s="112">
        <v>1</v>
      </c>
      <c r="L46" s="112">
        <v>1</v>
      </c>
      <c r="M46" s="112">
        <v>1</v>
      </c>
      <c r="N46" s="112">
        <v>0</v>
      </c>
      <c r="O46" s="112">
        <v>0</v>
      </c>
      <c r="P46" s="112">
        <v>1</v>
      </c>
      <c r="Q46" s="112">
        <v>1</v>
      </c>
      <c r="R46" s="112">
        <v>1</v>
      </c>
      <c r="S46" s="112">
        <v>1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1</v>
      </c>
      <c r="Z46" s="112">
        <v>1</v>
      </c>
      <c r="AA46" s="112">
        <v>1</v>
      </c>
      <c r="AB46" s="112">
        <v>0</v>
      </c>
      <c r="AC46" s="112">
        <v>1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</v>
      </c>
      <c r="AN46" s="112">
        <v>1</v>
      </c>
      <c r="AO46" s="112">
        <v>1</v>
      </c>
      <c r="AP46" s="112">
        <v>1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</row>
    <row r="47" spans="1:52" x14ac:dyDescent="0.15">
      <c r="A47" s="194" t="s">
        <v>237</v>
      </c>
      <c r="B47" s="112">
        <v>1</v>
      </c>
      <c r="C47" s="112">
        <v>0</v>
      </c>
      <c r="D47" s="112">
        <v>0</v>
      </c>
      <c r="E47" s="112">
        <v>0</v>
      </c>
      <c r="F47" s="112">
        <v>0</v>
      </c>
      <c r="G47" s="112">
        <v>1</v>
      </c>
      <c r="H47" s="112">
        <v>0</v>
      </c>
      <c r="I47" s="112">
        <v>0</v>
      </c>
      <c r="J47" s="112">
        <v>1</v>
      </c>
      <c r="K47" s="112">
        <v>1</v>
      </c>
      <c r="L47" s="112">
        <v>1</v>
      </c>
      <c r="M47" s="112">
        <v>1</v>
      </c>
      <c r="N47" s="112">
        <v>1</v>
      </c>
      <c r="O47" s="112">
        <v>1</v>
      </c>
      <c r="P47" s="112">
        <v>1</v>
      </c>
      <c r="Q47" s="112">
        <v>1</v>
      </c>
      <c r="R47" s="112">
        <v>1</v>
      </c>
      <c r="S47" s="112">
        <v>1</v>
      </c>
      <c r="T47" s="112">
        <v>1</v>
      </c>
      <c r="U47" s="112">
        <v>0</v>
      </c>
      <c r="V47" s="112">
        <v>1</v>
      </c>
      <c r="W47" s="112">
        <v>1</v>
      </c>
      <c r="X47" s="112">
        <v>1</v>
      </c>
      <c r="Y47" s="112">
        <v>1</v>
      </c>
      <c r="Z47" s="112">
        <v>1</v>
      </c>
      <c r="AA47" s="112">
        <v>1</v>
      </c>
      <c r="AB47" s="112">
        <v>1</v>
      </c>
      <c r="AC47" s="112">
        <v>1</v>
      </c>
      <c r="AD47" s="112">
        <v>0</v>
      </c>
      <c r="AE47" s="112">
        <v>0</v>
      </c>
      <c r="AF47" s="112">
        <v>0</v>
      </c>
      <c r="AG47" s="112">
        <v>0</v>
      </c>
      <c r="AH47" s="112">
        <v>1</v>
      </c>
      <c r="AI47" s="112">
        <v>1</v>
      </c>
      <c r="AJ47" s="112">
        <v>0</v>
      </c>
      <c r="AK47" s="112">
        <v>0</v>
      </c>
      <c r="AL47" s="112">
        <v>0</v>
      </c>
      <c r="AM47" s="112">
        <v>0</v>
      </c>
      <c r="AN47" s="112">
        <v>1</v>
      </c>
      <c r="AO47" s="112">
        <v>1</v>
      </c>
      <c r="AP47" s="112">
        <v>1</v>
      </c>
      <c r="AQ47" s="112">
        <v>1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</row>
    <row r="48" spans="1:52" x14ac:dyDescent="0.15">
      <c r="A48" s="194" t="s">
        <v>238</v>
      </c>
      <c r="B48" s="112">
        <v>0</v>
      </c>
      <c r="C48" s="112">
        <v>1</v>
      </c>
      <c r="D48" s="112">
        <v>0</v>
      </c>
      <c r="E48" s="112">
        <v>1</v>
      </c>
      <c r="F48" s="112">
        <v>0</v>
      </c>
      <c r="G48" s="112">
        <v>0</v>
      </c>
      <c r="H48" s="112">
        <v>0</v>
      </c>
      <c r="I48" s="112">
        <v>1</v>
      </c>
      <c r="J48" s="112">
        <v>1</v>
      </c>
      <c r="K48" s="112">
        <v>1</v>
      </c>
      <c r="L48" s="112">
        <v>1</v>
      </c>
      <c r="M48" s="112">
        <v>1</v>
      </c>
      <c r="N48" s="112">
        <v>1</v>
      </c>
      <c r="O48" s="112">
        <v>1</v>
      </c>
      <c r="P48" s="112">
        <v>1</v>
      </c>
      <c r="Q48" s="112">
        <v>1</v>
      </c>
      <c r="R48" s="112">
        <v>0</v>
      </c>
      <c r="S48" s="112">
        <v>1</v>
      </c>
      <c r="T48" s="112">
        <v>1</v>
      </c>
      <c r="U48" s="112">
        <v>1</v>
      </c>
      <c r="V48" s="112">
        <v>1</v>
      </c>
      <c r="W48" s="112">
        <v>1</v>
      </c>
      <c r="X48" s="112">
        <v>1</v>
      </c>
      <c r="Y48" s="112">
        <v>1</v>
      </c>
      <c r="Z48" s="112">
        <v>1</v>
      </c>
      <c r="AA48" s="112">
        <v>1</v>
      </c>
      <c r="AB48" s="112">
        <v>1</v>
      </c>
      <c r="AC48" s="112">
        <v>1</v>
      </c>
      <c r="AD48" s="112">
        <v>1</v>
      </c>
      <c r="AE48" s="112">
        <v>1</v>
      </c>
      <c r="AF48" s="112">
        <v>1</v>
      </c>
      <c r="AG48" s="112">
        <v>1</v>
      </c>
      <c r="AH48" s="112">
        <v>1</v>
      </c>
      <c r="AI48" s="112">
        <v>1</v>
      </c>
      <c r="AJ48" s="112">
        <v>1</v>
      </c>
      <c r="AK48" s="112">
        <v>1</v>
      </c>
      <c r="AL48" s="112">
        <v>1</v>
      </c>
      <c r="AM48" s="112">
        <v>1</v>
      </c>
      <c r="AN48" s="112">
        <v>1</v>
      </c>
      <c r="AO48" s="112">
        <v>1</v>
      </c>
      <c r="AP48" s="112">
        <v>1</v>
      </c>
      <c r="AQ48" s="112">
        <v>1</v>
      </c>
      <c r="AR48" s="112">
        <v>0</v>
      </c>
      <c r="AS48" s="112">
        <v>0</v>
      </c>
      <c r="AT48" s="112">
        <v>0</v>
      </c>
      <c r="AU48" s="112">
        <v>0</v>
      </c>
      <c r="AV48" s="112">
        <v>1</v>
      </c>
      <c r="AW48" s="112">
        <v>0</v>
      </c>
      <c r="AX48" s="112">
        <v>0</v>
      </c>
      <c r="AY48" s="112">
        <v>0</v>
      </c>
      <c r="AZ48" s="112">
        <v>0</v>
      </c>
    </row>
    <row r="49" spans="1:52" x14ac:dyDescent="0.15">
      <c r="A49" s="194" t="s">
        <v>239</v>
      </c>
      <c r="B49" s="112">
        <v>1</v>
      </c>
      <c r="C49" s="112">
        <v>1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1</v>
      </c>
      <c r="J49" s="112">
        <v>0</v>
      </c>
      <c r="K49" s="112">
        <v>1</v>
      </c>
      <c r="L49" s="112">
        <v>0</v>
      </c>
      <c r="M49" s="112">
        <v>1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1</v>
      </c>
      <c r="T49" s="112">
        <v>0</v>
      </c>
      <c r="U49" s="112">
        <v>1</v>
      </c>
      <c r="V49" s="112">
        <v>0</v>
      </c>
      <c r="W49" s="112">
        <v>1</v>
      </c>
      <c r="X49" s="112">
        <v>1</v>
      </c>
      <c r="Y49" s="112">
        <v>1</v>
      </c>
      <c r="Z49" s="112">
        <v>1</v>
      </c>
      <c r="AA49" s="112">
        <v>1</v>
      </c>
      <c r="AB49" s="112">
        <v>1</v>
      </c>
      <c r="AC49" s="112">
        <v>0</v>
      </c>
      <c r="AD49" s="112">
        <v>0</v>
      </c>
      <c r="AE49" s="112">
        <v>1</v>
      </c>
      <c r="AF49" s="112">
        <v>1</v>
      </c>
      <c r="AG49" s="112">
        <v>1</v>
      </c>
      <c r="AH49" s="112">
        <v>1</v>
      </c>
      <c r="AI49" s="112">
        <v>1</v>
      </c>
      <c r="AJ49" s="112">
        <v>1</v>
      </c>
      <c r="AK49" s="112">
        <v>1</v>
      </c>
      <c r="AL49" s="112">
        <v>0</v>
      </c>
      <c r="AM49" s="112">
        <v>1</v>
      </c>
      <c r="AN49" s="112">
        <v>1</v>
      </c>
      <c r="AO49" s="112">
        <v>1</v>
      </c>
      <c r="AP49" s="112">
        <v>1</v>
      </c>
      <c r="AQ49" s="112">
        <v>1</v>
      </c>
      <c r="AR49" s="112">
        <v>0</v>
      </c>
      <c r="AS49" s="112">
        <v>0</v>
      </c>
      <c r="AT49" s="112">
        <v>0</v>
      </c>
      <c r="AU49" s="112">
        <v>0</v>
      </c>
      <c r="AV49" s="112">
        <v>1</v>
      </c>
      <c r="AW49" s="112">
        <v>0</v>
      </c>
      <c r="AX49" s="112">
        <v>0</v>
      </c>
      <c r="AY49" s="112">
        <v>0</v>
      </c>
      <c r="AZ49" s="112">
        <v>0</v>
      </c>
    </row>
    <row r="50" spans="1:52" x14ac:dyDescent="0.15">
      <c r="A50" s="194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1</v>
      </c>
      <c r="AR50" s="112">
        <v>0</v>
      </c>
      <c r="AS50" s="112">
        <v>0</v>
      </c>
      <c r="AT50" s="112">
        <v>0</v>
      </c>
      <c r="AU50" s="112">
        <v>0</v>
      </c>
      <c r="AV50" s="112">
        <v>1</v>
      </c>
      <c r="AW50" s="112">
        <v>1</v>
      </c>
      <c r="AX50" s="112">
        <v>0</v>
      </c>
      <c r="AY50" s="112">
        <v>0</v>
      </c>
      <c r="AZ50" s="112">
        <v>0</v>
      </c>
    </row>
    <row r="51" spans="1:52" x14ac:dyDescent="0.15">
      <c r="A51" s="194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1</v>
      </c>
      <c r="AO51" s="112">
        <v>1</v>
      </c>
      <c r="AP51" s="112">
        <v>1</v>
      </c>
      <c r="AQ51" s="112">
        <v>1</v>
      </c>
      <c r="AR51" s="112">
        <v>1</v>
      </c>
      <c r="AS51" s="112">
        <v>1</v>
      </c>
      <c r="AT51" s="112">
        <v>1</v>
      </c>
      <c r="AU51" s="112">
        <v>1</v>
      </c>
      <c r="AV51" s="112">
        <v>1</v>
      </c>
      <c r="AW51" s="112">
        <v>0</v>
      </c>
      <c r="AX51" s="112">
        <v>0</v>
      </c>
      <c r="AY51" s="112">
        <v>0</v>
      </c>
      <c r="AZ51" s="112">
        <v>0</v>
      </c>
    </row>
    <row r="52" spans="1:52" x14ac:dyDescent="0.15">
      <c r="A52" s="194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</row>
    <row r="53" spans="1:52" x14ac:dyDescent="0.15">
      <c r="A53" s="194" t="s">
        <v>248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83</v>
      </c>
      <c r="B1" s="3" t="s">
        <v>0</v>
      </c>
      <c r="C1" s="197" t="s">
        <v>243</v>
      </c>
      <c r="D1" s="197" t="s">
        <v>244</v>
      </c>
      <c r="E1" s="197" t="s">
        <v>245</v>
      </c>
      <c r="F1" s="197" t="s">
        <v>246</v>
      </c>
      <c r="G1" s="197" t="s">
        <v>247</v>
      </c>
    </row>
    <row r="2" spans="1:7" x14ac:dyDescent="0.15">
      <c r="A2">
        <v>1</v>
      </c>
      <c r="B2" s="196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96" t="s">
        <v>193</v>
      </c>
      <c r="C3">
        <v>0</v>
      </c>
      <c r="D3">
        <v>0</v>
      </c>
      <c r="E3">
        <v>0</v>
      </c>
      <c r="F3">
        <v>0</v>
      </c>
      <c r="G3">
        <v>0.8</v>
      </c>
    </row>
    <row r="4" spans="1:7" x14ac:dyDescent="0.15">
      <c r="A4">
        <v>3</v>
      </c>
      <c r="B4" s="196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96" t="s">
        <v>195</v>
      </c>
      <c r="C5">
        <v>0</v>
      </c>
      <c r="D5">
        <v>0</v>
      </c>
      <c r="E5">
        <v>0.8</v>
      </c>
      <c r="F5">
        <v>0</v>
      </c>
      <c r="G5">
        <v>0</v>
      </c>
    </row>
    <row r="6" spans="1:7" x14ac:dyDescent="0.15">
      <c r="A6">
        <v>5</v>
      </c>
      <c r="B6" s="196" t="s">
        <v>196</v>
      </c>
      <c r="C6">
        <v>0</v>
      </c>
      <c r="D6">
        <v>0</v>
      </c>
      <c r="E6">
        <v>0.8</v>
      </c>
      <c r="F6">
        <v>0</v>
      </c>
      <c r="G6">
        <v>0</v>
      </c>
    </row>
    <row r="7" spans="1:7" x14ac:dyDescent="0.15">
      <c r="A7">
        <v>6</v>
      </c>
      <c r="B7" s="196" t="s">
        <v>197</v>
      </c>
      <c r="C7">
        <v>0</v>
      </c>
      <c r="D7">
        <v>0</v>
      </c>
      <c r="E7">
        <v>0</v>
      </c>
      <c r="F7">
        <v>0.8</v>
      </c>
      <c r="G7">
        <v>0</v>
      </c>
    </row>
    <row r="8" spans="1:7" x14ac:dyDescent="0.15">
      <c r="A8">
        <v>7</v>
      </c>
      <c r="B8" s="196" t="s">
        <v>198</v>
      </c>
      <c r="C8">
        <v>0</v>
      </c>
      <c r="D8">
        <v>0</v>
      </c>
      <c r="E8">
        <v>0</v>
      </c>
      <c r="F8">
        <v>0.8</v>
      </c>
      <c r="G8">
        <v>0</v>
      </c>
    </row>
    <row r="9" spans="1:7" x14ac:dyDescent="0.15">
      <c r="A9">
        <v>8</v>
      </c>
      <c r="B9" s="196" t="s">
        <v>199</v>
      </c>
      <c r="C9">
        <v>0</v>
      </c>
      <c r="D9">
        <v>0</v>
      </c>
      <c r="E9">
        <v>0</v>
      </c>
      <c r="F9">
        <v>0.8</v>
      </c>
      <c r="G9">
        <v>0</v>
      </c>
    </row>
    <row r="10" spans="1:7" x14ac:dyDescent="0.15">
      <c r="A10">
        <v>9</v>
      </c>
      <c r="B10" s="196" t="s">
        <v>200</v>
      </c>
      <c r="C10">
        <v>0.8</v>
      </c>
      <c r="D10">
        <v>0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96" t="s">
        <v>201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15">
      <c r="A12">
        <v>11</v>
      </c>
      <c r="B12" s="196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96" t="s">
        <v>203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96" t="s">
        <v>204</v>
      </c>
      <c r="C14">
        <v>0.8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96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96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96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96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96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96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96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96" t="s">
        <v>212</v>
      </c>
      <c r="C22">
        <v>0</v>
      </c>
      <c r="D22">
        <v>0.8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96" t="s">
        <v>213</v>
      </c>
      <c r="C23">
        <v>0.8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96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96" t="s">
        <v>215</v>
      </c>
      <c r="C25">
        <v>0.8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96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96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96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15">
      <c r="A29">
        <v>28</v>
      </c>
      <c r="B29" s="196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15">
      <c r="A30">
        <v>29</v>
      </c>
      <c r="B30" s="196" t="s">
        <v>220</v>
      </c>
      <c r="C30">
        <v>0</v>
      </c>
      <c r="D30">
        <v>0.8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96" t="s">
        <v>221</v>
      </c>
      <c r="C31">
        <v>0</v>
      </c>
      <c r="D31">
        <v>0.8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96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96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96" t="s">
        <v>224</v>
      </c>
      <c r="C34">
        <v>0</v>
      </c>
      <c r="D34">
        <v>0.8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96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96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96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96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96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15">
      <c r="A40">
        <v>39</v>
      </c>
      <c r="B40" s="196" t="s">
        <v>230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15">
      <c r="A41">
        <v>40</v>
      </c>
      <c r="B41" s="196" t="s">
        <v>231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15">
      <c r="A42">
        <v>41</v>
      </c>
      <c r="B42" s="196" t="s">
        <v>232</v>
      </c>
      <c r="C42">
        <v>0.8</v>
      </c>
      <c r="D42">
        <v>0</v>
      </c>
      <c r="E42">
        <v>0</v>
      </c>
      <c r="F42">
        <v>0</v>
      </c>
      <c r="G42">
        <v>0</v>
      </c>
    </row>
    <row r="43" spans="1:7" x14ac:dyDescent="0.15">
      <c r="A43">
        <v>42</v>
      </c>
      <c r="B43" s="196" t="s">
        <v>233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15">
      <c r="A44">
        <v>43</v>
      </c>
      <c r="B44" s="196" t="s">
        <v>234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15">
      <c r="A45">
        <v>44</v>
      </c>
      <c r="B45" s="196" t="s">
        <v>235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15">
      <c r="A46">
        <v>45</v>
      </c>
      <c r="B46" s="196" t="s">
        <v>236</v>
      </c>
      <c r="C46">
        <v>0</v>
      </c>
      <c r="D46">
        <v>0</v>
      </c>
      <c r="E46">
        <v>0</v>
      </c>
      <c r="F46">
        <v>0</v>
      </c>
      <c r="G46">
        <v>0.8</v>
      </c>
    </row>
    <row r="47" spans="1:7" x14ac:dyDescent="0.15">
      <c r="A47">
        <v>46</v>
      </c>
      <c r="B47" s="196" t="s">
        <v>237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15">
      <c r="A48">
        <v>47</v>
      </c>
      <c r="B48" s="196" t="s">
        <v>238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15">
      <c r="A49">
        <v>48</v>
      </c>
      <c r="B49" s="196" t="s">
        <v>239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15">
      <c r="A50">
        <v>49</v>
      </c>
      <c r="B50" s="196" t="s">
        <v>240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15">
      <c r="A51">
        <v>50</v>
      </c>
      <c r="B51" s="196" t="s">
        <v>241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15">
      <c r="A52">
        <v>51</v>
      </c>
      <c r="B52" s="196" t="s">
        <v>242</v>
      </c>
      <c r="C52">
        <v>0</v>
      </c>
      <c r="D52">
        <v>0</v>
      </c>
      <c r="E52">
        <v>0</v>
      </c>
      <c r="F52">
        <v>0</v>
      </c>
      <c r="G5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5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82</v>
      </c>
      <c r="B1" s="3" t="s">
        <v>0</v>
      </c>
      <c r="C1" s="199" t="s">
        <v>243</v>
      </c>
      <c r="D1" s="199" t="s">
        <v>244</v>
      </c>
      <c r="E1" s="199" t="s">
        <v>245</v>
      </c>
      <c r="F1" s="199" t="s">
        <v>246</v>
      </c>
      <c r="G1" s="199" t="s">
        <v>247</v>
      </c>
    </row>
    <row r="2" spans="1:7" x14ac:dyDescent="0.15">
      <c r="A2">
        <v>1</v>
      </c>
      <c r="B2" s="198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98" t="s">
        <v>193</v>
      </c>
      <c r="C3">
        <v>0</v>
      </c>
      <c r="D3">
        <v>0</v>
      </c>
      <c r="E3">
        <v>0</v>
      </c>
      <c r="F3">
        <v>0</v>
      </c>
      <c r="G3">
        <v>0.8</v>
      </c>
    </row>
    <row r="4" spans="1:7" x14ac:dyDescent="0.15">
      <c r="A4">
        <v>3</v>
      </c>
      <c r="B4" s="198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98" t="s">
        <v>195</v>
      </c>
      <c r="C5">
        <v>0</v>
      </c>
      <c r="D5">
        <v>0</v>
      </c>
      <c r="E5">
        <v>0.8</v>
      </c>
      <c r="F5">
        <v>0</v>
      </c>
      <c r="G5">
        <v>0</v>
      </c>
    </row>
    <row r="6" spans="1:7" x14ac:dyDescent="0.15">
      <c r="A6">
        <v>5</v>
      </c>
      <c r="B6" s="198" t="s">
        <v>196</v>
      </c>
      <c r="C6">
        <v>0</v>
      </c>
      <c r="D6">
        <v>0</v>
      </c>
      <c r="E6">
        <v>0.8</v>
      </c>
      <c r="F6">
        <v>0</v>
      </c>
      <c r="G6">
        <v>0</v>
      </c>
    </row>
    <row r="7" spans="1:7" x14ac:dyDescent="0.15">
      <c r="A7">
        <v>6</v>
      </c>
      <c r="B7" s="198" t="s">
        <v>197</v>
      </c>
      <c r="C7">
        <v>0</v>
      </c>
      <c r="D7">
        <v>0</v>
      </c>
      <c r="E7">
        <v>0</v>
      </c>
      <c r="F7">
        <v>0.8</v>
      </c>
      <c r="G7">
        <v>0</v>
      </c>
    </row>
    <row r="8" spans="1:7" x14ac:dyDescent="0.15">
      <c r="A8">
        <v>7</v>
      </c>
      <c r="B8" s="198" t="s">
        <v>198</v>
      </c>
      <c r="C8">
        <v>0</v>
      </c>
      <c r="D8">
        <v>0</v>
      </c>
      <c r="E8">
        <v>0</v>
      </c>
      <c r="F8">
        <v>0.8</v>
      </c>
      <c r="G8">
        <v>0</v>
      </c>
    </row>
    <row r="9" spans="1:7" x14ac:dyDescent="0.15">
      <c r="A9">
        <v>8</v>
      </c>
      <c r="B9" s="198" t="s">
        <v>199</v>
      </c>
      <c r="C9">
        <v>0</v>
      </c>
      <c r="D9">
        <v>0</v>
      </c>
      <c r="E9">
        <v>0</v>
      </c>
      <c r="F9">
        <v>0.8</v>
      </c>
      <c r="G9">
        <v>0</v>
      </c>
    </row>
    <row r="10" spans="1:7" x14ac:dyDescent="0.15">
      <c r="A10">
        <v>9</v>
      </c>
      <c r="B10" s="198" t="s">
        <v>200</v>
      </c>
      <c r="C10">
        <v>0.8</v>
      </c>
      <c r="D10">
        <v>0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98" t="s">
        <v>201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15">
      <c r="A12">
        <v>11</v>
      </c>
      <c r="B12" s="198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98" t="s">
        <v>203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98" t="s">
        <v>204</v>
      </c>
      <c r="C14">
        <v>0.8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98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98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98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98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98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98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98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98" t="s">
        <v>212</v>
      </c>
      <c r="C22">
        <v>0</v>
      </c>
      <c r="D22">
        <v>0.8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98" t="s">
        <v>213</v>
      </c>
      <c r="C23">
        <v>0.8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98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15">
      <c r="A25">
        <v>24</v>
      </c>
      <c r="B25" s="198" t="s">
        <v>215</v>
      </c>
      <c r="C25">
        <v>0.8</v>
      </c>
      <c r="D25">
        <v>0</v>
      </c>
      <c r="E25">
        <v>0</v>
      </c>
      <c r="F25">
        <v>0</v>
      </c>
      <c r="G25">
        <v>0</v>
      </c>
    </row>
    <row r="26" spans="1:7" x14ac:dyDescent="0.15">
      <c r="A26">
        <v>25</v>
      </c>
      <c r="B26" s="198" t="s">
        <v>216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98" t="s">
        <v>217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15">
      <c r="A28">
        <v>27</v>
      </c>
      <c r="B28" s="198" t="s">
        <v>218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15">
      <c r="A29">
        <v>28</v>
      </c>
      <c r="B29" s="198" t="s">
        <v>219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15">
      <c r="A30">
        <v>29</v>
      </c>
      <c r="B30" s="198" t="s">
        <v>220</v>
      </c>
      <c r="C30">
        <v>0</v>
      </c>
      <c r="D30">
        <v>0.8</v>
      </c>
      <c r="E30">
        <v>0</v>
      </c>
      <c r="F30">
        <v>0</v>
      </c>
      <c r="G30">
        <v>0</v>
      </c>
    </row>
    <row r="31" spans="1:7" x14ac:dyDescent="0.15">
      <c r="A31">
        <v>30</v>
      </c>
      <c r="B31" s="198" t="s">
        <v>221</v>
      </c>
      <c r="C31">
        <v>0</v>
      </c>
      <c r="D31">
        <v>0.8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98" t="s">
        <v>222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15">
      <c r="A33">
        <v>32</v>
      </c>
      <c r="B33" s="198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98" t="s">
        <v>224</v>
      </c>
      <c r="C34">
        <v>0</v>
      </c>
      <c r="D34">
        <v>0.8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98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98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98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98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98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15">
      <c r="A40">
        <v>39</v>
      </c>
      <c r="B40" s="198" t="s">
        <v>230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15">
      <c r="A41">
        <v>40</v>
      </c>
      <c r="B41" s="198" t="s">
        <v>231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15">
      <c r="A42">
        <v>41</v>
      </c>
      <c r="B42" s="198" t="s">
        <v>232</v>
      </c>
      <c r="C42">
        <v>0.8</v>
      </c>
      <c r="D42">
        <v>0</v>
      </c>
      <c r="E42">
        <v>0</v>
      </c>
      <c r="F42">
        <v>0</v>
      </c>
      <c r="G42">
        <v>0</v>
      </c>
    </row>
    <row r="43" spans="1:7" x14ac:dyDescent="0.15">
      <c r="A43">
        <v>42</v>
      </c>
      <c r="B43" s="198" t="s">
        <v>233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15">
      <c r="A44">
        <v>43</v>
      </c>
      <c r="B44" s="198" t="s">
        <v>234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15">
      <c r="A45">
        <v>44</v>
      </c>
      <c r="B45" s="198" t="s">
        <v>235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15">
      <c r="A46">
        <v>45</v>
      </c>
      <c r="B46" s="198" t="s">
        <v>236</v>
      </c>
      <c r="C46">
        <v>0</v>
      </c>
      <c r="D46">
        <v>0</v>
      </c>
      <c r="E46">
        <v>0</v>
      </c>
      <c r="F46">
        <v>0</v>
      </c>
      <c r="G46">
        <v>0.8</v>
      </c>
    </row>
    <row r="47" spans="1:7" x14ac:dyDescent="0.15">
      <c r="A47">
        <v>46</v>
      </c>
      <c r="B47" s="198" t="s">
        <v>237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15">
      <c r="A48">
        <v>47</v>
      </c>
      <c r="B48" s="198" t="s">
        <v>238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15">
      <c r="A49">
        <v>48</v>
      </c>
      <c r="B49" s="198" t="s">
        <v>239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15">
      <c r="A50">
        <v>49</v>
      </c>
      <c r="B50" s="198" t="s">
        <v>240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15">
      <c r="A51">
        <v>50</v>
      </c>
      <c r="B51" s="198" t="s">
        <v>241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15">
      <c r="A52">
        <v>51</v>
      </c>
      <c r="B52" s="198" t="s">
        <v>242</v>
      </c>
      <c r="C52">
        <v>0</v>
      </c>
      <c r="D52">
        <v>0</v>
      </c>
      <c r="E52">
        <v>0</v>
      </c>
      <c r="F52">
        <v>0</v>
      </c>
      <c r="G5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86"/>
    <col min="2" max="2" width="41.83203125" style="86" bestFit="1" customWidth="1"/>
    <col min="3" max="3" width="9.33203125" style="86" bestFit="1" customWidth="1"/>
    <col min="4" max="4" width="13" style="86" bestFit="1" customWidth="1"/>
    <col min="5" max="6" width="9.33203125" style="86" bestFit="1" customWidth="1"/>
    <col min="7" max="7" width="9.33203125" style="102" bestFit="1" customWidth="1"/>
    <col min="8" max="8" width="9.33203125" style="86" bestFit="1" customWidth="1"/>
    <col min="9" max="9" width="11" style="86" customWidth="1"/>
    <col min="10" max="10" width="8.83203125" style="86"/>
    <col min="15" max="16384" width="8.83203125" style="8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1">
        <v>1</v>
      </c>
      <c r="B2" s="151" t="s">
        <v>192</v>
      </c>
      <c r="C2" s="8">
        <v>3.3132524490356445</v>
      </c>
      <c r="D2" s="9">
        <v>9.9999999747524271E-7</v>
      </c>
      <c r="E2" s="9">
        <v>5.9999998658895493E-2</v>
      </c>
      <c r="F2" s="9">
        <v>16.846153259277344</v>
      </c>
      <c r="G2" s="7">
        <v>0</v>
      </c>
      <c r="H2" s="9">
        <v>3.5616438835859299E-3</v>
      </c>
      <c r="I2">
        <v>0</v>
      </c>
      <c r="J2"/>
    </row>
    <row r="3" spans="1:10" ht="15" customHeight="1" x14ac:dyDescent="0.15">
      <c r="A3" s="152">
        <v>2</v>
      </c>
      <c r="B3" s="152" t="s">
        <v>193</v>
      </c>
      <c r="C3" s="8">
        <v>4.1004581451416016</v>
      </c>
      <c r="D3" s="9">
        <v>0.50199997425079346</v>
      </c>
      <c r="E3" s="9">
        <v>0.10000000149011612</v>
      </c>
      <c r="F3" s="9">
        <v>11.789999961853027</v>
      </c>
      <c r="G3" s="9">
        <v>0.88009965419769287</v>
      </c>
      <c r="H3" s="9">
        <v>8.4817642346024513E-3</v>
      </c>
      <c r="I3">
        <v>4.418100044131279E-2</v>
      </c>
      <c r="J3"/>
    </row>
    <row r="4" spans="1:10" ht="15" customHeight="1" x14ac:dyDescent="0.15">
      <c r="A4" s="153">
        <v>3</v>
      </c>
      <c r="B4" s="153" t="s">
        <v>194</v>
      </c>
      <c r="C4" s="8">
        <v>4.4021620750427246</v>
      </c>
      <c r="D4" s="9">
        <v>9.9999999747524271E-7</v>
      </c>
      <c r="E4" s="9">
        <v>5.9999998658895493E-2</v>
      </c>
      <c r="F4" s="9">
        <v>15</v>
      </c>
      <c r="G4" s="9">
        <v>0.28076925873756409</v>
      </c>
      <c r="H4" s="9">
        <v>3.9999997243285179E-3</v>
      </c>
      <c r="I4">
        <v>0</v>
      </c>
      <c r="J4"/>
    </row>
    <row r="5" spans="1:10" ht="15" customHeight="1" x14ac:dyDescent="0.15">
      <c r="A5" s="154">
        <v>4</v>
      </c>
      <c r="B5" s="154" t="s">
        <v>195</v>
      </c>
      <c r="C5" s="8">
        <v>4.1255640983581543</v>
      </c>
      <c r="D5" s="9">
        <v>0.59090900421142578</v>
      </c>
      <c r="E5" s="9">
        <v>0.10199999809265137</v>
      </c>
      <c r="F5" s="9">
        <v>17.41200065612793</v>
      </c>
      <c r="G5" s="9">
        <v>0.27438643574714661</v>
      </c>
      <c r="H5" s="9">
        <v>5.8580287732183933E-3</v>
      </c>
      <c r="I5">
        <v>1.6537999734282494E-2</v>
      </c>
      <c r="J5"/>
    </row>
    <row r="6" spans="1:10" ht="15" customHeight="1" x14ac:dyDescent="0.15">
      <c r="A6" s="155">
        <v>5</v>
      </c>
      <c r="B6" s="155" t="s">
        <v>196</v>
      </c>
      <c r="C6" s="8">
        <v>4.4226083755493164</v>
      </c>
      <c r="D6" s="9">
        <v>0.10199999809265137</v>
      </c>
      <c r="E6" s="9">
        <v>0.10899999737739563</v>
      </c>
      <c r="F6" s="9">
        <v>13.100000381469727</v>
      </c>
      <c r="G6" s="9">
        <v>0.16882684826850891</v>
      </c>
      <c r="H6" s="9">
        <v>8.3206100389361382E-3</v>
      </c>
      <c r="I6">
        <v>1.8769999733194709E-3</v>
      </c>
      <c r="J6"/>
    </row>
    <row r="7" spans="1:10" ht="15" customHeight="1" x14ac:dyDescent="0.15">
      <c r="A7" s="156">
        <v>6</v>
      </c>
      <c r="B7" s="156" t="s">
        <v>197</v>
      </c>
      <c r="C7" s="8">
        <v>3</v>
      </c>
      <c r="D7" s="9">
        <v>4.5299998600967228E-4</v>
      </c>
      <c r="E7" s="9">
        <v>0.25</v>
      </c>
      <c r="F7" s="9">
        <v>54.75</v>
      </c>
      <c r="G7" s="9">
        <v>8.8300220668315887E-3</v>
      </c>
      <c r="H7" s="9">
        <v>4.5662098564207554E-3</v>
      </c>
      <c r="I7">
        <v>9.9999999747524271E-7</v>
      </c>
      <c r="J7"/>
    </row>
    <row r="8" spans="1:10" ht="15" customHeight="1" x14ac:dyDescent="0.15">
      <c r="A8" s="157">
        <v>7</v>
      </c>
      <c r="B8" s="157" t="s">
        <v>198</v>
      </c>
      <c r="C8" s="8">
        <v>4.2803287506103516</v>
      </c>
      <c r="D8" s="9">
        <v>2.6906000450253487E-2</v>
      </c>
      <c r="E8" s="9">
        <v>0.25</v>
      </c>
      <c r="F8" s="9">
        <v>54.75</v>
      </c>
      <c r="G8" s="9">
        <v>0.16185013949871063</v>
      </c>
      <c r="H8" s="9">
        <v>4.5662098564207554E-3</v>
      </c>
      <c r="I8">
        <v>5.999999848427251E-5</v>
      </c>
      <c r="J8"/>
    </row>
    <row r="9" spans="1:10" ht="15" customHeight="1" x14ac:dyDescent="0.15">
      <c r="A9" s="158">
        <v>8</v>
      </c>
      <c r="B9" s="158" t="s">
        <v>199</v>
      </c>
      <c r="C9" s="8">
        <v>3.5338497161865234</v>
      </c>
      <c r="D9" s="9">
        <v>5.8410000056028366E-3</v>
      </c>
      <c r="E9" s="9">
        <v>0.25</v>
      </c>
      <c r="F9" s="9">
        <v>54.75</v>
      </c>
      <c r="G9" s="9">
        <v>8.9025851339101791E-3</v>
      </c>
      <c r="H9" s="9">
        <v>4.5662098564207554E-3</v>
      </c>
      <c r="I9">
        <v>1.2999999853491317E-5</v>
      </c>
      <c r="J9"/>
    </row>
    <row r="10" spans="1:10" ht="15" customHeight="1" x14ac:dyDescent="0.15">
      <c r="A10" s="159">
        <v>9</v>
      </c>
      <c r="B10" s="159" t="s">
        <v>200</v>
      </c>
      <c r="C10" s="8">
        <v>3.9534523487091064</v>
      </c>
      <c r="D10" s="9">
        <v>8.1623315811157227</v>
      </c>
      <c r="E10" s="9">
        <v>0.19848355650901794</v>
      </c>
      <c r="F10" s="9">
        <v>1.0913102626800537</v>
      </c>
      <c r="G10" s="9">
        <v>0.53540027141571045</v>
      </c>
      <c r="H10" s="9">
        <v>0.18187637627124786</v>
      </c>
      <c r="I10">
        <v>0.77360773086547852</v>
      </c>
      <c r="J10"/>
    </row>
    <row r="11" spans="1:10" ht="15" customHeight="1" x14ac:dyDescent="0.15">
      <c r="A11" s="160">
        <v>10</v>
      </c>
      <c r="B11" s="160" t="s">
        <v>201</v>
      </c>
      <c r="C11" s="8">
        <v>3.6210157871246338</v>
      </c>
      <c r="D11" s="9">
        <v>1.3600000143051147</v>
      </c>
      <c r="E11" s="9">
        <v>0.15494848787784576</v>
      </c>
      <c r="F11" s="9">
        <v>1.6369655132293701</v>
      </c>
      <c r="G11" s="9">
        <v>0.91970008611679077</v>
      </c>
      <c r="H11" s="9">
        <v>9.4655923545360565E-2</v>
      </c>
      <c r="I11">
        <v>0</v>
      </c>
      <c r="J11"/>
    </row>
    <row r="12" spans="1:10" ht="15" customHeight="1" x14ac:dyDescent="0.15">
      <c r="A12" s="161">
        <v>11</v>
      </c>
      <c r="B12" s="161" t="s">
        <v>202</v>
      </c>
      <c r="C12" s="8">
        <v>3.44687819480896</v>
      </c>
      <c r="D12" s="9">
        <v>2.7497062683105469</v>
      </c>
      <c r="E12" s="9">
        <v>8.2697391510009766E-2</v>
      </c>
      <c r="F12" s="9">
        <v>1.698299765586853</v>
      </c>
      <c r="G12" s="9">
        <v>0.94999992847442627</v>
      </c>
      <c r="H12" s="9">
        <v>4.8694226890802383E-2</v>
      </c>
      <c r="I12">
        <v>0</v>
      </c>
      <c r="J12"/>
    </row>
    <row r="13" spans="1:10" ht="15" customHeight="1" x14ac:dyDescent="0.15">
      <c r="A13" s="162">
        <v>12</v>
      </c>
      <c r="B13" s="162" t="s">
        <v>203</v>
      </c>
      <c r="C13" s="8">
        <v>3.3653833866119385</v>
      </c>
      <c r="D13" s="9">
        <v>13.929038047790527</v>
      </c>
      <c r="E13" s="9">
        <v>0.12404609471559525</v>
      </c>
      <c r="F13" s="9">
        <v>2.5474495887756348</v>
      </c>
      <c r="G13" s="9">
        <v>0.94999998807907104</v>
      </c>
      <c r="H13" s="9">
        <v>4.8694230616092682E-2</v>
      </c>
      <c r="I13">
        <v>0</v>
      </c>
      <c r="J13"/>
    </row>
    <row r="14" spans="1:10" ht="15" customHeight="1" x14ac:dyDescent="0.15">
      <c r="A14" s="163">
        <v>13</v>
      </c>
      <c r="B14" s="163" t="s">
        <v>204</v>
      </c>
      <c r="C14" s="8">
        <v>4.3820934295654297</v>
      </c>
      <c r="D14" s="9">
        <v>0.92929291725158691</v>
      </c>
      <c r="E14" s="9">
        <v>2.9898449778556824E-2</v>
      </c>
      <c r="F14" s="9">
        <v>1.1929910182952881</v>
      </c>
      <c r="G14" s="9">
        <v>0.54918974637985229</v>
      </c>
      <c r="H14" s="9">
        <v>2.5061756372451782E-2</v>
      </c>
      <c r="I14">
        <v>3.6359999794512987E-3</v>
      </c>
      <c r="J14"/>
    </row>
    <row r="15" spans="1:10" ht="15" customHeight="1" x14ac:dyDescent="0.15">
      <c r="A15" s="164">
        <v>14</v>
      </c>
      <c r="B15" s="164" t="s">
        <v>205</v>
      </c>
      <c r="C15" s="8">
        <v>4.2245926856994629</v>
      </c>
      <c r="D15" s="9">
        <v>0.28282800316810608</v>
      </c>
      <c r="E15" s="9">
        <v>3.9660688489675522E-2</v>
      </c>
      <c r="F15" s="9">
        <v>1.7894866466522217</v>
      </c>
      <c r="G15" s="9">
        <v>0.69745749235153198</v>
      </c>
      <c r="H15" s="9">
        <v>2.2163165733218193E-2</v>
      </c>
      <c r="I15">
        <v>0</v>
      </c>
      <c r="J15"/>
    </row>
    <row r="16" spans="1:10" ht="15" customHeight="1" x14ac:dyDescent="0.15">
      <c r="A16" s="165">
        <v>15</v>
      </c>
      <c r="B16" s="165" t="s">
        <v>206</v>
      </c>
      <c r="C16" s="8">
        <v>3.1215755939483643</v>
      </c>
      <c r="D16" s="9">
        <v>2.4073765277862549</v>
      </c>
      <c r="E16" s="9">
        <v>0.31670001149177551</v>
      </c>
      <c r="F16" s="9">
        <v>3.2709999084472656</v>
      </c>
      <c r="G16" s="9">
        <v>0.94999992847442627</v>
      </c>
      <c r="H16" s="9">
        <v>9.6820548176765442E-2</v>
      </c>
      <c r="I16">
        <v>0</v>
      </c>
      <c r="J16"/>
    </row>
    <row r="17" spans="1:10" ht="15" customHeight="1" x14ac:dyDescent="0.15">
      <c r="A17" s="166">
        <v>16</v>
      </c>
      <c r="B17" s="166" t="s">
        <v>207</v>
      </c>
      <c r="C17" s="8">
        <v>3.0212042331695557</v>
      </c>
      <c r="D17" s="9">
        <v>7.7864327430725098</v>
      </c>
      <c r="E17" s="9">
        <v>0.23462624847888947</v>
      </c>
      <c r="F17" s="9">
        <v>2.3044834136962891</v>
      </c>
      <c r="G17" s="9">
        <v>0.95000004768371582</v>
      </c>
      <c r="H17" s="9">
        <v>0.101812943816185</v>
      </c>
      <c r="I17">
        <v>0</v>
      </c>
      <c r="J17"/>
    </row>
    <row r="18" spans="1:10" ht="15" customHeight="1" x14ac:dyDescent="0.15">
      <c r="A18" s="167">
        <v>17</v>
      </c>
      <c r="B18" s="167" t="s">
        <v>208</v>
      </c>
      <c r="C18" s="8">
        <v>3.0805702209472656</v>
      </c>
      <c r="D18" s="9">
        <v>0.19168068468570709</v>
      </c>
      <c r="E18" s="9">
        <v>0.26736685633659363</v>
      </c>
      <c r="F18" s="9">
        <v>1.6435713768005371</v>
      </c>
      <c r="G18" s="9">
        <v>0.94999992847442627</v>
      </c>
      <c r="H18" s="9">
        <v>0.16267432272434235</v>
      </c>
      <c r="I18">
        <v>0</v>
      </c>
      <c r="J18"/>
    </row>
    <row r="19" spans="1:10" ht="15" customHeight="1" x14ac:dyDescent="0.15">
      <c r="A19" s="168">
        <v>18</v>
      </c>
      <c r="B19" s="168" t="s">
        <v>209</v>
      </c>
      <c r="C19" s="8">
        <v>4.2150096893310547</v>
      </c>
      <c r="D19" s="9">
        <v>0.46937400102615356</v>
      </c>
      <c r="E19" s="9">
        <v>0.23297052085399628</v>
      </c>
      <c r="F19" s="9">
        <v>1.7789106369018555</v>
      </c>
      <c r="G19" s="9">
        <v>0.80597162246704102</v>
      </c>
      <c r="H19" s="9">
        <v>0.13096246123313904</v>
      </c>
      <c r="I19">
        <v>0</v>
      </c>
      <c r="J19"/>
    </row>
    <row r="20" spans="1:10" ht="15" customHeight="1" x14ac:dyDescent="0.15">
      <c r="A20" s="169">
        <v>19</v>
      </c>
      <c r="B20" s="169" t="s">
        <v>210</v>
      </c>
      <c r="C20" s="8">
        <v>4.0000486373901367</v>
      </c>
      <c r="D20" s="9">
        <v>7.8428402543067932E-2</v>
      </c>
      <c r="E20" s="9">
        <v>0.15885727107524872</v>
      </c>
      <c r="F20" s="9">
        <v>2.2104992866516113</v>
      </c>
      <c r="G20" s="9">
        <v>0.95000004768371582</v>
      </c>
      <c r="H20" s="9">
        <v>7.1864880621433258E-2</v>
      </c>
      <c r="I20">
        <v>0</v>
      </c>
      <c r="J20"/>
    </row>
    <row r="21" spans="1:10" ht="15" customHeight="1" x14ac:dyDescent="0.15">
      <c r="A21" s="170">
        <v>20</v>
      </c>
      <c r="B21" s="170" t="s">
        <v>211</v>
      </c>
      <c r="C21" s="8">
        <v>3.6828417778015137</v>
      </c>
      <c r="D21" s="9">
        <v>20.664424896240234</v>
      </c>
      <c r="E21" s="9">
        <v>0.11274495720863342</v>
      </c>
      <c r="F21" s="9">
        <v>1.7018868923187256</v>
      </c>
      <c r="G21" s="9">
        <v>0.95000016689300537</v>
      </c>
      <c r="H21" s="9">
        <v>6.6247031092643738E-2</v>
      </c>
      <c r="I21">
        <v>0</v>
      </c>
      <c r="J21"/>
    </row>
    <row r="22" spans="1:10" ht="15" customHeight="1" x14ac:dyDescent="0.15">
      <c r="A22" s="171">
        <v>21</v>
      </c>
      <c r="B22" s="171" t="s">
        <v>212</v>
      </c>
      <c r="C22" s="8">
        <v>3.8497412204742432</v>
      </c>
      <c r="D22" s="9">
        <v>1.6652315389364958E-3</v>
      </c>
      <c r="E22" s="9">
        <v>0.52957648038864136</v>
      </c>
      <c r="F22" s="9">
        <v>5.9403591156005859</v>
      </c>
      <c r="G22" s="9">
        <v>0.95000004768371582</v>
      </c>
      <c r="H22" s="9">
        <v>8.9148901402950287E-2</v>
      </c>
      <c r="I22">
        <v>1.0099999781232327E-4</v>
      </c>
      <c r="J22"/>
    </row>
    <row r="23" spans="1:10" ht="15" customHeight="1" x14ac:dyDescent="0.15">
      <c r="A23" s="172">
        <v>22</v>
      </c>
      <c r="B23" s="172" t="s">
        <v>213</v>
      </c>
      <c r="C23" s="8">
        <v>4.2841768264770508</v>
      </c>
      <c r="D23" s="9">
        <v>1.3331680297851562</v>
      </c>
      <c r="E23" s="9">
        <v>9.781840443611145E-2</v>
      </c>
      <c r="F23" s="9">
        <v>1.1065165996551514</v>
      </c>
      <c r="G23" s="9">
        <v>0.94999998807907104</v>
      </c>
      <c r="H23" s="9">
        <v>8.8402114808559418E-2</v>
      </c>
      <c r="I23">
        <v>2.0199999562464654E-4</v>
      </c>
      <c r="J23"/>
    </row>
    <row r="24" spans="1:10" ht="15" customHeight="1" x14ac:dyDescent="0.15">
      <c r="A24" s="173">
        <v>23</v>
      </c>
      <c r="B24" s="173" t="s">
        <v>214</v>
      </c>
      <c r="C24" s="8">
        <v>3.9083361625671387</v>
      </c>
      <c r="D24" s="9">
        <v>20.176788330078125</v>
      </c>
      <c r="E24" s="9">
        <v>0.14672760665416718</v>
      </c>
      <c r="F24" s="9">
        <v>1.6597750186920166</v>
      </c>
      <c r="G24" s="9">
        <v>0.94999992847442627</v>
      </c>
      <c r="H24" s="9">
        <v>8.8402107357978821E-2</v>
      </c>
      <c r="I24">
        <v>0</v>
      </c>
      <c r="J24"/>
    </row>
    <row r="25" spans="1:10" ht="15" customHeight="1" x14ac:dyDescent="0.15">
      <c r="A25" s="174">
        <v>24</v>
      </c>
      <c r="B25" s="174" t="s">
        <v>215</v>
      </c>
      <c r="C25" s="8">
        <v>3.3552854061126709</v>
      </c>
      <c r="D25" s="9">
        <v>1.9579983949661255</v>
      </c>
      <c r="E25" s="9">
        <v>0.15495011210441589</v>
      </c>
      <c r="F25" s="9">
        <v>1.385931134223938</v>
      </c>
      <c r="G25" s="9">
        <v>0.94999998807907104</v>
      </c>
      <c r="H25" s="9">
        <v>0.11180217564105988</v>
      </c>
      <c r="I25">
        <v>1.4140000566840172E-3</v>
      </c>
      <c r="J25"/>
    </row>
    <row r="26" spans="1:10" ht="15" customHeight="1" x14ac:dyDescent="0.15">
      <c r="A26" s="175">
        <v>25</v>
      </c>
      <c r="B26" s="175" t="s">
        <v>216</v>
      </c>
      <c r="C26" s="8">
        <v>3.2801847457885742</v>
      </c>
      <c r="D26" s="9">
        <v>20.5537109375</v>
      </c>
      <c r="E26" s="9">
        <v>0.23242516815662384</v>
      </c>
      <c r="F26" s="9">
        <v>2.0788967609405518</v>
      </c>
      <c r="G26" s="9">
        <v>0.95000004768371582</v>
      </c>
      <c r="H26" s="9">
        <v>0.11180216819047928</v>
      </c>
      <c r="I26">
        <v>0</v>
      </c>
      <c r="J26"/>
    </row>
    <row r="27" spans="1:10" ht="15" customHeight="1" x14ac:dyDescent="0.15">
      <c r="A27" s="176">
        <v>26</v>
      </c>
      <c r="B27" s="176" t="s">
        <v>217</v>
      </c>
      <c r="C27" s="8">
        <v>3.1073019504547119</v>
      </c>
      <c r="D27" s="9">
        <v>7.9478535652160645</v>
      </c>
      <c r="E27" s="9">
        <v>0.56403237581253052</v>
      </c>
      <c r="F27" s="9">
        <v>4.4744110107421875</v>
      </c>
      <c r="G27" s="9">
        <v>0.94999992847442627</v>
      </c>
      <c r="H27" s="9">
        <v>0.12605734169483185</v>
      </c>
      <c r="I27">
        <v>0</v>
      </c>
      <c r="J27"/>
    </row>
    <row r="28" spans="1:10" ht="15" customHeight="1" x14ac:dyDescent="0.15">
      <c r="A28" s="177">
        <v>27</v>
      </c>
      <c r="B28" s="177" t="s">
        <v>218</v>
      </c>
      <c r="C28" s="8">
        <v>3.5890908241271973</v>
      </c>
      <c r="D28" s="9">
        <v>0.58740764856338501</v>
      </c>
      <c r="E28" s="9">
        <v>0.1142733246088028</v>
      </c>
      <c r="F28" s="9">
        <v>1.3743388652801514</v>
      </c>
      <c r="G28" s="9">
        <v>0.94999998807907104</v>
      </c>
      <c r="H28" s="9">
        <v>8.314785361289978E-2</v>
      </c>
      <c r="I28">
        <v>0</v>
      </c>
      <c r="J28"/>
    </row>
    <row r="29" spans="1:10" ht="15" customHeight="1" x14ac:dyDescent="0.15">
      <c r="A29" s="178">
        <v>28</v>
      </c>
      <c r="B29" s="178" t="s">
        <v>219</v>
      </c>
      <c r="C29" s="8">
        <v>4.0390710830688477</v>
      </c>
      <c r="D29" s="9">
        <v>0.57282346487045288</v>
      </c>
      <c r="E29" s="9">
        <v>0.10103663057088852</v>
      </c>
      <c r="F29" s="9">
        <v>1.2651920318603516</v>
      </c>
      <c r="G29" s="9">
        <v>0.94999992847442627</v>
      </c>
      <c r="H29" s="9">
        <v>7.9858727753162384E-2</v>
      </c>
      <c r="I29">
        <v>0</v>
      </c>
      <c r="J29"/>
    </row>
    <row r="30" spans="1:10" ht="15" customHeight="1" x14ac:dyDescent="0.15">
      <c r="A30" s="179">
        <v>29</v>
      </c>
      <c r="B30" s="179" t="s">
        <v>220</v>
      </c>
      <c r="C30" s="8">
        <v>4.2620081901550293</v>
      </c>
      <c r="D30" s="9">
        <v>3.4225471317768097E-2</v>
      </c>
      <c r="E30" s="9">
        <v>0.27947846055030823</v>
      </c>
      <c r="F30" s="9">
        <v>4.0927653312683105</v>
      </c>
      <c r="G30" s="9">
        <v>0.94999998807907104</v>
      </c>
      <c r="H30" s="9">
        <v>6.8285971879959106E-2</v>
      </c>
      <c r="I30">
        <v>1.3672159984707832E-3</v>
      </c>
      <c r="J30"/>
    </row>
    <row r="31" spans="1:10" ht="15" customHeight="1" x14ac:dyDescent="0.15">
      <c r="A31" s="180">
        <v>30</v>
      </c>
      <c r="B31" s="180" t="s">
        <v>221</v>
      </c>
      <c r="C31" s="8">
        <v>3.2571780681610107</v>
      </c>
      <c r="D31" s="9">
        <v>16.080345153808594</v>
      </c>
      <c r="E31" s="9">
        <v>0.57800000905990601</v>
      </c>
      <c r="F31" s="9">
        <v>4.9000000953674316</v>
      </c>
      <c r="G31" s="9">
        <v>0.9350699782371521</v>
      </c>
      <c r="H31" s="9">
        <v>0.11795918643474579</v>
      </c>
      <c r="I31">
        <v>1.6162000596523285E-2</v>
      </c>
      <c r="J31"/>
    </row>
    <row r="32" spans="1:10" ht="15" customHeight="1" x14ac:dyDescent="0.15">
      <c r="A32" s="208">
        <v>31</v>
      </c>
      <c r="B32" s="208" t="s">
        <v>222</v>
      </c>
      <c r="C32" s="8">
        <v>3.195263147354126</v>
      </c>
      <c r="D32" s="9">
        <v>22.691198348999023</v>
      </c>
      <c r="E32" s="9">
        <v>0.9808012843132019</v>
      </c>
      <c r="F32" s="9">
        <v>4.9040064811706543</v>
      </c>
      <c r="G32" s="9">
        <v>0.94999998807907104</v>
      </c>
      <c r="H32" s="9">
        <v>0.20000000298023224</v>
      </c>
      <c r="I32">
        <v>0</v>
      </c>
      <c r="J32"/>
    </row>
    <row r="33" spans="1:10" ht="15" customHeight="1" x14ac:dyDescent="0.15">
      <c r="A33" s="209">
        <v>32</v>
      </c>
      <c r="B33" s="209" t="s">
        <v>223</v>
      </c>
      <c r="C33" s="8">
        <v>3.3836910724639893</v>
      </c>
      <c r="D33" s="9">
        <v>9.229949951171875</v>
      </c>
      <c r="E33" s="9">
        <v>0.57330656051635742</v>
      </c>
      <c r="F33" s="9">
        <v>3.6009495258331299</v>
      </c>
      <c r="G33" s="9">
        <v>0.9500001072883606</v>
      </c>
      <c r="H33" s="9">
        <v>0.15920983254909515</v>
      </c>
      <c r="I33">
        <v>0</v>
      </c>
      <c r="J33"/>
    </row>
    <row r="34" spans="1:10" ht="15" customHeight="1" x14ac:dyDescent="0.15">
      <c r="A34" s="210">
        <v>33</v>
      </c>
      <c r="B34" s="210" t="s">
        <v>224</v>
      </c>
      <c r="C34" s="8">
        <v>3.2862000465393066</v>
      </c>
      <c r="D34" s="9">
        <v>6.055598258972168</v>
      </c>
      <c r="E34" s="9">
        <v>0.51048272848129272</v>
      </c>
      <c r="F34" s="9">
        <v>4.1310372352600098</v>
      </c>
      <c r="G34" s="9">
        <v>0.95000004768371582</v>
      </c>
      <c r="H34" s="9">
        <v>0.12357252836227417</v>
      </c>
      <c r="I34">
        <v>2.0200000144541264E-3</v>
      </c>
      <c r="J34"/>
    </row>
    <row r="35" spans="1:10" ht="15" customHeight="1" x14ac:dyDescent="0.15">
      <c r="A35" s="211">
        <v>34</v>
      </c>
      <c r="B35" s="211" t="s">
        <v>225</v>
      </c>
      <c r="C35" s="8">
        <v>4.0791387557983398</v>
      </c>
      <c r="D35" s="9">
        <v>0.1151445060968399</v>
      </c>
      <c r="E35" s="9">
        <v>0.18279924988746643</v>
      </c>
      <c r="F35" s="9">
        <v>1.9989951848983765</v>
      </c>
      <c r="G35" s="9">
        <v>0.94999992847442627</v>
      </c>
      <c r="H35" s="9">
        <v>9.1445565223693848E-2</v>
      </c>
      <c r="I35">
        <v>0</v>
      </c>
      <c r="J35"/>
    </row>
    <row r="36" spans="1:10" ht="15" customHeight="1" x14ac:dyDescent="0.15">
      <c r="A36" s="212">
        <v>35</v>
      </c>
      <c r="B36" s="212" t="s">
        <v>226</v>
      </c>
      <c r="C36" s="8">
        <v>3.4184212684631348</v>
      </c>
      <c r="D36" s="9">
        <v>2.0131492614746094</v>
      </c>
      <c r="E36" s="9">
        <v>0.6383817195892334</v>
      </c>
      <c r="F36" s="9">
        <v>5.2910275459289551</v>
      </c>
      <c r="G36" s="9">
        <v>0.94999992847442627</v>
      </c>
      <c r="H36" s="9">
        <v>0.12065363675355911</v>
      </c>
      <c r="I36">
        <v>0</v>
      </c>
      <c r="J36"/>
    </row>
    <row r="37" spans="1:10" ht="15" customHeight="1" x14ac:dyDescent="0.15">
      <c r="A37" s="213">
        <v>36</v>
      </c>
      <c r="B37" s="213" t="s">
        <v>227</v>
      </c>
      <c r="C37" s="8">
        <v>3.3839812278747559</v>
      </c>
      <c r="D37" s="9">
        <v>10.392433166503906</v>
      </c>
      <c r="E37" s="9">
        <v>1.4220422506332397</v>
      </c>
      <c r="F37" s="9">
        <v>4.7893819808959961</v>
      </c>
      <c r="G37" s="9">
        <v>0.9500001072883606</v>
      </c>
      <c r="H37" s="9">
        <v>0.29691559076309204</v>
      </c>
      <c r="I37">
        <v>0</v>
      </c>
      <c r="J37"/>
    </row>
    <row r="38" spans="1:10" ht="15" customHeight="1" x14ac:dyDescent="0.15">
      <c r="A38" s="214">
        <v>37</v>
      </c>
      <c r="B38" s="214" t="s">
        <v>228</v>
      </c>
      <c r="C38" s="8">
        <v>3.9627389907836914</v>
      </c>
      <c r="D38" s="9">
        <v>3.3353977203369141</v>
      </c>
      <c r="E38" s="9">
        <v>0.60000002384185791</v>
      </c>
      <c r="F38" s="9">
        <v>4</v>
      </c>
      <c r="G38" s="9">
        <v>0.94999992847442627</v>
      </c>
      <c r="H38" s="9">
        <v>0.15000000596046448</v>
      </c>
      <c r="I38">
        <v>0</v>
      </c>
      <c r="J38"/>
    </row>
    <row r="39" spans="1:10" ht="15" customHeight="1" x14ac:dyDescent="0.15">
      <c r="A39" s="215">
        <v>38</v>
      </c>
      <c r="B39" s="215" t="s">
        <v>229</v>
      </c>
      <c r="C39" s="8">
        <v>3.2789473533630371</v>
      </c>
      <c r="D39" s="9">
        <v>8.8851165771484375</v>
      </c>
      <c r="E39" s="9">
        <v>0.5</v>
      </c>
      <c r="F39" s="9">
        <v>3.3333332538604736</v>
      </c>
      <c r="G39" s="9">
        <v>0.94999998807907104</v>
      </c>
      <c r="H39" s="9">
        <v>0.15000000596046448</v>
      </c>
      <c r="I39">
        <v>0</v>
      </c>
      <c r="J39"/>
    </row>
    <row r="40" spans="1:10" ht="15" customHeight="1" x14ac:dyDescent="0.15">
      <c r="A40" s="216">
        <v>39</v>
      </c>
      <c r="B40" s="216" t="s">
        <v>230</v>
      </c>
      <c r="C40" s="8">
        <v>2.9183814525604248</v>
      </c>
      <c r="D40" s="9">
        <v>0.17443400621414185</v>
      </c>
      <c r="E40" s="9">
        <v>0.37999999523162842</v>
      </c>
      <c r="F40" s="9">
        <v>4.4200000762939453</v>
      </c>
      <c r="G40" s="9">
        <v>0.30977243185043335</v>
      </c>
      <c r="H40" s="9">
        <v>8.5972845554351807E-2</v>
      </c>
      <c r="I40">
        <v>0</v>
      </c>
      <c r="J40"/>
    </row>
    <row r="41" spans="1:10" ht="15" customHeight="1" x14ac:dyDescent="0.15">
      <c r="A41" s="217">
        <v>40</v>
      </c>
      <c r="B41" s="217" t="s">
        <v>231</v>
      </c>
      <c r="C41" s="8">
        <v>3.0844264030456543</v>
      </c>
      <c r="D41" s="9">
        <v>27.417135238647461</v>
      </c>
      <c r="E41" s="9">
        <v>0.37999999523162842</v>
      </c>
      <c r="F41" s="9">
        <v>4.4200000762939453</v>
      </c>
      <c r="G41" s="9">
        <v>0.94999980926513672</v>
      </c>
      <c r="H41" s="9">
        <v>8.5972845554351807E-2</v>
      </c>
      <c r="I41">
        <v>0</v>
      </c>
      <c r="J41"/>
    </row>
    <row r="42" spans="1:10" ht="15" customHeight="1" x14ac:dyDescent="0.15">
      <c r="A42" s="218">
        <v>41</v>
      </c>
      <c r="B42" s="218" t="s">
        <v>232</v>
      </c>
      <c r="C42" s="8">
        <v>2.9311411380767822</v>
      </c>
      <c r="D42" s="9">
        <v>1.8728433176875114E-2</v>
      </c>
      <c r="E42" s="9">
        <v>0.37999999523162842</v>
      </c>
      <c r="F42" s="9">
        <v>4.4200000762939453</v>
      </c>
      <c r="G42" s="9">
        <v>0.94999998807907104</v>
      </c>
      <c r="H42" s="9">
        <v>8.5972845554351807E-2</v>
      </c>
      <c r="I42">
        <v>4.0400000289082527E-3</v>
      </c>
      <c r="J42"/>
    </row>
    <row r="43" spans="1:10" ht="15" customHeight="1" x14ac:dyDescent="0.15">
      <c r="A43" s="219">
        <v>42</v>
      </c>
      <c r="B43" s="219" t="s">
        <v>233</v>
      </c>
      <c r="C43" s="8">
        <v>2.4569473266601562</v>
      </c>
      <c r="D43" s="9">
        <v>14.476544380187988</v>
      </c>
      <c r="E43" s="9">
        <v>1.4500000476837158</v>
      </c>
      <c r="F43" s="9">
        <v>9.6700000762939453</v>
      </c>
      <c r="G43" s="9">
        <v>0.94999992847442627</v>
      </c>
      <c r="H43" s="9">
        <v>0.14994829893112183</v>
      </c>
      <c r="I43">
        <v>0</v>
      </c>
      <c r="J43"/>
    </row>
    <row r="44" spans="1:10" ht="15" customHeight="1" x14ac:dyDescent="0.15">
      <c r="A44" s="220">
        <v>43</v>
      </c>
      <c r="B44" s="220" t="s">
        <v>234</v>
      </c>
      <c r="C44" s="8">
        <v>2</v>
      </c>
      <c r="D44" s="9">
        <v>61.278709411621094</v>
      </c>
      <c r="E44" s="9">
        <v>0.60000002384185791</v>
      </c>
      <c r="F44" s="9">
        <v>6.6700000762939453</v>
      </c>
      <c r="G44" s="9">
        <v>0.94999992847442627</v>
      </c>
      <c r="H44" s="9">
        <v>8.9955024421215057E-2</v>
      </c>
      <c r="I44">
        <v>0</v>
      </c>
      <c r="J44"/>
    </row>
    <row r="45" spans="1:10" ht="15" customHeight="1" x14ac:dyDescent="0.15">
      <c r="A45" s="221">
        <v>44</v>
      </c>
      <c r="B45" s="221" t="s">
        <v>235</v>
      </c>
      <c r="C45" s="8">
        <v>2</v>
      </c>
      <c r="D45" s="9">
        <v>25.290258407592773</v>
      </c>
      <c r="E45" s="9">
        <v>2</v>
      </c>
      <c r="F45" s="9">
        <v>6.3299999237060547</v>
      </c>
      <c r="G45" s="9">
        <v>0.94999998807907104</v>
      </c>
      <c r="H45" s="9">
        <v>0.3159557580947876</v>
      </c>
      <c r="I45">
        <v>0</v>
      </c>
      <c r="J45"/>
    </row>
    <row r="46" spans="1:10" ht="15" customHeight="1" x14ac:dyDescent="0.15">
      <c r="A46" s="222">
        <v>45</v>
      </c>
      <c r="B46" s="222" t="s">
        <v>236</v>
      </c>
      <c r="C46" s="8">
        <v>2</v>
      </c>
      <c r="D46" s="9">
        <v>66.517288208007812</v>
      </c>
      <c r="E46" s="9">
        <v>0.56999999284744263</v>
      </c>
      <c r="F46" s="9">
        <v>22.219999313354492</v>
      </c>
      <c r="G46" s="9">
        <v>0.95000004768371582</v>
      </c>
      <c r="H46" s="9">
        <v>2.5652565062046051E-2</v>
      </c>
      <c r="I46">
        <v>1.2730999849736691E-2</v>
      </c>
      <c r="J46"/>
    </row>
    <row r="47" spans="1:10" ht="15" customHeight="1" x14ac:dyDescent="0.15">
      <c r="A47" s="223">
        <v>46</v>
      </c>
      <c r="B47" s="223" t="s">
        <v>237</v>
      </c>
      <c r="C47" s="8">
        <v>2</v>
      </c>
      <c r="D47" s="9">
        <v>28.723852157592773</v>
      </c>
      <c r="E47" s="9">
        <v>2.5</v>
      </c>
      <c r="F47" s="9">
        <v>12.5</v>
      </c>
      <c r="G47" s="9">
        <v>0.94999998807907104</v>
      </c>
      <c r="H47" s="9">
        <v>0.20000000298023224</v>
      </c>
      <c r="I47">
        <v>0</v>
      </c>
      <c r="J47"/>
    </row>
    <row r="48" spans="1:10" ht="15" customHeight="1" x14ac:dyDescent="0.15">
      <c r="A48" s="224">
        <v>47</v>
      </c>
      <c r="B48" s="224" t="s">
        <v>238</v>
      </c>
      <c r="C48" s="8">
        <v>2.5578949451446533</v>
      </c>
      <c r="D48" s="9">
        <v>94.053718566894531</v>
      </c>
      <c r="E48" s="9">
        <v>3.4330000877380371</v>
      </c>
      <c r="F48" s="9">
        <v>13.732000350952148</v>
      </c>
      <c r="G48" s="9">
        <v>0.95000004768371582</v>
      </c>
      <c r="H48" s="9">
        <v>0.25</v>
      </c>
      <c r="I48">
        <v>0</v>
      </c>
      <c r="J48"/>
    </row>
    <row r="49" spans="1:10" ht="15" customHeight="1" x14ac:dyDescent="0.15">
      <c r="A49" s="225">
        <v>48</v>
      </c>
      <c r="B49" s="225" t="s">
        <v>239</v>
      </c>
      <c r="C49" s="8">
        <v>2</v>
      </c>
      <c r="D49" s="9">
        <v>107.39865112304688</v>
      </c>
      <c r="E49" s="9">
        <v>8.3999996185302734</v>
      </c>
      <c r="F49" s="9">
        <v>27.999998092651367</v>
      </c>
      <c r="G49" s="9">
        <v>0.94999992847442627</v>
      </c>
      <c r="H49" s="9">
        <v>0.30000001192092896</v>
      </c>
      <c r="I49">
        <v>0</v>
      </c>
      <c r="J49"/>
    </row>
    <row r="50" spans="1:10" ht="15" customHeight="1" x14ac:dyDescent="0.15">
      <c r="A50" s="226">
        <v>49</v>
      </c>
      <c r="B50" s="226" t="s">
        <v>240</v>
      </c>
      <c r="C50" s="8">
        <v>1</v>
      </c>
      <c r="D50" s="9">
        <v>75.122077941894531</v>
      </c>
      <c r="E50" s="9">
        <v>93.099998474121094</v>
      </c>
      <c r="F50" s="10"/>
      <c r="G50" s="9">
        <v>0.5</v>
      </c>
      <c r="H50" s="10"/>
      <c r="I50">
        <v>0</v>
      </c>
      <c r="J50"/>
    </row>
    <row r="51" spans="1:10" ht="15" customHeight="1" x14ac:dyDescent="0.15">
      <c r="A51" s="227">
        <v>50</v>
      </c>
      <c r="B51" s="227" t="s">
        <v>241</v>
      </c>
      <c r="C51" s="8">
        <v>1</v>
      </c>
      <c r="D51" s="9">
        <v>546.61199951171875</v>
      </c>
      <c r="E51" s="10"/>
      <c r="F51" s="10"/>
      <c r="G51" s="9">
        <v>0.51445484161376953</v>
      </c>
      <c r="H51" s="10"/>
      <c r="I51">
        <v>0</v>
      </c>
      <c r="J51"/>
    </row>
    <row r="52" spans="1:10" ht="15" customHeight="1" x14ac:dyDescent="0.15">
      <c r="A52" s="228">
        <v>51</v>
      </c>
      <c r="B52" s="228" t="s">
        <v>242</v>
      </c>
      <c r="C52" s="8">
        <v>1</v>
      </c>
      <c r="D52" s="9">
        <v>5</v>
      </c>
      <c r="E52" s="10"/>
      <c r="F52" s="10"/>
      <c r="G52" s="7">
        <v>0</v>
      </c>
      <c r="H52" s="10"/>
      <c r="I52">
        <v>0</v>
      </c>
      <c r="J52"/>
    </row>
    <row r="53" spans="1:10" ht="15" customHeight="1" x14ac:dyDescent="0.15">
      <c r="A53" s="229">
        <v>52</v>
      </c>
      <c r="B53" s="229" t="s">
        <v>243</v>
      </c>
      <c r="C53" s="8">
        <v>4.9491720199584961</v>
      </c>
      <c r="D53" s="10"/>
      <c r="E53" s="10"/>
      <c r="F53" s="10"/>
      <c r="G53" s="10"/>
      <c r="H53" s="10"/>
      <c r="I53">
        <v>0.78289973735809326</v>
      </c>
      <c r="J53"/>
    </row>
    <row r="54" spans="1:10" ht="15" customHeight="1" x14ac:dyDescent="0.15">
      <c r="A54" s="230">
        <v>53</v>
      </c>
      <c r="B54" s="230" t="s">
        <v>244</v>
      </c>
      <c r="C54" s="8">
        <v>4.3331212997436523</v>
      </c>
      <c r="D54" s="10"/>
      <c r="E54" s="10"/>
      <c r="F54" s="10"/>
      <c r="G54" s="10"/>
      <c r="H54" s="10"/>
      <c r="I54">
        <v>1.9650215283036232E-2</v>
      </c>
      <c r="J54"/>
    </row>
    <row r="55" spans="1:10" ht="15" customHeight="1" x14ac:dyDescent="0.15">
      <c r="A55" s="231">
        <v>54</v>
      </c>
      <c r="B55" s="231" t="s">
        <v>245</v>
      </c>
      <c r="C55" s="8">
        <v>5.1558413505554199</v>
      </c>
      <c r="D55" s="10"/>
      <c r="E55" s="10"/>
      <c r="F55" s="10"/>
      <c r="G55" s="10"/>
      <c r="H55" s="10"/>
      <c r="I55">
        <v>1.8415000289678574E-2</v>
      </c>
      <c r="J55"/>
    </row>
    <row r="56" spans="1:10" ht="15" customHeight="1" x14ac:dyDescent="0.15">
      <c r="A56" s="232">
        <v>55</v>
      </c>
      <c r="B56" s="232" t="s">
        <v>246</v>
      </c>
      <c r="C56" s="8">
        <v>5.1318888664245605</v>
      </c>
      <c r="D56" s="10"/>
      <c r="E56" s="10"/>
      <c r="F56" s="10"/>
      <c r="G56" s="10"/>
      <c r="H56" s="10"/>
      <c r="I56">
        <v>7.3999995947815478E-5</v>
      </c>
      <c r="J56"/>
    </row>
    <row r="57" spans="1:10" ht="15" customHeight="1" x14ac:dyDescent="0.15">
      <c r="A57" s="233">
        <v>56</v>
      </c>
      <c r="B57" s="233" t="s">
        <v>247</v>
      </c>
      <c r="C57" s="8">
        <v>4.6305942535400391</v>
      </c>
      <c r="D57" s="10"/>
      <c r="E57" s="10"/>
      <c r="F57" s="10"/>
      <c r="G57" s="10"/>
      <c r="H57" s="10"/>
      <c r="I57">
        <v>5.6912001222372055E-2</v>
      </c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6" bestFit="1" customWidth="1"/>
    <col min="2" max="4" width="9.5" style="86" bestFit="1" customWidth="1"/>
    <col min="5" max="7" width="9" style="86" bestFit="1" customWidth="1"/>
    <col min="8" max="16" width="12.6640625" style="86" bestFit="1" customWidth="1"/>
    <col min="17" max="17" width="12.33203125" style="86" bestFit="1" customWidth="1"/>
    <col min="18" max="18" width="8.83203125" style="86"/>
    <col min="19" max="21" width="9.33203125" style="86" bestFit="1" customWidth="1"/>
    <col min="22" max="23" width="8.83203125" style="86"/>
    <col min="24" max="24" width="9.33203125" style="86" bestFit="1" customWidth="1"/>
    <col min="25" max="27" width="8.83203125" style="86"/>
    <col min="28" max="58" width="9" style="86" bestFit="1" customWidth="1"/>
    <col min="59" max="59" width="12.33203125" style="86" bestFit="1" customWidth="1"/>
    <col min="60" max="60" width="9" style="86" bestFit="1" customWidth="1"/>
    <col min="61" max="61" width="11.33203125" style="86" bestFit="1" customWidth="1"/>
    <col min="62" max="77" width="9" style="86" bestFit="1" customWidth="1"/>
    <col min="78" max="78" width="12.33203125" style="86" bestFit="1" customWidth="1"/>
    <col min="79" max="79" width="9" style="86" bestFit="1" customWidth="1"/>
    <col min="80" max="80" width="12.33203125" style="86" bestFit="1" customWidth="1"/>
    <col min="81" max="107" width="9" style="86" bestFit="1" customWidth="1"/>
    <col min="108" max="108" width="11.33203125" style="86" bestFit="1" customWidth="1"/>
    <col min="109" max="124" width="9" style="86" bestFit="1" customWidth="1"/>
    <col min="125" max="125" width="10.33203125" style="86" bestFit="1" customWidth="1"/>
    <col min="126" max="129" width="9.33203125" style="86" bestFit="1" customWidth="1"/>
    <col min="130" max="130" width="9" style="86" bestFit="1" customWidth="1"/>
    <col min="131" max="134" width="9.33203125" style="86" bestFit="1" customWidth="1"/>
    <col min="135" max="165" width="9" style="86" bestFit="1" customWidth="1"/>
    <col min="166" max="166" width="12.33203125" style="86" bestFit="1" customWidth="1"/>
    <col min="167" max="170" width="9" style="86" bestFit="1" customWidth="1"/>
    <col min="171" max="176" width="8.83203125" style="86"/>
    <col min="177" max="177" width="13.83203125" style="86" bestFit="1" customWidth="1"/>
    <col min="178" max="16384" width="8.83203125" style="8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219</v>
      </c>
      <c r="AK1" t="s">
        <v>220</v>
      </c>
      <c r="AL1" t="s">
        <v>221</v>
      </c>
      <c r="AM1" t="s">
        <v>222</v>
      </c>
      <c r="AN1" t="s">
        <v>223</v>
      </c>
      <c r="AO1" t="s">
        <v>224</v>
      </c>
      <c r="AP1" t="s">
        <v>225</v>
      </c>
      <c r="AQ1" t="s">
        <v>226</v>
      </c>
      <c r="AR1" t="s">
        <v>227</v>
      </c>
      <c r="AS1" t="s">
        <v>228</v>
      </c>
      <c r="AT1" t="s">
        <v>229</v>
      </c>
      <c r="AU1" t="s">
        <v>230</v>
      </c>
      <c r="AV1" t="s">
        <v>231</v>
      </c>
      <c r="AW1" t="s">
        <v>232</v>
      </c>
      <c r="AX1" t="s">
        <v>233</v>
      </c>
      <c r="AY1" t="s">
        <v>234</v>
      </c>
      <c r="AZ1" t="s">
        <v>235</v>
      </c>
      <c r="BA1" t="s">
        <v>236</v>
      </c>
      <c r="BB1" t="s">
        <v>237</v>
      </c>
      <c r="BC1" t="s">
        <v>238</v>
      </c>
      <c r="BD1" t="s">
        <v>239</v>
      </c>
      <c r="BE1" t="s">
        <v>240</v>
      </c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5.9999998658895493E-2</v>
      </c>
      <c r="C2">
        <v>5.9999998658895493E-2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0.10000000149011612</v>
      </c>
      <c r="C3">
        <v>1.1990034952759743E-2</v>
      </c>
      <c r="D3"/>
      <c r="E3"/>
      <c r="F3"/>
      <c r="G3"/>
      <c r="H3" s="240">
        <v>8.8009968400001526E-2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5.9999998658895493E-2</v>
      </c>
      <c r="C4">
        <v>4.3153844773769379E-2</v>
      </c>
      <c r="D4"/>
      <c r="E4"/>
      <c r="F4"/>
      <c r="G4"/>
      <c r="H4"/>
      <c r="I4" s="241">
        <v>1.6846153885126114E-2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0.10199999809265137</v>
      </c>
      <c r="C5">
        <v>7.4012584984302521E-2</v>
      </c>
      <c r="D5"/>
      <c r="E5"/>
      <c r="F5" s="239">
        <v>2.7987388893961906E-2</v>
      </c>
      <c r="G5"/>
      <c r="H5"/>
      <c r="I5" s="11">
        <v>2.8508880589583896E-8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0.10899999737739563</v>
      </c>
      <c r="C6">
        <v>9.0597867965698242E-2</v>
      </c>
      <c r="D6"/>
      <c r="E6"/>
      <c r="F6" s="81">
        <v>1.8401961773633957E-2</v>
      </c>
      <c r="G6"/>
      <c r="H6"/>
      <c r="I6" s="11">
        <v>1.651583829698211E-7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0.25</v>
      </c>
      <c r="C7">
        <v>0.24779249727725983</v>
      </c>
      <c r="D7"/>
      <c r="E7"/>
      <c r="F7"/>
      <c r="G7" s="15">
        <v>2.2075055167078972E-3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0.25</v>
      </c>
      <c r="C8">
        <v>0.20953746140003204</v>
      </c>
      <c r="D8"/>
      <c r="E8"/>
      <c r="F8"/>
      <c r="G8" s="15">
        <v>2.2299857810139656E-3</v>
      </c>
      <c r="H8"/>
      <c r="I8"/>
      <c r="J8"/>
      <c r="K8"/>
      <c r="L8" s="249">
        <v>3.8232550024986267E-2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0.25</v>
      </c>
      <c r="C9">
        <v>0.24777434766292572</v>
      </c>
      <c r="D9"/>
      <c r="E9"/>
      <c r="F9"/>
      <c r="G9" s="15">
        <v>2.2256462834775448E-3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0.19848355650901794</v>
      </c>
      <c r="C10">
        <v>9.2215403914451599E-2</v>
      </c>
      <c r="D10" s="234">
        <v>9.4777785241603851E-2</v>
      </c>
      <c r="E10"/>
      <c r="F10"/>
      <c r="G10"/>
      <c r="H10"/>
      <c r="I10"/>
      <c r="J10"/>
      <c r="K10" s="11">
        <v>1.8355054010044114E-7</v>
      </c>
      <c r="L10" s="13">
        <v>7.561699952930212E-3</v>
      </c>
      <c r="M10" s="21">
        <v>3.9284848608076572E-3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0.15494848787784576</v>
      </c>
      <c r="C11">
        <v>1.2442350387573242E-2</v>
      </c>
      <c r="D11"/>
      <c r="E11"/>
      <c r="F11"/>
      <c r="G11"/>
      <c r="H11"/>
      <c r="I11"/>
      <c r="J11" s="14">
        <v>4.3514618300832808E-4</v>
      </c>
      <c r="K11" s="11">
        <v>1.002372982839006E-6</v>
      </c>
      <c r="L11" s="250">
        <v>7.5638606213033199E-3</v>
      </c>
      <c r="M11" s="23">
        <v>9.8240177612751722E-4</v>
      </c>
      <c r="N11"/>
      <c r="O11" s="259">
        <v>8.6670480668544769E-3</v>
      </c>
      <c r="P11"/>
      <c r="Q11" s="20">
        <v>6.5516987815499306E-3</v>
      </c>
      <c r="R11" s="15">
        <v>1.6369656659662724E-3</v>
      </c>
      <c r="S11" s="14">
        <v>3.4340383717790246E-4</v>
      </c>
      <c r="T11"/>
      <c r="U11" s="23">
        <v>8.1501208478584886E-4</v>
      </c>
      <c r="V11" s="65">
        <v>3.2379839103668928E-3</v>
      </c>
      <c r="W11"/>
      <c r="X11"/>
      <c r="Y11"/>
      <c r="Z11" s="66">
        <v>6.2635606154799461E-3</v>
      </c>
      <c r="AA11" s="16">
        <v>2.5494988076388836E-3</v>
      </c>
      <c r="AB11" s="267">
        <v>2.5861790403723717E-2</v>
      </c>
      <c r="AC11"/>
      <c r="AD11" s="261">
        <v>1.1279602535068989E-2</v>
      </c>
      <c r="AE11" s="266">
        <v>2.4624211713671684E-2</v>
      </c>
      <c r="AF11" s="65">
        <v>3.3924030140042305E-3</v>
      </c>
      <c r="AG11" s="111">
        <v>2.8273742645978928E-2</v>
      </c>
      <c r="AH11"/>
      <c r="AI11"/>
      <c r="AJ11"/>
      <c r="AK11" s="14">
        <v>2.2659484238829464E-4</v>
      </c>
      <c r="AL11"/>
      <c r="AM11"/>
      <c r="AN11"/>
      <c r="AO11"/>
      <c r="AP11"/>
      <c r="AQ11"/>
      <c r="AR11"/>
      <c r="AS11" s="68">
        <v>9.8001929000020027E-3</v>
      </c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8.2697391510009766E-2</v>
      </c>
      <c r="C12">
        <v>4.1348757222294807E-3</v>
      </c>
      <c r="D12"/>
      <c r="E12"/>
      <c r="F12"/>
      <c r="G12"/>
      <c r="H12"/>
      <c r="I12"/>
      <c r="J12"/>
      <c r="K12"/>
      <c r="L12" s="272">
        <v>7.8562520444393158E-2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0.12404609471559525</v>
      </c>
      <c r="C13">
        <v>6.2023061327636242E-3</v>
      </c>
      <c r="D13"/>
      <c r="E13"/>
      <c r="F13"/>
      <c r="G13"/>
      <c r="H13"/>
      <c r="I13" s="11">
        <v>1.2094268697637744E-8</v>
      </c>
      <c r="J13"/>
      <c r="K13" s="11">
        <v>7.5367019292116311E-9</v>
      </c>
      <c r="L13" s="23">
        <v>7.3851837078109384E-4</v>
      </c>
      <c r="M13"/>
      <c r="N13"/>
      <c r="O13"/>
      <c r="P13"/>
      <c r="Q13" s="80">
        <v>2.750680223107338E-2</v>
      </c>
      <c r="R13" s="11">
        <v>7.9914825619198382E-5</v>
      </c>
      <c r="S13" s="12">
        <v>4.0235021151602268E-4</v>
      </c>
      <c r="T13" s="242">
        <v>2.8013540431857109E-3</v>
      </c>
      <c r="U13" s="11">
        <v>1.0344873589929193E-4</v>
      </c>
      <c r="V13"/>
      <c r="W13"/>
      <c r="X13"/>
      <c r="Y13"/>
      <c r="Z13" s="11">
        <v>5.9956855693599209E-5</v>
      </c>
      <c r="AA13"/>
      <c r="AB13"/>
      <c r="AC13"/>
      <c r="AD13" s="149">
        <v>7.4868244118988514E-3</v>
      </c>
      <c r="AE13" s="253">
        <v>7.6936088502407074E-2</v>
      </c>
      <c r="AF13" s="14">
        <v>1.9483918731566519E-4</v>
      </c>
      <c r="AG13" s="18">
        <v>1.5336581273004413E-3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2.9898449778556824E-2</v>
      </c>
      <c r="C14">
        <v>1.3478527776896954E-2</v>
      </c>
      <c r="D14" s="235">
        <v>3.9126523770391941E-3</v>
      </c>
      <c r="E14"/>
      <c r="F14"/>
      <c r="G14"/>
      <c r="H14"/>
      <c r="I14"/>
      <c r="J14"/>
      <c r="K14"/>
      <c r="L14" s="258">
        <v>1.1069546453654766E-2</v>
      </c>
      <c r="M14" s="250">
        <v>1.4377236366271973E-3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3.9660688489675522E-2</v>
      </c>
      <c r="C15">
        <v>1.1999044567346573E-2</v>
      </c>
      <c r="D15"/>
      <c r="E15"/>
      <c r="F15"/>
      <c r="G15"/>
      <c r="H15"/>
      <c r="I15"/>
      <c r="J15"/>
      <c r="K15" s="11">
        <v>5.3025164703512928E-8</v>
      </c>
      <c r="L15" s="69">
        <v>3.6371399182826281E-3</v>
      </c>
      <c r="M15" s="18">
        <v>4.7239536070264876E-4</v>
      </c>
      <c r="N15"/>
      <c r="O15"/>
      <c r="P15"/>
      <c r="Q15" s="248">
        <v>3.1504335347563028E-3</v>
      </c>
      <c r="R15" s="21">
        <v>7.8714726259931922E-4</v>
      </c>
      <c r="S15" s="66">
        <v>1.6512835863977671E-3</v>
      </c>
      <c r="T15"/>
      <c r="U15" s="15">
        <v>3.9190473034977913E-4</v>
      </c>
      <c r="V15" s="12">
        <v>1.7896656936500221E-4</v>
      </c>
      <c r="W15"/>
      <c r="X15"/>
      <c r="Y15"/>
      <c r="Z15" s="245">
        <v>2.9528241138905287E-3</v>
      </c>
      <c r="AA15" s="243">
        <v>1.5324323903769255E-3</v>
      </c>
      <c r="AB15"/>
      <c r="AC15"/>
      <c r="AD15" s="17">
        <v>5.2152725402265787E-4</v>
      </c>
      <c r="AE15" s="252">
        <v>1.1840740218758583E-2</v>
      </c>
      <c r="AF15"/>
      <c r="AG15"/>
      <c r="AH15"/>
      <c r="AI15"/>
      <c r="AJ15"/>
      <c r="AK15" s="17">
        <v>5.4479931714013219E-4</v>
      </c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0.31670001149177551</v>
      </c>
      <c r="C16">
        <v>1.5835022553801537E-2</v>
      </c>
      <c r="D16"/>
      <c r="E16"/>
      <c r="F16"/>
      <c r="G16"/>
      <c r="H16"/>
      <c r="I16" s="11">
        <v>3.0090209435229553E-8</v>
      </c>
      <c r="J16"/>
      <c r="K16" s="11">
        <v>4.3607222721675498E-8</v>
      </c>
      <c r="L16" s="14">
        <v>4.2730540735647082E-4</v>
      </c>
      <c r="M16" s="149">
        <v>1.9369099289178848E-2</v>
      </c>
      <c r="N16"/>
      <c r="O16"/>
      <c r="P16"/>
      <c r="Q16" s="242">
        <v>7.4025066569447517E-3</v>
      </c>
      <c r="R16"/>
      <c r="S16" s="11">
        <v>1.9399925076868385E-4</v>
      </c>
      <c r="T16" s="283">
        <v>0.18271496891975403</v>
      </c>
      <c r="U16"/>
      <c r="V16"/>
      <c r="W16"/>
      <c r="X16"/>
      <c r="Y16"/>
      <c r="Z16"/>
      <c r="AA16"/>
      <c r="AB16"/>
      <c r="AC16"/>
      <c r="AD16" s="242">
        <v>7.2912559844553471E-3</v>
      </c>
      <c r="AE16" s="275">
        <v>8.3465784788131714E-2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0.23462624847888947</v>
      </c>
      <c r="C17">
        <v>1.1731301434338093E-2</v>
      </c>
      <c r="D17"/>
      <c r="E17"/>
      <c r="F17"/>
      <c r="G17"/>
      <c r="H17"/>
      <c r="I17" s="11">
        <v>9.3031635728380024E-9</v>
      </c>
      <c r="J17"/>
      <c r="K17" s="11">
        <v>5.7781274875878808E-8</v>
      </c>
      <c r="L17" s="289">
        <v>0.18984566628932953</v>
      </c>
      <c r="M17" s="265">
        <v>2.2426687180995941E-2</v>
      </c>
      <c r="N17"/>
      <c r="O17"/>
      <c r="P17"/>
      <c r="Q17" s="11">
        <v>2.2886753140483052E-4</v>
      </c>
      <c r="R17"/>
      <c r="S17" s="11">
        <v>5.9979869547532871E-5</v>
      </c>
      <c r="T17"/>
      <c r="U17" s="14">
        <v>4.270568024367094E-4</v>
      </c>
      <c r="V17"/>
      <c r="W17"/>
      <c r="X17"/>
      <c r="Y17"/>
      <c r="Z17" s="14">
        <v>5.4700544569641352E-4</v>
      </c>
      <c r="AA17"/>
      <c r="AB17"/>
      <c r="AC17"/>
      <c r="AD17" s="12">
        <v>7.5774110155180097E-4</v>
      </c>
      <c r="AE17" s="13">
        <v>8.6018666625022888E-3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0.26736685633659363</v>
      </c>
      <c r="C18">
        <v>1.3368361629545689E-2</v>
      </c>
      <c r="D18"/>
      <c r="E18"/>
      <c r="F18"/>
      <c r="G18"/>
      <c r="H18"/>
      <c r="I18" s="11">
        <v>3.7791215845572879E-7</v>
      </c>
      <c r="J18"/>
      <c r="K18" s="11">
        <v>2.347184818063397E-6</v>
      </c>
      <c r="L18" s="243">
        <v>1.0733319446444511E-2</v>
      </c>
      <c r="M18" s="268">
        <v>0.24326245486736298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0.23297052085399628</v>
      </c>
      <c r="C19">
        <v>4.5202892273664474E-2</v>
      </c>
      <c r="D19"/>
      <c r="E19"/>
      <c r="F19"/>
      <c r="G19"/>
      <c r="H19"/>
      <c r="I19"/>
      <c r="J19"/>
      <c r="K19" s="11">
        <v>1.278042702779203E-7</v>
      </c>
      <c r="L19"/>
      <c r="M19"/>
      <c r="N19"/>
      <c r="O19"/>
      <c r="P19"/>
      <c r="Q19" s="66">
        <v>9.4916960224509239E-3</v>
      </c>
      <c r="R19"/>
      <c r="S19"/>
      <c r="T19"/>
      <c r="U19" s="17">
        <v>3.0699216295033693E-3</v>
      </c>
      <c r="V19"/>
      <c r="W19"/>
      <c r="X19"/>
      <c r="Y19"/>
      <c r="Z19"/>
      <c r="AA19"/>
      <c r="AB19"/>
      <c r="AC19"/>
      <c r="AD19" s="64">
        <v>1.2570147402584553E-2</v>
      </c>
      <c r="AE19" s="270">
        <v>0.14269614219665527</v>
      </c>
      <c r="AF19" s="22">
        <v>1.7346013337373734E-3</v>
      </c>
      <c r="AG19" s="76">
        <v>1.8204998224973679E-2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0.15885727107524872</v>
      </c>
      <c r="C20">
        <v>7.9428562894463539E-3</v>
      </c>
      <c r="D20"/>
      <c r="E20"/>
      <c r="F20"/>
      <c r="G20"/>
      <c r="H20"/>
      <c r="I20"/>
      <c r="J20" s="260">
        <v>0.15091441571712494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0.11274495720863342</v>
      </c>
      <c r="C21">
        <v>5.6372289545834064E-3</v>
      </c>
      <c r="D21"/>
      <c r="E21"/>
      <c r="F21"/>
      <c r="G21"/>
      <c r="H21"/>
      <c r="I21"/>
      <c r="J21"/>
      <c r="K21" s="11">
        <v>4.3544403638406948E-9</v>
      </c>
      <c r="L21" s="24">
        <v>2.9868287965655327E-3</v>
      </c>
      <c r="M21" s="278">
        <v>1.3099181465804577E-2</v>
      </c>
      <c r="N21"/>
      <c r="O21"/>
      <c r="P21"/>
      <c r="Q21" s="248">
        <v>9.055006317794323E-3</v>
      </c>
      <c r="R21" s="11">
        <v>2.1546913558267988E-5</v>
      </c>
      <c r="S21"/>
      <c r="T21" s="21">
        <v>2.2316006943583488E-3</v>
      </c>
      <c r="U21" s="249">
        <v>1.7250260338187218E-2</v>
      </c>
      <c r="V21"/>
      <c r="W21"/>
      <c r="X21"/>
      <c r="Y21"/>
      <c r="Z21" s="250">
        <v>5.6216497905552387E-3</v>
      </c>
      <c r="AA21" s="12">
        <v>4.4464794336818159E-4</v>
      </c>
      <c r="AB21" s="277">
        <v>1.1914399452507496E-2</v>
      </c>
      <c r="AC21"/>
      <c r="AD21" s="16">
        <v>1.7345320666208863E-3</v>
      </c>
      <c r="AE21" s="282">
        <v>2.1067902445793152E-2</v>
      </c>
      <c r="AF21" s="65">
        <v>2.4296618066728115E-3</v>
      </c>
      <c r="AG21" s="279">
        <v>1.9228231161832809E-2</v>
      </c>
      <c r="AH21"/>
      <c r="AI21"/>
      <c r="AJ21"/>
      <c r="AK21"/>
      <c r="AL21"/>
      <c r="AM21"/>
      <c r="AN21"/>
      <c r="AO21"/>
      <c r="AP21" s="11">
        <v>2.2255002477322705E-5</v>
      </c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0.52957648038864136</v>
      </c>
      <c r="C22">
        <v>2.6478799059987068E-2</v>
      </c>
      <c r="D22"/>
      <c r="E22" s="237">
        <v>6.0652226209640503E-2</v>
      </c>
      <c r="F22"/>
      <c r="G22"/>
      <c r="H22"/>
      <c r="I22"/>
      <c r="J22"/>
      <c r="K22" s="11">
        <v>4.5029777538729832E-5</v>
      </c>
      <c r="L22"/>
      <c r="M22"/>
      <c r="N22"/>
      <c r="O22" s="244">
        <v>0.44240039587020874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9.781840443611145E-2</v>
      </c>
      <c r="C23">
        <v>4.890921525657177E-3</v>
      </c>
      <c r="D23" s="14">
        <v>1.5151877596508712E-4</v>
      </c>
      <c r="E23"/>
      <c r="F23"/>
      <c r="G23"/>
      <c r="H23"/>
      <c r="I23"/>
      <c r="J23" s="272">
        <v>9.2775963246822357E-2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0.14672760665416718</v>
      </c>
      <c r="C24">
        <v>7.336390670388937E-3</v>
      </c>
      <c r="D24"/>
      <c r="E24"/>
      <c r="F24"/>
      <c r="G24"/>
      <c r="H24"/>
      <c r="I24" s="11">
        <v>1.6698549210047986E-9</v>
      </c>
      <c r="J24" s="66">
        <v>6.1301109381020069E-3</v>
      </c>
      <c r="K24" s="11">
        <v>3.0474474499442294E-8</v>
      </c>
      <c r="L24"/>
      <c r="M24"/>
      <c r="N24"/>
      <c r="O24" s="14">
        <v>3.7242454709485173E-4</v>
      </c>
      <c r="P24"/>
      <c r="Q24" s="11">
        <v>8.8322361989412457E-5</v>
      </c>
      <c r="R24" s="11">
        <v>2.2067664758651517E-5</v>
      </c>
      <c r="S24"/>
      <c r="T24"/>
      <c r="U24"/>
      <c r="V24"/>
      <c r="W24"/>
      <c r="X24"/>
      <c r="Y24"/>
      <c r="Z24" s="18">
        <v>1.7756823217496276E-3</v>
      </c>
      <c r="AA24" s="11">
        <v>1.0740431753220037E-4</v>
      </c>
      <c r="AB24"/>
      <c r="AC24"/>
      <c r="AD24" s="276">
        <v>9.9642174318432808E-3</v>
      </c>
      <c r="AE24" s="296">
        <v>0.11966977268457413</v>
      </c>
      <c r="AF24" s="11">
        <v>4.035214806208387E-5</v>
      </c>
      <c r="AG24" s="14">
        <v>4.2350409785285592E-4</v>
      </c>
      <c r="AH24"/>
      <c r="AI24"/>
      <c r="AJ24"/>
      <c r="AK24"/>
      <c r="AL24"/>
      <c r="AM24"/>
      <c r="AN24"/>
      <c r="AO24"/>
      <c r="AP24" s="11">
        <v>1.3675718219019473E-4</v>
      </c>
      <c r="AQ24"/>
      <c r="AR24"/>
      <c r="AS24" s="12">
        <v>6.6057406365871429E-4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0.15495011210441589</v>
      </c>
      <c r="C25">
        <v>7.7475076541304588E-3</v>
      </c>
      <c r="D25" s="12">
        <v>7.2216609260067344E-4</v>
      </c>
      <c r="E25"/>
      <c r="F25"/>
      <c r="G25"/>
      <c r="H25"/>
      <c r="I25"/>
      <c r="J25" s="271">
        <v>6.3169583678245544E-2</v>
      </c>
      <c r="K25"/>
      <c r="L25" s="273">
        <v>6.8298861384391785E-2</v>
      </c>
      <c r="M25" s="265">
        <v>1.5011994168162346E-2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0.23242516815662384</v>
      </c>
      <c r="C26">
        <v>1.1621247045695782E-2</v>
      </c>
      <c r="D26"/>
      <c r="E26"/>
      <c r="F26"/>
      <c r="G26"/>
      <c r="H26"/>
      <c r="I26" s="11">
        <v>8.1961610831626786E-9</v>
      </c>
      <c r="J26" s="26">
        <v>6.0176942497491837E-3</v>
      </c>
      <c r="K26" s="11">
        <v>1.8970881754398761E-8</v>
      </c>
      <c r="L26" s="26">
        <v>6.0058352537453175E-3</v>
      </c>
      <c r="M26" s="19">
        <v>4.2837411165237427E-3</v>
      </c>
      <c r="N26"/>
      <c r="O26" s="14">
        <v>3.6559486761689186E-4</v>
      </c>
      <c r="P26"/>
      <c r="Q26" s="278">
        <v>2.6921181008219719E-2</v>
      </c>
      <c r="R26" s="12">
        <v>8.5568771464750171E-4</v>
      </c>
      <c r="S26" s="23">
        <v>1.3406203361228108E-3</v>
      </c>
      <c r="T26" s="110">
        <v>1.5360176563262939E-2</v>
      </c>
      <c r="U26" s="21">
        <v>4.7078970819711685E-3</v>
      </c>
      <c r="V26" s="11">
        <v>9.8506307040224783E-6</v>
      </c>
      <c r="W26"/>
      <c r="X26"/>
      <c r="Y26"/>
      <c r="Z26" s="21">
        <v>4.6523804776370525E-3</v>
      </c>
      <c r="AA26" s="14">
        <v>2.9521711985580623E-4</v>
      </c>
      <c r="AB26" s="22">
        <v>1.7112254863604903E-3</v>
      </c>
      <c r="AC26"/>
      <c r="AD26" s="29">
        <v>1.1073250323534012E-2</v>
      </c>
      <c r="AE26" s="236">
        <v>0.13213926553726196</v>
      </c>
      <c r="AF26" s="11">
        <v>5.2816201787209138E-5</v>
      </c>
      <c r="AG26" s="14">
        <v>4.1573771159164608E-4</v>
      </c>
      <c r="AH26" s="16">
        <v>3.4603935200721025E-3</v>
      </c>
      <c r="AI26"/>
      <c r="AJ26" s="14">
        <v>3.5260381991975009E-4</v>
      </c>
      <c r="AK26"/>
      <c r="AL26"/>
      <c r="AM26"/>
      <c r="AN26"/>
      <c r="AO26"/>
      <c r="AP26" s="11">
        <v>1.342492614639923E-4</v>
      </c>
      <c r="AQ26"/>
      <c r="AR26"/>
      <c r="AS26" s="14">
        <v>6.4846017630770802E-4</v>
      </c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0.56403237581253052</v>
      </c>
      <c r="C27">
        <v>2.820165827870369E-2</v>
      </c>
      <c r="D27"/>
      <c r="E27"/>
      <c r="F27"/>
      <c r="G27"/>
      <c r="H27"/>
      <c r="I27" s="11">
        <v>3.3913366337401385E-8</v>
      </c>
      <c r="J27"/>
      <c r="K27" s="11">
        <v>5.6607736276248488E-9</v>
      </c>
      <c r="L27" s="67">
        <v>3.3651616424322128E-2</v>
      </c>
      <c r="M27"/>
      <c r="N27"/>
      <c r="O27" s="14">
        <v>9.4545411411672831E-4</v>
      </c>
      <c r="P27"/>
      <c r="Q27" s="72">
        <v>4.0359467267990112E-2</v>
      </c>
      <c r="R27" s="17">
        <v>8.2912547513842583E-3</v>
      </c>
      <c r="S27" s="22">
        <v>3.8782709743827581E-3</v>
      </c>
      <c r="T27" s="111">
        <v>0.10265365988016129</v>
      </c>
      <c r="U27" s="12">
        <v>2.7613297570496798E-3</v>
      </c>
      <c r="V27" s="11">
        <v>4.585397255141288E-4</v>
      </c>
      <c r="W27"/>
      <c r="X27" s="28">
        <v>2.0319113507866859E-2</v>
      </c>
      <c r="Y27" s="23">
        <v>2.8143327217549086E-3</v>
      </c>
      <c r="Z27" s="23">
        <v>3.0052191577851772E-3</v>
      </c>
      <c r="AA27" s="11">
        <v>2.1812923660036176E-4</v>
      </c>
      <c r="AB27"/>
      <c r="AC27"/>
      <c r="AD27" s="28">
        <v>1.9857898354530334E-2</v>
      </c>
      <c r="AE27" s="292">
        <v>0.23638191819190979</v>
      </c>
      <c r="AF27" s="11">
        <v>4.4390588300302625E-4</v>
      </c>
      <c r="AG27" s="23">
        <v>3.7629450671374798E-3</v>
      </c>
      <c r="AH27" s="68">
        <v>3.5795290023088455E-2</v>
      </c>
      <c r="AI27"/>
      <c r="AJ27" s="25">
        <v>1.8237169831991196E-2</v>
      </c>
      <c r="AK27"/>
      <c r="AL27"/>
      <c r="AM27"/>
      <c r="AN27"/>
      <c r="AO27"/>
      <c r="AP27" s="11">
        <v>3.1824660254642367E-4</v>
      </c>
      <c r="AQ27"/>
      <c r="AR27"/>
      <c r="AS27" s="12">
        <v>1.6769637586548924E-3</v>
      </c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0.1142733246088028</v>
      </c>
      <c r="C28">
        <v>5.7136677205562592E-3</v>
      </c>
      <c r="D28"/>
      <c r="E28"/>
      <c r="F28"/>
      <c r="G28"/>
      <c r="H28"/>
      <c r="I28"/>
      <c r="J28" s="269">
        <v>8.0598041415214539E-2</v>
      </c>
      <c r="K28" s="11">
        <v>3.8296232673928898E-7</v>
      </c>
      <c r="L28"/>
      <c r="M28"/>
      <c r="N28"/>
      <c r="O28" s="254">
        <v>1.2792361900210381E-2</v>
      </c>
      <c r="P28"/>
      <c r="Q28" s="257">
        <v>1.516887079924345E-2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0.10103663057088852</v>
      </c>
      <c r="C29">
        <v>5.0518386997282505E-3</v>
      </c>
      <c r="D29"/>
      <c r="E29"/>
      <c r="F29"/>
      <c r="G29"/>
      <c r="H29"/>
      <c r="I29" s="11">
        <v>5.8817963832780151E-8</v>
      </c>
      <c r="J29" s="262">
        <v>3.0993780121207237E-2</v>
      </c>
      <c r="K29" s="11">
        <v>1.047233695317118E-7</v>
      </c>
      <c r="L29" s="264">
        <v>3.5916302353143692E-2</v>
      </c>
      <c r="M29"/>
      <c r="N29"/>
      <c r="O29" s="142">
        <v>1.3118057511746883E-2</v>
      </c>
      <c r="P29"/>
      <c r="Q29" s="256">
        <v>1.5555072575807571E-2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 s="12">
        <v>4.0142107172869146E-4</v>
      </c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0.27947846055030823</v>
      </c>
      <c r="C30">
        <v>1.3973926194012165E-2</v>
      </c>
      <c r="D30"/>
      <c r="E30" s="238">
        <v>3.9947323501110077E-2</v>
      </c>
      <c r="F30"/>
      <c r="G30"/>
      <c r="H30"/>
      <c r="I30"/>
      <c r="J30" s="253">
        <v>0.17291180789470673</v>
      </c>
      <c r="K30" s="11">
        <v>8.7636487933195895E-7</v>
      </c>
      <c r="L30"/>
      <c r="M30"/>
      <c r="N30"/>
      <c r="O30" s="27">
        <v>2.1524878218770027E-2</v>
      </c>
      <c r="P30"/>
      <c r="Q30"/>
      <c r="R30"/>
      <c r="S30"/>
      <c r="T30"/>
      <c r="U30"/>
      <c r="V30"/>
      <c r="W30"/>
      <c r="X30"/>
      <c r="Y30"/>
      <c r="Z30" s="246">
        <v>2.4401163682341576E-2</v>
      </c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 s="242">
        <v>6.7184879444539547E-3</v>
      </c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0.57800000905990601</v>
      </c>
      <c r="C31">
        <v>3.7529554218053818E-2</v>
      </c>
      <c r="D31"/>
      <c r="E31" s="14">
        <v>1.0050779674202204E-3</v>
      </c>
      <c r="F31"/>
      <c r="G31"/>
      <c r="H31"/>
      <c r="I31" s="11">
        <v>4.609545101175172E-8</v>
      </c>
      <c r="J31" s="78">
        <v>3.7428263574838638E-2</v>
      </c>
      <c r="K31" s="11">
        <v>1.1191550797207128E-8</v>
      </c>
      <c r="L31" s="67">
        <v>3.3840961754322052E-2</v>
      </c>
      <c r="M31" s="14">
        <v>8.308692486025393E-4</v>
      </c>
      <c r="N31"/>
      <c r="O31" s="254">
        <v>6.4881272614002228E-2</v>
      </c>
      <c r="P31"/>
      <c r="Q31" s="29">
        <v>2.7705591171979904E-2</v>
      </c>
      <c r="R31" s="24">
        <v>1.5741406008601189E-2</v>
      </c>
      <c r="S31" s="24">
        <v>1.5509219840168953E-2</v>
      </c>
      <c r="T31" s="12">
        <v>2.4265751708298922E-3</v>
      </c>
      <c r="U31" s="259">
        <v>3.309323638677597E-2</v>
      </c>
      <c r="V31" s="281">
        <v>2.6384361088275909E-2</v>
      </c>
      <c r="W31" s="274">
        <v>1.9292209297418594E-2</v>
      </c>
      <c r="X31"/>
      <c r="Y31"/>
      <c r="Z31" s="18">
        <v>6.6373618319630623E-3</v>
      </c>
      <c r="AA31" s="14">
        <v>1.6279659466817975E-3</v>
      </c>
      <c r="AB31" s="24">
        <v>1.5310878865420818E-2</v>
      </c>
      <c r="AC31" s="11">
        <v>3.0758275534026325E-4</v>
      </c>
      <c r="AD31" s="21">
        <v>1.1677030473947525E-2</v>
      </c>
      <c r="AE31" s="28">
        <v>2.0826000720262527E-2</v>
      </c>
      <c r="AF31" s="15">
        <v>5.1644430495798588E-3</v>
      </c>
      <c r="AG31" s="72">
        <v>4.091712087392807E-2</v>
      </c>
      <c r="AH31" s="27">
        <v>4.4230349361896515E-2</v>
      </c>
      <c r="AI31" s="22">
        <v>5.0203967839479446E-3</v>
      </c>
      <c r="AJ31" s="25">
        <v>1.8027765676379204E-2</v>
      </c>
      <c r="AK31" s="22">
        <v>4.2056990787386894E-3</v>
      </c>
      <c r="AL31" s="20">
        <v>2.4500001221895218E-2</v>
      </c>
      <c r="AM31"/>
      <c r="AN31" s="243">
        <v>2.2735981270670891E-2</v>
      </c>
      <c r="AO31"/>
      <c r="AP31" s="14">
        <v>1.0724742896854877E-3</v>
      </c>
      <c r="AQ31"/>
      <c r="AR31" s="286">
        <v>3.0952900648117065E-2</v>
      </c>
      <c r="AS31" s="16">
        <v>9.1173965483903885E-3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0.9808012843132019</v>
      </c>
      <c r="C32">
        <v>4.9040075391530991E-2</v>
      </c>
      <c r="D32"/>
      <c r="E32"/>
      <c r="F32"/>
      <c r="G32"/>
      <c r="H32"/>
      <c r="I32"/>
      <c r="J32" s="21">
        <v>1.8725831061601639E-2</v>
      </c>
      <c r="K32" s="11">
        <v>2.9774312793051649E-7</v>
      </c>
      <c r="L32" s="257">
        <v>0.13078887760639191</v>
      </c>
      <c r="M32"/>
      <c r="N32"/>
      <c r="O32" s="23">
        <v>5.1751271821558475E-3</v>
      </c>
      <c r="P32"/>
      <c r="Q32" s="277">
        <v>0.1037452295422554</v>
      </c>
      <c r="R32" s="12">
        <v>4.7780419699847698E-3</v>
      </c>
      <c r="S32" s="29">
        <v>4.6844527125358582E-2</v>
      </c>
      <c r="T32" s="301">
        <v>0.2215179055929184</v>
      </c>
      <c r="U32"/>
      <c r="V32" s="11">
        <v>4.461355729290517E-6</v>
      </c>
      <c r="W32" s="17">
        <v>1.401861384510994E-2</v>
      </c>
      <c r="X32"/>
      <c r="Y32"/>
      <c r="Z32" s="12">
        <v>4.7036330215632915E-3</v>
      </c>
      <c r="AA32" s="11">
        <v>3.8201143615879118E-4</v>
      </c>
      <c r="AB32" s="23">
        <v>6.200119387358427E-3</v>
      </c>
      <c r="AC32" s="11">
        <v>2.1797159206471406E-5</v>
      </c>
      <c r="AD32" s="18">
        <v>1.1921784840524197E-2</v>
      </c>
      <c r="AE32" s="297">
        <v>0.141829714179039</v>
      </c>
      <c r="AF32" s="14">
        <v>1.4352290891110897E-3</v>
      </c>
      <c r="AG32" s="18">
        <v>1.148555800318718E-2</v>
      </c>
      <c r="AH32" s="16">
        <v>1.5672139823436737E-2</v>
      </c>
      <c r="AI32" s="11">
        <v>3.5577548260334879E-5</v>
      </c>
      <c r="AJ32" s="14">
        <v>1.5969446394592524E-3</v>
      </c>
      <c r="AK32" s="14">
        <v>1.1303090723231435E-3</v>
      </c>
      <c r="AL32" s="19">
        <v>1.7362171784043312E-2</v>
      </c>
      <c r="AM32"/>
      <c r="AN32"/>
      <c r="AO32"/>
      <c r="AP32" s="11">
        <v>8.7148905731737614E-4</v>
      </c>
      <c r="AQ32"/>
      <c r="AR32"/>
      <c r="AS32" s="298">
        <v>0.17151375114917755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0.57330656051635742</v>
      </c>
      <c r="C33">
        <v>2.8665266931056976E-2</v>
      </c>
      <c r="D33"/>
      <c r="E33"/>
      <c r="F33"/>
      <c r="G33"/>
      <c r="H33"/>
      <c r="I33"/>
      <c r="J33" s="288">
        <v>0.13105560839176178</v>
      </c>
      <c r="K33" s="11">
        <v>3.2496385582447829E-9</v>
      </c>
      <c r="L33" s="295">
        <v>0.24586041271686554</v>
      </c>
      <c r="M33" s="25">
        <v>1.7761239781975746E-2</v>
      </c>
      <c r="N33"/>
      <c r="O33" s="24">
        <v>1.527681015431881E-2</v>
      </c>
      <c r="P33"/>
      <c r="Q33" s="285">
        <v>5.2129931747913361E-2</v>
      </c>
      <c r="R33" s="65">
        <v>1.2253009714186192E-2</v>
      </c>
      <c r="S33" s="11">
        <v>4.0479458402842283E-4</v>
      </c>
      <c r="T33" s="243">
        <v>2.2290771827101707E-2</v>
      </c>
      <c r="U33" s="22">
        <v>4.0229852311313152E-3</v>
      </c>
      <c r="V33" s="12">
        <v>2.7474681846797466E-3</v>
      </c>
      <c r="W33"/>
      <c r="X33"/>
      <c r="Y33"/>
      <c r="Z33" s="11">
        <v>9.0481677034404129E-5</v>
      </c>
      <c r="AA33" s="11">
        <v>1.8782975530484691E-5</v>
      </c>
      <c r="AB33"/>
      <c r="AC33" s="11">
        <v>5.358681664802134E-5</v>
      </c>
      <c r="AD33"/>
      <c r="AE33"/>
      <c r="AF33"/>
      <c r="AG33"/>
      <c r="AH33" s="274">
        <v>1.9264440983533859E-2</v>
      </c>
      <c r="AI33" s="11">
        <v>1.7492991173639894E-4</v>
      </c>
      <c r="AJ33" s="23">
        <v>3.925978671759367E-3</v>
      </c>
      <c r="AK33"/>
      <c r="AL33"/>
      <c r="AM33"/>
      <c r="AN33" s="18">
        <v>7.2018993087112904E-3</v>
      </c>
      <c r="AO33"/>
      <c r="AP33"/>
      <c r="AQ33"/>
      <c r="AR33"/>
      <c r="AS33" s="19">
        <v>1.0108162648975849E-2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0.51048272848129272</v>
      </c>
      <c r="C34">
        <v>2.5524111464619637E-2</v>
      </c>
      <c r="D34"/>
      <c r="E34" s="11">
        <v>3.3357561915181577E-4</v>
      </c>
      <c r="F34"/>
      <c r="G34"/>
      <c r="H34"/>
      <c r="I34"/>
      <c r="J34" s="238">
        <v>7.310020923614502E-2</v>
      </c>
      <c r="K34" s="11">
        <v>1.8549371816334315E-7</v>
      </c>
      <c r="L34" s="110">
        <v>3.3974681049585342E-2</v>
      </c>
      <c r="M34" s="70">
        <v>2.621123194694519E-2</v>
      </c>
      <c r="N34"/>
      <c r="O34" s="22">
        <v>3.7470005918294191E-3</v>
      </c>
      <c r="P34"/>
      <c r="Q34" s="28">
        <v>1.7657000571489334E-2</v>
      </c>
      <c r="R34" s="19">
        <v>9.2277340590953827E-3</v>
      </c>
      <c r="S34"/>
      <c r="T34"/>
      <c r="U34"/>
      <c r="V34"/>
      <c r="W34"/>
      <c r="X34"/>
      <c r="Y34"/>
      <c r="Z34"/>
      <c r="AA34" s="12">
        <v>2.0040322560817003E-3</v>
      </c>
      <c r="AB34"/>
      <c r="AC34" s="11">
        <v>8.1677091657184064E-5</v>
      </c>
      <c r="AD34"/>
      <c r="AE34"/>
      <c r="AF34" s="11">
        <v>4.4816748413722962E-5</v>
      </c>
      <c r="AG34"/>
      <c r="AH34" s="242">
        <v>1.1745152994990349E-2</v>
      </c>
      <c r="AI34" s="11">
        <v>2.666283689904958E-4</v>
      </c>
      <c r="AJ34" s="12">
        <v>2.393592381849885E-3</v>
      </c>
      <c r="AK34" s="23">
        <v>2.6717218570411205E-3</v>
      </c>
      <c r="AL34"/>
      <c r="AM34"/>
      <c r="AN34"/>
      <c r="AO34"/>
      <c r="AP34" s="22">
        <v>4.3667838908731937E-3</v>
      </c>
      <c r="AQ34"/>
      <c r="AR34"/>
      <c r="AS34" s="291">
        <v>0.29713255167007446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0.18279924988746643</v>
      </c>
      <c r="C35">
        <v>9.1399755328893661E-3</v>
      </c>
      <c r="D35"/>
      <c r="E35"/>
      <c r="F35"/>
      <c r="G35"/>
      <c r="H35"/>
      <c r="I35"/>
      <c r="J35"/>
      <c r="K35" s="11">
        <v>6.512252070933755E-7</v>
      </c>
      <c r="L35"/>
      <c r="M35" s="263">
        <v>0.16244743764400482</v>
      </c>
      <c r="N35"/>
      <c r="O35" s="28">
        <v>6.3980394043028355E-3</v>
      </c>
      <c r="P35"/>
      <c r="Q35"/>
      <c r="R35"/>
      <c r="S35"/>
      <c r="T35"/>
      <c r="U35" s="26">
        <v>4.813153762370348E-3</v>
      </c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0.6383817195892334</v>
      </c>
      <c r="C36">
        <v>3.1919132918119431E-2</v>
      </c>
      <c r="D36"/>
      <c r="E36"/>
      <c r="F36"/>
      <c r="G36"/>
      <c r="H36"/>
      <c r="I36"/>
      <c r="J36" s="284">
        <v>0.22282674908638</v>
      </c>
      <c r="K36" s="11">
        <v>3.2032946251092653E-7</v>
      </c>
      <c r="L36"/>
      <c r="M36" s="70">
        <v>3.2453455030918121E-2</v>
      </c>
      <c r="N36"/>
      <c r="O36" s="15">
        <v>6.2210415489971638E-3</v>
      </c>
      <c r="P36"/>
      <c r="Q36"/>
      <c r="R36"/>
      <c r="S36"/>
      <c r="T36"/>
      <c r="U36"/>
      <c r="V36"/>
      <c r="W36"/>
      <c r="X36"/>
      <c r="Y36"/>
      <c r="Z36"/>
      <c r="AA36" s="14">
        <v>1.722335466183722E-3</v>
      </c>
      <c r="AB36"/>
      <c r="AC36"/>
      <c r="AD36" s="26">
        <v>1.6339104622602463E-2</v>
      </c>
      <c r="AE36" s="280">
        <v>0.19962114095687866</v>
      </c>
      <c r="AF36" s="19">
        <v>1.0784783400595188E-2</v>
      </c>
      <c r="AG36" s="257">
        <v>8.489140123128891E-2</v>
      </c>
      <c r="AH36" s="24">
        <v>1.7664842307567596E-2</v>
      </c>
      <c r="AI36" s="14">
        <v>8.0202415119856596E-4</v>
      </c>
      <c r="AJ36"/>
      <c r="AK36"/>
      <c r="AL36"/>
      <c r="AM36"/>
      <c r="AN36"/>
      <c r="AO36"/>
      <c r="AP36" s="21">
        <v>1.313538383692503E-2</v>
      </c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1.4220422506332397</v>
      </c>
      <c r="C37">
        <v>7.1101963520050049E-2</v>
      </c>
      <c r="D37"/>
      <c r="E37"/>
      <c r="F37"/>
      <c r="G37"/>
      <c r="H37"/>
      <c r="I37"/>
      <c r="J37" s="16">
        <v>2.3290570825338364E-2</v>
      </c>
      <c r="K37" s="11">
        <v>1.443069219675408E-8</v>
      </c>
      <c r="L37" s="11">
        <v>9.898404823616147E-4</v>
      </c>
      <c r="M37"/>
      <c r="N37"/>
      <c r="O37" s="14">
        <v>3.3884472213685513E-3</v>
      </c>
      <c r="P37"/>
      <c r="Q37" s="14">
        <v>3.4295376390218735E-3</v>
      </c>
      <c r="R37" s="11">
        <v>1.7137645045295358E-4</v>
      </c>
      <c r="S37"/>
      <c r="T37"/>
      <c r="U37" s="11">
        <v>1.1945483274757862E-3</v>
      </c>
      <c r="V37" s="11">
        <v>4.1399587644264102E-4</v>
      </c>
      <c r="W37"/>
      <c r="X37"/>
      <c r="Y37"/>
      <c r="Z37" s="11">
        <v>6.5895623993128538E-4</v>
      </c>
      <c r="AA37" s="11">
        <v>8.340969798155129E-4</v>
      </c>
      <c r="AB37" s="306">
        <v>0.78923940658569336</v>
      </c>
      <c r="AC37"/>
      <c r="AD37" s="12">
        <v>5.5211782455444336E-3</v>
      </c>
      <c r="AE37" s="281">
        <v>6.4448677003383636E-2</v>
      </c>
      <c r="AF37" s="15">
        <v>1.4180123805999756E-2</v>
      </c>
      <c r="AG37" s="76">
        <v>0.11264528334140778</v>
      </c>
      <c r="AH37"/>
      <c r="AI37"/>
      <c r="AJ37"/>
      <c r="AK37" s="14">
        <v>2.593307988718152E-3</v>
      </c>
      <c r="AL37"/>
      <c r="AM37"/>
      <c r="AN37"/>
      <c r="AO37"/>
      <c r="AP37" s="14">
        <v>2.544494578614831E-3</v>
      </c>
      <c r="AQ37"/>
      <c r="AR37" s="81">
        <v>0.23946909606456757</v>
      </c>
      <c r="AS37" s="149">
        <v>8.5927285254001617E-2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0.60000002384185791</v>
      </c>
      <c r="C38">
        <v>3.0000044032931328E-2</v>
      </c>
      <c r="D38"/>
      <c r="E38"/>
      <c r="F38"/>
      <c r="G38"/>
      <c r="H38"/>
      <c r="I38"/>
      <c r="J38"/>
      <c r="K38" s="11">
        <v>1.3488946137840685E-7</v>
      </c>
      <c r="L38" s="27">
        <v>4.6262171119451523E-2</v>
      </c>
      <c r="M38" s="259">
        <v>3.3567920327186584E-2</v>
      </c>
      <c r="N38"/>
      <c r="O38" s="23">
        <v>3.7548399996012449E-3</v>
      </c>
      <c r="P38"/>
      <c r="Q38" s="17">
        <v>8.0143148079514503E-3</v>
      </c>
      <c r="R38"/>
      <c r="S38"/>
      <c r="T38"/>
      <c r="U38" s="11">
        <v>2.6585528394207358E-4</v>
      </c>
      <c r="V38"/>
      <c r="W38"/>
      <c r="X38"/>
      <c r="Y38"/>
      <c r="Z38" s="26">
        <v>1.5098355710506439E-2</v>
      </c>
      <c r="AA38" s="14">
        <v>1.2994398130103946E-3</v>
      </c>
      <c r="AB38"/>
      <c r="AC38"/>
      <c r="AD38" s="23">
        <v>3.5378690809011459E-3</v>
      </c>
      <c r="AE38" s="290">
        <v>0.4518207311630249</v>
      </c>
      <c r="AF38" s="11">
        <v>8.136727410601452E-5</v>
      </c>
      <c r="AG38" s="14">
        <v>1.2809495674446225E-3</v>
      </c>
      <c r="AH38"/>
      <c r="AI38"/>
      <c r="AJ38" s="14">
        <v>1.0864246869459748E-3</v>
      </c>
      <c r="AK38"/>
      <c r="AL38"/>
      <c r="AM38"/>
      <c r="AN38"/>
      <c r="AO38"/>
      <c r="AP38" s="23">
        <v>3.92959825694561E-3</v>
      </c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0.5</v>
      </c>
      <c r="C39">
        <v>2.5000005960464478E-2</v>
      </c>
      <c r="D39"/>
      <c r="E39"/>
      <c r="F39"/>
      <c r="G39"/>
      <c r="H39"/>
      <c r="I39"/>
      <c r="J39" s="145">
        <v>4.982101172208786E-2</v>
      </c>
      <c r="K39"/>
      <c r="L39" s="14">
        <v>1.1577620171010494E-3</v>
      </c>
      <c r="M39" s="26">
        <v>1.2601113878190517E-2</v>
      </c>
      <c r="N39"/>
      <c r="O39" s="23">
        <v>2.5537458714097738E-3</v>
      </c>
      <c r="P39"/>
      <c r="Q39" s="18">
        <v>6.0170120559632778E-3</v>
      </c>
      <c r="R39" s="14">
        <v>7.5168610783293843E-4</v>
      </c>
      <c r="S39" s="11">
        <v>4.2050474439747632E-4</v>
      </c>
      <c r="T39" s="14">
        <v>7.9847866436466575E-4</v>
      </c>
      <c r="U39" s="12">
        <v>1.9585718400776386E-3</v>
      </c>
      <c r="V39" s="12">
        <v>1.7830994911491871E-3</v>
      </c>
      <c r="W39"/>
      <c r="X39"/>
      <c r="Y39"/>
      <c r="Z39" s="11">
        <v>9.3993287009652704E-5</v>
      </c>
      <c r="AA39" s="12">
        <v>1.9511948339641094E-3</v>
      </c>
      <c r="AB39" s="75">
        <v>4.750240221619606E-2</v>
      </c>
      <c r="AC39"/>
      <c r="AD39"/>
      <c r="AE39"/>
      <c r="AF39" s="14">
        <v>1.1606944026425481E-3</v>
      </c>
      <c r="AG39" s="243">
        <v>1.9715167582035065E-2</v>
      </c>
      <c r="AH39"/>
      <c r="AI39" s="11">
        <v>1.8171899137087166E-4</v>
      </c>
      <c r="AJ39" s="11">
        <v>4.0783465374261141E-4</v>
      </c>
      <c r="AK39" s="11">
        <v>6.9367459218483418E-5</v>
      </c>
      <c r="AL39"/>
      <c r="AM39"/>
      <c r="AN39"/>
      <c r="AO39"/>
      <c r="AP39" s="12">
        <v>1.4751380076631904E-3</v>
      </c>
      <c r="AQ39"/>
      <c r="AR39" s="293">
        <v>0.22407509386539459</v>
      </c>
      <c r="AS39" s="287">
        <v>0.10050442814826965</v>
      </c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0.37999999523162842</v>
      </c>
      <c r="C40">
        <v>0.2622864842414856</v>
      </c>
      <c r="D40"/>
      <c r="E40"/>
      <c r="F40"/>
      <c r="G40"/>
      <c r="H40"/>
      <c r="I40"/>
      <c r="J40"/>
      <c r="K40" s="11">
        <v>8.5975216279621236E-8</v>
      </c>
      <c r="L40" s="256">
        <v>5.8972738683223724E-2</v>
      </c>
      <c r="M40" s="21">
        <v>7.6594376005232334E-3</v>
      </c>
      <c r="N40"/>
      <c r="O40"/>
      <c r="P40"/>
      <c r="Q40" s="255">
        <v>5.1081269979476929E-2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0.37999999523162842</v>
      </c>
      <c r="C41">
        <v>1.9000072032213211E-2</v>
      </c>
      <c r="D41"/>
      <c r="E41"/>
      <c r="F41"/>
      <c r="G41"/>
      <c r="H41"/>
      <c r="I41" s="11">
        <v>7.3732664418457716E-8</v>
      </c>
      <c r="J41"/>
      <c r="K41"/>
      <c r="L41" s="11">
        <v>1.1255936988163739E-4</v>
      </c>
      <c r="M41"/>
      <c r="N41"/>
      <c r="O41"/>
      <c r="P41"/>
      <c r="Q41" s="277">
        <v>4.0331318974494934E-2</v>
      </c>
      <c r="R41" s="22">
        <v>3.0206423252820969E-3</v>
      </c>
      <c r="S41" s="148">
        <v>1.1174443177878857E-2</v>
      </c>
      <c r="T41" s="257">
        <v>5.0459038466215134E-2</v>
      </c>
      <c r="U41"/>
      <c r="V41"/>
      <c r="W41"/>
      <c r="X41" s="14">
        <v>6.5447052475064993E-4</v>
      </c>
      <c r="Y41" s="11">
        <v>2.0683180991909467E-5</v>
      </c>
      <c r="Z41" s="19">
        <v>6.7256917245686054E-3</v>
      </c>
      <c r="AA41"/>
      <c r="AB41"/>
      <c r="AC41"/>
      <c r="AD41" s="14">
        <v>6.0255313292145729E-4</v>
      </c>
      <c r="AE41" s="294">
        <v>7.8295573592185974E-2</v>
      </c>
      <c r="AF41" s="242">
        <v>8.6613064631819725E-3</v>
      </c>
      <c r="AG41" s="299">
        <v>0.14632657170295715</v>
      </c>
      <c r="AH41" s="274">
        <v>1.2970707379281521E-2</v>
      </c>
      <c r="AI41"/>
      <c r="AJ41" s="12">
        <v>1.5860118437558413E-3</v>
      </c>
      <c r="AK41"/>
      <c r="AL41"/>
      <c r="AM41"/>
      <c r="AN41"/>
      <c r="AO41"/>
      <c r="AP41"/>
      <c r="AQ41"/>
      <c r="AR41"/>
      <c r="AS41"/>
      <c r="AT41"/>
      <c r="AU41" s="11">
        <v>2.8121039576944895E-5</v>
      </c>
      <c r="AV41"/>
      <c r="AW41" s="11">
        <v>3.0192679332685657E-5</v>
      </c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0.37999999523162842</v>
      </c>
      <c r="C42">
        <v>1.9000004976987839E-2</v>
      </c>
      <c r="D42" s="236">
        <v>0.21571479737758636</v>
      </c>
      <c r="E42"/>
      <c r="F42"/>
      <c r="G42"/>
      <c r="H42"/>
      <c r="I42" s="11">
        <v>8.9949608650385926E-8</v>
      </c>
      <c r="J42"/>
      <c r="K42"/>
      <c r="L42"/>
      <c r="M42"/>
      <c r="N42"/>
      <c r="O42"/>
      <c r="P42"/>
      <c r="Q42" s="247">
        <v>4.7576367855072021E-2</v>
      </c>
      <c r="R42"/>
      <c r="S42"/>
      <c r="T42"/>
      <c r="U42"/>
      <c r="V42"/>
      <c r="W42"/>
      <c r="X42"/>
      <c r="Y42"/>
      <c r="Z42" s="18">
        <v>4.4592157937586308E-3</v>
      </c>
      <c r="AA42"/>
      <c r="AB42"/>
      <c r="AC42"/>
      <c r="AD42" s="251">
        <v>7.8758597373962402E-2</v>
      </c>
      <c r="AE42"/>
      <c r="AF42" s="13">
        <v>1.449092011898756E-2</v>
      </c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1.4500000476837158</v>
      </c>
      <c r="C43">
        <v>7.2500109672546387E-2</v>
      </c>
      <c r="D43"/>
      <c r="E43"/>
      <c r="F43"/>
      <c r="G43"/>
      <c r="H43"/>
      <c r="I43" s="11">
        <v>1.3964233858132502E-7</v>
      </c>
      <c r="J43"/>
      <c r="K43"/>
      <c r="L43" s="110">
        <v>9.7208365797996521E-2</v>
      </c>
      <c r="M43"/>
      <c r="N43"/>
      <c r="O43" s="11">
        <v>9.7707181703299284E-4</v>
      </c>
      <c r="P43"/>
      <c r="Q43" s="243">
        <v>5.6687530130147934E-2</v>
      </c>
      <c r="R43" s="17">
        <v>1.906931959092617E-2</v>
      </c>
      <c r="S43" s="11">
        <v>1.2581829214468598E-3</v>
      </c>
      <c r="T43" s="274">
        <v>4.8762351274490356E-2</v>
      </c>
      <c r="U43" s="11">
        <v>1.2786582810804248E-3</v>
      </c>
      <c r="V43" s="11">
        <v>7.7971199061721563E-4</v>
      </c>
      <c r="W43"/>
      <c r="X43" s="19">
        <v>2.6029540225863457E-2</v>
      </c>
      <c r="Y43"/>
      <c r="Z43" s="11">
        <v>8.249565726146102E-4</v>
      </c>
      <c r="AA43" s="14">
        <v>2.0957374945282936E-3</v>
      </c>
      <c r="AB43" s="67">
        <v>8.5035569965839386E-2</v>
      </c>
      <c r="AC43"/>
      <c r="AD43" s="14">
        <v>2.2823512554168701E-3</v>
      </c>
      <c r="AE43" s="300">
        <v>0.29633674025535583</v>
      </c>
      <c r="AF43" s="15">
        <v>1.4697671867907047E-2</v>
      </c>
      <c r="AG43" s="279">
        <v>0.2485002875328064</v>
      </c>
      <c r="AH43" s="274">
        <v>4.9130458384752274E-2</v>
      </c>
      <c r="AI43" s="11">
        <v>5.5765872821211815E-4</v>
      </c>
      <c r="AJ43" s="12">
        <v>6.0074976645410061E-3</v>
      </c>
      <c r="AK43" s="11">
        <v>5.8056739362655208E-5</v>
      </c>
      <c r="AL43"/>
      <c r="AM43"/>
      <c r="AN43"/>
      <c r="AO43"/>
      <c r="AP43" s="11">
        <v>1.9060631166212261E-4</v>
      </c>
      <c r="AQ43"/>
      <c r="AR43"/>
      <c r="AS43"/>
      <c r="AT43"/>
      <c r="AU43" s="11">
        <v>1.0651689954102039E-3</v>
      </c>
      <c r="AV43" s="302">
        <v>0.41855201125144958</v>
      </c>
      <c r="AW43" s="11">
        <v>1.1436385830165818E-4</v>
      </c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0.60000002384185791</v>
      </c>
      <c r="C44">
        <v>3.0000044032931328E-2</v>
      </c>
      <c r="D44"/>
      <c r="E44"/>
      <c r="F44"/>
      <c r="G44"/>
      <c r="H44"/>
      <c r="I44" s="11">
        <v>1.3745518501195875E-8</v>
      </c>
      <c r="J44"/>
      <c r="K44"/>
      <c r="L44"/>
      <c r="M44"/>
      <c r="N44"/>
      <c r="O44"/>
      <c r="P44"/>
      <c r="Q44" s="14">
        <v>1.5994691057130694E-3</v>
      </c>
      <c r="R44" s="11">
        <v>1.0899087101279292E-5</v>
      </c>
      <c r="S44" s="70">
        <v>3.0599899590015411E-2</v>
      </c>
      <c r="T44" s="81">
        <v>0.10136149078607559</v>
      </c>
      <c r="U44"/>
      <c r="V44" s="11">
        <v>8.2600882933547837E-7</v>
      </c>
      <c r="W44" s="16">
        <v>9.4312131404876709E-3</v>
      </c>
      <c r="X44" s="14">
        <v>1.7569272313266993E-3</v>
      </c>
      <c r="Y44" s="11">
        <v>5.2593601867556572E-4</v>
      </c>
      <c r="Z44" s="11">
        <v>4.2248571844538674E-5</v>
      </c>
      <c r="AA44"/>
      <c r="AB44"/>
      <c r="AC44"/>
      <c r="AD44" s="11">
        <v>7.7026430517435074E-5</v>
      </c>
      <c r="AE44" s="19">
        <v>1.0383535176515579E-2</v>
      </c>
      <c r="AF44" s="242">
        <v>1.4123499393463135E-2</v>
      </c>
      <c r="AG44" s="309">
        <v>0.23858886957168579</v>
      </c>
      <c r="AH44" s="265">
        <v>5.8033149689435959E-2</v>
      </c>
      <c r="AI44" s="11">
        <v>1.3174186460673809E-4</v>
      </c>
      <c r="AJ44" s="11">
        <v>2.3653621610719711E-4</v>
      </c>
      <c r="AK44"/>
      <c r="AL44"/>
      <c r="AM44"/>
      <c r="AN44"/>
      <c r="AO44"/>
      <c r="AP44"/>
      <c r="AQ44"/>
      <c r="AR44"/>
      <c r="AS44"/>
      <c r="AT44"/>
      <c r="AU44" s="23">
        <v>3.8122946862131357E-3</v>
      </c>
      <c r="AV44" s="303">
        <v>9.8879151046276093E-2</v>
      </c>
      <c r="AW44" s="11">
        <v>4.0526155498810112E-4</v>
      </c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</v>
      </c>
      <c r="C45">
        <v>0.10000002384185791</v>
      </c>
      <c r="D45"/>
      <c r="E45"/>
      <c r="F45"/>
      <c r="G45"/>
      <c r="H45"/>
      <c r="I45" s="11">
        <v>6.6611235638447397E-8</v>
      </c>
      <c r="J45"/>
      <c r="K45"/>
      <c r="L45"/>
      <c r="M45"/>
      <c r="N45"/>
      <c r="O45"/>
      <c r="P45"/>
      <c r="Q45" s="14">
        <v>5.2848262712359428E-3</v>
      </c>
      <c r="R45" s="14">
        <v>2.3591737262904644E-3</v>
      </c>
      <c r="S45" s="14">
        <v>4.1180881671607494E-3</v>
      </c>
      <c r="T45" s="304">
        <v>0.24293555319309235</v>
      </c>
      <c r="U45"/>
      <c r="V45"/>
      <c r="W45" s="68">
        <v>0.12587271630764008</v>
      </c>
      <c r="X45" s="307">
        <v>0.4682769775390625</v>
      </c>
      <c r="Y45" s="11">
        <v>1.6418332234025002E-3</v>
      </c>
      <c r="Z45" s="11">
        <v>1.8921751761808991E-3</v>
      </c>
      <c r="AA45" s="11">
        <v>1.7137620307039469E-4</v>
      </c>
      <c r="AB45"/>
      <c r="AC45"/>
      <c r="AD45" s="11">
        <v>1.9830107339657843E-4</v>
      </c>
      <c r="AE45" s="18">
        <v>2.5159476324915886E-2</v>
      </c>
      <c r="AF45" s="12">
        <v>9.3682482838630676E-3</v>
      </c>
      <c r="AG45" s="76">
        <v>0.15829457342624664</v>
      </c>
      <c r="AH45" s="79">
        <v>0.28123053908348083</v>
      </c>
      <c r="AI45" s="11">
        <v>3.1921267509460449E-4</v>
      </c>
      <c r="AJ45" s="11">
        <v>4.2984832543879747E-4</v>
      </c>
      <c r="AK45"/>
      <c r="AL45"/>
      <c r="AM45"/>
      <c r="AN45"/>
      <c r="AO45"/>
      <c r="AP45" s="11">
        <v>2.7276517357677221E-5</v>
      </c>
      <c r="AQ45"/>
      <c r="AR45"/>
      <c r="AS45"/>
      <c r="AT45"/>
      <c r="AU45" s="12">
        <v>9.2372521758079529E-3</v>
      </c>
      <c r="AV45" s="308">
        <v>0.47917160391807556</v>
      </c>
      <c r="AW45" s="11">
        <v>9.8195532336831093E-4</v>
      </c>
      <c r="AX45" s="66">
        <v>8.3028919994831085E-2</v>
      </c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0.56999999284744263</v>
      </c>
      <c r="C46">
        <v>2.8499972075223923E-2</v>
      </c>
      <c r="D46"/>
      <c r="E46"/>
      <c r="F46"/>
      <c r="G46"/>
      <c r="H46" s="11">
        <v>1.9139384676236659E-4</v>
      </c>
      <c r="I46" s="11">
        <v>7.597792972546813E-8</v>
      </c>
      <c r="J46"/>
      <c r="K46"/>
      <c r="L46"/>
      <c r="M46"/>
      <c r="N46" s="11">
        <v>3.3557551796548069E-4</v>
      </c>
      <c r="O46"/>
      <c r="P46"/>
      <c r="Q46" s="18">
        <v>6.563783623278141E-3</v>
      </c>
      <c r="R46" s="11">
        <v>2.4767123977653682E-4</v>
      </c>
      <c r="S46" s="15">
        <v>5.6731058284640312E-3</v>
      </c>
      <c r="T46" s="25">
        <v>1.8131798133254051E-2</v>
      </c>
      <c r="U46"/>
      <c r="V46"/>
      <c r="W46" s="23">
        <v>3.5274659749120474E-3</v>
      </c>
      <c r="X46" s="23">
        <v>2.9673601966351271E-3</v>
      </c>
      <c r="Y46" s="11">
        <v>2.6664949837140739E-4</v>
      </c>
      <c r="Z46" s="11">
        <v>1.2555252396850847E-5</v>
      </c>
      <c r="AA46"/>
      <c r="AB46"/>
      <c r="AC46"/>
      <c r="AD46"/>
      <c r="AE46"/>
      <c r="AF46" s="14">
        <v>1.1056868825107813E-3</v>
      </c>
      <c r="AG46" s="274">
        <v>1.8691243603825569E-2</v>
      </c>
      <c r="AH46" s="29">
        <v>2.6731370016932487E-2</v>
      </c>
      <c r="AI46"/>
      <c r="AJ46" s="11">
        <v>5.4476942750625312E-5</v>
      </c>
      <c r="AK46"/>
      <c r="AL46"/>
      <c r="AM46"/>
      <c r="AN46"/>
      <c r="AO46"/>
      <c r="AP46"/>
      <c r="AQ46"/>
      <c r="AR46"/>
      <c r="AS46"/>
      <c r="AT46"/>
      <c r="AU46" s="14">
        <v>1.3909133849665523E-3</v>
      </c>
      <c r="AV46" s="310">
        <v>0.45545956492424011</v>
      </c>
      <c r="AW46" s="11">
        <v>1.4933804050087929E-4</v>
      </c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2.5</v>
      </c>
      <c r="C47">
        <v>0.12500002980232239</v>
      </c>
      <c r="D47"/>
      <c r="E47"/>
      <c r="F47"/>
      <c r="G47"/>
      <c r="H47"/>
      <c r="I47" s="11">
        <v>1.1729731141940647E-7</v>
      </c>
      <c r="J47"/>
      <c r="K47"/>
      <c r="L47"/>
      <c r="M47"/>
      <c r="N47" s="11">
        <v>8.634548430563882E-5</v>
      </c>
      <c r="O47"/>
      <c r="P47"/>
      <c r="Q47" s="12">
        <v>9.3061765655875206E-3</v>
      </c>
      <c r="R47" s="23">
        <v>1.69815793633461E-2</v>
      </c>
      <c r="S47" s="23">
        <v>1.6470653936266899E-2</v>
      </c>
      <c r="T47" s="305">
        <v>0.27033329010009766</v>
      </c>
      <c r="U47" s="11">
        <v>9.2612906883005053E-5</v>
      </c>
      <c r="V47" s="11">
        <v>6.1676495533902198E-5</v>
      </c>
      <c r="W47" s="66">
        <v>0.1014786958694458</v>
      </c>
      <c r="X47" s="261">
        <v>0.18178683519363403</v>
      </c>
      <c r="Y47" s="14">
        <v>6.9843707606196404E-3</v>
      </c>
      <c r="Z47" s="11">
        <v>8.9259754167869687E-4</v>
      </c>
      <c r="AA47" s="11">
        <v>1.5089022053871304E-4</v>
      </c>
      <c r="AB47"/>
      <c r="AC47" s="11">
        <v>1.033156004268676E-4</v>
      </c>
      <c r="AD47" s="11">
        <v>5.5973598500713706E-4</v>
      </c>
      <c r="AE47" s="148">
        <v>7.2401940822601318E-2</v>
      </c>
      <c r="AF47" s="22">
        <v>1.7621124163269997E-2</v>
      </c>
      <c r="AG47" s="143">
        <v>0.29778382182121277</v>
      </c>
      <c r="AH47" s="307">
        <v>0.58436620235443115</v>
      </c>
      <c r="AI47" s="11">
        <v>2.8105461387895048E-4</v>
      </c>
      <c r="AJ47" s="11">
        <v>5.046201404184103E-4</v>
      </c>
      <c r="AK47"/>
      <c r="AL47"/>
      <c r="AM47"/>
      <c r="AN47"/>
      <c r="AO47" s="28">
        <v>8.7091043591499329E-2</v>
      </c>
      <c r="AP47" s="11">
        <v>1.5210092533379793E-4</v>
      </c>
      <c r="AQ47"/>
      <c r="AR47"/>
      <c r="AS47"/>
      <c r="AT47"/>
      <c r="AU47" s="14">
        <v>3.2210091594606638E-3</v>
      </c>
      <c r="AV47" s="150">
        <v>0.63283854722976685</v>
      </c>
      <c r="AW47" s="11">
        <v>3.4582969965413213E-4</v>
      </c>
      <c r="AX47" s="148">
        <v>7.3103800415992737E-2</v>
      </c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3.4330000877380371</v>
      </c>
      <c r="C48">
        <v>0.17164984345436096</v>
      </c>
      <c r="D48"/>
      <c r="E48"/>
      <c r="F48"/>
      <c r="G48"/>
      <c r="H48"/>
      <c r="I48"/>
      <c r="J48" s="14">
        <v>9.0355072170495987E-3</v>
      </c>
      <c r="K48"/>
      <c r="L48" s="11">
        <v>3.2702251337468624E-3</v>
      </c>
      <c r="M48"/>
      <c r="N48"/>
      <c r="O48"/>
      <c r="P48" s="11">
        <v>3.2535830978304148E-3</v>
      </c>
      <c r="Q48" s="12">
        <v>1.0998892597854137E-2</v>
      </c>
      <c r="R48" s="14">
        <v>7.1791801601648331E-3</v>
      </c>
      <c r="S48" s="11">
        <v>1.38042529579252E-3</v>
      </c>
      <c r="T48" s="16">
        <v>5.4498977959156036E-2</v>
      </c>
      <c r="U48" s="11">
        <v>4.5961220166645944E-5</v>
      </c>
      <c r="V48" s="11">
        <v>1.5768340381328017E-4</v>
      </c>
      <c r="W48" s="14">
        <v>3.5662739537656307E-3</v>
      </c>
      <c r="X48" s="11">
        <v>1.9078147306572646E-4</v>
      </c>
      <c r="Y48"/>
      <c r="Z48" s="11">
        <v>1.7758815374691039E-5</v>
      </c>
      <c r="AA48" s="11">
        <v>3.2257137354463339E-4</v>
      </c>
      <c r="AB48" s="67">
        <v>0.20137575268745422</v>
      </c>
      <c r="AC48" s="11">
        <v>5.2587356549338438E-6</v>
      </c>
      <c r="AD48" s="11">
        <v>6.6495040664449334E-4</v>
      </c>
      <c r="AE48" s="26">
        <v>8.659420907497406E-2</v>
      </c>
      <c r="AF48" s="11">
        <v>2.1468137856572866E-3</v>
      </c>
      <c r="AG48" s="15">
        <v>3.6295313388109207E-2</v>
      </c>
      <c r="AH48" s="23">
        <v>1.8905134871602058E-2</v>
      </c>
      <c r="AI48" s="14">
        <v>6.8752733059227467E-3</v>
      </c>
      <c r="AJ48" s="11">
        <v>1.5411016647703946E-4</v>
      </c>
      <c r="AK48" s="11">
        <v>1.8616599845699966E-5</v>
      </c>
      <c r="AL48" s="305">
        <v>0.3677731454372406</v>
      </c>
      <c r="AM48" s="304">
        <v>0.41409552097320557</v>
      </c>
      <c r="AN48" s="276">
        <v>0.23252321779727936</v>
      </c>
      <c r="AO48" s="243">
        <v>0.13644497096538544</v>
      </c>
      <c r="AP48" s="11">
        <v>7.2121864650398493E-4</v>
      </c>
      <c r="AQ48" s="26">
        <v>8.493785560131073E-2</v>
      </c>
      <c r="AR48" s="276">
        <v>0.23814049363136292</v>
      </c>
      <c r="AS48" s="19">
        <v>5.9234380722045898E-2</v>
      </c>
      <c r="AT48" s="281">
        <v>0.15744754672050476</v>
      </c>
      <c r="AU48" s="11">
        <v>1.6394849808420986E-4</v>
      </c>
      <c r="AV48" s="245">
        <v>0.25769048929214478</v>
      </c>
      <c r="AW48" s="11">
        <v>1.7602636944502592E-5</v>
      </c>
      <c r="AX48" s="286">
        <v>0.17860625684261322</v>
      </c>
      <c r="AY48"/>
      <c r="AZ48"/>
      <c r="BA48"/>
      <c r="BB48"/>
      <c r="BC48" s="311">
        <v>0.68660002946853638</v>
      </c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8.3999996185302734</v>
      </c>
      <c r="C49">
        <v>0.4200005829334259</v>
      </c>
      <c r="D49"/>
      <c r="E49"/>
      <c r="F49"/>
      <c r="G49"/>
      <c r="H49"/>
      <c r="I49" s="9">
        <v>1.5685627241524003E-9</v>
      </c>
      <c r="J49" s="11">
        <v>6.314803846180439E-3</v>
      </c>
      <c r="K49"/>
      <c r="L49"/>
      <c r="M49"/>
      <c r="N49"/>
      <c r="O49"/>
      <c r="P49" s="11">
        <v>1.2833636719733477E-4</v>
      </c>
      <c r="Q49"/>
      <c r="R49" s="11">
        <v>6.2187186813389417E-6</v>
      </c>
      <c r="S49"/>
      <c r="T49" s="11">
        <v>6.6058331867679954E-5</v>
      </c>
      <c r="U49"/>
      <c r="V49"/>
      <c r="W49"/>
      <c r="X49"/>
      <c r="Y49"/>
      <c r="Z49" s="11">
        <v>7.7760878411936574E-6</v>
      </c>
      <c r="AA49"/>
      <c r="AB49" s="23">
        <v>5.279146134853363E-2</v>
      </c>
      <c r="AC49"/>
      <c r="AD49" s="11">
        <v>3.7082099879626185E-5</v>
      </c>
      <c r="AE49" s="11">
        <v>4.9891024827957153E-3</v>
      </c>
      <c r="AF49" s="11">
        <v>1.8446818285156041E-4</v>
      </c>
      <c r="AG49" s="11">
        <v>3.1029549427330494E-3</v>
      </c>
      <c r="AH49" s="14">
        <v>1.6556058079004288E-2</v>
      </c>
      <c r="AI49" s="11">
        <v>3.7584139499813318E-4</v>
      </c>
      <c r="AJ49"/>
      <c r="AK49"/>
      <c r="AL49" s="250">
        <v>0.40424460172653198</v>
      </c>
      <c r="AM49" s="248">
        <v>0.67347735166549683</v>
      </c>
      <c r="AN49" s="18">
        <v>0.10181539505720139</v>
      </c>
      <c r="AO49" s="15">
        <v>9.0142235159873962E-2</v>
      </c>
      <c r="AP49" s="11">
        <v>2.7833348212880082E-5</v>
      </c>
      <c r="AQ49" s="12">
        <v>2.4794604629278183E-2</v>
      </c>
      <c r="AR49" s="26">
        <v>0.2085500955581665</v>
      </c>
      <c r="AS49"/>
      <c r="AT49" s="16">
        <v>0.1378837376832962</v>
      </c>
      <c r="AU49" s="11">
        <v>7.1788454079069197E-5</v>
      </c>
      <c r="AV49" s="21">
        <v>0.1692531555891037</v>
      </c>
      <c r="AW49" s="11">
        <v>7.7077020250726491E-6</v>
      </c>
      <c r="AX49" s="13">
        <v>0.31282669305801392</v>
      </c>
      <c r="AY49"/>
      <c r="AZ49"/>
      <c r="BA49"/>
      <c r="BB49"/>
      <c r="BC49" s="144">
        <v>5.7723431587219238</v>
      </c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93.099998474121094</v>
      </c>
      <c r="C50">
        <v>46.549999237060547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 s="14">
        <v>0.15839545428752899</v>
      </c>
      <c r="AY50"/>
      <c r="AZ50"/>
      <c r="BA50"/>
      <c r="BB50"/>
      <c r="BC50" s="276">
        <v>6.3612713813781738</v>
      </c>
      <c r="BD50" s="295">
        <v>40.030338287353516</v>
      </c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/>
      <c r="C51">
        <v>0.51445484161376953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 s="9">
        <v>7.941281795501709E-2</v>
      </c>
      <c r="AV51" s="9">
        <v>6.0591869354248047</v>
      </c>
      <c r="AW51" s="9">
        <v>8.2779675722122192E-3</v>
      </c>
      <c r="AX51" s="9">
        <v>73.493797302246094</v>
      </c>
      <c r="AY51" s="9">
        <v>408.72900390625</v>
      </c>
      <c r="AZ51" s="9">
        <v>160.08734130859375</v>
      </c>
      <c r="BA51" s="9">
        <v>1478.0140380859375</v>
      </c>
      <c r="BB51" s="9">
        <v>359.04815673828125</v>
      </c>
      <c r="BC51" s="9">
        <v>129.15457153320312</v>
      </c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/>
      <c r="C52">
        <v>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0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0" t="s">
        <v>192</v>
      </c>
      <c r="E5">
        <v>4</v>
      </c>
      <c r="F5">
        <v>3.13</v>
      </c>
      <c r="G5">
        <v>4</v>
      </c>
      <c r="H5" s="201" t="s">
        <v>192</v>
      </c>
      <c r="J5" s="57"/>
      <c r="K5" s="58"/>
    </row>
    <row r="6" spans="1:12" ht="14" thickBot="1" x14ac:dyDescent="0.2">
      <c r="A6" s="41" t="s">
        <v>121</v>
      </c>
      <c r="D6" s="200" t="s">
        <v>193</v>
      </c>
      <c r="E6">
        <v>5</v>
      </c>
      <c r="F6">
        <v>3.13</v>
      </c>
      <c r="G6">
        <v>5</v>
      </c>
      <c r="H6" s="201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0" t="s">
        <v>194</v>
      </c>
      <c r="E7">
        <v>6</v>
      </c>
      <c r="F7">
        <v>3.13</v>
      </c>
      <c r="G7">
        <v>6</v>
      </c>
      <c r="H7" s="201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0" t="s">
        <v>195</v>
      </c>
      <c r="E8">
        <v>7</v>
      </c>
      <c r="F8">
        <v>3.13</v>
      </c>
      <c r="G8">
        <v>7</v>
      </c>
      <c r="H8" s="201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0" t="s">
        <v>196</v>
      </c>
      <c r="E9">
        <v>8</v>
      </c>
      <c r="F9">
        <v>3.13</v>
      </c>
      <c r="G9">
        <v>8</v>
      </c>
      <c r="H9" s="201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0" t="s">
        <v>197</v>
      </c>
      <c r="E10">
        <v>9</v>
      </c>
      <c r="F10">
        <v>3.13</v>
      </c>
      <c r="G10">
        <v>9</v>
      </c>
      <c r="H10" s="201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0" t="s">
        <v>198</v>
      </c>
      <c r="E11">
        <v>10</v>
      </c>
      <c r="F11">
        <v>3.13</v>
      </c>
      <c r="G11">
        <v>10</v>
      </c>
      <c r="H11" s="201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0" t="s">
        <v>199</v>
      </c>
      <c r="E12">
        <v>11</v>
      </c>
      <c r="F12">
        <v>3.13</v>
      </c>
      <c r="G12">
        <v>11</v>
      </c>
      <c r="H12" s="201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0" t="s">
        <v>200</v>
      </c>
      <c r="E13">
        <v>12</v>
      </c>
      <c r="F13">
        <v>3.22</v>
      </c>
      <c r="G13">
        <v>12</v>
      </c>
      <c r="H13" s="201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0" t="s">
        <v>201</v>
      </c>
      <c r="E14">
        <v>13</v>
      </c>
      <c r="F14">
        <v>3.22</v>
      </c>
      <c r="G14">
        <v>13</v>
      </c>
      <c r="H14" s="201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0" t="s">
        <v>202</v>
      </c>
      <c r="E15">
        <v>14</v>
      </c>
      <c r="F15">
        <v>3.22</v>
      </c>
      <c r="G15">
        <v>14</v>
      </c>
      <c r="H15" s="201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0" t="s">
        <v>203</v>
      </c>
      <c r="E16">
        <v>15</v>
      </c>
      <c r="F16">
        <v>3.22</v>
      </c>
      <c r="G16">
        <v>15</v>
      </c>
      <c r="H16" s="201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0" t="s">
        <v>204</v>
      </c>
      <c r="E17">
        <v>16</v>
      </c>
      <c r="F17">
        <v>3.22</v>
      </c>
      <c r="G17">
        <v>16</v>
      </c>
      <c r="H17" s="201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0" t="s">
        <v>205</v>
      </c>
      <c r="E18">
        <v>17</v>
      </c>
      <c r="F18">
        <v>3.22</v>
      </c>
      <c r="G18">
        <v>17</v>
      </c>
      <c r="H18" s="201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0" t="s">
        <v>206</v>
      </c>
      <c r="E19">
        <v>18</v>
      </c>
      <c r="F19">
        <v>3.22</v>
      </c>
      <c r="G19">
        <v>18</v>
      </c>
      <c r="H19" s="201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0" t="s">
        <v>207</v>
      </c>
      <c r="E20">
        <v>19</v>
      </c>
      <c r="F20">
        <v>3.22</v>
      </c>
      <c r="G20">
        <v>19</v>
      </c>
      <c r="H20" s="201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0" t="s">
        <v>208</v>
      </c>
      <c r="E21">
        <v>20</v>
      </c>
      <c r="F21">
        <v>3.22</v>
      </c>
      <c r="G21">
        <v>20</v>
      </c>
      <c r="H21" s="201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0" t="s">
        <v>209</v>
      </c>
      <c r="E22">
        <v>21</v>
      </c>
      <c r="F22">
        <v>3.22</v>
      </c>
      <c r="G22">
        <v>21</v>
      </c>
      <c r="H22" s="201" t="s">
        <v>209</v>
      </c>
    </row>
    <row r="23" spans="1:12" x14ac:dyDescent="0.15">
      <c r="A23" s="36" t="s">
        <v>129</v>
      </c>
      <c r="B23" s="44">
        <v>4</v>
      </c>
      <c r="C23" s="38"/>
      <c r="D23" s="200" t="s">
        <v>210</v>
      </c>
      <c r="E23">
        <v>22</v>
      </c>
      <c r="F23">
        <v>3.22</v>
      </c>
      <c r="G23">
        <v>22</v>
      </c>
      <c r="H23" s="201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0" t="s">
        <v>211</v>
      </c>
      <c r="E24">
        <v>23</v>
      </c>
      <c r="F24">
        <v>3</v>
      </c>
      <c r="G24">
        <v>23</v>
      </c>
      <c r="H24" s="201" t="s">
        <v>211</v>
      </c>
    </row>
    <row r="25" spans="1:12" x14ac:dyDescent="0.15">
      <c r="A25" s="36" t="s">
        <v>70</v>
      </c>
      <c r="B25" s="44">
        <v>4.2</v>
      </c>
      <c r="C25" s="38"/>
      <c r="D25" s="200" t="s">
        <v>212</v>
      </c>
      <c r="E25">
        <v>24</v>
      </c>
      <c r="F25">
        <v>3.12</v>
      </c>
      <c r="G25">
        <v>24</v>
      </c>
      <c r="H25" s="201" t="s">
        <v>212</v>
      </c>
    </row>
    <row r="26" spans="1:12" x14ac:dyDescent="0.15">
      <c r="A26" s="36" t="s">
        <v>123</v>
      </c>
      <c r="B26" s="44">
        <v>4.3</v>
      </c>
      <c r="C26" s="38"/>
      <c r="D26" s="200" t="s">
        <v>213</v>
      </c>
      <c r="E26">
        <v>25</v>
      </c>
      <c r="F26">
        <v>3.2</v>
      </c>
      <c r="G26">
        <v>25</v>
      </c>
      <c r="H26" s="201" t="s">
        <v>213</v>
      </c>
    </row>
    <row r="27" spans="1:12" x14ac:dyDescent="0.15">
      <c r="A27" s="36" t="s">
        <v>125</v>
      </c>
      <c r="B27" s="44">
        <v>6.1</v>
      </c>
      <c r="D27" s="200" t="s">
        <v>214</v>
      </c>
      <c r="E27">
        <v>26</v>
      </c>
      <c r="F27">
        <v>3.2</v>
      </c>
      <c r="G27">
        <v>26</v>
      </c>
      <c r="H27" s="201" t="s">
        <v>214</v>
      </c>
    </row>
    <row r="28" spans="1:12" x14ac:dyDescent="0.15">
      <c r="A28" s="36" t="s">
        <v>124</v>
      </c>
      <c r="B28" s="44">
        <v>6.2</v>
      </c>
      <c r="D28" s="200" t="s">
        <v>215</v>
      </c>
      <c r="E28">
        <v>27</v>
      </c>
      <c r="F28">
        <v>3.2</v>
      </c>
      <c r="G28">
        <v>27</v>
      </c>
      <c r="H28" s="201" t="s">
        <v>215</v>
      </c>
    </row>
    <row r="29" spans="1:12" x14ac:dyDescent="0.15">
      <c r="A29" s="36" t="s">
        <v>44</v>
      </c>
      <c r="B29" s="44">
        <v>5</v>
      </c>
      <c r="D29" s="200" t="s">
        <v>216</v>
      </c>
      <c r="E29">
        <v>28</v>
      </c>
      <c r="F29">
        <v>3.2</v>
      </c>
      <c r="G29">
        <v>28</v>
      </c>
      <c r="H29" s="201" t="s">
        <v>216</v>
      </c>
    </row>
    <row r="30" spans="1:12" x14ac:dyDescent="0.15">
      <c r="A30" s="36" t="s">
        <v>73</v>
      </c>
      <c r="B30" s="44">
        <v>7</v>
      </c>
      <c r="D30" s="200" t="s">
        <v>217</v>
      </c>
      <c r="E30">
        <v>29</v>
      </c>
      <c r="F30">
        <v>3</v>
      </c>
      <c r="G30">
        <v>29</v>
      </c>
      <c r="H30" s="201" t="s">
        <v>217</v>
      </c>
    </row>
    <row r="31" spans="1:12" x14ac:dyDescent="0.15">
      <c r="A31" s="36" t="s">
        <v>169</v>
      </c>
      <c r="B31" s="44">
        <v>3.14</v>
      </c>
      <c r="D31" s="200" t="s">
        <v>218</v>
      </c>
      <c r="E31">
        <v>30</v>
      </c>
      <c r="F31">
        <v>3.12</v>
      </c>
      <c r="G31">
        <v>30</v>
      </c>
      <c r="H31" s="201" t="s">
        <v>218</v>
      </c>
    </row>
    <row r="32" spans="1:12" ht="12" customHeight="1" thickBot="1" x14ac:dyDescent="0.2">
      <c r="A32" s="42" t="s">
        <v>170</v>
      </c>
      <c r="B32" s="45">
        <v>9</v>
      </c>
      <c r="D32" s="200" t="s">
        <v>219</v>
      </c>
      <c r="E32">
        <v>31</v>
      </c>
      <c r="F32">
        <v>3.22</v>
      </c>
      <c r="G32">
        <v>31</v>
      </c>
      <c r="H32" s="201" t="s">
        <v>219</v>
      </c>
    </row>
    <row r="33" spans="4:8" customFormat="1" ht="12" customHeight="1" x14ac:dyDescent="0.15">
      <c r="D33" s="200" t="s">
        <v>220</v>
      </c>
      <c r="E33">
        <v>32</v>
      </c>
      <c r="F33">
        <v>3.12</v>
      </c>
      <c r="G33">
        <v>32</v>
      </c>
      <c r="H33" s="201" t="s">
        <v>220</v>
      </c>
    </row>
    <row r="34" spans="4:8" customFormat="1" ht="12" customHeight="1" x14ac:dyDescent="0.15">
      <c r="D34" s="200" t="s">
        <v>221</v>
      </c>
      <c r="E34">
        <v>33</v>
      </c>
      <c r="F34">
        <v>3.12</v>
      </c>
      <c r="G34">
        <v>33</v>
      </c>
      <c r="H34" s="201" t="s">
        <v>221</v>
      </c>
    </row>
    <row r="35" spans="4:8" customFormat="1" x14ac:dyDescent="0.15">
      <c r="D35" s="200" t="s">
        <v>222</v>
      </c>
      <c r="E35">
        <v>34</v>
      </c>
      <c r="F35">
        <v>3.12</v>
      </c>
      <c r="G35">
        <v>34</v>
      </c>
      <c r="H35" s="201" t="s">
        <v>222</v>
      </c>
    </row>
    <row r="36" spans="4:8" customFormat="1" x14ac:dyDescent="0.15">
      <c r="D36" s="200" t="s">
        <v>223</v>
      </c>
      <c r="E36">
        <v>35</v>
      </c>
      <c r="F36">
        <v>3.22</v>
      </c>
      <c r="G36">
        <v>35</v>
      </c>
      <c r="H36" s="201" t="s">
        <v>223</v>
      </c>
    </row>
    <row r="37" spans="4:8" customFormat="1" ht="12" customHeight="1" x14ac:dyDescent="0.15">
      <c r="D37" s="200" t="s">
        <v>224</v>
      </c>
      <c r="E37">
        <v>36</v>
      </c>
      <c r="F37">
        <v>3.12</v>
      </c>
      <c r="G37">
        <v>36</v>
      </c>
      <c r="H37" s="201" t="s">
        <v>224</v>
      </c>
    </row>
    <row r="38" spans="4:8" customFormat="1" x14ac:dyDescent="0.15">
      <c r="D38" s="200" t="s">
        <v>225</v>
      </c>
      <c r="E38">
        <v>37</v>
      </c>
      <c r="F38">
        <v>3.1</v>
      </c>
      <c r="G38">
        <v>37</v>
      </c>
      <c r="H38" s="201" t="s">
        <v>225</v>
      </c>
    </row>
    <row r="39" spans="4:8" customFormat="1" x14ac:dyDescent="0.15">
      <c r="D39" s="200" t="s">
        <v>226</v>
      </c>
      <c r="E39">
        <v>38</v>
      </c>
      <c r="F39">
        <v>3.12</v>
      </c>
      <c r="G39">
        <v>38</v>
      </c>
      <c r="H39" s="201" t="s">
        <v>226</v>
      </c>
    </row>
    <row r="40" spans="4:8" customFormat="1" x14ac:dyDescent="0.15">
      <c r="D40" s="200" t="s">
        <v>227</v>
      </c>
      <c r="E40">
        <v>39</v>
      </c>
      <c r="F40">
        <v>3.12</v>
      </c>
      <c r="G40">
        <v>39</v>
      </c>
      <c r="H40" s="201" t="s">
        <v>227</v>
      </c>
    </row>
    <row r="41" spans="4:8" customFormat="1" x14ac:dyDescent="0.15">
      <c r="D41" s="200" t="s">
        <v>228</v>
      </c>
      <c r="E41">
        <v>40</v>
      </c>
      <c r="F41">
        <v>3.12</v>
      </c>
      <c r="G41">
        <v>40</v>
      </c>
      <c r="H41" s="201" t="s">
        <v>228</v>
      </c>
    </row>
    <row r="42" spans="4:8" customFormat="1" x14ac:dyDescent="0.15">
      <c r="D42" s="200" t="s">
        <v>229</v>
      </c>
      <c r="E42">
        <v>41</v>
      </c>
      <c r="F42">
        <v>3.12</v>
      </c>
      <c r="G42">
        <v>41</v>
      </c>
      <c r="H42" s="201" t="s">
        <v>229</v>
      </c>
    </row>
    <row r="43" spans="4:8" customFormat="1" x14ac:dyDescent="0.15">
      <c r="D43" s="200" t="s">
        <v>230</v>
      </c>
      <c r="E43">
        <v>42</v>
      </c>
      <c r="F43">
        <v>3.21</v>
      </c>
      <c r="G43">
        <v>42</v>
      </c>
      <c r="H43" s="201" t="s">
        <v>230</v>
      </c>
    </row>
    <row r="44" spans="4:8" customFormat="1" x14ac:dyDescent="0.15">
      <c r="D44" s="200" t="s">
        <v>231</v>
      </c>
      <c r="E44">
        <v>43</v>
      </c>
      <c r="F44">
        <v>3.21</v>
      </c>
      <c r="G44">
        <v>43</v>
      </c>
      <c r="H44" s="201" t="s">
        <v>231</v>
      </c>
    </row>
    <row r="45" spans="4:8" customFormat="1" x14ac:dyDescent="0.15">
      <c r="D45" s="200" t="s">
        <v>232</v>
      </c>
      <c r="E45">
        <v>44</v>
      </c>
      <c r="F45">
        <v>3.21</v>
      </c>
      <c r="G45">
        <v>44</v>
      </c>
      <c r="H45" s="201" t="s">
        <v>232</v>
      </c>
    </row>
    <row r="46" spans="4:8" customFormat="1" x14ac:dyDescent="0.15">
      <c r="D46" s="200" t="s">
        <v>233</v>
      </c>
      <c r="E46">
        <v>45</v>
      </c>
      <c r="F46">
        <v>3</v>
      </c>
      <c r="G46">
        <v>45</v>
      </c>
      <c r="H46" s="201" t="s">
        <v>233</v>
      </c>
    </row>
    <row r="47" spans="4:8" customFormat="1" x14ac:dyDescent="0.15">
      <c r="D47" s="200" t="s">
        <v>234</v>
      </c>
      <c r="E47">
        <v>46</v>
      </c>
      <c r="F47">
        <v>3.21</v>
      </c>
      <c r="G47">
        <v>46</v>
      </c>
      <c r="H47" s="201" t="s">
        <v>234</v>
      </c>
    </row>
    <row r="48" spans="4:8" customFormat="1" x14ac:dyDescent="0.15">
      <c r="D48" s="200" t="s">
        <v>235</v>
      </c>
      <c r="E48">
        <v>47</v>
      </c>
      <c r="F48">
        <v>3.21</v>
      </c>
      <c r="G48">
        <v>47</v>
      </c>
      <c r="H48" s="201" t="s">
        <v>235</v>
      </c>
    </row>
    <row r="49" spans="4:8" customFormat="1" x14ac:dyDescent="0.15">
      <c r="D49" s="200" t="s">
        <v>236</v>
      </c>
      <c r="E49">
        <v>48</v>
      </c>
      <c r="F49">
        <v>3.21</v>
      </c>
      <c r="G49">
        <v>48</v>
      </c>
      <c r="H49" s="201" t="s">
        <v>236</v>
      </c>
    </row>
    <row r="50" spans="4:8" customFormat="1" ht="12" customHeight="1" x14ac:dyDescent="0.15">
      <c r="D50" s="200" t="s">
        <v>237</v>
      </c>
      <c r="E50">
        <v>49</v>
      </c>
      <c r="F50">
        <v>3.21</v>
      </c>
      <c r="G50">
        <v>49</v>
      </c>
      <c r="H50" s="201" t="s">
        <v>237</v>
      </c>
    </row>
    <row r="51" spans="4:8" customFormat="1" x14ac:dyDescent="0.15">
      <c r="D51" s="200" t="s">
        <v>238</v>
      </c>
      <c r="E51">
        <v>50</v>
      </c>
      <c r="F51">
        <v>3.11</v>
      </c>
      <c r="G51">
        <v>50</v>
      </c>
      <c r="H51" s="201" t="s">
        <v>238</v>
      </c>
    </row>
    <row r="52" spans="4:8" customFormat="1" ht="12" customHeight="1" x14ac:dyDescent="0.15">
      <c r="D52" s="200" t="s">
        <v>239</v>
      </c>
      <c r="E52">
        <v>51</v>
      </c>
      <c r="F52">
        <v>3.11</v>
      </c>
      <c r="G52">
        <v>51</v>
      </c>
      <c r="H52" s="201" t="s">
        <v>239</v>
      </c>
    </row>
    <row r="53" spans="4:8" customFormat="1" x14ac:dyDescent="0.15">
      <c r="D53" s="200" t="s">
        <v>240</v>
      </c>
      <c r="E53">
        <v>52</v>
      </c>
      <c r="F53">
        <v>2</v>
      </c>
      <c r="G53">
        <v>52</v>
      </c>
      <c r="H53" s="201" t="s">
        <v>240</v>
      </c>
    </row>
    <row r="54" spans="4:8" customFormat="1" ht="12" customHeight="1" x14ac:dyDescent="0.15">
      <c r="D54" s="200" t="s">
        <v>241</v>
      </c>
      <c r="E54">
        <v>53</v>
      </c>
      <c r="F54">
        <v>4.0999999999999996</v>
      </c>
      <c r="G54">
        <v>53</v>
      </c>
      <c r="H54" s="201" t="s">
        <v>241</v>
      </c>
    </row>
    <row r="55" spans="4:8" customFormat="1" ht="12" customHeight="1" x14ac:dyDescent="0.15">
      <c r="D55" s="200" t="s">
        <v>242</v>
      </c>
      <c r="E55">
        <v>54</v>
      </c>
      <c r="F55">
        <v>4.3</v>
      </c>
      <c r="G55">
        <v>54</v>
      </c>
      <c r="H55" s="201" t="s">
        <v>242</v>
      </c>
    </row>
    <row r="56" spans="4:8" customFormat="1" x14ac:dyDescent="0.15">
      <c r="D56" s="200" t="s">
        <v>243</v>
      </c>
      <c r="E56">
        <v>55</v>
      </c>
      <c r="F56">
        <v>5</v>
      </c>
      <c r="G56">
        <v>55</v>
      </c>
      <c r="H56" s="201" t="s">
        <v>243</v>
      </c>
    </row>
    <row r="57" spans="4:8" customFormat="1" x14ac:dyDescent="0.15">
      <c r="D57" s="200" t="s">
        <v>244</v>
      </c>
      <c r="E57">
        <v>56</v>
      </c>
      <c r="F57">
        <v>5</v>
      </c>
      <c r="G57">
        <v>56</v>
      </c>
      <c r="H57" s="201" t="s">
        <v>244</v>
      </c>
    </row>
    <row r="58" spans="4:8" customFormat="1" x14ac:dyDescent="0.15">
      <c r="D58" s="200" t="s">
        <v>245</v>
      </c>
      <c r="E58">
        <v>57</v>
      </c>
      <c r="F58">
        <v>5</v>
      </c>
      <c r="G58">
        <v>57</v>
      </c>
      <c r="H58" s="201" t="s">
        <v>245</v>
      </c>
    </row>
    <row r="59" spans="4:8" customFormat="1" x14ac:dyDescent="0.15">
      <c r="D59" s="200" t="s">
        <v>246</v>
      </c>
      <c r="E59">
        <v>58</v>
      </c>
      <c r="F59">
        <v>5</v>
      </c>
      <c r="G59">
        <v>58</v>
      </c>
      <c r="H59" s="201" t="s">
        <v>246</v>
      </c>
    </row>
    <row r="60" spans="4:8" customFormat="1" x14ac:dyDescent="0.15">
      <c r="D60" s="200" t="s">
        <v>247</v>
      </c>
      <c r="E60">
        <v>59</v>
      </c>
      <c r="F60">
        <v>5</v>
      </c>
      <c r="G60">
        <v>59</v>
      </c>
      <c r="H60" s="201" t="s">
        <v>247</v>
      </c>
    </row>
    <row r="61" spans="4:8" customFormat="1" x14ac:dyDescent="0.15">
      <c r="D61" s="200" t="s">
        <v>138</v>
      </c>
      <c r="E61">
        <v>60</v>
      </c>
      <c r="F61">
        <v>6.1</v>
      </c>
      <c r="G61">
        <v>60</v>
      </c>
      <c r="H61" s="201" t="s">
        <v>138</v>
      </c>
    </row>
    <row r="62" spans="4:8" customFormat="1" x14ac:dyDescent="0.15">
      <c r="D62" s="200" t="s">
        <v>45</v>
      </c>
      <c r="E62">
        <v>61</v>
      </c>
      <c r="F62">
        <v>6.2</v>
      </c>
      <c r="G62">
        <v>61</v>
      </c>
      <c r="H62" s="201" t="s">
        <v>45</v>
      </c>
    </row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7" bestFit="1" customWidth="1"/>
    <col min="2" max="2" width="8.83203125" style="86" customWidth="1"/>
    <col min="3" max="3" width="13.1640625" style="86" customWidth="1"/>
    <col min="4" max="4" width="39.6640625" style="86" customWidth="1"/>
    <col min="5" max="5" width="8.1640625" style="86" customWidth="1"/>
    <col min="6" max="6" width="25" style="86" bestFit="1" customWidth="1"/>
    <col min="7" max="9" width="2.33203125" style="86" customWidth="1"/>
    <col min="10" max="10" width="2.33203125" style="86" bestFit="1" customWidth="1"/>
    <col min="11" max="15" width="2.33203125" style="86" customWidth="1"/>
    <col min="16" max="16" width="2.33203125" style="73" customWidth="1"/>
    <col min="17" max="17" width="2.33203125" style="86" customWidth="1"/>
    <col min="18" max="18" width="2.33203125" style="74" customWidth="1"/>
    <col min="19" max="16384" width="11.5" style="86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8" t="s">
        <v>48</v>
      </c>
      <c r="L1" s="74"/>
      <c r="M1" s="88" t="s">
        <v>119</v>
      </c>
      <c r="N1" s="74"/>
      <c r="O1" s="88" t="s">
        <v>49</v>
      </c>
      <c r="P1" s="77"/>
      <c r="Q1" s="88" t="s">
        <v>50</v>
      </c>
      <c r="R1" s="71" t="s">
        <v>154</v>
      </c>
    </row>
    <row r="2" spans="1:23" ht="15" customHeight="1" x14ac:dyDescent="0.15">
      <c r="A2" s="88" t="s">
        <v>51</v>
      </c>
      <c r="B2" s="89">
        <v>0.5</v>
      </c>
      <c r="C2" s="87" t="s">
        <v>52</v>
      </c>
      <c r="D2" s="90"/>
      <c r="F2" s="1"/>
      <c r="G2" s="91"/>
      <c r="H2" s="91"/>
      <c r="I2" s="91" t="s">
        <v>133</v>
      </c>
      <c r="J2" s="91" t="s">
        <v>133</v>
      </c>
      <c r="K2" s="91" t="s">
        <v>52</v>
      </c>
      <c r="L2" s="91" t="s">
        <v>53</v>
      </c>
      <c r="M2" s="91" t="s">
        <v>52</v>
      </c>
      <c r="N2" s="91" t="s">
        <v>53</v>
      </c>
      <c r="O2" s="91" t="s">
        <v>52</v>
      </c>
      <c r="P2" s="92" t="s">
        <v>53</v>
      </c>
      <c r="Q2" s="91"/>
      <c r="R2" s="93" t="s">
        <v>155</v>
      </c>
    </row>
    <row r="3" spans="1:23" ht="15" customHeight="1" thickBot="1" x14ac:dyDescent="0.2">
      <c r="A3" s="88" t="s">
        <v>54</v>
      </c>
      <c r="B3" s="94">
        <v>0.5</v>
      </c>
      <c r="C3" s="87" t="s">
        <v>53</v>
      </c>
      <c r="D3" s="9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3">
        <v>0</v>
      </c>
    </row>
    <row r="5" spans="1:23" ht="15" customHeight="1" x14ac:dyDescent="0.15">
      <c r="A5" s="88" t="s">
        <v>55</v>
      </c>
      <c r="B5" s="95">
        <v>0.5</v>
      </c>
      <c r="C5" s="87" t="s">
        <v>52</v>
      </c>
      <c r="D5" s="9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3">
        <v>0</v>
      </c>
    </row>
    <row r="6" spans="1:23" ht="15" customHeight="1" thickBot="1" x14ac:dyDescent="0.2">
      <c r="A6" s="88"/>
      <c r="B6" s="96">
        <v>0.5</v>
      </c>
      <c r="C6" s="87" t="s">
        <v>53</v>
      </c>
      <c r="D6" s="90"/>
      <c r="F6" s="202" t="s">
        <v>192</v>
      </c>
      <c r="G6" s="86">
        <v>0</v>
      </c>
      <c r="H6" s="86">
        <v>0</v>
      </c>
      <c r="I6" s="86">
        <v>0</v>
      </c>
      <c r="J6" s="86">
        <v>0</v>
      </c>
      <c r="K6" s="86">
        <v>0</v>
      </c>
      <c r="L6" s="86">
        <v>1</v>
      </c>
      <c r="M6" s="86">
        <v>0</v>
      </c>
      <c r="N6" s="86">
        <v>1</v>
      </c>
      <c r="O6" s="86">
        <v>0</v>
      </c>
      <c r="P6" s="73">
        <v>1</v>
      </c>
      <c r="Q6" s="86">
        <v>0</v>
      </c>
      <c r="R6" s="74">
        <v>1</v>
      </c>
      <c r="S6"/>
      <c r="T6"/>
    </row>
    <row r="7" spans="1:23" ht="15" customHeight="1" thickBot="1" x14ac:dyDescent="0.2">
      <c r="F7" s="202" t="s">
        <v>193</v>
      </c>
      <c r="G7" s="86">
        <v>0</v>
      </c>
      <c r="H7" s="86">
        <v>0</v>
      </c>
      <c r="I7" s="86">
        <v>0</v>
      </c>
      <c r="J7" s="86">
        <v>0</v>
      </c>
      <c r="K7" s="86">
        <v>1</v>
      </c>
      <c r="L7" s="86">
        <v>0</v>
      </c>
      <c r="M7" s="86">
        <v>1</v>
      </c>
      <c r="N7" s="86">
        <v>0</v>
      </c>
      <c r="O7" s="86">
        <v>1</v>
      </c>
      <c r="P7" s="73">
        <v>0</v>
      </c>
      <c r="Q7" s="86">
        <v>0</v>
      </c>
      <c r="R7" s="74">
        <v>1</v>
      </c>
      <c r="S7"/>
      <c r="T7"/>
    </row>
    <row r="8" spans="1:23" ht="15" customHeight="1" x14ac:dyDescent="0.15">
      <c r="A8" s="88" t="s">
        <v>56</v>
      </c>
      <c r="B8" s="95">
        <v>1</v>
      </c>
      <c r="C8" s="203" t="s">
        <v>240</v>
      </c>
      <c r="D8" s="90" t="s">
        <v>160</v>
      </c>
      <c r="F8" s="202" t="s">
        <v>194</v>
      </c>
      <c r="G8" s="86">
        <v>0</v>
      </c>
      <c r="H8" s="86">
        <v>0</v>
      </c>
      <c r="I8" s="86">
        <v>0</v>
      </c>
      <c r="J8" s="86">
        <v>0</v>
      </c>
      <c r="K8" s="86">
        <v>0</v>
      </c>
      <c r="L8" s="86">
        <v>1</v>
      </c>
      <c r="M8" s="86">
        <v>0</v>
      </c>
      <c r="N8" s="86">
        <v>1</v>
      </c>
      <c r="O8" s="86">
        <v>0</v>
      </c>
      <c r="P8" s="73">
        <v>1</v>
      </c>
      <c r="Q8" s="86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7"/>
      <c r="C9" s="85"/>
      <c r="D9" s="90" t="s">
        <v>160</v>
      </c>
      <c r="F9" s="202" t="s">
        <v>195</v>
      </c>
      <c r="G9" s="86">
        <v>0</v>
      </c>
      <c r="H9" s="86">
        <v>0</v>
      </c>
      <c r="I9" s="86">
        <v>0</v>
      </c>
      <c r="J9" s="86">
        <v>0</v>
      </c>
      <c r="K9" s="86">
        <v>1</v>
      </c>
      <c r="L9" s="86">
        <v>0</v>
      </c>
      <c r="M9" s="86">
        <v>1</v>
      </c>
      <c r="N9" s="86">
        <v>0</v>
      </c>
      <c r="O9" s="86">
        <v>1</v>
      </c>
      <c r="P9" s="73">
        <v>0</v>
      </c>
      <c r="Q9" s="86">
        <v>0</v>
      </c>
      <c r="R9" s="74">
        <v>1</v>
      </c>
      <c r="S9"/>
      <c r="T9"/>
      <c r="W9"/>
    </row>
    <row r="10" spans="1:23" ht="15" customHeight="1" x14ac:dyDescent="0.15">
      <c r="B10" s="97"/>
      <c r="C10" s="85"/>
      <c r="D10" s="90" t="s">
        <v>160</v>
      </c>
      <c r="F10" s="202" t="s">
        <v>196</v>
      </c>
      <c r="G10" s="86">
        <v>0</v>
      </c>
      <c r="H10" s="86">
        <v>0</v>
      </c>
      <c r="I10" s="86">
        <v>0</v>
      </c>
      <c r="J10" s="86">
        <v>0</v>
      </c>
      <c r="K10" s="86">
        <v>1</v>
      </c>
      <c r="L10" s="86">
        <v>0</v>
      </c>
      <c r="M10" s="86">
        <v>1</v>
      </c>
      <c r="N10" s="86">
        <v>0</v>
      </c>
      <c r="O10" s="86">
        <v>1</v>
      </c>
      <c r="P10" s="73">
        <v>0</v>
      </c>
      <c r="Q10" s="86">
        <v>0</v>
      </c>
      <c r="R10" s="74">
        <v>1</v>
      </c>
      <c r="S10"/>
      <c r="T10"/>
      <c r="W10"/>
    </row>
    <row r="11" spans="1:23" ht="15" customHeight="1" x14ac:dyDescent="0.15">
      <c r="A11" s="88"/>
      <c r="B11" s="97"/>
      <c r="C11" s="100"/>
      <c r="D11" s="90" t="s">
        <v>160</v>
      </c>
      <c r="F11" s="202" t="s">
        <v>197</v>
      </c>
      <c r="G11" s="86">
        <v>0</v>
      </c>
      <c r="H11" s="86">
        <v>0</v>
      </c>
      <c r="I11" s="86">
        <v>0</v>
      </c>
      <c r="J11" s="86">
        <v>0</v>
      </c>
      <c r="K11" s="86">
        <v>1</v>
      </c>
      <c r="L11" s="86">
        <v>0</v>
      </c>
      <c r="M11" s="86">
        <v>1</v>
      </c>
      <c r="N11" s="86">
        <v>0</v>
      </c>
      <c r="O11" s="86">
        <v>1</v>
      </c>
      <c r="P11" s="73">
        <v>0</v>
      </c>
      <c r="Q11" s="86">
        <v>0</v>
      </c>
      <c r="R11" s="74">
        <v>1</v>
      </c>
      <c r="S11"/>
      <c r="T11"/>
      <c r="W11"/>
    </row>
    <row r="12" spans="1:23" ht="15" customHeight="1" x14ac:dyDescent="0.15">
      <c r="B12" s="97"/>
      <c r="C12" s="101"/>
      <c r="D12" s="90" t="s">
        <v>160</v>
      </c>
      <c r="F12" s="202" t="s">
        <v>198</v>
      </c>
      <c r="G12" s="86">
        <v>0</v>
      </c>
      <c r="H12" s="86">
        <v>0</v>
      </c>
      <c r="I12" s="86">
        <v>0</v>
      </c>
      <c r="J12" s="86">
        <v>0</v>
      </c>
      <c r="K12" s="86">
        <v>1</v>
      </c>
      <c r="L12" s="86">
        <v>0</v>
      </c>
      <c r="M12" s="86">
        <v>1</v>
      </c>
      <c r="N12" s="86">
        <v>0</v>
      </c>
      <c r="O12" s="86">
        <v>1</v>
      </c>
      <c r="P12" s="73">
        <v>0</v>
      </c>
      <c r="Q12" s="86">
        <v>0</v>
      </c>
      <c r="R12" s="74">
        <v>1</v>
      </c>
      <c r="S12"/>
      <c r="T12"/>
      <c r="W12"/>
    </row>
    <row r="13" spans="1:23" ht="15" customHeight="1" x14ac:dyDescent="0.15">
      <c r="B13" s="97"/>
      <c r="C13" s="101"/>
      <c r="D13" s="90" t="s">
        <v>160</v>
      </c>
      <c r="F13" s="202" t="s">
        <v>199</v>
      </c>
      <c r="G13" s="86">
        <v>0</v>
      </c>
      <c r="H13" s="86">
        <v>0</v>
      </c>
      <c r="I13" s="86">
        <v>0</v>
      </c>
      <c r="J13" s="86">
        <v>0</v>
      </c>
      <c r="K13" s="86">
        <v>1</v>
      </c>
      <c r="L13" s="86">
        <v>0</v>
      </c>
      <c r="M13" s="86">
        <v>1</v>
      </c>
      <c r="N13" s="86">
        <v>0</v>
      </c>
      <c r="O13" s="86">
        <v>1</v>
      </c>
      <c r="P13" s="73">
        <v>0</v>
      </c>
      <c r="Q13" s="86">
        <v>0</v>
      </c>
      <c r="R13" s="74">
        <v>1</v>
      </c>
      <c r="S13"/>
      <c r="T13"/>
      <c r="W13"/>
    </row>
    <row r="14" spans="1:23" ht="15" customHeight="1" x14ac:dyDescent="0.15">
      <c r="B14" s="97"/>
      <c r="C14" s="85"/>
      <c r="D14" s="90" t="s">
        <v>160</v>
      </c>
      <c r="F14" s="202" t="s">
        <v>200</v>
      </c>
      <c r="G14" s="86">
        <v>0</v>
      </c>
      <c r="H14" s="86">
        <v>0</v>
      </c>
      <c r="I14" s="86">
        <v>0</v>
      </c>
      <c r="J14" s="86">
        <v>0</v>
      </c>
      <c r="K14" s="86">
        <v>1</v>
      </c>
      <c r="L14" s="86">
        <v>0</v>
      </c>
      <c r="M14" s="86">
        <v>1</v>
      </c>
      <c r="N14" s="86">
        <v>0</v>
      </c>
      <c r="O14" s="86">
        <v>1</v>
      </c>
      <c r="P14" s="73">
        <v>0</v>
      </c>
      <c r="Q14" s="86">
        <v>0</v>
      </c>
      <c r="R14" s="74">
        <v>1</v>
      </c>
      <c r="S14"/>
      <c r="T14"/>
      <c r="W14"/>
    </row>
    <row r="15" spans="1:23" ht="15" customHeight="1" x14ac:dyDescent="0.15">
      <c r="B15" s="97"/>
      <c r="C15" s="85"/>
      <c r="D15" s="90" t="s">
        <v>160</v>
      </c>
      <c r="F15" s="202" t="s">
        <v>201</v>
      </c>
      <c r="G15" s="86">
        <v>0</v>
      </c>
      <c r="H15" s="86">
        <v>0</v>
      </c>
      <c r="I15" s="86">
        <v>0</v>
      </c>
      <c r="J15" s="86">
        <v>0</v>
      </c>
      <c r="K15" s="86">
        <v>1</v>
      </c>
      <c r="L15" s="86">
        <v>0</v>
      </c>
      <c r="M15" s="86">
        <v>1</v>
      </c>
      <c r="N15" s="86">
        <v>0</v>
      </c>
      <c r="O15" s="86">
        <v>1</v>
      </c>
      <c r="P15" s="73">
        <v>0</v>
      </c>
      <c r="Q15" s="86">
        <v>0</v>
      </c>
      <c r="R15" s="74">
        <v>1</v>
      </c>
      <c r="S15"/>
      <c r="T15"/>
      <c r="W15"/>
    </row>
    <row r="16" spans="1:23" ht="15" customHeight="1" x14ac:dyDescent="0.15">
      <c r="B16" s="97"/>
      <c r="C16" s="85"/>
      <c r="D16" s="90" t="s">
        <v>160</v>
      </c>
      <c r="F16" s="202" t="s">
        <v>202</v>
      </c>
      <c r="G16" s="86">
        <v>0</v>
      </c>
      <c r="H16" s="86">
        <v>0</v>
      </c>
      <c r="I16" s="86">
        <v>0</v>
      </c>
      <c r="J16" s="86">
        <v>0</v>
      </c>
      <c r="K16" s="86">
        <v>1</v>
      </c>
      <c r="L16" s="86">
        <v>0</v>
      </c>
      <c r="M16" s="86">
        <v>1</v>
      </c>
      <c r="N16" s="86">
        <v>0</v>
      </c>
      <c r="O16" s="86">
        <v>1</v>
      </c>
      <c r="P16" s="73">
        <v>0</v>
      </c>
      <c r="Q16" s="86">
        <v>0</v>
      </c>
      <c r="R16" s="74">
        <v>1</v>
      </c>
      <c r="S16"/>
      <c r="T16"/>
    </row>
    <row r="17" spans="1:20" ht="15" customHeight="1" thickBot="1" x14ac:dyDescent="0.2">
      <c r="B17" s="96"/>
      <c r="C17" s="85"/>
      <c r="D17" s="90" t="s">
        <v>160</v>
      </c>
      <c r="F17" s="202" t="s">
        <v>203</v>
      </c>
      <c r="G17" s="86">
        <v>0</v>
      </c>
      <c r="H17" s="86">
        <v>0</v>
      </c>
      <c r="I17" s="86">
        <v>0</v>
      </c>
      <c r="J17" s="86">
        <v>0</v>
      </c>
      <c r="K17" s="86">
        <v>1</v>
      </c>
      <c r="L17" s="86">
        <v>0</v>
      </c>
      <c r="M17" s="86">
        <v>1</v>
      </c>
      <c r="N17" s="86">
        <v>0</v>
      </c>
      <c r="O17" s="86">
        <v>1</v>
      </c>
      <c r="P17" s="73">
        <v>0</v>
      </c>
      <c r="Q17" s="86">
        <v>0</v>
      </c>
      <c r="R17" s="74">
        <v>1</v>
      </c>
      <c r="S17"/>
      <c r="T17"/>
    </row>
    <row r="18" spans="1:20" ht="15" customHeight="1" thickBot="1" x14ac:dyDescent="0.2">
      <c r="B18" s="98"/>
      <c r="F18" s="202" t="s">
        <v>204</v>
      </c>
      <c r="G18" s="86">
        <v>0</v>
      </c>
      <c r="H18" s="86">
        <v>0</v>
      </c>
      <c r="I18" s="86">
        <v>0</v>
      </c>
      <c r="J18" s="86">
        <v>0</v>
      </c>
      <c r="K18" s="86">
        <v>1</v>
      </c>
      <c r="L18" s="86">
        <v>0</v>
      </c>
      <c r="M18" s="86">
        <v>1</v>
      </c>
      <c r="N18" s="86">
        <v>0</v>
      </c>
      <c r="O18" s="86">
        <v>1</v>
      </c>
      <c r="P18" s="73">
        <v>0</v>
      </c>
      <c r="Q18" s="86">
        <v>0</v>
      </c>
      <c r="R18" s="74">
        <v>1</v>
      </c>
      <c r="S18"/>
      <c r="T18"/>
    </row>
    <row r="19" spans="1:20" ht="15" customHeight="1" x14ac:dyDescent="0.15">
      <c r="A19" s="88" t="s">
        <v>57</v>
      </c>
      <c r="B19" s="95">
        <v>1</v>
      </c>
      <c r="C19" s="204" t="s">
        <v>240</v>
      </c>
      <c r="D19" s="90" t="s">
        <v>160</v>
      </c>
      <c r="F19" s="202" t="s">
        <v>205</v>
      </c>
      <c r="G19" s="86">
        <v>0</v>
      </c>
      <c r="H19" s="86">
        <v>0</v>
      </c>
      <c r="I19" s="86">
        <v>0</v>
      </c>
      <c r="J19" s="86">
        <v>0</v>
      </c>
      <c r="K19" s="86">
        <v>1</v>
      </c>
      <c r="L19" s="86">
        <v>0</v>
      </c>
      <c r="M19" s="86">
        <v>1</v>
      </c>
      <c r="N19" s="86">
        <v>0</v>
      </c>
      <c r="O19" s="86">
        <v>1</v>
      </c>
      <c r="P19" s="73">
        <v>0</v>
      </c>
      <c r="Q19" s="86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7"/>
      <c r="C20" s="85"/>
      <c r="D20" s="90" t="s">
        <v>160</v>
      </c>
      <c r="F20" s="202" t="s">
        <v>206</v>
      </c>
      <c r="G20" s="86">
        <v>0</v>
      </c>
      <c r="H20" s="86">
        <v>0</v>
      </c>
      <c r="I20" s="86">
        <v>0</v>
      </c>
      <c r="J20" s="86">
        <v>0</v>
      </c>
      <c r="K20" s="86">
        <v>1</v>
      </c>
      <c r="L20" s="86">
        <v>0</v>
      </c>
      <c r="M20" s="86">
        <v>1</v>
      </c>
      <c r="N20" s="86">
        <v>0</v>
      </c>
      <c r="O20" s="86">
        <v>1</v>
      </c>
      <c r="P20" s="73">
        <v>0</v>
      </c>
      <c r="Q20" s="86">
        <v>0</v>
      </c>
      <c r="R20" s="74">
        <v>1</v>
      </c>
      <c r="S20"/>
      <c r="T20"/>
    </row>
    <row r="21" spans="1:20" ht="15" customHeight="1" x14ac:dyDescent="0.15">
      <c r="B21" s="97"/>
      <c r="C21" s="85"/>
      <c r="D21" s="90" t="s">
        <v>160</v>
      </c>
      <c r="F21" s="202" t="s">
        <v>207</v>
      </c>
      <c r="G21" s="86">
        <v>0</v>
      </c>
      <c r="H21" s="86">
        <v>0</v>
      </c>
      <c r="I21" s="86">
        <v>0</v>
      </c>
      <c r="J21" s="86">
        <v>0</v>
      </c>
      <c r="K21" s="86">
        <v>0</v>
      </c>
      <c r="L21" s="86">
        <v>1</v>
      </c>
      <c r="M21" s="86">
        <v>0</v>
      </c>
      <c r="N21" s="86">
        <v>1</v>
      </c>
      <c r="O21" s="86">
        <v>0</v>
      </c>
      <c r="P21" s="73">
        <v>1</v>
      </c>
      <c r="Q21" s="86">
        <v>0</v>
      </c>
      <c r="R21" s="74">
        <v>1</v>
      </c>
      <c r="S21"/>
      <c r="T21"/>
    </row>
    <row r="22" spans="1:20" ht="15" customHeight="1" x14ac:dyDescent="0.15">
      <c r="A22" s="86"/>
      <c r="B22" s="97"/>
      <c r="C22" s="100"/>
      <c r="D22" s="90" t="s">
        <v>160</v>
      </c>
      <c r="F22" s="202" t="s">
        <v>208</v>
      </c>
      <c r="G22" s="86">
        <v>0</v>
      </c>
      <c r="H22" s="86">
        <v>0</v>
      </c>
      <c r="I22" s="86">
        <v>0</v>
      </c>
      <c r="J22" s="86">
        <v>0</v>
      </c>
      <c r="K22" s="86">
        <v>0</v>
      </c>
      <c r="L22" s="86">
        <v>1</v>
      </c>
      <c r="M22" s="86">
        <v>0</v>
      </c>
      <c r="N22" s="86">
        <v>1</v>
      </c>
      <c r="O22" s="86">
        <v>0</v>
      </c>
      <c r="P22" s="73">
        <v>1</v>
      </c>
      <c r="Q22" s="86">
        <v>0</v>
      </c>
      <c r="R22" s="74">
        <v>1</v>
      </c>
      <c r="S22"/>
      <c r="T22"/>
    </row>
    <row r="23" spans="1:20" ht="15" customHeight="1" x14ac:dyDescent="0.15">
      <c r="A23" s="86"/>
      <c r="B23" s="97"/>
      <c r="C23" s="101"/>
      <c r="D23" s="90" t="s">
        <v>160</v>
      </c>
      <c r="F23" s="202" t="s">
        <v>209</v>
      </c>
      <c r="G23" s="86">
        <v>0</v>
      </c>
      <c r="H23" s="86">
        <v>0</v>
      </c>
      <c r="I23" s="86">
        <v>0</v>
      </c>
      <c r="J23" s="86">
        <v>0</v>
      </c>
      <c r="K23" s="86">
        <v>1</v>
      </c>
      <c r="L23" s="86">
        <v>0</v>
      </c>
      <c r="M23" s="86">
        <v>1</v>
      </c>
      <c r="N23" s="86">
        <v>0</v>
      </c>
      <c r="O23" s="86">
        <v>1</v>
      </c>
      <c r="P23" s="73">
        <v>0</v>
      </c>
      <c r="Q23" s="86">
        <v>0</v>
      </c>
      <c r="R23" s="74">
        <v>1</v>
      </c>
      <c r="S23"/>
      <c r="T23"/>
    </row>
    <row r="24" spans="1:20" ht="15" customHeight="1" x14ac:dyDescent="0.15">
      <c r="A24" s="86"/>
      <c r="B24" s="97"/>
      <c r="C24" s="101"/>
      <c r="D24" s="90" t="s">
        <v>160</v>
      </c>
      <c r="F24" s="202" t="s">
        <v>210</v>
      </c>
      <c r="G24" s="86">
        <v>0</v>
      </c>
      <c r="H24" s="86">
        <v>0</v>
      </c>
      <c r="I24" s="86">
        <v>0</v>
      </c>
      <c r="J24" s="86">
        <v>0</v>
      </c>
      <c r="K24" s="86">
        <v>1</v>
      </c>
      <c r="L24" s="86">
        <v>0</v>
      </c>
      <c r="M24" s="86">
        <v>1</v>
      </c>
      <c r="N24" s="86">
        <v>0</v>
      </c>
      <c r="O24" s="86">
        <v>1</v>
      </c>
      <c r="P24" s="73">
        <v>0</v>
      </c>
      <c r="Q24" s="86">
        <v>0</v>
      </c>
      <c r="R24" s="74">
        <v>1</v>
      </c>
      <c r="S24"/>
      <c r="T24"/>
    </row>
    <row r="25" spans="1:20" ht="15" customHeight="1" x14ac:dyDescent="0.15">
      <c r="A25" s="86"/>
      <c r="B25" s="97"/>
      <c r="C25" s="85"/>
      <c r="D25" s="90" t="s">
        <v>160</v>
      </c>
      <c r="F25" s="202" t="s">
        <v>211</v>
      </c>
      <c r="G25" s="86">
        <v>0</v>
      </c>
      <c r="H25" s="86">
        <v>0</v>
      </c>
      <c r="I25" s="86">
        <v>0</v>
      </c>
      <c r="J25" s="86">
        <v>0</v>
      </c>
      <c r="K25" s="86">
        <v>1</v>
      </c>
      <c r="L25" s="86">
        <v>0</v>
      </c>
      <c r="M25" s="86">
        <v>1</v>
      </c>
      <c r="N25" s="86">
        <v>0</v>
      </c>
      <c r="O25" s="86">
        <v>1</v>
      </c>
      <c r="P25" s="73">
        <v>0</v>
      </c>
      <c r="Q25" s="86">
        <v>0</v>
      </c>
      <c r="R25" s="74">
        <v>1</v>
      </c>
      <c r="S25"/>
      <c r="T25"/>
    </row>
    <row r="26" spans="1:20" ht="15" customHeight="1" x14ac:dyDescent="0.15">
      <c r="B26" s="97"/>
      <c r="C26" s="85"/>
      <c r="D26" s="90" t="s">
        <v>160</v>
      </c>
      <c r="F26" s="202" t="s">
        <v>212</v>
      </c>
      <c r="G26" s="86">
        <v>0</v>
      </c>
      <c r="H26" s="86">
        <v>0</v>
      </c>
      <c r="I26" s="86">
        <v>0</v>
      </c>
      <c r="J26" s="86">
        <v>0</v>
      </c>
      <c r="K26" s="86">
        <v>1</v>
      </c>
      <c r="L26" s="86">
        <v>0</v>
      </c>
      <c r="M26" s="86">
        <v>1</v>
      </c>
      <c r="N26" s="86">
        <v>0</v>
      </c>
      <c r="O26" s="86">
        <v>1</v>
      </c>
      <c r="P26" s="73">
        <v>0</v>
      </c>
      <c r="Q26" s="86">
        <v>0</v>
      </c>
      <c r="R26" s="74">
        <v>1</v>
      </c>
      <c r="S26"/>
      <c r="T26"/>
    </row>
    <row r="27" spans="1:20" ht="15" customHeight="1" x14ac:dyDescent="0.15">
      <c r="B27" s="97"/>
      <c r="C27" s="85"/>
      <c r="D27" s="90" t="s">
        <v>160</v>
      </c>
      <c r="F27" s="202" t="s">
        <v>213</v>
      </c>
      <c r="G27" s="86">
        <v>0</v>
      </c>
      <c r="H27" s="86">
        <v>0</v>
      </c>
      <c r="I27" s="86">
        <v>0</v>
      </c>
      <c r="J27" s="86">
        <v>0</v>
      </c>
      <c r="K27" s="86">
        <v>1</v>
      </c>
      <c r="L27" s="86">
        <v>0</v>
      </c>
      <c r="M27" s="86">
        <v>1</v>
      </c>
      <c r="N27" s="86">
        <v>0</v>
      </c>
      <c r="O27" s="86">
        <v>1</v>
      </c>
      <c r="P27" s="73">
        <v>0</v>
      </c>
      <c r="Q27" s="86">
        <v>0</v>
      </c>
      <c r="R27" s="74">
        <v>1</v>
      </c>
      <c r="S27"/>
      <c r="T27"/>
    </row>
    <row r="28" spans="1:20" ht="15" customHeight="1" thickBot="1" x14ac:dyDescent="0.2">
      <c r="B28" s="96"/>
      <c r="C28" s="85"/>
      <c r="D28" s="90" t="s">
        <v>160</v>
      </c>
      <c r="F28" s="202" t="s">
        <v>214</v>
      </c>
      <c r="G28" s="86">
        <v>0</v>
      </c>
      <c r="H28" s="86">
        <v>0</v>
      </c>
      <c r="I28" s="86">
        <v>0</v>
      </c>
      <c r="J28" s="86">
        <v>0</v>
      </c>
      <c r="K28" s="86">
        <v>1</v>
      </c>
      <c r="L28" s="86">
        <v>0</v>
      </c>
      <c r="M28" s="86">
        <v>1</v>
      </c>
      <c r="N28" s="86">
        <v>0</v>
      </c>
      <c r="O28" s="86">
        <v>1</v>
      </c>
      <c r="P28" s="73">
        <v>0</v>
      </c>
      <c r="Q28" s="86">
        <v>0</v>
      </c>
      <c r="R28" s="74">
        <v>1</v>
      </c>
      <c r="S28"/>
      <c r="T28"/>
    </row>
    <row r="29" spans="1:20" ht="15" customHeight="1" x14ac:dyDescent="0.15">
      <c r="F29" s="202" t="s">
        <v>215</v>
      </c>
      <c r="G29" s="86">
        <v>0</v>
      </c>
      <c r="H29" s="86">
        <v>0</v>
      </c>
      <c r="I29" s="86">
        <v>0</v>
      </c>
      <c r="J29" s="86">
        <v>0</v>
      </c>
      <c r="K29" s="86">
        <v>1</v>
      </c>
      <c r="L29" s="86">
        <v>0</v>
      </c>
      <c r="M29" s="86">
        <v>1</v>
      </c>
      <c r="N29" s="86">
        <v>0</v>
      </c>
      <c r="O29" s="86">
        <v>1</v>
      </c>
      <c r="P29" s="73">
        <v>0</v>
      </c>
      <c r="Q29" s="86">
        <v>0</v>
      </c>
      <c r="R29" s="74">
        <v>1</v>
      </c>
      <c r="S29"/>
      <c r="T29"/>
    </row>
    <row r="30" spans="1:20" ht="15" customHeight="1" x14ac:dyDescent="0.15">
      <c r="F30" s="202" t="s">
        <v>216</v>
      </c>
      <c r="G30" s="86">
        <v>0</v>
      </c>
      <c r="H30" s="86">
        <v>0</v>
      </c>
      <c r="I30" s="86">
        <v>0</v>
      </c>
      <c r="J30" s="86">
        <v>0</v>
      </c>
      <c r="K30" s="86">
        <v>1</v>
      </c>
      <c r="L30" s="86">
        <v>0</v>
      </c>
      <c r="M30" s="86">
        <v>1</v>
      </c>
      <c r="N30" s="86">
        <v>0</v>
      </c>
      <c r="O30" s="86">
        <v>1</v>
      </c>
      <c r="P30" s="73">
        <v>0</v>
      </c>
      <c r="Q30" s="86">
        <v>0</v>
      </c>
      <c r="R30" s="74">
        <v>1</v>
      </c>
      <c r="S30"/>
      <c r="T30"/>
    </row>
    <row r="31" spans="1:20" ht="15" customHeight="1" x14ac:dyDescent="0.15">
      <c r="A31" s="128"/>
      <c r="B31" s="139" t="s">
        <v>17</v>
      </c>
      <c r="C31" s="139" t="s">
        <v>1</v>
      </c>
      <c r="D31" s="139" t="s">
        <v>161</v>
      </c>
      <c r="E31" s="140" t="s">
        <v>163</v>
      </c>
      <c r="F31" s="202" t="s">
        <v>217</v>
      </c>
      <c r="G31" s="86">
        <v>0</v>
      </c>
      <c r="H31" s="86">
        <v>0</v>
      </c>
      <c r="I31" s="86">
        <v>0</v>
      </c>
      <c r="J31" s="86">
        <v>0</v>
      </c>
      <c r="K31" s="86">
        <v>1</v>
      </c>
      <c r="L31" s="86">
        <v>0</v>
      </c>
      <c r="M31" s="86">
        <v>1</v>
      </c>
      <c r="N31" s="86">
        <v>0</v>
      </c>
      <c r="O31" s="86">
        <v>1</v>
      </c>
      <c r="P31" s="73">
        <v>0</v>
      </c>
      <c r="Q31" s="86">
        <v>0</v>
      </c>
      <c r="R31" s="74">
        <v>1</v>
      </c>
      <c r="S31"/>
      <c r="T31"/>
    </row>
    <row r="32" spans="1:20" ht="15" customHeight="1" x14ac:dyDescent="0.15">
      <c r="A32" s="205" t="s">
        <v>240</v>
      </c>
      <c r="B32" s="98">
        <v>75.122079999999997</v>
      </c>
      <c r="C32" s="98">
        <v>93.1</v>
      </c>
      <c r="D32" s="98">
        <v>6993.8656479999991</v>
      </c>
      <c r="E32" s="130">
        <v>1</v>
      </c>
      <c r="F32" s="202" t="s">
        <v>218</v>
      </c>
      <c r="G32" s="86">
        <v>0</v>
      </c>
      <c r="H32" s="86">
        <v>0</v>
      </c>
      <c r="I32" s="86">
        <v>0</v>
      </c>
      <c r="J32" s="86">
        <v>0</v>
      </c>
      <c r="K32" s="86">
        <v>1</v>
      </c>
      <c r="L32" s="86">
        <v>0</v>
      </c>
      <c r="M32" s="86">
        <v>1</v>
      </c>
      <c r="N32" s="86">
        <v>0</v>
      </c>
      <c r="O32" s="86">
        <v>1</v>
      </c>
      <c r="P32" s="73">
        <v>0</v>
      </c>
      <c r="Q32" s="86">
        <v>0</v>
      </c>
      <c r="R32" s="74">
        <v>1</v>
      </c>
      <c r="S32"/>
      <c r="T32"/>
    </row>
    <row r="33" spans="1:20" ht="15" customHeight="1" x14ac:dyDescent="0.15">
      <c r="A33" s="129"/>
      <c r="B33" s="98"/>
      <c r="C33" s="98"/>
      <c r="D33" s="98"/>
      <c r="E33" s="130"/>
      <c r="F33" s="202" t="s">
        <v>219</v>
      </c>
      <c r="G33" s="86">
        <v>0</v>
      </c>
      <c r="H33" s="86">
        <v>0</v>
      </c>
      <c r="I33" s="86">
        <v>0</v>
      </c>
      <c r="J33" s="86">
        <v>0</v>
      </c>
      <c r="K33" s="86">
        <v>1</v>
      </c>
      <c r="L33" s="86">
        <v>0</v>
      </c>
      <c r="M33" s="86">
        <v>1</v>
      </c>
      <c r="N33" s="86">
        <v>0</v>
      </c>
      <c r="O33" s="86">
        <v>1</v>
      </c>
      <c r="P33" s="73">
        <v>0</v>
      </c>
      <c r="Q33" s="86">
        <v>0</v>
      </c>
      <c r="R33" s="74">
        <v>1</v>
      </c>
      <c r="S33"/>
      <c r="T33"/>
    </row>
    <row r="34" spans="1:20" ht="15" customHeight="1" x14ac:dyDescent="0.15">
      <c r="A34" s="131"/>
      <c r="B34" s="98"/>
      <c r="C34" s="98"/>
      <c r="D34" s="98"/>
      <c r="E34" s="130"/>
      <c r="F34" s="202" t="s">
        <v>220</v>
      </c>
      <c r="G34" s="86">
        <v>0</v>
      </c>
      <c r="H34" s="86">
        <v>0</v>
      </c>
      <c r="I34" s="86">
        <v>0</v>
      </c>
      <c r="J34" s="86">
        <v>0</v>
      </c>
      <c r="K34" s="86">
        <v>1</v>
      </c>
      <c r="L34" s="86">
        <v>0</v>
      </c>
      <c r="M34" s="86">
        <v>1</v>
      </c>
      <c r="N34" s="86">
        <v>0</v>
      </c>
      <c r="O34" s="86">
        <v>1</v>
      </c>
      <c r="P34" s="73">
        <v>0</v>
      </c>
      <c r="Q34" s="86">
        <v>0</v>
      </c>
      <c r="R34" s="74">
        <v>1</v>
      </c>
      <c r="S34"/>
      <c r="T34"/>
    </row>
    <row r="35" spans="1:20" ht="15" customHeight="1" x14ac:dyDescent="0.15">
      <c r="A35" s="132"/>
      <c r="B35" s="98"/>
      <c r="C35" s="98"/>
      <c r="D35" s="98"/>
      <c r="E35" s="130"/>
      <c r="F35" s="202" t="s">
        <v>221</v>
      </c>
      <c r="G35" s="86">
        <v>0</v>
      </c>
      <c r="H35" s="86">
        <v>0</v>
      </c>
      <c r="I35" s="86">
        <v>0</v>
      </c>
      <c r="J35" s="86">
        <v>0</v>
      </c>
      <c r="K35" s="86">
        <v>1</v>
      </c>
      <c r="L35" s="86">
        <v>0</v>
      </c>
      <c r="M35" s="86">
        <v>1</v>
      </c>
      <c r="N35" s="86">
        <v>0</v>
      </c>
      <c r="O35" s="86">
        <v>1</v>
      </c>
      <c r="P35" s="73">
        <v>0</v>
      </c>
      <c r="Q35" s="86">
        <v>0</v>
      </c>
      <c r="R35" s="74">
        <v>1</v>
      </c>
      <c r="S35"/>
      <c r="T35"/>
    </row>
    <row r="36" spans="1:20" ht="15" customHeight="1" x14ac:dyDescent="0.15">
      <c r="A36" s="133"/>
      <c r="B36" s="98"/>
      <c r="C36" s="98"/>
      <c r="D36" s="98"/>
      <c r="E36" s="130"/>
      <c r="F36" s="202" t="s">
        <v>222</v>
      </c>
      <c r="G36" s="86">
        <v>0</v>
      </c>
      <c r="H36" s="86">
        <v>0</v>
      </c>
      <c r="I36" s="86">
        <v>0</v>
      </c>
      <c r="J36" s="86">
        <v>0</v>
      </c>
      <c r="K36" s="86">
        <v>1</v>
      </c>
      <c r="L36" s="86">
        <v>0</v>
      </c>
      <c r="M36" s="86">
        <v>1</v>
      </c>
      <c r="N36" s="86">
        <v>0</v>
      </c>
      <c r="O36" s="86">
        <v>1</v>
      </c>
      <c r="P36" s="73">
        <v>0</v>
      </c>
      <c r="Q36" s="86">
        <v>0</v>
      </c>
      <c r="R36" s="74">
        <v>1</v>
      </c>
      <c r="S36"/>
      <c r="T36"/>
    </row>
    <row r="37" spans="1:20" ht="15" customHeight="1" x14ac:dyDescent="0.15">
      <c r="A37" s="133"/>
      <c r="B37" s="98"/>
      <c r="C37" s="98"/>
      <c r="D37" s="98"/>
      <c r="E37" s="130"/>
      <c r="F37" s="202" t="s">
        <v>223</v>
      </c>
      <c r="G37" s="86">
        <v>0</v>
      </c>
      <c r="H37" s="86">
        <v>0</v>
      </c>
      <c r="I37" s="86">
        <v>0</v>
      </c>
      <c r="J37" s="86">
        <v>0</v>
      </c>
      <c r="K37" s="86">
        <v>1</v>
      </c>
      <c r="L37" s="86">
        <v>0</v>
      </c>
      <c r="M37" s="86">
        <v>1</v>
      </c>
      <c r="N37" s="86">
        <v>0</v>
      </c>
      <c r="O37" s="86">
        <v>1</v>
      </c>
      <c r="P37" s="73">
        <v>0</v>
      </c>
      <c r="Q37" s="86">
        <v>0</v>
      </c>
      <c r="R37" s="74">
        <v>1</v>
      </c>
      <c r="S37"/>
      <c r="T37"/>
    </row>
    <row r="38" spans="1:20" ht="15" customHeight="1" x14ac:dyDescent="0.15">
      <c r="A38" s="134"/>
      <c r="B38" s="98"/>
      <c r="C38" s="98"/>
      <c r="D38" s="98"/>
      <c r="E38" s="130"/>
      <c r="F38" s="202" t="s">
        <v>224</v>
      </c>
      <c r="G38" s="86">
        <v>0</v>
      </c>
      <c r="H38" s="86">
        <v>0</v>
      </c>
      <c r="I38" s="86">
        <v>0</v>
      </c>
      <c r="J38" s="86">
        <v>0</v>
      </c>
      <c r="K38" s="86">
        <v>1</v>
      </c>
      <c r="L38" s="86">
        <v>0</v>
      </c>
      <c r="M38" s="86">
        <v>1</v>
      </c>
      <c r="N38" s="86">
        <v>0</v>
      </c>
      <c r="O38" s="86">
        <v>1</v>
      </c>
      <c r="P38" s="73">
        <v>0</v>
      </c>
      <c r="Q38" s="86">
        <v>0</v>
      </c>
      <c r="R38" s="74">
        <v>1</v>
      </c>
      <c r="S38"/>
      <c r="T38"/>
    </row>
    <row r="39" spans="1:20" ht="15" customHeight="1" x14ac:dyDescent="0.15">
      <c r="A39" s="134"/>
      <c r="B39" s="98"/>
      <c r="C39" s="98"/>
      <c r="D39" s="98"/>
      <c r="E39" s="130"/>
      <c r="F39" s="202" t="s">
        <v>225</v>
      </c>
      <c r="G39" s="86">
        <v>0</v>
      </c>
      <c r="H39" s="86">
        <v>0</v>
      </c>
      <c r="I39" s="86">
        <v>0</v>
      </c>
      <c r="J39" s="86">
        <v>0</v>
      </c>
      <c r="K39" s="86">
        <v>1</v>
      </c>
      <c r="L39" s="86">
        <v>0</v>
      </c>
      <c r="M39" s="86">
        <v>1</v>
      </c>
      <c r="N39" s="86">
        <v>0</v>
      </c>
      <c r="O39" s="86">
        <v>1</v>
      </c>
      <c r="P39" s="73">
        <v>0</v>
      </c>
      <c r="Q39" s="86">
        <v>0</v>
      </c>
      <c r="R39" s="74">
        <v>1</v>
      </c>
      <c r="S39"/>
      <c r="T39"/>
    </row>
    <row r="40" spans="1:20" ht="15" customHeight="1" x14ac:dyDescent="0.15">
      <c r="A40" s="134"/>
      <c r="B40" s="98"/>
      <c r="C40" s="98"/>
      <c r="D40" s="98"/>
      <c r="E40" s="130"/>
      <c r="F40" s="202" t="s">
        <v>226</v>
      </c>
      <c r="G40" s="86">
        <v>0</v>
      </c>
      <c r="H40" s="86">
        <v>0</v>
      </c>
      <c r="I40" s="86">
        <v>0</v>
      </c>
      <c r="J40" s="86">
        <v>0</v>
      </c>
      <c r="K40" s="86">
        <v>1</v>
      </c>
      <c r="L40" s="86">
        <v>0</v>
      </c>
      <c r="M40" s="86">
        <v>1</v>
      </c>
      <c r="N40" s="86">
        <v>0</v>
      </c>
      <c r="O40" s="86">
        <v>1</v>
      </c>
      <c r="P40" s="73">
        <v>0</v>
      </c>
      <c r="Q40" s="86">
        <v>0</v>
      </c>
      <c r="R40" s="74">
        <v>1</v>
      </c>
      <c r="S40"/>
      <c r="T40"/>
    </row>
    <row r="41" spans="1:20" ht="15" customHeight="1" thickBot="1" x14ac:dyDescent="0.2">
      <c r="A41" s="134"/>
      <c r="B41" s="98"/>
      <c r="C41" s="98"/>
      <c r="D41" s="99"/>
      <c r="E41" s="135"/>
      <c r="F41" s="202" t="s">
        <v>227</v>
      </c>
      <c r="G41" s="86">
        <v>0</v>
      </c>
      <c r="H41" s="86">
        <v>0</v>
      </c>
      <c r="I41" s="86">
        <v>0</v>
      </c>
      <c r="J41" s="86">
        <v>0</v>
      </c>
      <c r="K41" s="86">
        <v>1</v>
      </c>
      <c r="L41" s="86">
        <v>0</v>
      </c>
      <c r="M41" s="86">
        <v>1</v>
      </c>
      <c r="N41" s="86">
        <v>0</v>
      </c>
      <c r="O41" s="86">
        <v>1</v>
      </c>
      <c r="P41" s="73">
        <v>0</v>
      </c>
      <c r="Q41" s="86">
        <v>0</v>
      </c>
      <c r="R41" s="74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6993.8656479999991</v>
      </c>
      <c r="E42" s="138">
        <f>SUM(E32:E41)</f>
        <v>1</v>
      </c>
      <c r="F42" s="202" t="s">
        <v>228</v>
      </c>
      <c r="G42" s="86">
        <v>0</v>
      </c>
      <c r="H42" s="86">
        <v>0</v>
      </c>
      <c r="I42" s="86">
        <v>0</v>
      </c>
      <c r="J42" s="86">
        <v>0</v>
      </c>
      <c r="K42" s="86">
        <v>0</v>
      </c>
      <c r="L42" s="86">
        <v>1</v>
      </c>
      <c r="M42" s="86">
        <v>0</v>
      </c>
      <c r="N42" s="86">
        <v>1</v>
      </c>
      <c r="O42" s="86">
        <v>0</v>
      </c>
      <c r="P42" s="73">
        <v>1</v>
      </c>
      <c r="Q42" s="86">
        <v>0</v>
      </c>
      <c r="R42" s="74">
        <v>1</v>
      </c>
      <c r="S42"/>
      <c r="T42"/>
    </row>
    <row r="43" spans="1:20" ht="15" customHeight="1" x14ac:dyDescent="0.15">
      <c r="A43" s="86"/>
      <c r="F43" s="202" t="s">
        <v>229</v>
      </c>
      <c r="G43" s="86">
        <v>0</v>
      </c>
      <c r="H43" s="86">
        <v>0</v>
      </c>
      <c r="I43" s="86">
        <v>0</v>
      </c>
      <c r="J43" s="86">
        <v>0</v>
      </c>
      <c r="K43" s="86">
        <v>1</v>
      </c>
      <c r="L43" s="86">
        <v>0</v>
      </c>
      <c r="M43" s="86">
        <v>1</v>
      </c>
      <c r="N43" s="86">
        <v>0</v>
      </c>
      <c r="O43" s="86">
        <v>1</v>
      </c>
      <c r="P43" s="73">
        <v>0</v>
      </c>
      <c r="Q43" s="86">
        <v>0</v>
      </c>
      <c r="R43" s="74">
        <v>1</v>
      </c>
      <c r="S43"/>
      <c r="T43"/>
    </row>
    <row r="44" spans="1:20" ht="15" customHeight="1" x14ac:dyDescent="0.15">
      <c r="A44" s="86"/>
      <c r="F44" s="202" t="s">
        <v>230</v>
      </c>
      <c r="G44" s="86">
        <v>0</v>
      </c>
      <c r="H44" s="86">
        <v>0</v>
      </c>
      <c r="I44" s="86">
        <v>0</v>
      </c>
      <c r="J44" s="86">
        <v>0</v>
      </c>
      <c r="K44" s="86">
        <v>1</v>
      </c>
      <c r="L44" s="86">
        <v>0</v>
      </c>
      <c r="M44" s="86">
        <v>1</v>
      </c>
      <c r="N44" s="86">
        <v>0</v>
      </c>
      <c r="O44" s="86">
        <v>1</v>
      </c>
      <c r="P44" s="73">
        <v>0</v>
      </c>
      <c r="Q44" s="86">
        <v>0</v>
      </c>
      <c r="R44" s="74">
        <v>1</v>
      </c>
    </row>
    <row r="45" spans="1:20" ht="15" customHeight="1" x14ac:dyDescent="0.15">
      <c r="A45" s="86"/>
      <c r="F45" s="202" t="s">
        <v>231</v>
      </c>
      <c r="G45" s="86">
        <v>0</v>
      </c>
      <c r="H45" s="86">
        <v>0</v>
      </c>
      <c r="I45" s="86">
        <v>0</v>
      </c>
      <c r="J45" s="86">
        <v>0</v>
      </c>
      <c r="K45" s="86">
        <v>1</v>
      </c>
      <c r="L45" s="86">
        <v>0</v>
      </c>
      <c r="M45" s="86">
        <v>1</v>
      </c>
      <c r="N45" s="86">
        <v>0</v>
      </c>
      <c r="O45" s="86">
        <v>1</v>
      </c>
      <c r="P45" s="73">
        <v>0</v>
      </c>
      <c r="Q45" s="86">
        <v>0</v>
      </c>
      <c r="R45" s="74">
        <v>1</v>
      </c>
    </row>
    <row r="46" spans="1:20" ht="15" customHeight="1" x14ac:dyDescent="0.15">
      <c r="A46" s="86"/>
      <c r="F46" s="202" t="s">
        <v>232</v>
      </c>
      <c r="G46" s="86">
        <v>0</v>
      </c>
      <c r="H46" s="86">
        <v>0</v>
      </c>
      <c r="I46" s="86">
        <v>0</v>
      </c>
      <c r="J46" s="86">
        <v>0</v>
      </c>
      <c r="K46" s="86">
        <v>1</v>
      </c>
      <c r="L46" s="86">
        <v>0</v>
      </c>
      <c r="M46" s="86">
        <v>1</v>
      </c>
      <c r="N46" s="86">
        <v>0</v>
      </c>
      <c r="O46" s="86">
        <v>1</v>
      </c>
      <c r="P46" s="73">
        <v>0</v>
      </c>
      <c r="Q46" s="86">
        <v>0</v>
      </c>
      <c r="R46" s="74">
        <v>1</v>
      </c>
    </row>
    <row r="47" spans="1:20" ht="15" customHeight="1" x14ac:dyDescent="0.15">
      <c r="A47" s="86"/>
      <c r="F47" s="202" t="s">
        <v>233</v>
      </c>
      <c r="G47" s="86">
        <v>0</v>
      </c>
      <c r="H47" s="86">
        <v>0</v>
      </c>
      <c r="I47" s="86">
        <v>0</v>
      </c>
      <c r="J47" s="86">
        <v>0</v>
      </c>
      <c r="K47" s="86">
        <v>1</v>
      </c>
      <c r="L47" s="86">
        <v>0</v>
      </c>
      <c r="M47" s="86">
        <v>1</v>
      </c>
      <c r="N47" s="86">
        <v>0</v>
      </c>
      <c r="O47" s="86">
        <v>1</v>
      </c>
      <c r="P47" s="73">
        <v>0</v>
      </c>
      <c r="Q47" s="86">
        <v>0</v>
      </c>
      <c r="R47" s="74">
        <v>1</v>
      </c>
    </row>
    <row r="48" spans="1:20" ht="15" customHeight="1" x14ac:dyDescent="0.15">
      <c r="A48" s="86"/>
      <c r="F48" s="202" t="s">
        <v>234</v>
      </c>
      <c r="G48" s="86">
        <v>0</v>
      </c>
      <c r="H48" s="86">
        <v>0</v>
      </c>
      <c r="I48" s="86">
        <v>0</v>
      </c>
      <c r="J48" s="86">
        <v>0</v>
      </c>
      <c r="K48" s="86">
        <v>1</v>
      </c>
      <c r="L48" s="86">
        <v>0</v>
      </c>
      <c r="M48" s="86">
        <v>1</v>
      </c>
      <c r="N48" s="86">
        <v>0</v>
      </c>
      <c r="O48" s="86">
        <v>1</v>
      </c>
      <c r="P48" s="73">
        <v>0</v>
      </c>
      <c r="Q48" s="86">
        <v>0</v>
      </c>
      <c r="R48" s="74">
        <v>1</v>
      </c>
    </row>
    <row r="49" spans="6:18" s="86" customFormat="1" ht="15" customHeight="1" x14ac:dyDescent="0.15">
      <c r="F49" s="202" t="s">
        <v>235</v>
      </c>
      <c r="G49" s="86">
        <v>0</v>
      </c>
      <c r="H49" s="86">
        <v>0</v>
      </c>
      <c r="I49" s="86">
        <v>0</v>
      </c>
      <c r="J49" s="86">
        <v>0</v>
      </c>
      <c r="K49" s="86">
        <v>1</v>
      </c>
      <c r="L49" s="86">
        <v>0</v>
      </c>
      <c r="M49" s="86">
        <v>1</v>
      </c>
      <c r="N49" s="86">
        <v>0</v>
      </c>
      <c r="O49" s="86">
        <v>1</v>
      </c>
      <c r="P49" s="73">
        <v>0</v>
      </c>
      <c r="Q49" s="86">
        <v>0</v>
      </c>
      <c r="R49" s="74">
        <v>1</v>
      </c>
    </row>
    <row r="50" spans="6:18" s="86" customFormat="1" ht="15" customHeight="1" x14ac:dyDescent="0.15">
      <c r="F50" s="202" t="s">
        <v>236</v>
      </c>
      <c r="G50" s="86">
        <v>0</v>
      </c>
      <c r="H50" s="86">
        <v>0</v>
      </c>
      <c r="I50" s="86">
        <v>0</v>
      </c>
      <c r="J50" s="86">
        <v>0</v>
      </c>
      <c r="K50" s="86">
        <v>1</v>
      </c>
      <c r="L50" s="86">
        <v>0</v>
      </c>
      <c r="M50" s="86">
        <v>1</v>
      </c>
      <c r="N50" s="86">
        <v>0</v>
      </c>
      <c r="O50" s="86">
        <v>1</v>
      </c>
      <c r="P50" s="73">
        <v>0</v>
      </c>
      <c r="Q50" s="86">
        <v>0</v>
      </c>
      <c r="R50" s="74">
        <v>1</v>
      </c>
    </row>
    <row r="51" spans="6:18" s="86" customFormat="1" ht="15" customHeight="1" x14ac:dyDescent="0.15">
      <c r="F51" s="202" t="s">
        <v>237</v>
      </c>
      <c r="G51" s="86">
        <v>0</v>
      </c>
      <c r="H51" s="86">
        <v>0</v>
      </c>
      <c r="I51" s="86">
        <v>0</v>
      </c>
      <c r="J51" s="86">
        <v>0</v>
      </c>
      <c r="K51" s="86">
        <v>1</v>
      </c>
      <c r="L51" s="86">
        <v>0</v>
      </c>
      <c r="M51" s="86">
        <v>1</v>
      </c>
      <c r="N51" s="86">
        <v>0</v>
      </c>
      <c r="O51" s="86">
        <v>1</v>
      </c>
      <c r="P51" s="73">
        <v>0</v>
      </c>
      <c r="Q51" s="86">
        <v>0</v>
      </c>
      <c r="R51" s="74">
        <v>1</v>
      </c>
    </row>
    <row r="52" spans="6:18" s="86" customFormat="1" ht="15" customHeight="1" x14ac:dyDescent="0.15">
      <c r="F52" s="202" t="s">
        <v>238</v>
      </c>
      <c r="G52" s="86">
        <v>0</v>
      </c>
      <c r="H52" s="86">
        <v>0</v>
      </c>
      <c r="I52" s="86">
        <v>0</v>
      </c>
      <c r="J52" s="86">
        <v>0</v>
      </c>
      <c r="K52" s="86">
        <v>1</v>
      </c>
      <c r="L52" s="86">
        <v>0</v>
      </c>
      <c r="M52" s="86">
        <v>1</v>
      </c>
      <c r="N52" s="86">
        <v>0</v>
      </c>
      <c r="O52" s="86">
        <v>1</v>
      </c>
      <c r="P52" s="73">
        <v>0</v>
      </c>
      <c r="Q52" s="86">
        <v>0</v>
      </c>
      <c r="R52" s="74">
        <v>1</v>
      </c>
    </row>
    <row r="53" spans="6:18" s="86" customFormat="1" ht="15" customHeight="1" x14ac:dyDescent="0.15">
      <c r="F53" s="202" t="s">
        <v>239</v>
      </c>
      <c r="G53" s="86">
        <v>0</v>
      </c>
      <c r="H53" s="86">
        <v>0</v>
      </c>
      <c r="I53" s="86">
        <v>0</v>
      </c>
      <c r="J53" s="86">
        <v>0</v>
      </c>
      <c r="K53" s="86">
        <v>1</v>
      </c>
      <c r="L53" s="86">
        <v>0</v>
      </c>
      <c r="M53" s="86">
        <v>1</v>
      </c>
      <c r="N53" s="86">
        <v>0</v>
      </c>
      <c r="O53" s="86">
        <v>1</v>
      </c>
      <c r="P53" s="73">
        <v>0</v>
      </c>
      <c r="Q53" s="86">
        <v>0</v>
      </c>
      <c r="R53" s="74">
        <v>1</v>
      </c>
    </row>
    <row r="54" spans="6:18" s="86" customFormat="1" ht="15" customHeight="1" x14ac:dyDescent="0.15">
      <c r="F54" s="202" t="s">
        <v>240</v>
      </c>
      <c r="G54" s="86">
        <v>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1</v>
      </c>
      <c r="N54" s="86">
        <v>0</v>
      </c>
      <c r="O54" s="86">
        <v>0</v>
      </c>
      <c r="P54" s="73">
        <v>0</v>
      </c>
      <c r="Q54" s="86">
        <v>0</v>
      </c>
      <c r="R54" s="74">
        <v>1</v>
      </c>
    </row>
    <row r="55" spans="6:18" s="86" customFormat="1" ht="15" customHeight="1" x14ac:dyDescent="0.15">
      <c r="F55" s="202" t="s">
        <v>241</v>
      </c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1</v>
      </c>
      <c r="M55" s="86">
        <v>0</v>
      </c>
      <c r="N55" s="86">
        <v>1</v>
      </c>
      <c r="O55" s="86">
        <v>0</v>
      </c>
      <c r="P55" s="73">
        <v>1</v>
      </c>
      <c r="Q55" s="86">
        <v>0</v>
      </c>
      <c r="R55" s="74">
        <v>1</v>
      </c>
    </row>
    <row r="56" spans="6:18" s="86" customFormat="1" ht="15" customHeight="1" x14ac:dyDescent="0.15">
      <c r="F56" s="202" t="s">
        <v>242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1</v>
      </c>
      <c r="M56" s="86">
        <v>0</v>
      </c>
      <c r="N56" s="86">
        <v>1</v>
      </c>
      <c r="O56" s="86">
        <v>0</v>
      </c>
      <c r="P56" s="73">
        <v>1</v>
      </c>
      <c r="Q56" s="86">
        <v>0</v>
      </c>
      <c r="R56" s="74">
        <v>1</v>
      </c>
    </row>
    <row r="57" spans="6:18" s="86" customFormat="1" ht="15" customHeight="1" x14ac:dyDescent="0.15">
      <c r="F57" s="202" t="s">
        <v>243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1</v>
      </c>
      <c r="M57" s="86">
        <v>0</v>
      </c>
      <c r="N57" s="86">
        <v>0</v>
      </c>
      <c r="O57" s="86">
        <v>0</v>
      </c>
      <c r="P57" s="73">
        <v>0</v>
      </c>
      <c r="Q57" s="86">
        <v>0</v>
      </c>
      <c r="R57" s="74">
        <v>1</v>
      </c>
    </row>
    <row r="58" spans="6:18" s="86" customFormat="1" ht="15" customHeight="1" x14ac:dyDescent="0.15">
      <c r="F58" s="202" t="s">
        <v>244</v>
      </c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1</v>
      </c>
      <c r="M58" s="86">
        <v>0</v>
      </c>
      <c r="N58" s="86">
        <v>0</v>
      </c>
      <c r="O58" s="86">
        <v>0</v>
      </c>
      <c r="P58" s="73">
        <v>0</v>
      </c>
      <c r="Q58" s="86">
        <v>0</v>
      </c>
      <c r="R58" s="74">
        <v>1</v>
      </c>
    </row>
    <row r="59" spans="6:18" s="86" customFormat="1" ht="15" customHeight="1" x14ac:dyDescent="0.15">
      <c r="F59" s="202" t="s">
        <v>245</v>
      </c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1</v>
      </c>
      <c r="M59" s="86">
        <v>0</v>
      </c>
      <c r="N59" s="86">
        <v>0</v>
      </c>
      <c r="O59" s="86">
        <v>0</v>
      </c>
      <c r="P59" s="73">
        <v>0</v>
      </c>
      <c r="Q59" s="86">
        <v>0</v>
      </c>
      <c r="R59" s="74">
        <v>1</v>
      </c>
    </row>
    <row r="60" spans="6:18" s="86" customFormat="1" ht="15" customHeight="1" x14ac:dyDescent="0.15">
      <c r="F60" s="202" t="s">
        <v>246</v>
      </c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v>1</v>
      </c>
      <c r="M60" s="86">
        <v>0</v>
      </c>
      <c r="N60" s="86">
        <v>0</v>
      </c>
      <c r="O60" s="86">
        <v>0</v>
      </c>
      <c r="P60" s="73">
        <v>0</v>
      </c>
      <c r="Q60" s="86">
        <v>0</v>
      </c>
      <c r="R60" s="74">
        <v>1</v>
      </c>
    </row>
    <row r="61" spans="6:18" s="86" customFormat="1" ht="15" customHeight="1" x14ac:dyDescent="0.15">
      <c r="F61" s="202" t="s">
        <v>247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v>1</v>
      </c>
      <c r="M61" s="86">
        <v>0</v>
      </c>
      <c r="N61" s="86">
        <v>0</v>
      </c>
      <c r="O61" s="86">
        <v>0</v>
      </c>
      <c r="P61" s="73">
        <v>0</v>
      </c>
      <c r="Q61" s="86">
        <v>0</v>
      </c>
      <c r="R61" s="74">
        <v>1</v>
      </c>
    </row>
    <row r="62" spans="6:18" s="8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5" bestFit="1" customWidth="1"/>
    <col min="2" max="2" width="2.33203125" style="113" customWidth="1"/>
    <col min="3" max="5" width="7.83203125" style="113" customWidth="1"/>
    <col min="6" max="8" width="8.83203125" style="6"/>
    <col min="9" max="9" width="7.1640625" style="6" customWidth="1"/>
    <col min="10" max="10" width="10.1640625" style="6" customWidth="1"/>
    <col min="11" max="11" width="10.33203125" style="6" customWidth="1"/>
    <col min="12" max="12" width="10.5" style="6" customWidth="1"/>
    <col min="13" max="13" width="12.83203125" style="6" customWidth="1"/>
    <col min="14" max="14" width="6.5" style="6" customWidth="1"/>
    <col min="15" max="15" width="15.5" style="6" customWidth="1"/>
    <col min="16" max="16" width="17.1640625" style="6" customWidth="1"/>
    <col min="17" max="17" width="11.5" style="6" customWidth="1"/>
    <col min="18" max="19" width="13.6640625" style="6" customWidth="1"/>
    <col min="20" max="20" width="16" style="6" customWidth="1"/>
    <col min="21" max="21" width="15.83203125" style="6" customWidth="1"/>
    <col min="22" max="22" width="13.33203125" style="6" customWidth="1"/>
    <col min="23" max="23" width="17.83203125" style="6" customWidth="1"/>
    <col min="24" max="24" width="13.1640625" style="6" customWidth="1"/>
    <col min="25" max="25" width="13.6640625" style="6" customWidth="1"/>
    <col min="26" max="26" width="7.1640625" style="6" customWidth="1"/>
    <col min="27" max="28" width="7.5" style="6" customWidth="1"/>
    <col min="29" max="29" width="25" style="6" customWidth="1"/>
    <col min="30" max="30" width="20.1640625" style="6" customWidth="1"/>
    <col min="31" max="31" width="21.1640625" style="6" customWidth="1"/>
    <col min="32" max="32" width="22" style="6" customWidth="1"/>
    <col min="33" max="33" width="14.33203125" style="6" customWidth="1"/>
    <col min="34" max="34" width="14" style="6" customWidth="1"/>
    <col min="35" max="35" width="8.6640625" style="6" customWidth="1"/>
    <col min="36" max="36" width="13.33203125" style="6" customWidth="1"/>
    <col min="37" max="38" width="7.5" style="6" customWidth="1"/>
    <col min="39" max="39" width="10" customWidth="1"/>
    <col min="40" max="40" width="9.6640625" customWidth="1"/>
    <col min="41" max="41" width="7.1640625" customWidth="1"/>
    <col min="42" max="42" width="16.5" customWidth="1"/>
    <col min="43" max="43" width="13.6640625" customWidth="1"/>
    <col min="44" max="44" width="18" customWidth="1"/>
    <col min="45" max="45" width="15.5" customWidth="1"/>
    <col min="46" max="46" width="11.5" customWidth="1"/>
    <col min="47" max="47" width="18.6640625" customWidth="1"/>
    <col min="48" max="48" width="18.83203125" customWidth="1"/>
    <col min="49" max="49" width="7.5" customWidth="1"/>
    <col min="50" max="50" width="7.1640625" customWidth="1"/>
    <col min="51" max="51" width="12.1640625" customWidth="1"/>
    <col min="52" max="52" width="11.5" customWidth="1"/>
    <col min="53" max="53" width="7.83203125" customWidth="1"/>
    <col min="54" max="54" width="13.83203125" customWidth="1"/>
    <col min="55" max="55" width="12.83203125" customWidth="1"/>
    <col min="56" max="57" width="13.1640625" customWidth="1"/>
    <col min="58" max="58" width="7.6640625" customWidth="1"/>
    <col min="59" max="59" width="21.6640625" customWidth="1"/>
    <col min="60" max="60" width="10.1640625" customWidth="1"/>
    <col min="61" max="61" width="8.5" customWidth="1"/>
    <col min="62" max="62" width="9.1640625" customWidth="1"/>
    <col min="63" max="63" width="7" customWidth="1"/>
    <col min="64" max="64" width="8" customWidth="1"/>
    <col min="81" max="81" width="22.1640625" bestFit="1" customWidth="1"/>
  </cols>
  <sheetData>
    <row r="1" spans="1:64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7" t="s">
        <v>192</v>
      </c>
      <c r="J1" s="207" t="s">
        <v>193</v>
      </c>
      <c r="K1" s="207" t="s">
        <v>194</v>
      </c>
      <c r="L1" s="207" t="s">
        <v>195</v>
      </c>
      <c r="M1" s="207" t="s">
        <v>196</v>
      </c>
      <c r="N1" s="207" t="s">
        <v>197</v>
      </c>
      <c r="O1" s="207" t="s">
        <v>198</v>
      </c>
      <c r="P1" s="207" t="s">
        <v>199</v>
      </c>
      <c r="Q1" s="207" t="s">
        <v>200</v>
      </c>
      <c r="R1" s="207" t="s">
        <v>201</v>
      </c>
      <c r="S1" s="207" t="s">
        <v>202</v>
      </c>
      <c r="T1" s="207" t="s">
        <v>203</v>
      </c>
      <c r="U1" s="207" t="s">
        <v>204</v>
      </c>
      <c r="V1" s="207" t="s">
        <v>205</v>
      </c>
      <c r="W1" s="207" t="s">
        <v>206</v>
      </c>
      <c r="X1" s="207" t="s">
        <v>207</v>
      </c>
      <c r="Y1" s="207" t="s">
        <v>208</v>
      </c>
      <c r="Z1" s="207" t="s">
        <v>209</v>
      </c>
      <c r="AA1" s="207" t="s">
        <v>210</v>
      </c>
      <c r="AB1" s="207" t="s">
        <v>211</v>
      </c>
      <c r="AC1" s="207" t="s">
        <v>212</v>
      </c>
      <c r="AD1" s="207" t="s">
        <v>213</v>
      </c>
      <c r="AE1" s="207" t="s">
        <v>214</v>
      </c>
      <c r="AF1" s="207" t="s">
        <v>215</v>
      </c>
      <c r="AG1" s="207" t="s">
        <v>216</v>
      </c>
      <c r="AH1" s="207" t="s">
        <v>217</v>
      </c>
      <c r="AI1" s="207" t="s">
        <v>218</v>
      </c>
      <c r="AJ1" s="207" t="s">
        <v>219</v>
      </c>
      <c r="AK1" s="207" t="s">
        <v>220</v>
      </c>
      <c r="AL1" s="207" t="s">
        <v>221</v>
      </c>
      <c r="AM1" s="207" t="s">
        <v>222</v>
      </c>
      <c r="AN1" s="207" t="s">
        <v>223</v>
      </c>
      <c r="AO1" s="207" t="s">
        <v>224</v>
      </c>
      <c r="AP1" s="207" t="s">
        <v>225</v>
      </c>
      <c r="AQ1" s="207" t="s">
        <v>226</v>
      </c>
      <c r="AR1" s="207" t="s">
        <v>227</v>
      </c>
      <c r="AS1" s="207" t="s">
        <v>228</v>
      </c>
      <c r="AT1" s="207" t="s">
        <v>229</v>
      </c>
      <c r="AU1" s="207" t="s">
        <v>230</v>
      </c>
      <c r="AV1" s="207" t="s">
        <v>231</v>
      </c>
      <c r="AW1" s="207" t="s">
        <v>232</v>
      </c>
      <c r="AX1" s="207" t="s">
        <v>233</v>
      </c>
      <c r="AY1" s="207" t="s">
        <v>234</v>
      </c>
      <c r="AZ1" s="207" t="s">
        <v>235</v>
      </c>
      <c r="BA1" s="207" t="s">
        <v>236</v>
      </c>
      <c r="BB1" s="207" t="s">
        <v>237</v>
      </c>
      <c r="BC1" s="207" t="s">
        <v>238</v>
      </c>
      <c r="BD1" s="207" t="s">
        <v>239</v>
      </c>
      <c r="BE1" s="207" t="s">
        <v>240</v>
      </c>
      <c r="BF1" s="207" t="s">
        <v>241</v>
      </c>
      <c r="BG1" s="207" t="s">
        <v>242</v>
      </c>
      <c r="BH1" s="207" t="s">
        <v>243</v>
      </c>
      <c r="BI1" s="207" t="s">
        <v>244</v>
      </c>
      <c r="BJ1" s="207" t="s">
        <v>245</v>
      </c>
      <c r="BK1" s="207" t="s">
        <v>246</v>
      </c>
      <c r="BL1" s="207" t="s">
        <v>247</v>
      </c>
    </row>
    <row r="2" spans="1:64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4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4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4" x14ac:dyDescent="0.15">
      <c r="A5" s="206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4" x14ac:dyDescent="0.15">
      <c r="A6" s="206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4" x14ac:dyDescent="0.15">
      <c r="A7" s="206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4" x14ac:dyDescent="0.15">
      <c r="A8" s="206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4" x14ac:dyDescent="0.15">
      <c r="A9" s="206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4" x14ac:dyDescent="0.15">
      <c r="A10" s="206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4" x14ac:dyDescent="0.15">
      <c r="A11" s="206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4" x14ac:dyDescent="0.15">
      <c r="A12" s="206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4" x14ac:dyDescent="0.15">
      <c r="A13" s="206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4" x14ac:dyDescent="0.15">
      <c r="A14" s="206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4" x14ac:dyDescent="0.15">
      <c r="A15" s="206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4" x14ac:dyDescent="0.15">
      <c r="A16" s="206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6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6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6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6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6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6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6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6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6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6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6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6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6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6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6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6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6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6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6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6" t="s">
        <v>223</v>
      </c>
      <c r="B36" s="113">
        <v>0</v>
      </c>
      <c r="C36"/>
      <c r="D36"/>
    </row>
    <row r="37" spans="1:38" ht="15" customHeight="1" x14ac:dyDescent="0.15">
      <c r="A37" s="206" t="s">
        <v>224</v>
      </c>
      <c r="B37" s="113">
        <v>0</v>
      </c>
      <c r="C37"/>
      <c r="D37"/>
    </row>
    <row r="38" spans="1:38" ht="15" customHeight="1" x14ac:dyDescent="0.15">
      <c r="A38" s="206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6" t="s">
        <v>226</v>
      </c>
      <c r="B39" s="113">
        <v>0</v>
      </c>
      <c r="C39"/>
      <c r="D39"/>
    </row>
    <row r="40" spans="1:38" ht="15" customHeight="1" x14ac:dyDescent="0.15">
      <c r="A40" s="206" t="s">
        <v>227</v>
      </c>
      <c r="B40" s="113">
        <v>0</v>
      </c>
      <c r="C40"/>
      <c r="D40"/>
    </row>
    <row r="41" spans="1:38" ht="15" customHeight="1" x14ac:dyDescent="0.15">
      <c r="A41" s="206" t="s">
        <v>228</v>
      </c>
      <c r="B41" s="113">
        <v>0</v>
      </c>
      <c r="C41"/>
      <c r="D41"/>
    </row>
    <row r="42" spans="1:38" ht="15" customHeight="1" x14ac:dyDescent="0.15">
      <c r="A42" s="206" t="s">
        <v>229</v>
      </c>
      <c r="B42" s="113">
        <v>0</v>
      </c>
    </row>
    <row r="43" spans="1:38" ht="15" customHeight="1" x14ac:dyDescent="0.15">
      <c r="A43" s="206" t="s">
        <v>230</v>
      </c>
      <c r="B43" s="113">
        <v>0</v>
      </c>
    </row>
    <row r="44" spans="1:38" ht="15" customHeight="1" x14ac:dyDescent="0.15">
      <c r="A44" s="206" t="s">
        <v>231</v>
      </c>
      <c r="B44" s="113">
        <v>0</v>
      </c>
    </row>
    <row r="45" spans="1:38" ht="15" customHeight="1" x14ac:dyDescent="0.15">
      <c r="A45" s="206" t="s">
        <v>232</v>
      </c>
      <c r="B45" s="113">
        <v>0</v>
      </c>
    </row>
    <row r="46" spans="1:38" ht="15" customHeight="1" x14ac:dyDescent="0.15">
      <c r="A46" s="206" t="s">
        <v>233</v>
      </c>
      <c r="B46" s="113">
        <v>0</v>
      </c>
    </row>
    <row r="47" spans="1:38" ht="15" customHeight="1" x14ac:dyDescent="0.15">
      <c r="A47" s="206" t="s">
        <v>234</v>
      </c>
      <c r="B47" s="113">
        <v>0</v>
      </c>
    </row>
    <row r="48" spans="1:38" ht="15" customHeight="1" x14ac:dyDescent="0.15">
      <c r="A48" s="206" t="s">
        <v>235</v>
      </c>
      <c r="B48" s="113">
        <v>0</v>
      </c>
    </row>
    <row r="49" spans="1:38" ht="15" customHeight="1" x14ac:dyDescent="0.15">
      <c r="A49" s="206" t="s">
        <v>236</v>
      </c>
      <c r="B49" s="113">
        <v>0</v>
      </c>
    </row>
    <row r="50" spans="1:38" ht="15" customHeight="1" x14ac:dyDescent="0.15">
      <c r="A50" s="206" t="s">
        <v>237</v>
      </c>
      <c r="B50" s="113">
        <v>0</v>
      </c>
    </row>
    <row r="51" spans="1:38" ht="15" customHeight="1" x14ac:dyDescent="0.15">
      <c r="A51" s="206" t="s">
        <v>238</v>
      </c>
      <c r="B51" s="113">
        <v>0</v>
      </c>
    </row>
    <row r="52" spans="1:38" ht="15" customHeight="1" x14ac:dyDescent="0.15">
      <c r="A52" s="206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6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6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6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6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6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6" t="s">
        <v>245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6" t="s">
        <v>246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6" t="s">
        <v>247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2022-10-24T04:14:47Z</dcterms:modified>
</cp:coreProperties>
</file>