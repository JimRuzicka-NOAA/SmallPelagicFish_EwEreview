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D510CCE6-DF68-4E41-97D2-C104629B2E07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Main!$C$2:$N$30</definedName>
    <definedName name="matDetritus">Detritus!$C$2:$E$30</definedName>
    <definedName name="matDiet">Diets!$B$2:$Z$29</definedName>
    <definedName name="matDiscards">Discards!$C$2:$D$28</definedName>
    <definedName name="matFishery">Fishing!$C$2:$D$28</definedName>
    <definedName name="matFishing">Fishing!#REF!</definedName>
    <definedName name="matMort">Mortalities!$A$1:$AF$28</definedName>
    <definedName name="matOut">MainOutputs!$A$2:$I$30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<sst xmlns="http://schemas.openxmlformats.org/spreadsheetml/2006/main" count="882" uniqueCount="226">
  <si>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</si>
  <si>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</si>
  <si>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</si>
  <si>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</si>
  <si>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</si>
  <si>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</si>
  <si>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</si>
  <si>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</si>
  <si>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</si>
  <si>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</si>
  <si>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</si>
  <si>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</si>
  <si>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</si>
  <si>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</si>
  <si>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</si>
  <si>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</si>
  <si>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</si>
  <si>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</si>
  <si>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</si>
  <si>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</si>
  <si>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</si>
  <si>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</si>
  <si>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</si>
  <si>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</si>
  <si>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</si>
  <si>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</si>
  <si>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</si>
  <si>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</si>
  <si>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</si>
  <si>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</si>
  <si>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</si>
  <si>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</si>
  <si>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</si>
  <si>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</si>
  <si>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</si>
  <si>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</si>
  <si>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</si>
  <si>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</si>
  <si>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</si>
  <si>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</si>
  <si>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</si>
  <si>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</si>
  <si>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</si>
  <si>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</si>
  <si>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</si>
  <si>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</si>
  <si>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</si>
  <si>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</si>
  <si>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</si>
  <si>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</si>
  <si>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</si>
  <si>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</si>
  <si>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</si>
  <si>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</si>
  <si>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</si>
  <si>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</si>
  <si>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</si>
  <si>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</si>
  <si>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</si>
  <si>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</si>
  <si>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</si>
  <si>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</si>
  <si>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</si>
  <si>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</si>
  <si>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</si>
  <si>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</si>
  <si>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</si>
  <si>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</si>
  <si>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</si>
  <si>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</si>
  <si>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</si>
  <si>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</si>
  <si>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</si>
  <si>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</si>
  <si>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</si>
  <si>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</si>
  <si>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</si>
  <si>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</si>
  <si>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</si>
  <si>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</si>
  <si>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</si>
  <si>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</si>
  <si>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</si>
  <si>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</si>
  <si>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</si>
  <si>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</si>
  <si>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</si>
  <si>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</si>
  <si>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</si>
  <si>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</si>
  <si>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</si>
  <si>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</si>
  <si>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</si>
  <si>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</si>
  <si>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</si>
  <si>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</si>
  <si>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</si>
  <si>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</si>
  <si>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</si>
  <si>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</si>
  <si>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</si>
  <si>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</si>
  <si>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</si>
  <si>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</si>
  <si>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</si>
  <si>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</si>
  <si>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</si>
  <si>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</si>
  <si>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</si>
  <si>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</si>
  <si>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</si>
  <si>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</si>
  <si>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</si>
  <si>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</si>
  <si>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</si>
  <si>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</si>
  <si>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</si>
  <si>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</si>
  <si>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</si>
  <si>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</si>
  <si>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</si>
  <si>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</si>
  <si>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</si>
  <si>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</si>
  <si>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</si>
  <si>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</si>
  <si>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</si>
  <si>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</si>
  <si>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</si>
  <si>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</si>
  <si>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</si>
  <si>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</si>
  <si>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</si>
  <si>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</si>
  <si>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</si>
  <si>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</si>
  <si>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</si>
  <si>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</si>
  <si>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</si>
  <si>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</si>
  <si>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</si>
  <si>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</si>
  <si>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</si>
  <si>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</si>
  <si>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</si>
  <si>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</si>
  <si>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</si>
  <si>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</si>
  <si>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</si>
  <si>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</si>
  <si>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</si>
  <si>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</si>
  <si>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</si>
  <si>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</si>
  <si>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</si>
  <si>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</si>
  <si>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</si>
  <si>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</si>
  <si>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</si>
  <si>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</si>
  <si>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</si>
  <si>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</si>
  <si>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</si>
  <si>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</si>
  <si>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</si>
  <si>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</si>
  <si>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</si>
  <si>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</si>
  <si>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</si>
  <si>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</si>
  <si>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</si>
  <si>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</si>
  <si>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</si>
  <si>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</si>
  <si>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</si>
  <si>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</si>
  <si>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</si>
  <si>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</si>
  <si>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</si>
  <si>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</si>
  <si>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</si>
  <si>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</si>
  <si>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</si>
  <si>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</si>
  <si>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</si>
  <si>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</si>
  <si>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Benguela</t>
  </si>
  <si>
    <t>Namibia</t>
  </si>
  <si>
    <t>BOX(10.7685524326509 -26.1858850548363,16.0824484205916 -16.060758915652)</t>
  </si>
  <si>
    <t>upwelling</t>
  </si>
  <si>
    <t>WetWeight</t>
  </si>
  <si>
    <t>; 05/01/09 08:40:55 AM; 2006/12/31 01:19:21 PM; 2007/01/03 10:04:34 AM; 2007/01/05 12:05:20 AM; 2007/01/05 03:23:49 PM; 06/01/2007 22:03:38; 06/01/2007 22:50:14; 04/02/2007 21:32:09; 05/02/2007 09:12:17; 05/02/2007 21:46:55; 05/02/2007 22:20:07; 05/02/2007 22:37:13; 07/02/2007 21:45:06; 12/02/2007 18:58:00; 12/02/2007 18:58:20; 2007/02/17 02:32:13 PM; 07/01/2011 11:20:37 AM</t>
  </si>
  <si>
    <t>Watermeyer K.E.,Shannon L.J.,Roux J.P.,Griffiths C.L.(2008). Changes in the trophic structure of the northern Benguela before and after the onset of industrial fishing African Journal of Marine Science. pp 383-403</t>
  </si>
  <si>
    <t>Phytoplankton</t>
  </si>
  <si>
    <t>Microzooplankto</t>
  </si>
  <si>
    <t>Mesozooplankton</t>
  </si>
  <si>
    <t>Macrozooplankto</t>
  </si>
  <si>
    <t>Gelatinous zoop</t>
  </si>
  <si>
    <t>Meiobenthos</t>
  </si>
  <si>
    <t>Macrobenthos</t>
  </si>
  <si>
    <t>Sardine</t>
  </si>
  <si>
    <t>Anchovy</t>
  </si>
  <si>
    <t>Pelagic Goby</t>
  </si>
  <si>
    <t>Mesopelagics</t>
  </si>
  <si>
    <t>Other small pel</t>
  </si>
  <si>
    <t>Juvenile horse</t>
  </si>
  <si>
    <t>Adult horse mac</t>
  </si>
  <si>
    <t>Large pelagics</t>
  </si>
  <si>
    <t>Small M. capens</t>
  </si>
  <si>
    <t>Large M. capens</t>
  </si>
  <si>
    <t>Large M. parado</t>
  </si>
  <si>
    <t>Benthic-feeding</t>
  </si>
  <si>
    <t>Pelagic-feeding</t>
  </si>
  <si>
    <t>Chondrichthyans</t>
  </si>
  <si>
    <t>Seabirds</t>
  </si>
  <si>
    <t>Seals</t>
  </si>
  <si>
    <t>Cetaceans</t>
  </si>
  <si>
    <t>Detritus</t>
  </si>
  <si>
    <t>detritus_TerminalBenthic</t>
  </si>
  <si>
    <t>Sealing</t>
  </si>
  <si>
    <t>Import</t>
  </si>
  <si>
    <t>export</t>
  </si>
  <si>
    <t>sum</t>
  </si>
  <si>
    <t>TOTAL</t>
  </si>
  <si>
    <t>F Sealing</t>
  </si>
  <si>
    <t>F Seabirds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</si>
</sst>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E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0" fillId="20" borderId="8" xfId="0" applyFill="1" applyBorder="1"/>
    <xf numFmtId="0" fontId="0" fillId="20" borderId="9" xfId="0" applyFill="1" applyBorder="1"/>
    <xf numFmtId="0" fontId="0" fillId="2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 applyAlignment="1">
      <alignment horizontal="center"/>
    </xf>
    <xf numFmtId="0" fontId="0" fillId="31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 applyAlignment="1">
      <alignment horizontal="center"/>
    </xf>
    <xf numFmtId="0" fontId="0" fillId="3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2" borderId="3" xfId="0" applyNumberFormat="1" applyFont="1" applyFill="1" applyBorder="1"/>
    <xf numFmtId="0" fontId="0" fillId="32" borderId="2" xfId="0" applyFont="1" applyFill="1" applyBorder="1"/>
    <xf numFmtId="0" fontId="0" fillId="32" borderId="3" xfId="0" applyFont="1" applyFill="1" applyBorder="1"/>
    <xf numFmtId="0" fontId="0" fillId="3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329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7" t="s">
        <v>164</v>
      </c>
    </row>
    <row r="6" spans="2:4" ht="14" thickBot="1" x14ac:dyDescent="0.2">
      <c r="B6" s="41" t="s">
        <v>141</v>
      </c>
    </row>
    <row r="7" spans="2:4" x14ac:dyDescent="0.15">
      <c r="B7" s="57" t="s">
        <v>143</v>
      </c>
    </row>
    <row r="8" spans="2:4" x14ac:dyDescent="0.15">
      <c r="B8" s="57" t="s">
        <v>142</v>
      </c>
    </row>
    <row r="9" spans="2:4" x14ac:dyDescent="0.15">
      <c r="B9" s="57" t="s">
        <v>144</v>
      </c>
    </row>
    <row r="10" spans="2:4" x14ac:dyDescent="0.15">
      <c r="B10" s="57" t="s">
        <v>147</v>
      </c>
    </row>
    <row r="11" spans="2:4" x14ac:dyDescent="0.15">
      <c r="B11" s="57" t="s">
        <v>151</v>
      </c>
    </row>
    <row r="12" spans="2:4" x14ac:dyDescent="0.15">
      <c r="B12" s="57" t="s">
        <v>153</v>
      </c>
    </row>
    <row r="13" spans="2:4" x14ac:dyDescent="0.15">
      <c r="B13" s="57" t="s">
        <v>165</v>
      </c>
    </row>
    <row r="15" spans="2:4" ht="14" thickBot="1" x14ac:dyDescent="0.2"/>
    <row r="16" spans="2:4" ht="14" thickBot="1" x14ac:dyDescent="0.2">
      <c r="B16" s="42" t="s">
        <v>137</v>
      </c>
      <c r="C16" s="43"/>
      <c r="D16" s="25">
        <v>41373</v>
      </c>
    </row>
    <row r="17" spans="2:4" x14ac:dyDescent="0.15">
      <c r="B17" s="44" t="s">
        <v>58</v>
      </c>
      <c r="C17" s="28">
        <v>0</v>
      </c>
    </row>
    <row r="18" spans="2:4" x14ac:dyDescent="0.15">
      <c r="B18" s="44" t="s">
        <v>59</v>
      </c>
      <c r="C18" s="28">
        <v>1</v>
      </c>
    </row>
    <row r="19" spans="2:4" x14ac:dyDescent="0.15">
      <c r="B19" s="44" t="s">
        <v>60</v>
      </c>
      <c r="C19" s="28">
        <v>2</v>
      </c>
    </row>
    <row r="20" spans="2:4" ht="14" thickBot="1" x14ac:dyDescent="0.2">
      <c r="B20" s="45" t="s">
        <v>44</v>
      </c>
      <c r="C20" s="29">
        <v>3</v>
      </c>
    </row>
    <row r="21" spans="2:4" x14ac:dyDescent="0.15">
      <c r="B21" s="46" t="s">
        <v>140</v>
      </c>
    </row>
    <row r="22" spans="2:4" ht="14" thickBot="1" x14ac:dyDescent="0.2"/>
    <row r="23" spans="2:4" ht="14" thickBot="1" x14ac:dyDescent="0.2">
      <c r="B23" s="42" t="s">
        <v>65</v>
      </c>
      <c r="C23" s="43"/>
      <c r="D23" s="25" t="s">
        <v>148</v>
      </c>
    </row>
    <row r="24" spans="2:4" x14ac:dyDescent="0.15">
      <c r="B24" s="48" t="s">
        <v>38</v>
      </c>
      <c r="C24" s="26">
        <v>1</v>
      </c>
    </row>
    <row r="25" spans="2:4" x14ac:dyDescent="0.15">
      <c r="B25" s="44" t="s">
        <v>40</v>
      </c>
      <c r="C25" s="28">
        <v>1.1000000000000001</v>
      </c>
    </row>
    <row r="26" spans="2:4" x14ac:dyDescent="0.15">
      <c r="B26" s="44" t="s">
        <v>41</v>
      </c>
      <c r="C26" s="28">
        <v>1.2</v>
      </c>
    </row>
    <row r="27" spans="2:4" x14ac:dyDescent="0.15">
      <c r="B27" s="44"/>
      <c r="C27" s="28"/>
    </row>
    <row r="28" spans="2:4" x14ac:dyDescent="0.15">
      <c r="B28" s="44" t="s">
        <v>42</v>
      </c>
      <c r="C28" s="28">
        <v>2.1</v>
      </c>
    </row>
    <row r="29" spans="2:4" x14ac:dyDescent="0.15">
      <c r="B29" s="44" t="s">
        <v>43</v>
      </c>
      <c r="C29" s="28">
        <v>2.2000000000000002</v>
      </c>
    </row>
    <row r="30" spans="2:4" x14ac:dyDescent="0.15">
      <c r="B30" s="44" t="s">
        <v>67</v>
      </c>
      <c r="C30" s="28">
        <v>2.2999999999999998</v>
      </c>
    </row>
    <row r="31" spans="2:4" x14ac:dyDescent="0.15">
      <c r="B31" s="44"/>
      <c r="C31" s="28"/>
    </row>
    <row r="32" spans="2:4" x14ac:dyDescent="0.15">
      <c r="B32" s="44" t="s">
        <v>62</v>
      </c>
      <c r="C32" s="28">
        <v>3.11</v>
      </c>
    </row>
    <row r="33" spans="2:3" x14ac:dyDescent="0.15">
      <c r="B33" s="44" t="s">
        <v>61</v>
      </c>
      <c r="C33" s="28">
        <v>3.12</v>
      </c>
    </row>
    <row r="34" spans="2:3" x14ac:dyDescent="0.15">
      <c r="B34" s="44" t="s">
        <v>68</v>
      </c>
      <c r="C34" s="28">
        <v>3.13</v>
      </c>
    </row>
    <row r="35" spans="2:3" x14ac:dyDescent="0.15">
      <c r="B35" s="44"/>
      <c r="C35" s="28"/>
    </row>
    <row r="36" spans="2:3" x14ac:dyDescent="0.15">
      <c r="B36" s="44" t="s">
        <v>66</v>
      </c>
      <c r="C36" s="28">
        <v>3.21</v>
      </c>
    </row>
    <row r="37" spans="2:3" x14ac:dyDescent="0.15">
      <c r="B37" s="44" t="s">
        <v>63</v>
      </c>
      <c r="C37" s="28">
        <v>3.22</v>
      </c>
    </row>
    <row r="38" spans="2:3" x14ac:dyDescent="0.15">
      <c r="B38" s="44" t="s">
        <v>69</v>
      </c>
      <c r="C38" s="28">
        <v>3.23</v>
      </c>
    </row>
    <row r="39" spans="2:3" x14ac:dyDescent="0.15">
      <c r="B39" s="44"/>
      <c r="C39" s="28"/>
    </row>
    <row r="40" spans="2:3" x14ac:dyDescent="0.15">
      <c r="B40" s="44" t="s">
        <v>64</v>
      </c>
      <c r="C40" s="28">
        <v>8</v>
      </c>
    </row>
    <row r="41" spans="2:3" x14ac:dyDescent="0.15">
      <c r="B41" s="44"/>
      <c r="C41" s="28"/>
    </row>
    <row r="42" spans="2:3" x14ac:dyDescent="0.15">
      <c r="B42" s="44" t="s">
        <v>71</v>
      </c>
      <c r="C42" s="28">
        <v>4.0999999999999996</v>
      </c>
    </row>
    <row r="43" spans="2:3" x14ac:dyDescent="0.15">
      <c r="B43" s="44" t="s">
        <v>70</v>
      </c>
      <c r="C43" s="28">
        <v>4.2</v>
      </c>
    </row>
    <row r="44" spans="2:3" x14ac:dyDescent="0.15">
      <c r="B44" s="44" t="s">
        <v>72</v>
      </c>
      <c r="C44" s="28">
        <v>4.3</v>
      </c>
    </row>
    <row r="45" spans="2:3" x14ac:dyDescent="0.15">
      <c r="B45" s="27"/>
      <c r="C45" s="28"/>
    </row>
    <row r="46" spans="2:3" x14ac:dyDescent="0.15">
      <c r="B46" s="44" t="s">
        <v>138</v>
      </c>
      <c r="C46" s="28">
        <v>6.1</v>
      </c>
    </row>
    <row r="47" spans="2:3" x14ac:dyDescent="0.15">
      <c r="B47" s="44" t="s">
        <v>45</v>
      </c>
      <c r="C47" s="28">
        <v>6.2</v>
      </c>
    </row>
    <row r="48" spans="2:3" x14ac:dyDescent="0.15">
      <c r="B48" s="44"/>
      <c r="C48" s="28"/>
    </row>
    <row r="49" spans="2:4" x14ac:dyDescent="0.15">
      <c r="B49" s="44" t="s">
        <v>44</v>
      </c>
      <c r="C49" s="28">
        <v>5</v>
      </c>
    </row>
    <row r="50" spans="2:4" x14ac:dyDescent="0.15">
      <c r="B50" s="44"/>
      <c r="C50" s="28"/>
    </row>
    <row r="51" spans="2:4" ht="14" thickBot="1" x14ac:dyDescent="0.2">
      <c r="B51" s="45" t="s">
        <v>73</v>
      </c>
      <c r="C51" s="29">
        <v>7</v>
      </c>
    </row>
    <row r="53" spans="2:4" x14ac:dyDescent="0.15">
      <c r="B53" s="165" t="s">
        <v>172</v>
      </c>
      <c r="C53" s="102">
        <v>501</v>
      </c>
      <c r="D53" s="102"/>
    </row>
    <row r="54" spans="2:4" x14ac:dyDescent="0.15">
      <c r="B54" s="165" t="s">
        <v>173</v>
      </c>
      <c r="C54" s="165" t="s">
        <v>186</v>
      </c>
      <c r="D54" s="102"/>
    </row>
    <row r="55" spans="2:4" x14ac:dyDescent="0.15">
      <c r="B55" s="165" t="s">
        <v>174</v>
      </c>
      <c r="C55" s="165" t="s">
        <v>187</v>
      </c>
      <c r="D55" s="102"/>
    </row>
    <row r="56" spans="2:4" x14ac:dyDescent="0.15">
      <c r="B56" s="165" t="s">
        <v>175</v>
      </c>
      <c r="C56" s="102">
        <v>179000</v>
      </c>
      <c r="D56" s="102"/>
    </row>
    <row r="57" spans="2:4" x14ac:dyDescent="0.15">
      <c r="B57" s="165" t="s">
        <v>176</v>
      </c>
      <c r="C57" s="165" t="s">
        <v>188</v>
      </c>
      <c r="D57" s="102"/>
    </row>
    <row r="58" spans="2:4" x14ac:dyDescent="0.15">
      <c r="B58" s="165" t="s">
        <v>177</v>
      </c>
      <c r="C58" s="165" t="s">
        <v>189</v>
      </c>
      <c r="D58" s="102"/>
    </row>
    <row r="59" spans="2:4" x14ac:dyDescent="0.15">
      <c r="B59" s="165" t="s">
        <v>178</v>
      </c>
      <c r="C59" s="165" t="s">
        <v>190</v>
      </c>
      <c r="D59" s="102"/>
    </row>
    <row r="60" spans="2:4" x14ac:dyDescent="0.15">
      <c r="B60" s="165" t="s">
        <v>179</v>
      </c>
      <c r="C60" s="165" t="s">
        <v>191</v>
      </c>
      <c r="D60" s="102"/>
    </row>
    <row r="61" spans="2:4" x14ac:dyDescent="0.15">
      <c r="B61" s="165" t="s">
        <v>180</v>
      </c>
      <c r="C61" s="102">
        <v>26</v>
      </c>
      <c r="D61" s="102"/>
    </row>
    <row r="62" spans="2:4" x14ac:dyDescent="0.15">
      <c r="B62" s="165" t="s">
        <v>181</v>
      </c>
      <c r="C62" s="102">
        <v>2</v>
      </c>
      <c r="D62" s="102"/>
    </row>
    <row r="63" spans="2:4" x14ac:dyDescent="0.15">
      <c r="B63" s="165" t="s">
        <v>182</v>
      </c>
      <c r="C63" s="102">
        <v>1900</v>
      </c>
      <c r="D63" s="102"/>
    </row>
    <row r="64" spans="2:4" x14ac:dyDescent="0.15">
      <c r="B64" s="165" t="s">
        <v>183</v>
      </c>
      <c r="C64" s="102">
        <v>1</v>
      </c>
      <c r="D64" s="102"/>
    </row>
    <row r="65" spans="2:4" x14ac:dyDescent="0.15">
      <c r="B65" s="165" t="s">
        <v>184</v>
      </c>
      <c r="C65" s="165" t="s">
        <v>192</v>
      </c>
      <c r="D65" s="102"/>
    </row>
    <row r="66" spans="2:4" x14ac:dyDescent="0.15">
      <c r="B66" s="165" t="s">
        <v>185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5" customWidth="1"/>
    <col min="2" max="3" width="3.33203125" style="75" customWidth="1"/>
    <col min="4" max="4" width="14.33203125" style="75" customWidth="1"/>
    <col min="5" max="5" width="21.6640625" style="75" bestFit="1" customWidth="1"/>
    <col min="6" max="6" width="2.33203125" style="75" bestFit="1" customWidth="1"/>
    <col min="7" max="7" width="12.83203125" style="75" bestFit="1" customWidth="1"/>
    <col min="8" max="8" width="8.83203125" style="75" customWidth="1"/>
    <col min="9" max="9" width="7.83203125" style="75" customWidth="1"/>
    <col min="10" max="10" width="11.83203125" style="75" customWidth="1"/>
    <col min="11" max="11" width="13.83203125" style="75" customWidth="1"/>
    <col min="12" max="12" width="2.33203125" style="75" customWidth="1"/>
    <col min="13" max="13" width="4.83203125" style="75" customWidth="1"/>
    <col min="14" max="14" width="2.33203125" style="75" customWidth="1"/>
    <col min="16" max="25" width="8.83203125" style="7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5"/>
  </cols>
  <sheetData>
    <row r="1" spans="1:46" s="92" customFormat="1" ht="15" customHeight="1" x14ac:dyDescent="0.15">
      <c r="A1" s="71" t="s">
        <v>18</v>
      </c>
      <c r="C1" s="72" t="s">
        <v>8</v>
      </c>
      <c r="D1" s="71" t="s">
        <v>23</v>
      </c>
      <c r="E1" s="71" t="s">
        <v>0</v>
      </c>
      <c r="F1" s="71" t="s">
        <v>7</v>
      </c>
      <c r="G1" s="73" t="s">
        <v>13</v>
      </c>
      <c r="H1" s="71" t="s">
        <v>1</v>
      </c>
      <c r="I1" s="71" t="s">
        <v>2</v>
      </c>
      <c r="J1" s="71" t="s">
        <v>14</v>
      </c>
      <c r="K1" s="71" t="s">
        <v>3</v>
      </c>
      <c r="L1" s="71" t="s">
        <v>4</v>
      </c>
      <c r="M1" s="71" t="s">
        <v>5</v>
      </c>
      <c r="N1" s="7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2">
        <v>1</v>
      </c>
      <c r="D2"/>
      <c r="E2" s="166" t="s">
        <v>193</v>
      </c>
      <c r="F2" s="75">
        <v>1</v>
      </c>
      <c r="G2" s="75">
        <v>207.2</v>
      </c>
      <c r="H2" s="75">
        <v>35.700000000000003</v>
      </c>
      <c r="I2" s="6">
        <v>0</v>
      </c>
      <c r="J2" s="6">
        <v>0.80691725000000003</v>
      </c>
      <c r="K2" s="6">
        <v>0</v>
      </c>
      <c r="L2" s="6">
        <v>0</v>
      </c>
      <c r="M2" s="75">
        <v>0</v>
      </c>
      <c r="N2" s="75">
        <v>0</v>
      </c>
    </row>
    <row r="3" spans="1:46" ht="15" customHeight="1" x14ac:dyDescent="0.15">
      <c r="A3" s="1" t="s">
        <v>9</v>
      </c>
      <c r="B3" s="4">
        <v>25</v>
      </c>
      <c r="C3" s="75">
        <v>2</v>
      </c>
      <c r="D3"/>
      <c r="E3" s="166" t="s">
        <v>194</v>
      </c>
      <c r="F3" s="75">
        <v>0</v>
      </c>
      <c r="G3" s="75">
        <v>3.8322341400000002</v>
      </c>
      <c r="H3" s="75">
        <v>482</v>
      </c>
      <c r="I3" s="75">
        <v>1928</v>
      </c>
      <c r="J3" s="75">
        <v>0.999</v>
      </c>
      <c r="K3" s="75">
        <v>0.25</v>
      </c>
      <c r="L3" s="75">
        <v>0</v>
      </c>
      <c r="M3" s="75">
        <v>0.2</v>
      </c>
      <c r="N3" s="75">
        <v>0</v>
      </c>
    </row>
    <row r="4" spans="1:46" ht="15" customHeight="1" x14ac:dyDescent="0.15">
      <c r="A4" s="1" t="s">
        <v>10</v>
      </c>
      <c r="B4" s="4">
        <v>2</v>
      </c>
      <c r="C4" s="75">
        <v>3</v>
      </c>
      <c r="D4"/>
      <c r="E4" s="166" t="s">
        <v>195</v>
      </c>
      <c r="F4" s="75">
        <v>0</v>
      </c>
      <c r="G4" s="75">
        <v>20.405681600000001</v>
      </c>
      <c r="H4" s="75">
        <v>40</v>
      </c>
      <c r="I4" s="75">
        <v>133.333</v>
      </c>
      <c r="J4" s="75">
        <v>0.999</v>
      </c>
      <c r="K4" s="75">
        <v>0.30000075700000001</v>
      </c>
      <c r="L4" s="75">
        <v>0</v>
      </c>
      <c r="M4" s="75">
        <v>0.35</v>
      </c>
      <c r="N4" s="7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75">
        <v>4</v>
      </c>
      <c r="D5"/>
      <c r="E5" s="166" t="s">
        <v>196</v>
      </c>
      <c r="F5" s="75">
        <v>0</v>
      </c>
      <c r="G5" s="75">
        <v>32.547817199999997</v>
      </c>
      <c r="H5" s="75">
        <v>13</v>
      </c>
      <c r="I5" s="75">
        <v>31.707000000000001</v>
      </c>
      <c r="J5" s="75">
        <v>0.999</v>
      </c>
      <c r="K5" s="75">
        <v>0.41000407900000002</v>
      </c>
      <c r="L5" s="75">
        <v>0</v>
      </c>
      <c r="M5" s="75">
        <v>0.2</v>
      </c>
      <c r="N5" s="75">
        <v>0</v>
      </c>
      <c r="P5" s="66"/>
      <c r="Q5" s="66"/>
      <c r="R5" s="66"/>
    </row>
    <row r="6" spans="1:46" ht="15" customHeight="1" thickBot="1" x14ac:dyDescent="0.2">
      <c r="B6" s="1"/>
      <c r="C6" s="75">
        <v>5</v>
      </c>
      <c r="D6"/>
      <c r="E6" s="166" t="s">
        <v>197</v>
      </c>
      <c r="F6" s="75">
        <v>0</v>
      </c>
      <c r="G6" s="75">
        <v>20.107896799999999</v>
      </c>
      <c r="H6" s="75">
        <v>0.44</v>
      </c>
      <c r="I6" s="75">
        <v>1.4670000000000001</v>
      </c>
      <c r="J6" s="75">
        <v>0.5</v>
      </c>
      <c r="K6" s="75">
        <v>0.29993182400000001</v>
      </c>
      <c r="L6" s="75">
        <v>0</v>
      </c>
      <c r="M6" s="75">
        <v>0.2</v>
      </c>
      <c r="N6" s="75">
        <v>0</v>
      </c>
      <c r="P6" s="66"/>
      <c r="Q6" s="66"/>
      <c r="R6" s="66"/>
      <c r="W6" s="31" t="s">
        <v>31</v>
      </c>
      <c r="X6" s="47">
        <f>MAX(MainOutputs!G:G)</f>
        <v>0.99907147884368896</v>
      </c>
    </row>
    <row r="7" spans="1:46" ht="15" customHeight="1" x14ac:dyDescent="0.15">
      <c r="A7" s="2" t="s">
        <v>27</v>
      </c>
      <c r="B7" s="75">
        <f ca="1">COUNTIF(OFFSET(cornerDiets,1,1,NumLiving+NumDead+1,NumLiving+NumDead),"&gt;0")+NumLiving+NumDead+1</f>
        <v>211</v>
      </c>
      <c r="C7" s="75">
        <v>6</v>
      </c>
      <c r="D7"/>
      <c r="E7" s="166" t="s">
        <v>198</v>
      </c>
      <c r="F7" s="75">
        <v>0</v>
      </c>
      <c r="G7" s="75">
        <v>41.331527700000002</v>
      </c>
      <c r="H7" s="75">
        <v>8</v>
      </c>
      <c r="I7" s="75">
        <v>33</v>
      </c>
      <c r="J7" s="75">
        <v>0.999</v>
      </c>
      <c r="K7" s="75">
        <v>0.24242425000000001</v>
      </c>
      <c r="L7" s="75">
        <v>0</v>
      </c>
      <c r="M7" s="75">
        <v>0.2</v>
      </c>
      <c r="N7" s="75">
        <v>0</v>
      </c>
      <c r="P7" s="66"/>
      <c r="Q7" s="66"/>
      <c r="R7" s="66"/>
    </row>
    <row r="8" spans="1:46" ht="15" customHeight="1" x14ac:dyDescent="0.15">
      <c r="A8" s="2" t="s">
        <v>28</v>
      </c>
      <c r="B8" s="75">
        <f ca="1">COUNTIF(OFFSET(cornerFishing,1,2,NumLiving+NumDead,NumGears),"&gt;0")+NumDead*COUNTIF(OFFSET(cornerDiscards,1,2,NumLiving+NumDead,NumGears),"&gt;0")+NumLiving+NumDead+1</f>
        <v>30</v>
      </c>
      <c r="C8" s="75">
        <v>7</v>
      </c>
      <c r="D8"/>
      <c r="E8" s="166" t="s">
        <v>199</v>
      </c>
      <c r="F8" s="75">
        <v>0</v>
      </c>
      <c r="G8" s="75">
        <v>14.7946758</v>
      </c>
      <c r="H8" s="75">
        <v>1.2</v>
      </c>
      <c r="I8" s="75">
        <v>10</v>
      </c>
      <c r="J8" s="75">
        <v>0.999</v>
      </c>
      <c r="K8" s="75">
        <v>0.12000000500000001</v>
      </c>
      <c r="L8" s="75">
        <v>0</v>
      </c>
      <c r="M8" s="75">
        <v>0.2</v>
      </c>
      <c r="N8" s="75">
        <v>0</v>
      </c>
      <c r="P8" s="66"/>
      <c r="Q8" s="66"/>
      <c r="R8" s="66"/>
    </row>
    <row r="9" spans="1:46" ht="15" customHeight="1" x14ac:dyDescent="0.15">
      <c r="B9" s="1"/>
      <c r="C9" s="75">
        <v>8</v>
      </c>
      <c r="D9"/>
      <c r="E9" s="166" t="s">
        <v>200</v>
      </c>
      <c r="F9" s="75">
        <v>0</v>
      </c>
      <c r="G9" s="75">
        <v>35.368713399999997</v>
      </c>
      <c r="H9" s="75">
        <v>1.35</v>
      </c>
      <c r="I9" s="75">
        <v>14</v>
      </c>
      <c r="J9" s="75">
        <v>0.96115404400000004</v>
      </c>
      <c r="K9" s="75">
        <v>9.6428570000000005E-2</v>
      </c>
      <c r="L9" s="75">
        <v>0</v>
      </c>
      <c r="M9" s="75">
        <v>0.35</v>
      </c>
      <c r="N9" s="75">
        <v>0</v>
      </c>
      <c r="P9" s="66"/>
      <c r="Q9" s="66"/>
      <c r="R9" s="66"/>
    </row>
    <row r="10" spans="1:46" ht="15" customHeight="1" x14ac:dyDescent="0.15">
      <c r="B10" s="1"/>
      <c r="C10" s="75">
        <v>9</v>
      </c>
      <c r="D10"/>
      <c r="E10" s="166" t="s">
        <v>201</v>
      </c>
      <c r="F10" s="75">
        <v>0</v>
      </c>
      <c r="G10" s="75">
        <v>1.5332835899999999</v>
      </c>
      <c r="H10" s="75">
        <v>1.8</v>
      </c>
      <c r="I10" s="75">
        <v>18</v>
      </c>
      <c r="J10" s="75">
        <v>0.999</v>
      </c>
      <c r="K10" s="75">
        <v>9.9999993999999995E-2</v>
      </c>
      <c r="L10" s="75">
        <v>0</v>
      </c>
      <c r="M10" s="75">
        <v>0.35</v>
      </c>
      <c r="N10" s="75">
        <v>0</v>
      </c>
    </row>
    <row r="11" spans="1:46" ht="15" customHeight="1" x14ac:dyDescent="0.15">
      <c r="C11" s="75">
        <v>10</v>
      </c>
      <c r="D11"/>
      <c r="E11" s="166" t="s">
        <v>202</v>
      </c>
      <c r="F11" s="75">
        <v>0</v>
      </c>
      <c r="G11" s="75">
        <v>18.973501200000001</v>
      </c>
      <c r="H11" s="75">
        <v>1.8</v>
      </c>
      <c r="I11" s="75">
        <v>12</v>
      </c>
      <c r="J11" s="75">
        <v>0.999</v>
      </c>
      <c r="K11" s="75">
        <v>0.149999991</v>
      </c>
      <c r="L11" s="75">
        <v>0</v>
      </c>
      <c r="M11" s="75">
        <v>0.35</v>
      </c>
      <c r="N11" s="75">
        <v>0</v>
      </c>
    </row>
    <row r="12" spans="1:46" ht="15" customHeight="1" x14ac:dyDescent="0.15">
      <c r="C12" s="75">
        <v>11</v>
      </c>
      <c r="D12"/>
      <c r="E12" s="166" t="s">
        <v>203</v>
      </c>
      <c r="F12" s="75">
        <v>0</v>
      </c>
      <c r="G12" s="75">
        <v>17.239433300000002</v>
      </c>
      <c r="H12" s="75">
        <v>1.23</v>
      </c>
      <c r="I12" s="75">
        <v>12.3</v>
      </c>
      <c r="J12" s="75">
        <v>0.999</v>
      </c>
      <c r="K12" s="75">
        <v>0.1</v>
      </c>
      <c r="L12" s="75">
        <v>0</v>
      </c>
      <c r="M12" s="75">
        <v>0.35</v>
      </c>
      <c r="N12" s="75">
        <v>0</v>
      </c>
    </row>
    <row r="13" spans="1:46" ht="15" customHeight="1" x14ac:dyDescent="0.15">
      <c r="C13" s="75">
        <v>12</v>
      </c>
      <c r="D13"/>
      <c r="E13" s="166" t="s">
        <v>166</v>
      </c>
      <c r="F13" s="75">
        <v>0</v>
      </c>
      <c r="G13" s="75">
        <v>4.0204954099999997</v>
      </c>
      <c r="H13" s="75">
        <v>5</v>
      </c>
      <c r="I13" s="75">
        <v>15</v>
      </c>
      <c r="J13" s="75">
        <v>0.999</v>
      </c>
      <c r="K13" s="75">
        <v>0.333333343</v>
      </c>
      <c r="L13" s="75">
        <v>0</v>
      </c>
      <c r="M13" s="75">
        <v>0.2</v>
      </c>
      <c r="N13" s="75">
        <v>0</v>
      </c>
    </row>
    <row r="14" spans="1:46" ht="15" customHeight="1" x14ac:dyDescent="0.15">
      <c r="C14" s="75">
        <v>13</v>
      </c>
      <c r="D14"/>
      <c r="E14" s="166" t="s">
        <v>204</v>
      </c>
      <c r="F14" s="75">
        <v>0</v>
      </c>
      <c r="G14" s="75">
        <v>15.771459999999999</v>
      </c>
      <c r="H14" s="75">
        <v>0.95822399999999996</v>
      </c>
      <c r="I14" s="75">
        <v>9.3493399999999998</v>
      </c>
      <c r="J14" s="75">
        <v>0.999</v>
      </c>
      <c r="K14" s="75">
        <v>0.102491081</v>
      </c>
      <c r="L14" s="75">
        <v>0</v>
      </c>
      <c r="M14" s="75">
        <v>0.35</v>
      </c>
      <c r="N14" s="75">
        <v>0</v>
      </c>
    </row>
    <row r="15" spans="1:46" ht="15" customHeight="1" x14ac:dyDescent="0.15">
      <c r="C15" s="75">
        <v>14</v>
      </c>
      <c r="D15"/>
      <c r="E15" s="166" t="s">
        <v>205</v>
      </c>
      <c r="F15" s="75">
        <v>0</v>
      </c>
      <c r="G15" s="75">
        <v>11.218312299999999</v>
      </c>
      <c r="H15" s="75">
        <v>1.2</v>
      </c>
      <c r="I15" s="75">
        <v>10</v>
      </c>
      <c r="J15" s="75">
        <v>0.999</v>
      </c>
      <c r="K15" s="75">
        <v>0.12000000500000001</v>
      </c>
      <c r="L15" s="75">
        <v>0</v>
      </c>
      <c r="M15" s="75">
        <v>0.35</v>
      </c>
      <c r="N15" s="75">
        <v>0</v>
      </c>
    </row>
    <row r="16" spans="1:46" ht="15" customHeight="1" x14ac:dyDescent="0.15">
      <c r="C16" s="75">
        <v>15</v>
      </c>
      <c r="D16"/>
      <c r="E16" s="166" t="s">
        <v>206</v>
      </c>
      <c r="F16" s="75">
        <v>0</v>
      </c>
      <c r="G16" s="75">
        <v>5.3047050000000002</v>
      </c>
      <c r="H16" s="75">
        <v>0.8</v>
      </c>
      <c r="I16" s="75">
        <v>5.3330000000000002</v>
      </c>
      <c r="J16" s="75">
        <v>0.999</v>
      </c>
      <c r="K16" s="75">
        <v>0.150009379</v>
      </c>
      <c r="L16" s="75">
        <v>0</v>
      </c>
      <c r="M16" s="75">
        <v>0.3</v>
      </c>
      <c r="N16" s="75">
        <v>0</v>
      </c>
    </row>
    <row r="17" spans="1:22" ht="15" customHeight="1" x14ac:dyDescent="0.15">
      <c r="C17" s="75">
        <v>16</v>
      </c>
      <c r="D17"/>
      <c r="E17" s="166" t="s">
        <v>207</v>
      </c>
      <c r="F17" s="75">
        <v>0</v>
      </c>
      <c r="G17" s="75">
        <v>2.7746662500000002E-2</v>
      </c>
      <c r="H17" s="75">
        <v>0.5</v>
      </c>
      <c r="I17" s="75">
        <v>5</v>
      </c>
      <c r="J17" s="75">
        <v>0.999</v>
      </c>
      <c r="K17" s="75">
        <v>0.1</v>
      </c>
      <c r="L17" s="75">
        <v>0</v>
      </c>
      <c r="M17" s="75">
        <v>0.2</v>
      </c>
      <c r="N17" s="75">
        <v>0</v>
      </c>
      <c r="V17" s="1" t="s">
        <v>30</v>
      </c>
    </row>
    <row r="18" spans="1:22" ht="15" customHeight="1" x14ac:dyDescent="0.15">
      <c r="C18" s="75">
        <v>17</v>
      </c>
      <c r="D18"/>
      <c r="E18" s="166" t="s">
        <v>208</v>
      </c>
      <c r="F18" s="75">
        <v>0</v>
      </c>
      <c r="G18" s="75">
        <v>4.4725823399999998</v>
      </c>
      <c r="H18" s="75">
        <v>2</v>
      </c>
      <c r="I18" s="75">
        <v>13.333299999999999</v>
      </c>
      <c r="J18" s="75">
        <v>0.999</v>
      </c>
      <c r="K18" s="75">
        <v>0.15000037799999999</v>
      </c>
      <c r="L18" s="75">
        <v>0</v>
      </c>
      <c r="M18" s="75">
        <v>0.35</v>
      </c>
      <c r="N18" s="75">
        <v>0</v>
      </c>
      <c r="V18" s="1"/>
    </row>
    <row r="19" spans="1:22" ht="15" customHeight="1" x14ac:dyDescent="0.15">
      <c r="C19" s="75">
        <v>18</v>
      </c>
      <c r="D19"/>
      <c r="E19" s="166" t="s">
        <v>209</v>
      </c>
      <c r="F19" s="75">
        <v>0</v>
      </c>
      <c r="G19" s="75">
        <v>13.107485799999999</v>
      </c>
      <c r="H19" s="75">
        <v>1.2282500000000001</v>
      </c>
      <c r="I19" s="75">
        <v>7.8243999999999998</v>
      </c>
      <c r="J19" s="75">
        <v>0.98362749999999999</v>
      </c>
      <c r="K19" s="75">
        <v>0.1569769</v>
      </c>
      <c r="L19" s="75">
        <v>0</v>
      </c>
      <c r="M19" s="75">
        <v>0.2</v>
      </c>
      <c r="N19" s="75">
        <v>0</v>
      </c>
    </row>
    <row r="20" spans="1:22" ht="15" customHeight="1" thickBot="1" x14ac:dyDescent="0.2">
      <c r="C20" s="75">
        <v>19</v>
      </c>
      <c r="D20"/>
      <c r="E20" s="166" t="s">
        <v>210</v>
      </c>
      <c r="F20" s="75">
        <v>0</v>
      </c>
      <c r="G20" s="75">
        <v>7.3729610000000001</v>
      </c>
      <c r="H20" s="75">
        <v>1.140021</v>
      </c>
      <c r="I20" s="75">
        <v>7.2774999999999999</v>
      </c>
      <c r="J20" s="75">
        <v>0.96563726699999997</v>
      </c>
      <c r="K20" s="75">
        <v>0.156650081</v>
      </c>
      <c r="L20" s="75">
        <v>0</v>
      </c>
      <c r="M20" s="75">
        <v>0.2</v>
      </c>
      <c r="N20" s="75">
        <v>0</v>
      </c>
    </row>
    <row r="21" spans="1:22" ht="15" customHeight="1" thickBot="1" x14ac:dyDescent="0.2">
      <c r="A21" s="42" t="s">
        <v>137</v>
      </c>
      <c r="B21" s="93"/>
      <c r="C21" s="75">
        <v>20</v>
      </c>
      <c r="D21"/>
      <c r="E21" s="166" t="s">
        <v>211</v>
      </c>
      <c r="F21" s="75">
        <v>0</v>
      </c>
      <c r="G21" s="75">
        <v>6.2099330000000004</v>
      </c>
      <c r="H21" s="75">
        <v>1</v>
      </c>
      <c r="I21" s="75">
        <v>5</v>
      </c>
      <c r="J21" s="75">
        <v>0.999</v>
      </c>
      <c r="K21" s="75">
        <v>0.2</v>
      </c>
      <c r="L21" s="75">
        <v>0</v>
      </c>
      <c r="M21" s="75">
        <v>0.2</v>
      </c>
      <c r="N21" s="75">
        <v>0</v>
      </c>
    </row>
    <row r="22" spans="1:22" ht="15" customHeight="1" x14ac:dyDescent="0.15">
      <c r="A22" s="94" t="s">
        <v>58</v>
      </c>
      <c r="B22" s="95">
        <v>0</v>
      </c>
      <c r="C22" s="75">
        <v>21</v>
      </c>
      <c r="D22"/>
      <c r="E22" s="166" t="s">
        <v>212</v>
      </c>
      <c r="F22" s="75">
        <v>0</v>
      </c>
      <c r="G22" s="75">
        <v>3.5037790000000002</v>
      </c>
      <c r="H22" s="75">
        <v>1</v>
      </c>
      <c r="I22" s="75">
        <v>5</v>
      </c>
      <c r="J22" s="75">
        <v>0.999</v>
      </c>
      <c r="K22" s="75">
        <v>0.2</v>
      </c>
      <c r="L22" s="75">
        <v>0</v>
      </c>
      <c r="M22" s="75">
        <v>0.2</v>
      </c>
      <c r="N22" s="75">
        <v>0</v>
      </c>
    </row>
    <row r="23" spans="1:22" ht="15" customHeight="1" x14ac:dyDescent="0.15">
      <c r="A23" s="94" t="s">
        <v>59</v>
      </c>
      <c r="B23" s="95">
        <v>1</v>
      </c>
      <c r="C23" s="75">
        <v>22</v>
      </c>
      <c r="D23"/>
      <c r="E23" s="166" t="s">
        <v>213</v>
      </c>
      <c r="F23" s="75">
        <v>0</v>
      </c>
      <c r="G23" s="75">
        <v>0.36</v>
      </c>
      <c r="H23" s="75">
        <v>0.5</v>
      </c>
      <c r="I23" s="75">
        <v>3.3332999999999999</v>
      </c>
      <c r="J23" s="75">
        <v>0.66666009999999998</v>
      </c>
      <c r="K23" s="75">
        <v>0.15000150000000001</v>
      </c>
      <c r="L23" s="75">
        <v>0</v>
      </c>
      <c r="M23" s="75">
        <v>0.2</v>
      </c>
      <c r="N23" s="75">
        <v>0</v>
      </c>
    </row>
    <row r="24" spans="1:22" ht="15" customHeight="1" x14ac:dyDescent="0.15">
      <c r="A24" s="94" t="s">
        <v>60</v>
      </c>
      <c r="B24" s="95">
        <v>2</v>
      </c>
      <c r="C24" s="75">
        <v>23</v>
      </c>
      <c r="D24"/>
      <c r="E24" s="166" t="s">
        <v>214</v>
      </c>
      <c r="F24" s="75">
        <v>0</v>
      </c>
      <c r="G24" s="75">
        <v>1.7682181700000001E-2</v>
      </c>
      <c r="H24" s="75">
        <v>0.156</v>
      </c>
      <c r="I24" s="75">
        <v>120.3</v>
      </c>
      <c r="J24" s="75">
        <v>0.37515786299999998</v>
      </c>
      <c r="K24" s="75">
        <v>1.29675807E-3</v>
      </c>
      <c r="L24" s="75">
        <v>0</v>
      </c>
      <c r="M24" s="75">
        <v>0.26</v>
      </c>
      <c r="N24" s="75">
        <v>0</v>
      </c>
    </row>
    <row r="25" spans="1:22" ht="15" customHeight="1" thickBot="1" x14ac:dyDescent="0.2">
      <c r="A25" s="96" t="s">
        <v>44</v>
      </c>
      <c r="B25" s="97">
        <v>3</v>
      </c>
      <c r="C25" s="75">
        <v>24</v>
      </c>
      <c r="D25"/>
      <c r="E25" s="166" t="s">
        <v>215</v>
      </c>
      <c r="F25" s="75">
        <v>0</v>
      </c>
      <c r="G25" s="75">
        <v>9.2180000000000005E-3</v>
      </c>
      <c r="H25" s="75">
        <v>0.28999999999999998</v>
      </c>
      <c r="I25" s="75">
        <v>18.25</v>
      </c>
      <c r="J25" s="75">
        <v>0.79584730000000004</v>
      </c>
      <c r="K25" s="75">
        <v>1.5890410000000001E-2</v>
      </c>
      <c r="L25" s="75">
        <v>0</v>
      </c>
      <c r="M25" s="75">
        <v>0.2</v>
      </c>
      <c r="N25" s="75">
        <v>0</v>
      </c>
    </row>
    <row r="26" spans="1:22" ht="15" customHeight="1" x14ac:dyDescent="0.15">
      <c r="A26" s="98" t="s">
        <v>140</v>
      </c>
      <c r="C26" s="75">
        <v>25</v>
      </c>
      <c r="D26"/>
      <c r="E26" s="166" t="s">
        <v>216</v>
      </c>
      <c r="F26" s="75">
        <v>0</v>
      </c>
      <c r="G26" s="75">
        <v>1.9E-2</v>
      </c>
      <c r="H26" s="75">
        <v>0.15</v>
      </c>
      <c r="I26" s="75">
        <v>7.4183000000000003</v>
      </c>
      <c r="J26" s="75">
        <v>0</v>
      </c>
      <c r="K26" s="75">
        <v>2.02202667E-2</v>
      </c>
      <c r="L26" s="75">
        <v>0</v>
      </c>
      <c r="M26" s="75">
        <v>0.21</v>
      </c>
      <c r="N26" s="75">
        <v>0</v>
      </c>
    </row>
    <row r="27" spans="1:22" ht="15" customHeight="1" x14ac:dyDescent="0.15">
      <c r="C27" s="75">
        <v>26</v>
      </c>
      <c r="D27"/>
      <c r="E27" s="166" t="s">
        <v>217</v>
      </c>
      <c r="F27" s="75">
        <v>2</v>
      </c>
      <c r="G27" s="75">
        <v>0</v>
      </c>
      <c r="H27" s="75">
        <v>0</v>
      </c>
      <c r="I27" s="75">
        <v>0</v>
      </c>
      <c r="J27" s="75">
        <v>0.3401479</v>
      </c>
      <c r="K27" s="75">
        <v>0</v>
      </c>
      <c r="L27" s="75">
        <v>0</v>
      </c>
      <c r="M27" s="75">
        <v>0</v>
      </c>
      <c r="N27" s="75">
        <v>0</v>
      </c>
    </row>
    <row r="28" spans="1:22" ht="15" customHeight="1" x14ac:dyDescent="0.15">
      <c r="C28" s="75">
        <v>27</v>
      </c>
      <c r="D28"/>
      <c r="E28" s="166" t="s">
        <v>218</v>
      </c>
      <c r="F28" s="75">
        <v>2</v>
      </c>
      <c r="G28" s="75">
        <v>5</v>
      </c>
      <c r="H28" s="75">
        <v>0</v>
      </c>
      <c r="I28" s="75">
        <v>0</v>
      </c>
      <c r="J28" s="75">
        <v>0</v>
      </c>
      <c r="K28" s="75">
        <v>0</v>
      </c>
      <c r="L28" s="75">
        <v>0</v>
      </c>
      <c r="M28" s="75">
        <v>0</v>
      </c>
      <c r="N28" s="75">
        <v>0</v>
      </c>
    </row>
    <row r="29" spans="1:22" customFormat="1" ht="15" customHeight="1" x14ac:dyDescent="0.15">
      <c r="C29" s="75">
        <v>28</v>
      </c>
      <c r="E29" s="166" t="s">
        <v>219</v>
      </c>
      <c r="F29" s="75">
        <v>3</v>
      </c>
      <c r="G29" s="75">
        <v>0</v>
      </c>
      <c r="H29" s="75">
        <v>0</v>
      </c>
      <c r="I29" s="75">
        <v>0</v>
      </c>
      <c r="J29" s="75">
        <v>0</v>
      </c>
      <c r="K29" s="75">
        <v>0</v>
      </c>
      <c r="L29" s="75">
        <v>0</v>
      </c>
      <c r="M29" s="75">
        <v>0</v>
      </c>
      <c r="N29" s="75">
        <v>0</v>
      </c>
    </row>
    <row r="30" spans="1:22" customFormat="1" ht="15" customHeight="1" x14ac:dyDescent="0.15">
      <c r="C30" s="75">
        <v>29</v>
      </c>
      <c r="E30" s="166" t="s">
        <v>214</v>
      </c>
      <c r="F30" s="75">
        <v>3</v>
      </c>
      <c r="G30" s="75">
        <v>0</v>
      </c>
      <c r="H30" s="75">
        <v>0</v>
      </c>
      <c r="I30" s="75">
        <v>0</v>
      </c>
      <c r="J30" s="75">
        <v>0</v>
      </c>
      <c r="K30" s="75">
        <v>0</v>
      </c>
      <c r="L30" s="75">
        <v>0</v>
      </c>
      <c r="M30" s="75">
        <v>0</v>
      </c>
      <c r="N30" s="75">
        <v>0</v>
      </c>
    </row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4" bestFit="1" customWidth="1"/>
    <col min="2" max="2" width="2.33203125" style="134" bestFit="1" customWidth="1"/>
    <col min="3" max="3" width="4.83203125" style="134" bestFit="1" customWidth="1"/>
    <col min="4" max="5" width="3.83203125" style="134" bestFit="1" customWidth="1"/>
    <col min="6" max="6" width="11.83203125" style="134" bestFit="1" customWidth="1"/>
    <col min="7" max="7" width="2.33203125" style="134" bestFit="1" customWidth="1"/>
    <col min="8" max="10" width="4.83203125" style="134" bestFit="1" customWidth="1"/>
    <col min="11" max="11" width="5.83203125" style="134" bestFit="1" customWidth="1"/>
    <col min="12" max="12" width="3.83203125" style="134" bestFit="1" customWidth="1"/>
    <col min="13" max="14" width="5.83203125" style="134" bestFit="1" customWidth="1"/>
    <col min="15" max="15" width="3.83203125" style="134" bestFit="1" customWidth="1"/>
    <col min="16" max="16" width="4.83203125" style="134" bestFit="1" customWidth="1"/>
    <col min="17" max="22" width="5.83203125" style="134" bestFit="1" customWidth="1"/>
    <col min="23" max="23" width="15.83203125" style="134" bestFit="1" customWidth="1"/>
    <col min="24" max="24" width="14.83203125" style="134" bestFit="1" customWidth="1"/>
    <col min="25" max="25" width="13.83203125" style="134" bestFit="1" customWidth="1"/>
    <col min="26" max="26" width="15.5" style="134" bestFit="1" customWidth="1"/>
    <col min="27" max="28" width="2.33203125" style="134" bestFit="1" customWidth="1"/>
    <col min="29" max="29" width="9" style="134" bestFit="1" customWidth="1"/>
    <col min="30" max="16384" width="8.83203125" style="134"/>
  </cols>
  <sheetData>
    <row r="1" spans="1:34" x14ac:dyDescent="0.15">
      <c r="A1" s="133" t="s">
        <v>19</v>
      </c>
      <c r="B1" s="168" t="s">
        <v>193</v>
      </c>
      <c r="C1" s="168" t="s">
        <v>194</v>
      </c>
      <c r="D1" s="168" t="s">
        <v>195</v>
      </c>
      <c r="E1" s="168" t="s">
        <v>196</v>
      </c>
      <c r="F1" s="168" t="s">
        <v>197</v>
      </c>
      <c r="G1" s="168" t="s">
        <v>198</v>
      </c>
      <c r="H1" s="168" t="s">
        <v>199</v>
      </c>
      <c r="I1" s="168" t="s">
        <v>200</v>
      </c>
      <c r="J1" s="168" t="s">
        <v>201</v>
      </c>
      <c r="K1" s="168" t="s">
        <v>202</v>
      </c>
      <c r="L1" s="168" t="s">
        <v>203</v>
      </c>
      <c r="M1" s="168" t="s">
        <v>166</v>
      </c>
      <c r="N1" s="168" t="s">
        <v>204</v>
      </c>
      <c r="O1" s="168" t="s">
        <v>205</v>
      </c>
      <c r="P1" s="168" t="s">
        <v>206</v>
      </c>
      <c r="Q1" s="168" t="s">
        <v>207</v>
      </c>
      <c r="R1" s="168" t="s">
        <v>208</v>
      </c>
      <c r="S1" s="168" t="s">
        <v>209</v>
      </c>
      <c r="T1" s="168" t="s">
        <v>210</v>
      </c>
      <c r="U1" s="168" t="s">
        <v>211</v>
      </c>
      <c r="V1" s="168" t="s">
        <v>212</v>
      </c>
      <c r="W1" s="168" t="s">
        <v>213</v>
      </c>
      <c r="X1" s="168" t="s">
        <v>214</v>
      </c>
      <c r="Y1" s="168" t="s">
        <v>215</v>
      </c>
      <c r="Z1" s="168" t="s">
        <v>216</v>
      </c>
      <c r="AA1" s="168" t="s">
        <v>217</v>
      </c>
      <c r="AB1" s="168" t="s">
        <v>218</v>
      </c>
      <c r="AC1"/>
      <c r="AD1"/>
      <c r="AE1"/>
      <c r="AF1"/>
      <c r="AG1"/>
      <c r="AH1"/>
    </row>
    <row r="2" spans="1:34" customFormat="1" x14ac:dyDescent="0.15">
      <c r="A2" s="167" t="s">
        <v>193</v>
      </c>
      <c r="B2" s="134">
        <v>0</v>
      </c>
      <c r="C2" s="134">
        <v>0.47</v>
      </c>
      <c r="D2" s="134">
        <v>0.5</v>
      </c>
      <c r="E2" s="134">
        <v>0.6</v>
      </c>
      <c r="F2" s="134">
        <v>3.9999996000000398E-2</v>
      </c>
      <c r="G2" s="134">
        <v>0</v>
      </c>
      <c r="H2" s="134">
        <v>0</v>
      </c>
      <c r="I2" s="134">
        <v>0.56000000000000005</v>
      </c>
      <c r="J2" s="134">
        <v>0.33</v>
      </c>
      <c r="K2" s="134">
        <v>0</v>
      </c>
      <c r="L2" s="134">
        <v>0</v>
      </c>
      <c r="M2" s="134">
        <v>0</v>
      </c>
      <c r="N2" s="134">
        <v>7.0000000000000001E-3</v>
      </c>
      <c r="O2" s="134">
        <v>0</v>
      </c>
      <c r="P2" s="134">
        <v>0</v>
      </c>
      <c r="Q2" s="134">
        <v>0</v>
      </c>
      <c r="R2" s="134">
        <v>0</v>
      </c>
      <c r="S2" s="134">
        <v>0</v>
      </c>
      <c r="T2" s="134">
        <v>0</v>
      </c>
      <c r="U2" s="134">
        <v>0</v>
      </c>
      <c r="V2" s="134">
        <v>0</v>
      </c>
      <c r="W2" s="134">
        <v>0</v>
      </c>
      <c r="X2" s="134">
        <v>0</v>
      </c>
      <c r="Y2" s="134">
        <v>0</v>
      </c>
      <c r="Z2" s="134">
        <v>0</v>
      </c>
      <c r="AA2" s="134">
        <v>0</v>
      </c>
      <c r="AB2" s="134">
        <v>0</v>
      </c>
    </row>
    <row r="3" spans="1:34" customFormat="1" x14ac:dyDescent="0.15">
      <c r="A3" s="167" t="s">
        <v>194</v>
      </c>
      <c r="B3" s="134">
        <v>0</v>
      </c>
      <c r="C3" s="134">
        <v>0.06</v>
      </c>
      <c r="D3" s="134">
        <v>0.5</v>
      </c>
      <c r="E3" s="134">
        <v>0</v>
      </c>
      <c r="F3" s="134">
        <v>0</v>
      </c>
      <c r="G3" s="134">
        <v>0</v>
      </c>
      <c r="H3" s="134">
        <v>0</v>
      </c>
      <c r="I3" s="134">
        <v>0.08</v>
      </c>
      <c r="J3" s="134">
        <v>0.04</v>
      </c>
      <c r="K3" s="134">
        <v>0</v>
      </c>
      <c r="L3" s="134">
        <v>0</v>
      </c>
      <c r="M3" s="134">
        <v>0</v>
      </c>
      <c r="N3" s="134">
        <v>6.0000000000000001E-3</v>
      </c>
      <c r="O3" s="134">
        <v>0</v>
      </c>
      <c r="P3" s="134">
        <v>0</v>
      </c>
      <c r="Q3" s="134">
        <v>0</v>
      </c>
      <c r="R3" s="134">
        <v>0</v>
      </c>
      <c r="S3" s="134">
        <v>0</v>
      </c>
      <c r="T3" s="134">
        <v>0</v>
      </c>
      <c r="U3" s="134">
        <v>0</v>
      </c>
      <c r="V3" s="134">
        <v>0</v>
      </c>
      <c r="W3" s="134">
        <v>0</v>
      </c>
      <c r="X3" s="134">
        <v>0</v>
      </c>
      <c r="Y3" s="134">
        <v>0</v>
      </c>
      <c r="Z3" s="134">
        <v>0</v>
      </c>
      <c r="AA3" s="134">
        <v>0</v>
      </c>
      <c r="AB3" s="134">
        <v>0</v>
      </c>
    </row>
    <row r="4" spans="1:34" customFormat="1" x14ac:dyDescent="0.15">
      <c r="A4" s="167" t="s">
        <v>195</v>
      </c>
      <c r="B4" s="134">
        <v>0</v>
      </c>
      <c r="C4" s="134">
        <v>0</v>
      </c>
      <c r="D4" s="134">
        <v>0</v>
      </c>
      <c r="E4" s="134">
        <v>0.4</v>
      </c>
      <c r="F4" s="134">
        <v>0.62000003799999626</v>
      </c>
      <c r="G4" s="134">
        <v>0</v>
      </c>
      <c r="H4" s="134">
        <v>0</v>
      </c>
      <c r="I4" s="134">
        <v>0.18</v>
      </c>
      <c r="J4" s="134">
        <v>0.31</v>
      </c>
      <c r="K4" s="134">
        <v>7.9999999999999988E-2</v>
      </c>
      <c r="L4" s="134">
        <v>0.4</v>
      </c>
      <c r="M4" s="134">
        <v>0.02</v>
      </c>
      <c r="N4" s="134">
        <v>0.77400000000000002</v>
      </c>
      <c r="O4" s="134">
        <v>0.5</v>
      </c>
      <c r="P4" s="134">
        <v>0.15</v>
      </c>
      <c r="Q4" s="134">
        <v>0</v>
      </c>
      <c r="R4" s="134">
        <v>8.0000000000000016E-2</v>
      </c>
      <c r="S4" s="134">
        <v>0</v>
      </c>
      <c r="T4" s="134">
        <v>0</v>
      </c>
      <c r="U4" s="134">
        <v>0</v>
      </c>
      <c r="V4" s="134">
        <v>0.18</v>
      </c>
      <c r="W4" s="134">
        <v>0</v>
      </c>
      <c r="X4" s="134">
        <v>2.9994000599999986E-3</v>
      </c>
      <c r="Y4" s="134">
        <v>0</v>
      </c>
      <c r="Z4" s="134">
        <v>4.9997500124993745E-2</v>
      </c>
      <c r="AA4" s="134">
        <v>0</v>
      </c>
      <c r="AB4" s="134">
        <v>0</v>
      </c>
    </row>
    <row r="5" spans="1:34" customFormat="1" x14ac:dyDescent="0.15">
      <c r="A5" s="167" t="s">
        <v>196</v>
      </c>
      <c r="B5" s="134">
        <v>0</v>
      </c>
      <c r="C5" s="134">
        <v>0</v>
      </c>
      <c r="D5" s="134">
        <v>0</v>
      </c>
      <c r="E5" s="134">
        <v>0</v>
      </c>
      <c r="F5" s="134">
        <v>0.1199999880000012</v>
      </c>
      <c r="G5" s="134">
        <v>0</v>
      </c>
      <c r="H5" s="134">
        <v>0</v>
      </c>
      <c r="I5" s="134">
        <v>0.18</v>
      </c>
      <c r="J5" s="134">
        <v>0.32</v>
      </c>
      <c r="K5" s="134">
        <v>0.13999999999999999</v>
      </c>
      <c r="L5" s="134">
        <v>0.6</v>
      </c>
      <c r="M5" s="134">
        <v>0.54</v>
      </c>
      <c r="N5" s="134">
        <v>0.17</v>
      </c>
      <c r="O5" s="134">
        <v>0.2</v>
      </c>
      <c r="P5" s="134">
        <v>0.65</v>
      </c>
      <c r="Q5" s="134">
        <v>0.2</v>
      </c>
      <c r="R5" s="134">
        <v>0.50000000000000011</v>
      </c>
      <c r="S5" s="134">
        <v>9.4999999999999973E-2</v>
      </c>
      <c r="T5" s="134">
        <v>0.22999999999999995</v>
      </c>
      <c r="U5" s="134">
        <v>8.9999999999999983E-2</v>
      </c>
      <c r="V5" s="134">
        <v>0.5</v>
      </c>
      <c r="W5" s="134">
        <v>0</v>
      </c>
      <c r="X5" s="134">
        <v>4.2991410858000179E-2</v>
      </c>
      <c r="Y5" s="134">
        <v>0</v>
      </c>
      <c r="Z5" s="134">
        <v>0.44597770111494422</v>
      </c>
      <c r="AA5" s="134">
        <v>0</v>
      </c>
      <c r="AB5" s="134">
        <v>0</v>
      </c>
    </row>
    <row r="6" spans="1:34" customFormat="1" x14ac:dyDescent="0.15">
      <c r="A6" s="167" t="s">
        <v>197</v>
      </c>
      <c r="B6" s="134">
        <v>0</v>
      </c>
      <c r="C6" s="134">
        <v>0</v>
      </c>
      <c r="D6" s="134">
        <v>0</v>
      </c>
      <c r="E6" s="134">
        <v>0</v>
      </c>
      <c r="F6" s="134">
        <v>1.9999998000000199E-2</v>
      </c>
      <c r="G6" s="134">
        <v>0</v>
      </c>
      <c r="H6" s="134">
        <v>0</v>
      </c>
      <c r="I6" s="134">
        <v>0</v>
      </c>
      <c r="J6" s="134">
        <v>0</v>
      </c>
      <c r="K6" s="134">
        <v>0</v>
      </c>
      <c r="L6" s="134">
        <v>0</v>
      </c>
      <c r="M6" s="134">
        <v>0</v>
      </c>
      <c r="N6" s="134">
        <v>2.5999999999999999E-2</v>
      </c>
      <c r="O6" s="134">
        <v>0</v>
      </c>
      <c r="P6" s="134">
        <v>0</v>
      </c>
      <c r="Q6" s="134">
        <v>0</v>
      </c>
      <c r="R6" s="134">
        <v>0</v>
      </c>
      <c r="S6" s="134">
        <v>0</v>
      </c>
      <c r="T6" s="134">
        <v>0</v>
      </c>
      <c r="U6" s="134">
        <v>0</v>
      </c>
      <c r="V6" s="134">
        <v>0</v>
      </c>
      <c r="W6" s="134">
        <v>0</v>
      </c>
      <c r="X6" s="134">
        <v>0</v>
      </c>
      <c r="Y6" s="134">
        <v>0</v>
      </c>
      <c r="Z6" s="134">
        <v>0</v>
      </c>
      <c r="AA6" s="134">
        <v>0</v>
      </c>
      <c r="AB6" s="134">
        <v>0</v>
      </c>
    </row>
    <row r="7" spans="1:34" customFormat="1" x14ac:dyDescent="0.15">
      <c r="A7" s="167" t="s">
        <v>198</v>
      </c>
      <c r="B7" s="134">
        <v>0</v>
      </c>
      <c r="C7" s="134">
        <v>0</v>
      </c>
      <c r="D7" s="134">
        <v>0</v>
      </c>
      <c r="E7" s="134">
        <v>0</v>
      </c>
      <c r="F7" s="134">
        <v>0</v>
      </c>
      <c r="G7" s="134">
        <v>0</v>
      </c>
      <c r="H7" s="134">
        <v>0.86</v>
      </c>
      <c r="I7" s="134">
        <v>0</v>
      </c>
      <c r="J7" s="134">
        <v>0</v>
      </c>
      <c r="K7" s="134">
        <v>0.64999999999999991</v>
      </c>
      <c r="L7" s="134">
        <v>0</v>
      </c>
      <c r="M7" s="134">
        <v>0</v>
      </c>
      <c r="N7" s="134">
        <v>0</v>
      </c>
      <c r="O7" s="134">
        <v>0.3</v>
      </c>
      <c r="P7" s="134">
        <v>0.1</v>
      </c>
      <c r="Q7" s="134">
        <v>0</v>
      </c>
      <c r="R7" s="134">
        <v>0</v>
      </c>
      <c r="S7" s="134">
        <v>0</v>
      </c>
      <c r="T7" s="134">
        <v>0.17999999999999997</v>
      </c>
      <c r="U7" s="134">
        <v>0.27999999999999997</v>
      </c>
      <c r="V7" s="134">
        <v>0</v>
      </c>
      <c r="W7" s="134">
        <v>0.21510755377688839</v>
      </c>
      <c r="X7" s="134">
        <v>0</v>
      </c>
      <c r="Y7" s="134">
        <v>0</v>
      </c>
      <c r="Z7" s="134">
        <v>0</v>
      </c>
      <c r="AA7" s="134">
        <v>0</v>
      </c>
      <c r="AB7" s="134">
        <v>0</v>
      </c>
    </row>
    <row r="8" spans="1:34" customFormat="1" x14ac:dyDescent="0.15">
      <c r="A8" s="167" t="s">
        <v>199</v>
      </c>
      <c r="B8" s="134">
        <v>0</v>
      </c>
      <c r="C8" s="134">
        <v>0</v>
      </c>
      <c r="D8" s="134">
        <v>0</v>
      </c>
      <c r="E8" s="134">
        <v>0</v>
      </c>
      <c r="F8" s="134">
        <v>0</v>
      </c>
      <c r="G8" s="134">
        <v>0</v>
      </c>
      <c r="H8" s="134">
        <v>0.05</v>
      </c>
      <c r="I8" s="134">
        <v>0</v>
      </c>
      <c r="J8" s="134">
        <v>0</v>
      </c>
      <c r="K8" s="134">
        <v>1.4999999999999996E-2</v>
      </c>
      <c r="L8" s="134">
        <v>0</v>
      </c>
      <c r="M8" s="134">
        <v>0</v>
      </c>
      <c r="N8" s="134">
        <v>0</v>
      </c>
      <c r="O8" s="134">
        <v>0</v>
      </c>
      <c r="P8" s="134">
        <v>0</v>
      </c>
      <c r="Q8" s="134">
        <v>0</v>
      </c>
      <c r="R8" s="134">
        <v>0</v>
      </c>
      <c r="S8" s="134">
        <v>0</v>
      </c>
      <c r="T8" s="134">
        <v>4.9999999999999989E-2</v>
      </c>
      <c r="U8" s="134">
        <v>0.12999999999999998</v>
      </c>
      <c r="V8" s="134">
        <v>0</v>
      </c>
      <c r="W8" s="134">
        <v>0.17008504252126061</v>
      </c>
      <c r="X8" s="134">
        <v>0</v>
      </c>
      <c r="Y8" s="134">
        <v>0</v>
      </c>
      <c r="Z8" s="134">
        <v>0</v>
      </c>
      <c r="AA8" s="134">
        <v>0</v>
      </c>
      <c r="AB8" s="134">
        <v>0</v>
      </c>
    </row>
    <row r="9" spans="1:34" customFormat="1" x14ac:dyDescent="0.15">
      <c r="A9" s="167" t="s">
        <v>200</v>
      </c>
      <c r="B9" s="134">
        <v>0</v>
      </c>
      <c r="C9" s="134">
        <v>0</v>
      </c>
      <c r="D9" s="134">
        <v>0</v>
      </c>
      <c r="E9" s="134">
        <v>0</v>
      </c>
      <c r="F9" s="134">
        <v>0</v>
      </c>
      <c r="G9" s="134">
        <v>0</v>
      </c>
      <c r="H9" s="134">
        <v>0</v>
      </c>
      <c r="I9" s="134">
        <v>0</v>
      </c>
      <c r="J9" s="134">
        <v>0</v>
      </c>
      <c r="K9" s="134">
        <v>0</v>
      </c>
      <c r="L9" s="134">
        <v>0</v>
      </c>
      <c r="M9" s="134">
        <v>0.14099999999999999</v>
      </c>
      <c r="N9" s="134">
        <v>0</v>
      </c>
      <c r="O9" s="134">
        <v>0</v>
      </c>
      <c r="P9" s="134">
        <v>0</v>
      </c>
      <c r="Q9" s="134">
        <v>1.7000000000000001E-2</v>
      </c>
      <c r="R9" s="134">
        <v>0</v>
      </c>
      <c r="S9" s="134">
        <v>0.34799999999999992</v>
      </c>
      <c r="T9" s="134">
        <v>0</v>
      </c>
      <c r="U9" s="134">
        <v>0</v>
      </c>
      <c r="V9" s="134">
        <v>9.0999999999999998E-2</v>
      </c>
      <c r="W9" s="134">
        <v>1.300650325162581E-2</v>
      </c>
      <c r="X9" s="134">
        <v>3.8992200779999979E-2</v>
      </c>
      <c r="Y9" s="134">
        <v>1.5000001800000214E-2</v>
      </c>
      <c r="Z9" s="134">
        <v>1.1999400029998499E-2</v>
      </c>
      <c r="AA9" s="134">
        <v>0</v>
      </c>
      <c r="AB9" s="134">
        <v>0</v>
      </c>
    </row>
    <row r="10" spans="1:34" customFormat="1" x14ac:dyDescent="0.15">
      <c r="A10" s="167" t="s">
        <v>201</v>
      </c>
      <c r="B10" s="134">
        <v>0</v>
      </c>
      <c r="C10" s="134">
        <v>0</v>
      </c>
      <c r="D10" s="134">
        <v>0</v>
      </c>
      <c r="E10" s="134">
        <v>0</v>
      </c>
      <c r="F10" s="134">
        <v>0</v>
      </c>
      <c r="G10" s="134">
        <v>0</v>
      </c>
      <c r="H10" s="134">
        <v>0</v>
      </c>
      <c r="I10" s="134">
        <v>0</v>
      </c>
      <c r="J10" s="134">
        <v>0</v>
      </c>
      <c r="K10" s="134">
        <v>0</v>
      </c>
      <c r="L10" s="134">
        <v>0</v>
      </c>
      <c r="M10" s="134">
        <v>1.0999999999999999E-2</v>
      </c>
      <c r="N10" s="134">
        <v>0</v>
      </c>
      <c r="O10" s="134">
        <v>0</v>
      </c>
      <c r="P10" s="134">
        <v>0</v>
      </c>
      <c r="Q10" s="134">
        <v>3.0000000000000001E-3</v>
      </c>
      <c r="R10" s="134">
        <v>0</v>
      </c>
      <c r="S10" s="134">
        <v>1.6999999999999998E-2</v>
      </c>
      <c r="T10" s="134">
        <v>0</v>
      </c>
      <c r="U10" s="134">
        <v>0</v>
      </c>
      <c r="V10" s="134">
        <v>1E-3</v>
      </c>
      <c r="W10" s="134">
        <v>1.0005002501250623E-2</v>
      </c>
      <c r="X10" s="134">
        <v>0.14897020297999991</v>
      </c>
      <c r="Y10" s="134">
        <v>1.6000001920000229E-2</v>
      </c>
      <c r="Z10" s="134">
        <v>4.9997500124993747E-3</v>
      </c>
      <c r="AA10" s="134">
        <v>0</v>
      </c>
      <c r="AB10" s="134">
        <v>0</v>
      </c>
    </row>
    <row r="11" spans="1:34" customFormat="1" x14ac:dyDescent="0.15">
      <c r="A11" s="167" t="s">
        <v>202</v>
      </c>
      <c r="B11" s="134">
        <v>0</v>
      </c>
      <c r="C11" s="134">
        <v>0</v>
      </c>
      <c r="D11" s="134">
        <v>0</v>
      </c>
      <c r="E11" s="134">
        <v>0</v>
      </c>
      <c r="F11" s="134">
        <v>0</v>
      </c>
      <c r="G11" s="134">
        <v>0</v>
      </c>
      <c r="H11" s="134">
        <v>0</v>
      </c>
      <c r="I11" s="134">
        <v>0</v>
      </c>
      <c r="J11" s="134">
        <v>0</v>
      </c>
      <c r="K11" s="134">
        <v>4.9999999999999992E-3</v>
      </c>
      <c r="L11" s="134">
        <v>0</v>
      </c>
      <c r="M11" s="134">
        <v>0.01</v>
      </c>
      <c r="N11" s="134">
        <v>0</v>
      </c>
      <c r="O11" s="134">
        <v>0</v>
      </c>
      <c r="P11" s="134">
        <v>0.08</v>
      </c>
      <c r="Q11" s="134">
        <v>0.05</v>
      </c>
      <c r="R11" s="134">
        <v>0.30200000000000005</v>
      </c>
      <c r="S11" s="134">
        <v>6.9999999999999993E-2</v>
      </c>
      <c r="T11" s="134">
        <v>6.9999999999999993E-2</v>
      </c>
      <c r="U11" s="134">
        <v>0</v>
      </c>
      <c r="V11" s="134">
        <v>4.0000000000000001E-3</v>
      </c>
      <c r="W11" s="134">
        <v>2.5012506253126562E-2</v>
      </c>
      <c r="X11" s="134">
        <v>0.46490700929999978</v>
      </c>
      <c r="Y11" s="134">
        <v>0.37699994523999342</v>
      </c>
      <c r="Z11" s="134">
        <v>6.5996700164991748E-2</v>
      </c>
      <c r="AA11" s="134">
        <v>0</v>
      </c>
      <c r="AB11" s="134">
        <v>0</v>
      </c>
    </row>
    <row r="12" spans="1:34" customFormat="1" x14ac:dyDescent="0.15">
      <c r="A12" s="167" t="s">
        <v>203</v>
      </c>
      <c r="B12" s="134">
        <v>0</v>
      </c>
      <c r="C12" s="134">
        <v>0</v>
      </c>
      <c r="D12" s="134">
        <v>0</v>
      </c>
      <c r="E12" s="134">
        <v>0</v>
      </c>
      <c r="F12" s="134">
        <v>0</v>
      </c>
      <c r="G12" s="134">
        <v>0</v>
      </c>
      <c r="H12" s="134">
        <v>0</v>
      </c>
      <c r="I12" s="134">
        <v>0</v>
      </c>
      <c r="J12" s="134">
        <v>0</v>
      </c>
      <c r="K12" s="134">
        <v>4.9999999999999992E-3</v>
      </c>
      <c r="L12" s="134">
        <v>0</v>
      </c>
      <c r="M12" s="134">
        <v>0.09</v>
      </c>
      <c r="N12" s="134">
        <v>0</v>
      </c>
      <c r="O12" s="134">
        <v>0</v>
      </c>
      <c r="P12" s="134">
        <v>0.02</v>
      </c>
      <c r="Q12" s="134">
        <v>0.13300000000000001</v>
      </c>
      <c r="R12" s="134">
        <v>3.3000000000000008E-2</v>
      </c>
      <c r="S12" s="134">
        <v>2.9999999999999992E-2</v>
      </c>
      <c r="T12" s="134">
        <v>0.14999999999999997</v>
      </c>
      <c r="U12" s="134">
        <v>4.9999999999999992E-3</v>
      </c>
      <c r="V12" s="134">
        <v>3.5999999999999997E-2</v>
      </c>
      <c r="W12" s="134">
        <v>2.5012506253126562E-2</v>
      </c>
      <c r="X12" s="134">
        <v>4.9990000999999978E-2</v>
      </c>
      <c r="Y12" s="134">
        <v>0.10400001248000149</v>
      </c>
      <c r="Z12" s="134">
        <v>0</v>
      </c>
      <c r="AA12" s="134">
        <v>0</v>
      </c>
      <c r="AB12" s="134">
        <v>0</v>
      </c>
    </row>
    <row r="13" spans="1:34" customFormat="1" x14ac:dyDescent="0.15">
      <c r="A13" s="167" t="s">
        <v>166</v>
      </c>
      <c r="B13" s="134">
        <v>0</v>
      </c>
      <c r="C13" s="134">
        <v>0</v>
      </c>
      <c r="D13" s="134">
        <v>0</v>
      </c>
      <c r="E13" s="134">
        <v>0</v>
      </c>
      <c r="F13" s="134">
        <v>0</v>
      </c>
      <c r="G13" s="134"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0.01</v>
      </c>
      <c r="N13" s="134">
        <v>0</v>
      </c>
      <c r="O13" s="134">
        <v>0</v>
      </c>
      <c r="P13" s="134">
        <v>0</v>
      </c>
      <c r="Q13" s="134">
        <v>0.29499999999999998</v>
      </c>
      <c r="R13" s="134">
        <v>7.0000000000000021E-2</v>
      </c>
      <c r="S13" s="134">
        <v>3.3999999999999996E-2</v>
      </c>
      <c r="T13" s="134">
        <v>6.4999999999999988E-2</v>
      </c>
      <c r="U13" s="134">
        <v>0.19999999999999996</v>
      </c>
      <c r="V13" s="134">
        <v>0.104</v>
      </c>
      <c r="W13" s="134">
        <v>0.10005002501250625</v>
      </c>
      <c r="X13" s="134">
        <v>4.4991010898000179E-2</v>
      </c>
      <c r="Y13" s="134">
        <v>3.5000004200000503E-2</v>
      </c>
      <c r="Z13" s="134">
        <v>0.25398730063496822</v>
      </c>
      <c r="AA13" s="134">
        <v>0</v>
      </c>
      <c r="AB13" s="134">
        <v>0</v>
      </c>
    </row>
    <row r="14" spans="1:34" customFormat="1" x14ac:dyDescent="0.15">
      <c r="A14" s="167" t="s">
        <v>204</v>
      </c>
      <c r="B14" s="134">
        <v>0</v>
      </c>
      <c r="C14" s="134">
        <v>0</v>
      </c>
      <c r="D14" s="134">
        <v>0</v>
      </c>
      <c r="E14" s="134">
        <v>0</v>
      </c>
      <c r="F14" s="134">
        <v>0</v>
      </c>
      <c r="G14" s="134">
        <v>0</v>
      </c>
      <c r="H14" s="134">
        <v>0</v>
      </c>
      <c r="I14" s="134">
        <v>0</v>
      </c>
      <c r="J14" s="134">
        <v>0</v>
      </c>
      <c r="K14" s="134">
        <v>9.9999999999999985E-3</v>
      </c>
      <c r="L14" s="134">
        <v>0</v>
      </c>
      <c r="M14" s="134">
        <v>6.8000000000000005E-2</v>
      </c>
      <c r="N14" s="134">
        <v>0</v>
      </c>
      <c r="O14" s="134">
        <v>0</v>
      </c>
      <c r="P14" s="134">
        <v>0</v>
      </c>
      <c r="Q14" s="134">
        <v>0.08</v>
      </c>
      <c r="R14" s="134">
        <v>1.5000000000000001E-2</v>
      </c>
      <c r="S14" s="134">
        <v>5.4999999999999986E-2</v>
      </c>
      <c r="T14" s="134">
        <v>9.9999999999999985E-3</v>
      </c>
      <c r="U14" s="134">
        <v>2.4999999999999994E-2</v>
      </c>
      <c r="V14" s="134">
        <v>3.4000000000000002E-2</v>
      </c>
      <c r="W14" s="134">
        <v>7.0035017508754377E-2</v>
      </c>
      <c r="X14" s="134">
        <v>8.298340165999997E-2</v>
      </c>
      <c r="Y14" s="134">
        <v>2.3000002760000329E-2</v>
      </c>
      <c r="Z14" s="134">
        <v>3.9998000099994999E-3</v>
      </c>
      <c r="AA14" s="134">
        <v>0</v>
      </c>
      <c r="AB14" s="134">
        <v>0</v>
      </c>
    </row>
    <row r="15" spans="1:34" customFormat="1" x14ac:dyDescent="0.15">
      <c r="A15" s="167" t="s">
        <v>205</v>
      </c>
      <c r="B15" s="134">
        <v>0</v>
      </c>
      <c r="C15" s="134">
        <v>0</v>
      </c>
      <c r="D15" s="134">
        <v>0</v>
      </c>
      <c r="E15" s="134">
        <v>0</v>
      </c>
      <c r="F15" s="134">
        <v>0</v>
      </c>
      <c r="G15" s="134"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0.1</v>
      </c>
      <c r="N15" s="134">
        <v>0</v>
      </c>
      <c r="O15" s="134">
        <v>0</v>
      </c>
      <c r="P15" s="134">
        <v>0</v>
      </c>
      <c r="Q15" s="134">
        <v>2.8000000000000001E-2</v>
      </c>
      <c r="R15" s="134">
        <v>0</v>
      </c>
      <c r="S15" s="134">
        <v>7.1999999999999981E-2</v>
      </c>
      <c r="T15" s="134">
        <v>0</v>
      </c>
      <c r="U15" s="134">
        <v>0</v>
      </c>
      <c r="V15" s="134">
        <v>0</v>
      </c>
      <c r="W15" s="134">
        <v>3.0015007503751872E-3</v>
      </c>
      <c r="X15" s="134">
        <v>4.9990000999999978E-3</v>
      </c>
      <c r="Y15" s="134">
        <v>4.9999995999999519E-2</v>
      </c>
      <c r="Z15" s="134">
        <v>4.9997500124993745E-2</v>
      </c>
      <c r="AA15" s="134">
        <v>0</v>
      </c>
      <c r="AB15" s="134">
        <v>0</v>
      </c>
    </row>
    <row r="16" spans="1:34" customFormat="1" x14ac:dyDescent="0.15">
      <c r="A16" s="167" t="s">
        <v>206</v>
      </c>
      <c r="B16" s="134">
        <v>0</v>
      </c>
      <c r="C16" s="134">
        <v>0</v>
      </c>
      <c r="D16" s="134">
        <v>0</v>
      </c>
      <c r="E16" s="134">
        <v>0</v>
      </c>
      <c r="F16" s="134">
        <v>0</v>
      </c>
      <c r="G16" s="134"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3.2999999999999995E-2</v>
      </c>
      <c r="T16" s="134">
        <v>0</v>
      </c>
      <c r="U16" s="134">
        <v>1.4999999999999996E-2</v>
      </c>
      <c r="V16" s="134">
        <v>0.02</v>
      </c>
      <c r="W16" s="134">
        <v>2.0010005002501247E-2</v>
      </c>
      <c r="X16" s="134">
        <v>0</v>
      </c>
      <c r="Y16" s="134">
        <v>5.2999996359999559E-2</v>
      </c>
      <c r="Z16" s="134">
        <v>4.2997850107494615E-2</v>
      </c>
      <c r="AA16" s="134">
        <v>0</v>
      </c>
      <c r="AB16" s="134">
        <v>0</v>
      </c>
    </row>
    <row r="17" spans="1:28" customFormat="1" x14ac:dyDescent="0.15">
      <c r="A17" s="167" t="s">
        <v>207</v>
      </c>
      <c r="B17" s="134">
        <v>0</v>
      </c>
      <c r="C17" s="134">
        <v>0</v>
      </c>
      <c r="D17" s="134">
        <v>0</v>
      </c>
      <c r="E17" s="134">
        <v>0</v>
      </c>
      <c r="F17" s="134">
        <v>0</v>
      </c>
      <c r="G17" s="134">
        <v>0</v>
      </c>
      <c r="H17" s="134">
        <v>0</v>
      </c>
      <c r="I17" s="134">
        <v>0</v>
      </c>
      <c r="J17" s="134">
        <v>0</v>
      </c>
      <c r="K17" s="134">
        <v>0</v>
      </c>
      <c r="L17" s="134">
        <v>0</v>
      </c>
      <c r="M17" s="134">
        <v>0</v>
      </c>
      <c r="N17" s="134">
        <v>0</v>
      </c>
      <c r="O17" s="134">
        <v>0</v>
      </c>
      <c r="P17" s="134">
        <v>0</v>
      </c>
      <c r="Q17" s="134">
        <v>0</v>
      </c>
      <c r="R17" s="134">
        <v>0</v>
      </c>
      <c r="S17" s="134">
        <v>0</v>
      </c>
      <c r="T17" s="134">
        <v>0</v>
      </c>
      <c r="U17" s="134">
        <v>0</v>
      </c>
      <c r="V17" s="134">
        <v>0</v>
      </c>
      <c r="W17" s="134">
        <v>4.0020010005002498E-3</v>
      </c>
      <c r="X17" s="134">
        <v>2.9994000599999986E-3</v>
      </c>
      <c r="Y17" s="134">
        <v>0</v>
      </c>
      <c r="Z17" s="134">
        <v>1.8999050047497624E-2</v>
      </c>
      <c r="AA17" s="134">
        <v>0</v>
      </c>
      <c r="AB17" s="134">
        <v>0</v>
      </c>
    </row>
    <row r="18" spans="1:28" customFormat="1" x14ac:dyDescent="0.15">
      <c r="A18" s="167" t="s">
        <v>208</v>
      </c>
      <c r="B18" s="134">
        <v>0</v>
      </c>
      <c r="C18" s="134">
        <v>0</v>
      </c>
      <c r="D18" s="134">
        <v>0</v>
      </c>
      <c r="E18" s="134">
        <v>0</v>
      </c>
      <c r="F18" s="134">
        <v>0</v>
      </c>
      <c r="G18" s="134">
        <v>0</v>
      </c>
      <c r="H18" s="134">
        <v>0</v>
      </c>
      <c r="I18" s="134">
        <v>0</v>
      </c>
      <c r="J18" s="134">
        <v>0</v>
      </c>
      <c r="K18" s="134">
        <v>0</v>
      </c>
      <c r="L18" s="134">
        <v>0</v>
      </c>
      <c r="M18" s="134">
        <v>0</v>
      </c>
      <c r="N18" s="134">
        <v>0</v>
      </c>
      <c r="O18" s="134">
        <v>0</v>
      </c>
      <c r="P18" s="134">
        <v>0</v>
      </c>
      <c r="Q18" s="134">
        <v>2.3E-2</v>
      </c>
      <c r="R18" s="134">
        <v>0</v>
      </c>
      <c r="S18" s="134">
        <v>7.9999999999999988E-2</v>
      </c>
      <c r="T18" s="134">
        <v>1.2999999999999996E-2</v>
      </c>
      <c r="U18" s="134">
        <v>0</v>
      </c>
      <c r="V18" s="134">
        <v>0</v>
      </c>
      <c r="W18" s="134">
        <v>0</v>
      </c>
      <c r="X18" s="134">
        <v>1.9996000399999992E-3</v>
      </c>
      <c r="Y18" s="134">
        <v>0.15800001896000226</v>
      </c>
      <c r="Z18" s="134">
        <v>0</v>
      </c>
      <c r="AA18" s="134">
        <v>0</v>
      </c>
      <c r="AB18" s="134">
        <v>0</v>
      </c>
    </row>
    <row r="19" spans="1:28" customFormat="1" x14ac:dyDescent="0.15">
      <c r="A19" s="167" t="s">
        <v>209</v>
      </c>
      <c r="B19" s="134">
        <v>0</v>
      </c>
      <c r="C19" s="134">
        <v>0</v>
      </c>
      <c r="D19" s="134">
        <v>0</v>
      </c>
      <c r="E19" s="134">
        <v>0</v>
      </c>
      <c r="F19" s="134">
        <v>0</v>
      </c>
      <c r="G19" s="134">
        <v>0</v>
      </c>
      <c r="H19" s="134">
        <v>0</v>
      </c>
      <c r="I19" s="134">
        <v>0</v>
      </c>
      <c r="J19" s="134">
        <v>0</v>
      </c>
      <c r="K19" s="134">
        <v>0</v>
      </c>
      <c r="L19" s="134">
        <v>0</v>
      </c>
      <c r="M19" s="134">
        <v>0.01</v>
      </c>
      <c r="N19" s="134">
        <v>0</v>
      </c>
      <c r="O19" s="134">
        <v>0</v>
      </c>
      <c r="P19" s="134">
        <v>0</v>
      </c>
      <c r="Q19" s="134">
        <v>2.5000000000000001E-2</v>
      </c>
      <c r="R19" s="134">
        <v>0</v>
      </c>
      <c r="S19" s="134">
        <v>6.7999999999999991E-2</v>
      </c>
      <c r="T19" s="134">
        <v>0.10199999999999997</v>
      </c>
      <c r="U19" s="134">
        <v>8.4999999999999992E-2</v>
      </c>
      <c r="V19" s="134">
        <v>0</v>
      </c>
      <c r="W19" s="134">
        <v>2.0010005002501249E-3</v>
      </c>
      <c r="X19" s="134">
        <v>5.1989601039999972E-2</v>
      </c>
      <c r="Y19" s="134">
        <v>0.15800001896000226</v>
      </c>
      <c r="Z19" s="134">
        <v>2.3998800059996998E-2</v>
      </c>
      <c r="AA19" s="134">
        <v>0</v>
      </c>
      <c r="AB19" s="134">
        <v>0</v>
      </c>
    </row>
    <row r="20" spans="1:28" customFormat="1" x14ac:dyDescent="0.15">
      <c r="A20" s="167" t="s">
        <v>210</v>
      </c>
      <c r="B20" s="134">
        <v>0</v>
      </c>
      <c r="C20" s="134">
        <v>0</v>
      </c>
      <c r="D20" s="134">
        <v>0</v>
      </c>
      <c r="E20" s="134">
        <v>0</v>
      </c>
      <c r="F20" s="134">
        <v>0</v>
      </c>
      <c r="G20" s="134">
        <v>0</v>
      </c>
      <c r="H20" s="134">
        <v>0</v>
      </c>
      <c r="I20" s="134">
        <v>0</v>
      </c>
      <c r="J20" s="134">
        <v>0</v>
      </c>
      <c r="K20" s="134">
        <v>0</v>
      </c>
      <c r="L20" s="134">
        <v>0</v>
      </c>
      <c r="M20" s="134">
        <v>0</v>
      </c>
      <c r="N20" s="134">
        <v>0</v>
      </c>
      <c r="O20" s="134">
        <v>0</v>
      </c>
      <c r="P20" s="134">
        <v>0</v>
      </c>
      <c r="Q20" s="134">
        <v>4.5999999999999999E-2</v>
      </c>
      <c r="R20" s="134">
        <v>0</v>
      </c>
      <c r="S20" s="134">
        <v>5.7999999999999989E-2</v>
      </c>
      <c r="T20" s="134">
        <v>0</v>
      </c>
      <c r="U20" s="134">
        <v>5.4999999999999986E-2</v>
      </c>
      <c r="V20" s="134">
        <v>0.02</v>
      </c>
      <c r="W20" s="134">
        <v>2.0010005002501249E-3</v>
      </c>
      <c r="X20" s="134">
        <v>4.5990800919999977E-2</v>
      </c>
      <c r="Y20" s="134">
        <v>0</v>
      </c>
      <c r="Z20" s="134">
        <v>2.3998800059996998E-2</v>
      </c>
      <c r="AA20" s="134">
        <v>0</v>
      </c>
      <c r="AB20" s="134">
        <v>0</v>
      </c>
    </row>
    <row r="21" spans="1:28" customFormat="1" x14ac:dyDescent="0.15">
      <c r="A21" s="167" t="s">
        <v>211</v>
      </c>
      <c r="B21" s="134">
        <v>0</v>
      </c>
      <c r="C21" s="134">
        <v>0</v>
      </c>
      <c r="D21" s="134">
        <v>0</v>
      </c>
      <c r="E21" s="134">
        <v>0</v>
      </c>
      <c r="F21" s="134">
        <v>0</v>
      </c>
      <c r="G21" s="134">
        <v>0</v>
      </c>
      <c r="H21" s="134">
        <v>0</v>
      </c>
      <c r="I21" s="134">
        <v>0</v>
      </c>
      <c r="J21" s="134">
        <v>0</v>
      </c>
      <c r="K21" s="134">
        <v>0</v>
      </c>
      <c r="L21" s="134">
        <v>0</v>
      </c>
      <c r="M21" s="134">
        <v>0</v>
      </c>
      <c r="N21" s="134">
        <v>0</v>
      </c>
      <c r="O21" s="134">
        <v>0</v>
      </c>
      <c r="P21" s="134">
        <v>0</v>
      </c>
      <c r="Q21" s="134">
        <v>0</v>
      </c>
      <c r="R21" s="134">
        <v>0</v>
      </c>
      <c r="S21" s="134">
        <v>2.6999999999999993E-2</v>
      </c>
      <c r="T21" s="134">
        <v>5.9999999999999984E-2</v>
      </c>
      <c r="U21" s="134">
        <v>4.9999999999999992E-3</v>
      </c>
      <c r="V21" s="134">
        <v>0</v>
      </c>
      <c r="W21" s="134">
        <v>5.0025012506253123E-2</v>
      </c>
      <c r="X21" s="134">
        <v>0</v>
      </c>
      <c r="Y21" s="134">
        <v>0</v>
      </c>
      <c r="Z21" s="134">
        <v>0</v>
      </c>
      <c r="AA21" s="134">
        <v>0</v>
      </c>
      <c r="AB21" s="134">
        <v>0</v>
      </c>
    </row>
    <row r="22" spans="1:28" customFormat="1" x14ac:dyDescent="0.15">
      <c r="A22" s="167" t="s">
        <v>212</v>
      </c>
      <c r="B22" s="134">
        <v>0</v>
      </c>
      <c r="C22" s="134">
        <v>0</v>
      </c>
      <c r="D22" s="134">
        <v>0</v>
      </c>
      <c r="E22" s="134">
        <v>0</v>
      </c>
      <c r="F22" s="134">
        <v>0</v>
      </c>
      <c r="G22" s="134">
        <v>0</v>
      </c>
      <c r="H22" s="134">
        <v>0</v>
      </c>
      <c r="I22" s="134">
        <v>0</v>
      </c>
      <c r="J22" s="134">
        <v>0</v>
      </c>
      <c r="K22" s="134">
        <v>0</v>
      </c>
      <c r="L22" s="134">
        <v>0</v>
      </c>
      <c r="M22" s="134">
        <v>0</v>
      </c>
      <c r="N22" s="134">
        <v>0</v>
      </c>
      <c r="O22" s="134">
        <v>0</v>
      </c>
      <c r="P22" s="134">
        <v>0</v>
      </c>
      <c r="Q22" s="134">
        <v>0.1</v>
      </c>
      <c r="R22" s="134">
        <v>0</v>
      </c>
      <c r="S22" s="134">
        <v>1.2999999999999996E-2</v>
      </c>
      <c r="T22" s="134">
        <v>2.9999999999999992E-2</v>
      </c>
      <c r="U22" s="134">
        <v>9.9999999999999985E-3</v>
      </c>
      <c r="V22" s="134">
        <v>0.01</v>
      </c>
      <c r="W22" s="134">
        <v>2.0010005002501247E-2</v>
      </c>
      <c r="X22" s="134">
        <v>1.4997000299999992E-2</v>
      </c>
      <c r="Y22" s="134">
        <v>1.1000001320000157E-2</v>
      </c>
      <c r="Z22" s="134">
        <v>0</v>
      </c>
      <c r="AA22" s="134">
        <v>0</v>
      </c>
      <c r="AB22" s="134">
        <v>0</v>
      </c>
    </row>
    <row r="23" spans="1:28" customFormat="1" x14ac:dyDescent="0.15">
      <c r="A23" s="167" t="s">
        <v>213</v>
      </c>
      <c r="B23" s="134">
        <v>0</v>
      </c>
      <c r="C23" s="134">
        <v>0</v>
      </c>
      <c r="D23" s="134">
        <v>0</v>
      </c>
      <c r="E23" s="134">
        <v>0</v>
      </c>
      <c r="F23" s="134">
        <v>0</v>
      </c>
      <c r="G23" s="134">
        <v>0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0.10005002501250625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customFormat="1" x14ac:dyDescent="0.15">
      <c r="A24" s="167" t="s">
        <v>214</v>
      </c>
      <c r="B24" s="134">
        <v>0</v>
      </c>
      <c r="C24" s="134">
        <v>0</v>
      </c>
      <c r="D24" s="134">
        <v>0</v>
      </c>
      <c r="E24" s="134">
        <v>0</v>
      </c>
      <c r="F24" s="134">
        <v>0</v>
      </c>
      <c r="G24" s="134">
        <v>0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2.9998500074996247E-3</v>
      </c>
      <c r="AA24" s="134">
        <v>0</v>
      </c>
      <c r="AB24" s="134">
        <v>0</v>
      </c>
    </row>
    <row r="25" spans="1:28" customFormat="1" x14ac:dyDescent="0.15">
      <c r="A25" s="167" t="s">
        <v>215</v>
      </c>
      <c r="B25" s="134">
        <v>0</v>
      </c>
      <c r="C25" s="134">
        <v>0</v>
      </c>
      <c r="D25" s="134">
        <v>0</v>
      </c>
      <c r="E25" s="134">
        <v>0</v>
      </c>
      <c r="F25" s="134">
        <v>0</v>
      </c>
      <c r="G25" s="134">
        <v>0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5.0025012506253123E-4</v>
      </c>
      <c r="X25" s="134">
        <v>1.9996000399999991E-4</v>
      </c>
      <c r="Y25" s="134">
        <v>0</v>
      </c>
      <c r="Z25" s="134">
        <v>4.9997500124993749E-5</v>
      </c>
      <c r="AA25" s="134">
        <v>0</v>
      </c>
      <c r="AB25" s="134">
        <v>0</v>
      </c>
    </row>
    <row r="26" spans="1:28" customFormat="1" x14ac:dyDescent="0.15">
      <c r="A26" s="167" t="s">
        <v>216</v>
      </c>
      <c r="B26" s="134">
        <v>0</v>
      </c>
      <c r="C26" s="134">
        <v>0</v>
      </c>
      <c r="D26" s="134">
        <v>0</v>
      </c>
      <c r="E26" s="134">
        <v>0</v>
      </c>
      <c r="F26" s="134">
        <v>0</v>
      </c>
      <c r="G26" s="134">
        <v>0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customFormat="1" x14ac:dyDescent="0.15">
      <c r="A27" s="167" t="s">
        <v>217</v>
      </c>
      <c r="B27" s="134">
        <v>0</v>
      </c>
      <c r="C27" s="134">
        <v>0.47</v>
      </c>
      <c r="D27" s="134">
        <v>0</v>
      </c>
      <c r="E27" s="134">
        <v>0</v>
      </c>
      <c r="F27" s="134">
        <v>0.19999998000000199</v>
      </c>
      <c r="G27" s="134">
        <v>1</v>
      </c>
      <c r="H27" s="134">
        <v>0.09</v>
      </c>
      <c r="I27" s="134">
        <v>0</v>
      </c>
      <c r="J27" s="134">
        <v>0</v>
      </c>
      <c r="K27" s="134">
        <v>9.4999999999999973E-2</v>
      </c>
      <c r="L27" s="134">
        <v>0</v>
      </c>
      <c r="M27" s="134">
        <v>0</v>
      </c>
      <c r="N27" s="134">
        <v>1.7000000000000001E-2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3.9999999999999994E-2</v>
      </c>
      <c r="U27" s="134">
        <v>9.9999999999999978E-2</v>
      </c>
      <c r="V27" s="134">
        <v>0</v>
      </c>
      <c r="W27" s="134">
        <v>0.17008504252126061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customFormat="1" x14ac:dyDescent="0.15">
      <c r="A28" s="167" t="s">
        <v>218</v>
      </c>
      <c r="B28" s="134">
        <v>0</v>
      </c>
      <c r="C28" s="134">
        <v>0</v>
      </c>
      <c r="D28" s="134">
        <v>0</v>
      </c>
      <c r="E28" s="134">
        <v>0</v>
      </c>
      <c r="F28" s="134">
        <v>0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customFormat="1" x14ac:dyDescent="0.15">
      <c r="A29" s="167" t="s">
        <v>220</v>
      </c>
      <c r="B29" s="134">
        <v>0</v>
      </c>
      <c r="C29" s="134">
        <v>0</v>
      </c>
      <c r="D29" s="134">
        <v>0</v>
      </c>
      <c r="E29" s="134">
        <v>0</v>
      </c>
      <c r="F29" s="134">
        <v>0</v>
      </c>
      <c r="G29" s="134">
        <v>0</v>
      </c>
      <c r="H29" s="134">
        <v>0</v>
      </c>
      <c r="I29" s="134">
        <v>0</v>
      </c>
      <c r="J29" s="134">
        <v>0</v>
      </c>
      <c r="K29" s="134">
        <v>0</v>
      </c>
      <c r="L29" s="134">
        <v>0</v>
      </c>
      <c r="M29" s="134">
        <v>0</v>
      </c>
      <c r="N29" s="134">
        <v>0</v>
      </c>
      <c r="O29" s="134">
        <v>0</v>
      </c>
      <c r="P29" s="134">
        <v>0</v>
      </c>
      <c r="Q29" s="134">
        <v>0</v>
      </c>
      <c r="R29" s="134">
        <v>0</v>
      </c>
      <c r="S29" s="134">
        <v>0</v>
      </c>
      <c r="T29" s="134">
        <v>0</v>
      </c>
      <c r="U29" s="134">
        <v>0</v>
      </c>
      <c r="V29" s="134">
        <v>0</v>
      </c>
      <c r="W29" s="134">
        <v>0</v>
      </c>
      <c r="X29" s="134">
        <v>0</v>
      </c>
      <c r="Y29" s="134">
        <v>0</v>
      </c>
      <c r="Z29" s="134">
        <v>0</v>
      </c>
      <c r="AA29" s="134">
        <v>0</v>
      </c>
      <c r="AB29" s="134">
        <v>0</v>
      </c>
    </row>
    <row r="30" spans="1:28" customFormat="1" x14ac:dyDescent="0.15"/>
    <row r="31" spans="1:28" customFormat="1" x14ac:dyDescent="0.15"/>
    <row r="32" spans="1:28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9" activePane="bottomRight" state="frozen"/>
      <selection pane="topRight" activeCell="C1" sqref="C1"/>
      <selection pane="bottomLeft" activeCell="A2" sqref="A2"/>
      <selection pane="bottomRight" activeCell="H33" sqref="H3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5" style="104" customWidth="1"/>
    <col min="5" max="6" width="15" style="103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70" t="s">
        <v>217</v>
      </c>
      <c r="D1" s="170" t="s">
        <v>218</v>
      </c>
      <c r="E1" s="170" t="s">
        <v>221</v>
      </c>
      <c r="F1" s="170" t="s">
        <v>222</v>
      </c>
      <c r="G1"/>
      <c r="H1"/>
    </row>
    <row r="2" spans="1:8" x14ac:dyDescent="0.15">
      <c r="A2">
        <v>1</v>
      </c>
      <c r="B2" s="169" t="s">
        <v>193</v>
      </c>
      <c r="C2" s="104">
        <v>1</v>
      </c>
      <c r="D2" s="104">
        <v>0</v>
      </c>
      <c r="E2" s="103">
        <v>0</v>
      </c>
      <c r="F2" s="103">
        <v>1</v>
      </c>
      <c r="G2"/>
      <c r="H2"/>
    </row>
    <row r="3" spans="1:8" x14ac:dyDescent="0.15">
      <c r="A3">
        <v>2</v>
      </c>
      <c r="B3" s="169" t="s">
        <v>194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69" t="s">
        <v>195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69" t="s">
        <v>196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69" t="s">
        <v>197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69" t="s">
        <v>198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69" t="s">
        <v>199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69" t="s">
        <v>200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69" t="s">
        <v>201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69" t="s">
        <v>202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69" t="s">
        <v>203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69" t="s">
        <v>166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69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69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69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69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69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69" t="s">
        <v>209</v>
      </c>
      <c r="C19" s="104">
        <v>1</v>
      </c>
      <c r="D19" s="104">
        <v>0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69" t="s">
        <v>210</v>
      </c>
      <c r="C20" s="104">
        <v>1</v>
      </c>
      <c r="D20" s="104">
        <v>0</v>
      </c>
      <c r="E20" s="103">
        <v>0</v>
      </c>
      <c r="F20" s="103">
        <v>1</v>
      </c>
      <c r="G20"/>
      <c r="H20"/>
    </row>
    <row r="21" spans="1:8" ht="15" customHeight="1" x14ac:dyDescent="0.15">
      <c r="A21">
        <v>20</v>
      </c>
      <c r="B21" s="169" t="s">
        <v>211</v>
      </c>
      <c r="C21" s="104">
        <v>1</v>
      </c>
      <c r="D21" s="104">
        <v>0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69" t="s">
        <v>212</v>
      </c>
      <c r="C22" s="104">
        <v>1</v>
      </c>
      <c r="D22" s="104">
        <v>0</v>
      </c>
      <c r="E22" s="103">
        <v>0</v>
      </c>
      <c r="F22" s="103">
        <v>1</v>
      </c>
      <c r="G22"/>
      <c r="H22"/>
    </row>
    <row r="23" spans="1:8" ht="15" customHeight="1" x14ac:dyDescent="0.15">
      <c r="A23">
        <v>22</v>
      </c>
      <c r="B23" s="169" t="s">
        <v>213</v>
      </c>
      <c r="C23" s="104">
        <v>1</v>
      </c>
      <c r="D23" s="104">
        <v>0</v>
      </c>
      <c r="E23" s="103">
        <v>0</v>
      </c>
      <c r="F23" s="103">
        <v>1</v>
      </c>
      <c r="G23"/>
      <c r="H23"/>
    </row>
    <row r="24" spans="1:8" ht="15" customHeight="1" x14ac:dyDescent="0.15">
      <c r="A24">
        <v>23</v>
      </c>
      <c r="B24" s="169" t="s">
        <v>214</v>
      </c>
      <c r="C24" s="104">
        <v>1</v>
      </c>
      <c r="D24" s="104">
        <v>0</v>
      </c>
      <c r="E24" s="103">
        <v>0</v>
      </c>
      <c r="F24" s="103">
        <v>1</v>
      </c>
      <c r="G24"/>
      <c r="H24"/>
    </row>
    <row r="25" spans="1:8" ht="15" customHeight="1" x14ac:dyDescent="0.15">
      <c r="A25">
        <v>24</v>
      </c>
      <c r="B25" s="169" t="s">
        <v>215</v>
      </c>
      <c r="C25" s="104">
        <v>1</v>
      </c>
      <c r="D25" s="104">
        <v>0</v>
      </c>
      <c r="E25" s="103">
        <v>0</v>
      </c>
      <c r="F25" s="103">
        <v>1</v>
      </c>
      <c r="G25"/>
      <c r="H25"/>
    </row>
    <row r="26" spans="1:8" ht="15" customHeight="1" x14ac:dyDescent="0.15">
      <c r="A26">
        <v>25</v>
      </c>
      <c r="B26" s="169" t="s">
        <v>216</v>
      </c>
      <c r="C26" s="104">
        <v>1</v>
      </c>
      <c r="D26" s="104">
        <v>0</v>
      </c>
      <c r="E26" s="103">
        <v>0</v>
      </c>
      <c r="F26" s="103">
        <v>1</v>
      </c>
      <c r="G26"/>
      <c r="H26"/>
    </row>
    <row r="27" spans="1:8" ht="15" customHeight="1" x14ac:dyDescent="0.15">
      <c r="A27">
        <v>26</v>
      </c>
      <c r="B27" s="169" t="s">
        <v>217</v>
      </c>
      <c r="C27" s="104">
        <v>0</v>
      </c>
      <c r="D27" s="104">
        <v>1</v>
      </c>
      <c r="E27" s="103">
        <v>0</v>
      </c>
      <c r="F27" s="103">
        <v>1</v>
      </c>
      <c r="G27"/>
      <c r="H27"/>
    </row>
    <row r="28" spans="1:8" ht="15" customHeight="1" x14ac:dyDescent="0.15">
      <c r="A28">
        <v>27</v>
      </c>
      <c r="B28" s="169" t="s">
        <v>218</v>
      </c>
      <c r="C28" s="104">
        <v>0</v>
      </c>
      <c r="D28" s="104">
        <v>0</v>
      </c>
      <c r="E28" s="103">
        <v>1</v>
      </c>
      <c r="F28" s="103">
        <v>1</v>
      </c>
      <c r="G28"/>
      <c r="H28"/>
    </row>
    <row r="29" spans="1:8" ht="15" customHeight="1" x14ac:dyDescent="0.15">
      <c r="A29">
        <v>28</v>
      </c>
      <c r="B29" s="169" t="s">
        <v>219</v>
      </c>
      <c r="C29" s="104">
        <v>0</v>
      </c>
      <c r="D29" s="104">
        <v>1</v>
      </c>
      <c r="E29" s="103">
        <v>0</v>
      </c>
      <c r="F29" s="103">
        <v>1</v>
      </c>
      <c r="G29"/>
      <c r="H29"/>
    </row>
    <row r="30" spans="1:8" ht="15" customHeight="1" x14ac:dyDescent="0.15">
      <c r="A30">
        <v>29</v>
      </c>
      <c r="B30" s="169" t="s">
        <v>214</v>
      </c>
      <c r="C30" s="104">
        <v>0</v>
      </c>
      <c r="D30" s="104">
        <v>1</v>
      </c>
      <c r="E30" s="103">
        <v>0</v>
      </c>
      <c r="F30" s="103">
        <v>1</v>
      </c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4"/>
      <c r="F36" s="104"/>
      <c r="G36"/>
      <c r="H36"/>
    </row>
    <row r="37" spans="3:8" ht="15" customHeight="1" x14ac:dyDescent="0.15">
      <c r="C37"/>
      <c r="D37"/>
      <c r="E37" s="104"/>
      <c r="F37" s="104"/>
      <c r="G37"/>
      <c r="H37"/>
    </row>
    <row r="38" spans="3:8" ht="15" customHeight="1" x14ac:dyDescent="0.15">
      <c r="C38"/>
      <c r="D38"/>
      <c r="E38" s="104"/>
      <c r="F38" s="104"/>
      <c r="G38"/>
      <c r="H38"/>
    </row>
    <row r="39" spans="3:8" ht="15" customHeight="1" x14ac:dyDescent="0.15">
      <c r="C39"/>
      <c r="D39"/>
      <c r="E39" s="104"/>
      <c r="F39" s="104"/>
      <c r="G39"/>
      <c r="H39"/>
    </row>
    <row r="40" spans="3:8" ht="15" customHeight="1" x14ac:dyDescent="0.15">
      <c r="C40"/>
      <c r="D40"/>
      <c r="E40" s="104"/>
      <c r="F40" s="104"/>
      <c r="G40"/>
      <c r="H40"/>
    </row>
    <row r="41" spans="3:8" ht="15" customHeight="1" x14ac:dyDescent="0.15">
      <c r="C41"/>
      <c r="D41"/>
      <c r="E41" s="104"/>
      <c r="F41" s="104"/>
      <c r="G41"/>
      <c r="H41"/>
    </row>
    <row r="42" spans="3:8" ht="15" customHeight="1" x14ac:dyDescent="0.15">
      <c r="C42"/>
      <c r="D42"/>
      <c r="E42" s="104"/>
      <c r="F42" s="104"/>
      <c r="G42"/>
      <c r="H42"/>
    </row>
    <row r="43" spans="3:8" ht="15" customHeight="1" x14ac:dyDescent="0.15">
      <c r="C43"/>
      <c r="D43"/>
      <c r="E43" s="104"/>
      <c r="F43" s="10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4"/>
      <c r="F46" s="10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5" width="8.83203125" bestFit="1" customWidth="1"/>
  </cols>
  <sheetData>
    <row r="1" spans="1:5" s="105" customFormat="1" ht="112" x14ac:dyDescent="0.15">
      <c r="A1" s="5" t="s">
        <v>21</v>
      </c>
      <c r="B1" s="3" t="s">
        <v>0</v>
      </c>
      <c r="C1" s="172" t="s">
        <v>219</v>
      </c>
      <c r="D1" s="172" t="s">
        <v>214</v>
      </c>
      <c r="E1" s="172" t="s">
        <v>223</v>
      </c>
    </row>
    <row r="2" spans="1:5" ht="15" customHeight="1" x14ac:dyDescent="0.15">
      <c r="A2">
        <v>1</v>
      </c>
      <c r="B2" s="171" t="s">
        <v>193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71" t="s">
        <v>194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71" t="s">
        <v>195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71" t="s">
        <v>196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71" t="s">
        <v>197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71" t="s">
        <v>198</v>
      </c>
      <c r="C7">
        <v>0</v>
      </c>
      <c r="D7">
        <v>0</v>
      </c>
      <c r="E7">
        <v>0</v>
      </c>
    </row>
    <row r="8" spans="1:5" ht="15" customHeight="1" x14ac:dyDescent="0.15">
      <c r="A8">
        <v>7</v>
      </c>
      <c r="B8" s="171" t="s">
        <v>199</v>
      </c>
      <c r="C8">
        <v>0</v>
      </c>
      <c r="D8">
        <v>0</v>
      </c>
      <c r="E8">
        <v>0</v>
      </c>
    </row>
    <row r="9" spans="1:5" ht="15" customHeight="1" x14ac:dyDescent="0.15">
      <c r="A9">
        <v>8</v>
      </c>
      <c r="B9" s="171" t="s">
        <v>200</v>
      </c>
      <c r="C9">
        <v>0</v>
      </c>
      <c r="D9">
        <v>0</v>
      </c>
      <c r="E9">
        <v>0</v>
      </c>
    </row>
    <row r="10" spans="1:5" ht="15" customHeight="1" x14ac:dyDescent="0.15">
      <c r="A10">
        <v>9</v>
      </c>
      <c r="B10" s="171" t="s">
        <v>201</v>
      </c>
      <c r="C10">
        <v>0</v>
      </c>
      <c r="D10">
        <v>0</v>
      </c>
      <c r="E10">
        <v>0</v>
      </c>
    </row>
    <row r="11" spans="1:5" ht="15" customHeight="1" x14ac:dyDescent="0.15">
      <c r="A11">
        <v>10</v>
      </c>
      <c r="B11" s="171" t="s">
        <v>202</v>
      </c>
      <c r="C11">
        <v>0</v>
      </c>
      <c r="D11">
        <v>0</v>
      </c>
      <c r="E11">
        <v>0</v>
      </c>
    </row>
    <row r="12" spans="1:5" ht="15" customHeight="1" x14ac:dyDescent="0.15">
      <c r="A12">
        <v>11</v>
      </c>
      <c r="B12" s="171" t="s">
        <v>203</v>
      </c>
      <c r="C12">
        <v>0</v>
      </c>
      <c r="D12">
        <v>0</v>
      </c>
      <c r="E12">
        <v>0</v>
      </c>
    </row>
    <row r="13" spans="1:5" ht="15" customHeight="1" x14ac:dyDescent="0.15">
      <c r="A13">
        <v>12</v>
      </c>
      <c r="B13" s="171" t="s">
        <v>166</v>
      </c>
      <c r="C13">
        <v>0</v>
      </c>
      <c r="D13">
        <v>0</v>
      </c>
      <c r="E13">
        <v>0</v>
      </c>
    </row>
    <row r="14" spans="1:5" ht="15" customHeight="1" x14ac:dyDescent="0.15">
      <c r="A14">
        <v>13</v>
      </c>
      <c r="B14" s="171" t="s">
        <v>204</v>
      </c>
      <c r="C14">
        <v>0</v>
      </c>
      <c r="D14">
        <v>0</v>
      </c>
      <c r="E14">
        <v>0</v>
      </c>
    </row>
    <row r="15" spans="1:5" ht="15" customHeight="1" x14ac:dyDescent="0.15">
      <c r="A15">
        <v>14</v>
      </c>
      <c r="B15" s="171" t="s">
        <v>205</v>
      </c>
      <c r="C15">
        <v>0</v>
      </c>
      <c r="D15">
        <v>0</v>
      </c>
      <c r="E15">
        <v>0</v>
      </c>
    </row>
    <row r="16" spans="1:5" ht="15" customHeight="1" x14ac:dyDescent="0.15">
      <c r="A16">
        <v>15</v>
      </c>
      <c r="B16" s="171" t="s">
        <v>206</v>
      </c>
      <c r="C16">
        <v>0</v>
      </c>
      <c r="D16">
        <v>0</v>
      </c>
      <c r="E16">
        <v>0</v>
      </c>
    </row>
    <row r="17" spans="1:5" ht="15" customHeight="1" x14ac:dyDescent="0.15">
      <c r="A17">
        <v>16</v>
      </c>
      <c r="B17" s="171" t="s">
        <v>207</v>
      </c>
      <c r="C17">
        <v>0</v>
      </c>
      <c r="D17">
        <v>0</v>
      </c>
      <c r="E17">
        <v>0</v>
      </c>
    </row>
    <row r="18" spans="1:5" ht="15" customHeight="1" x14ac:dyDescent="0.15">
      <c r="A18">
        <v>17</v>
      </c>
      <c r="B18" s="171" t="s">
        <v>208</v>
      </c>
      <c r="C18">
        <v>0</v>
      </c>
      <c r="D18">
        <v>0</v>
      </c>
      <c r="E18">
        <v>0</v>
      </c>
    </row>
    <row r="19" spans="1:5" ht="15" customHeight="1" x14ac:dyDescent="0.15">
      <c r="A19">
        <v>18</v>
      </c>
      <c r="B19" s="171" t="s">
        <v>209</v>
      </c>
      <c r="C19">
        <v>0</v>
      </c>
      <c r="D19">
        <v>0</v>
      </c>
      <c r="E19">
        <v>0</v>
      </c>
    </row>
    <row r="20" spans="1:5" ht="15" customHeight="1" x14ac:dyDescent="0.15">
      <c r="A20">
        <v>19</v>
      </c>
      <c r="B20" s="171" t="s">
        <v>210</v>
      </c>
      <c r="C20">
        <v>0</v>
      </c>
      <c r="D20">
        <v>0</v>
      </c>
      <c r="E20">
        <v>0</v>
      </c>
    </row>
    <row r="21" spans="1:5" ht="15" customHeight="1" x14ac:dyDescent="0.15">
      <c r="A21">
        <v>20</v>
      </c>
      <c r="B21" s="171" t="s">
        <v>211</v>
      </c>
      <c r="C21">
        <v>0</v>
      </c>
      <c r="D21">
        <v>0</v>
      </c>
      <c r="E21">
        <v>0</v>
      </c>
    </row>
    <row r="22" spans="1:5" ht="15" customHeight="1" x14ac:dyDescent="0.15">
      <c r="A22">
        <v>21</v>
      </c>
      <c r="B22" s="171" t="s">
        <v>212</v>
      </c>
      <c r="C22">
        <v>0</v>
      </c>
      <c r="D22">
        <v>0</v>
      </c>
      <c r="E22">
        <v>0</v>
      </c>
    </row>
    <row r="23" spans="1:5" ht="15" customHeight="1" x14ac:dyDescent="0.15">
      <c r="A23">
        <v>22</v>
      </c>
      <c r="B23" s="171" t="s">
        <v>213</v>
      </c>
      <c r="C23">
        <v>0</v>
      </c>
      <c r="D23">
        <v>0</v>
      </c>
      <c r="E23">
        <v>0</v>
      </c>
    </row>
    <row r="24" spans="1:5" ht="15" customHeight="1" x14ac:dyDescent="0.15">
      <c r="A24">
        <v>23</v>
      </c>
      <c r="B24" s="171" t="s">
        <v>214</v>
      </c>
      <c r="C24">
        <v>0</v>
      </c>
      <c r="D24">
        <v>6.1200000000000002E-4</v>
      </c>
      <c r="E24">
        <v>6.1200000000000002E-4</v>
      </c>
    </row>
    <row r="25" spans="1:5" ht="15" customHeight="1" x14ac:dyDescent="0.15">
      <c r="A25">
        <v>24</v>
      </c>
      <c r="B25" s="171" t="s">
        <v>215</v>
      </c>
      <c r="C25">
        <v>1.0950000000000001E-3</v>
      </c>
      <c r="D25">
        <v>0</v>
      </c>
      <c r="E25">
        <v>1.0950000000000001E-3</v>
      </c>
    </row>
    <row r="26" spans="1:5" ht="15" customHeight="1" x14ac:dyDescent="0.15">
      <c r="A26">
        <v>25</v>
      </c>
      <c r="B26" s="171" t="s">
        <v>216</v>
      </c>
      <c r="C26">
        <v>0</v>
      </c>
      <c r="D26">
        <v>0</v>
      </c>
      <c r="E26">
        <v>0</v>
      </c>
    </row>
    <row r="27" spans="1:5" ht="15" customHeight="1" x14ac:dyDescent="0.15">
      <c r="A27">
        <v>26</v>
      </c>
      <c r="B27" s="171" t="s">
        <v>217</v>
      </c>
      <c r="C27">
        <v>0</v>
      </c>
      <c r="D27">
        <v>0</v>
      </c>
      <c r="E27">
        <v>0</v>
      </c>
    </row>
    <row r="28" spans="1:5" ht="15" customHeight="1" x14ac:dyDescent="0.15">
      <c r="A28">
        <v>27</v>
      </c>
      <c r="B28" s="171" t="s">
        <v>218</v>
      </c>
      <c r="C28">
        <v>0</v>
      </c>
      <c r="D28">
        <v>0</v>
      </c>
      <c r="E28">
        <v>0</v>
      </c>
    </row>
    <row r="29" spans="1:5" ht="15" customHeight="1" x14ac:dyDescent="0.15"/>
    <row r="30" spans="1:5" ht="15" customHeight="1" x14ac:dyDescent="0.15"/>
    <row r="31" spans="1:5" ht="15" customHeight="1" x14ac:dyDescent="0.15"/>
    <row r="32" spans="1:5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28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5" width="2.33203125" bestFit="1" customWidth="1"/>
  </cols>
  <sheetData>
    <row r="1" spans="1:5" s="105" customFormat="1" ht="112" x14ac:dyDescent="0.15">
      <c r="A1" s="5" t="s">
        <v>22</v>
      </c>
      <c r="B1" s="3" t="s">
        <v>0</v>
      </c>
      <c r="C1" s="174" t="s">
        <v>219</v>
      </c>
      <c r="D1" s="174" t="s">
        <v>214</v>
      </c>
      <c r="E1" s="174" t="s">
        <v>223</v>
      </c>
    </row>
    <row r="2" spans="1:5" x14ac:dyDescent="0.15">
      <c r="A2">
        <v>1</v>
      </c>
      <c r="B2" s="173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73" t="s">
        <v>194</v>
      </c>
      <c r="C3">
        <v>0</v>
      </c>
      <c r="D3">
        <v>0</v>
      </c>
      <c r="E3">
        <v>0</v>
      </c>
    </row>
    <row r="4" spans="1:5" x14ac:dyDescent="0.15">
      <c r="A4">
        <v>3</v>
      </c>
      <c r="B4" s="173" t="s">
        <v>195</v>
      </c>
      <c r="C4">
        <v>0</v>
      </c>
      <c r="D4">
        <v>0</v>
      </c>
      <c r="E4">
        <v>0</v>
      </c>
    </row>
    <row r="5" spans="1:5" x14ac:dyDescent="0.15">
      <c r="A5">
        <v>4</v>
      </c>
      <c r="B5" s="173" t="s">
        <v>196</v>
      </c>
      <c r="C5">
        <v>0</v>
      </c>
      <c r="D5">
        <v>0</v>
      </c>
      <c r="E5">
        <v>0</v>
      </c>
    </row>
    <row r="6" spans="1:5" x14ac:dyDescent="0.15">
      <c r="A6">
        <v>5</v>
      </c>
      <c r="B6" s="173" t="s">
        <v>197</v>
      </c>
      <c r="C6">
        <v>0</v>
      </c>
      <c r="D6">
        <v>0</v>
      </c>
      <c r="E6">
        <v>0</v>
      </c>
    </row>
    <row r="7" spans="1:5" x14ac:dyDescent="0.15">
      <c r="A7">
        <v>6</v>
      </c>
      <c r="B7" s="173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73" t="s">
        <v>199</v>
      </c>
      <c r="C8">
        <v>0</v>
      </c>
      <c r="D8">
        <v>0</v>
      </c>
      <c r="E8">
        <v>0</v>
      </c>
    </row>
    <row r="9" spans="1:5" x14ac:dyDescent="0.15">
      <c r="A9">
        <v>8</v>
      </c>
      <c r="B9" s="173" t="s">
        <v>200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73" t="s">
        <v>201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73" t="s">
        <v>202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73" t="s">
        <v>203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73" t="s">
        <v>166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73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73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73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73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73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73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73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73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73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73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73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73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73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73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73" t="s">
        <v>218</v>
      </c>
      <c r="C28">
        <v>0</v>
      </c>
      <c r="D28">
        <v>0</v>
      </c>
      <c r="E28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75" t="s">
        <v>193</v>
      </c>
      <c r="F2">
        <v>0.98</v>
      </c>
      <c r="G2">
        <v>0.8</v>
      </c>
      <c r="H2">
        <v>0.8</v>
      </c>
      <c r="I2">
        <v>0</v>
      </c>
      <c r="J2" s="104">
        <v>0</v>
      </c>
      <c r="K2" s="104">
        <v>0</v>
      </c>
    </row>
    <row r="3" spans="1:42" x14ac:dyDescent="0.15">
      <c r="A3" s="113" t="s">
        <v>75</v>
      </c>
      <c r="B3" s="115">
        <v>1</v>
      </c>
      <c r="D3">
        <v>2</v>
      </c>
      <c r="E3" s="175" t="s">
        <v>194</v>
      </c>
      <c r="F3">
        <v>0.98</v>
      </c>
      <c r="G3">
        <v>0.8</v>
      </c>
      <c r="H3">
        <v>0.8</v>
      </c>
      <c r="I3">
        <v>0.8</v>
      </c>
      <c r="J3" s="104">
        <v>0.25</v>
      </c>
      <c r="K3" s="104">
        <v>0.05</v>
      </c>
    </row>
    <row r="4" spans="1:42" x14ac:dyDescent="0.15">
      <c r="A4" s="113" t="s">
        <v>76</v>
      </c>
      <c r="B4" s="115">
        <v>1</v>
      </c>
      <c r="D4">
        <v>3</v>
      </c>
      <c r="E4" s="175" t="s">
        <v>195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75" t="s">
        <v>196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75" t="s">
        <v>197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75" t="s">
        <v>198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75" t="s">
        <v>199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6" t="s">
        <v>150</v>
      </c>
      <c r="D9">
        <v>8</v>
      </c>
      <c r="E9" s="175" t="s">
        <v>200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6" t="s">
        <v>150</v>
      </c>
      <c r="D10">
        <v>9</v>
      </c>
      <c r="E10" s="175" t="s">
        <v>201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75" t="s">
        <v>202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75" t="s">
        <v>203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75" t="s">
        <v>166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75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75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75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75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75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75" t="s">
        <v>209</v>
      </c>
      <c r="F19">
        <v>0.98</v>
      </c>
      <c r="G19">
        <v>0.8</v>
      </c>
      <c r="H19">
        <v>0.8</v>
      </c>
      <c r="I19">
        <v>0.8</v>
      </c>
      <c r="J19" s="104">
        <v>0.25</v>
      </c>
      <c r="K19" s="104">
        <v>0.05</v>
      </c>
    </row>
    <row r="20" spans="4:33" ht="15" customHeight="1" x14ac:dyDescent="0.15">
      <c r="D20">
        <v>19</v>
      </c>
      <c r="E20" s="175" t="s">
        <v>210</v>
      </c>
      <c r="F20">
        <v>0.98</v>
      </c>
      <c r="G20">
        <v>0.8</v>
      </c>
      <c r="H20">
        <v>0.8</v>
      </c>
      <c r="I20">
        <v>0.8</v>
      </c>
      <c r="J20" s="104">
        <v>0.25</v>
      </c>
      <c r="K20" s="104">
        <v>0.05</v>
      </c>
    </row>
    <row r="21" spans="4:33" ht="15" customHeight="1" x14ac:dyDescent="0.15">
      <c r="D21">
        <v>20</v>
      </c>
      <c r="E21" s="175" t="s">
        <v>211</v>
      </c>
      <c r="F21">
        <v>0.98</v>
      </c>
      <c r="G21">
        <v>0.8</v>
      </c>
      <c r="H21">
        <v>0.8</v>
      </c>
      <c r="I21">
        <v>0.8</v>
      </c>
      <c r="J21" s="104">
        <v>0.25</v>
      </c>
      <c r="K21" s="104">
        <v>0.05</v>
      </c>
    </row>
    <row r="22" spans="4:33" ht="15" customHeight="1" x14ac:dyDescent="0.15">
      <c r="D22">
        <v>21</v>
      </c>
      <c r="E22" s="175" t="s">
        <v>212</v>
      </c>
      <c r="F22">
        <v>0.98</v>
      </c>
      <c r="G22">
        <v>0.8</v>
      </c>
      <c r="H22">
        <v>0.8</v>
      </c>
      <c r="I22">
        <v>0.8</v>
      </c>
      <c r="J22" s="104">
        <v>0.25</v>
      </c>
      <c r="K22" s="104">
        <v>0.05</v>
      </c>
    </row>
    <row r="23" spans="4:33" ht="15" customHeight="1" x14ac:dyDescent="0.15">
      <c r="D23">
        <v>22</v>
      </c>
      <c r="E23" s="175" t="s">
        <v>213</v>
      </c>
      <c r="F23">
        <v>0.98</v>
      </c>
      <c r="G23">
        <v>0.8</v>
      </c>
      <c r="H23">
        <v>0.8</v>
      </c>
      <c r="I23">
        <v>0.8</v>
      </c>
      <c r="J23" s="104">
        <v>0.25</v>
      </c>
      <c r="K23" s="104">
        <v>0.05</v>
      </c>
    </row>
    <row r="24" spans="4:33" ht="15" customHeight="1" x14ac:dyDescent="0.15">
      <c r="D24">
        <v>23</v>
      </c>
      <c r="E24" s="175" t="s">
        <v>214</v>
      </c>
      <c r="F24">
        <v>0.98</v>
      </c>
      <c r="G24">
        <v>0.8</v>
      </c>
      <c r="H24">
        <v>0.8</v>
      </c>
      <c r="I24">
        <v>0.8</v>
      </c>
      <c r="J24" s="104">
        <v>0.25</v>
      </c>
      <c r="K24" s="104">
        <v>0.05</v>
      </c>
    </row>
    <row r="25" spans="4:33" ht="15" customHeight="1" x14ac:dyDescent="0.15">
      <c r="D25">
        <v>24</v>
      </c>
      <c r="E25" s="175" t="s">
        <v>215</v>
      </c>
      <c r="F25">
        <v>0.98</v>
      </c>
      <c r="G25">
        <v>0.8</v>
      </c>
      <c r="H25">
        <v>0.8</v>
      </c>
      <c r="I25">
        <v>0.8</v>
      </c>
      <c r="J25" s="104">
        <v>0.25</v>
      </c>
      <c r="K25" s="104">
        <v>0.05</v>
      </c>
    </row>
    <row r="26" spans="4:33" ht="15" customHeight="1" x14ac:dyDescent="0.15">
      <c r="D26">
        <v>25</v>
      </c>
      <c r="E26" s="175" t="s">
        <v>216</v>
      </c>
      <c r="F26">
        <v>0.98</v>
      </c>
      <c r="G26">
        <v>0.8</v>
      </c>
      <c r="H26">
        <v>0.8</v>
      </c>
      <c r="I26">
        <v>0.8</v>
      </c>
      <c r="J26" s="104">
        <v>0.25</v>
      </c>
      <c r="K26" s="104">
        <v>0.05</v>
      </c>
    </row>
    <row r="27" spans="4:33" ht="15" customHeight="1" x14ac:dyDescent="0.15">
      <c r="D27">
        <v>26</v>
      </c>
      <c r="E27" s="175" t="s">
        <v>217</v>
      </c>
      <c r="F27">
        <v>0.98</v>
      </c>
      <c r="G27">
        <v>0.8</v>
      </c>
      <c r="H27">
        <v>0</v>
      </c>
      <c r="I27">
        <v>0</v>
      </c>
      <c r="J27" s="104">
        <v>0</v>
      </c>
      <c r="K27" s="104">
        <v>0</v>
      </c>
    </row>
    <row r="28" spans="4:33" ht="15" customHeight="1" x14ac:dyDescent="0.15">
      <c r="D28">
        <v>27</v>
      </c>
      <c r="E28" s="175" t="s">
        <v>218</v>
      </c>
      <c r="F28">
        <v>0.98</v>
      </c>
      <c r="G28">
        <v>0.8</v>
      </c>
      <c r="H28">
        <v>0</v>
      </c>
      <c r="I28">
        <v>0</v>
      </c>
      <c r="J28" s="104">
        <v>0</v>
      </c>
      <c r="K28" s="104">
        <v>0</v>
      </c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2" width="2.33203125" style="102" customWidth="1"/>
    <col min="3" max="26" width="3.83203125" style="102" customWidth="1"/>
    <col min="27" max="28" width="2.33203125" style="102" customWidth="1"/>
    <col min="29" max="16384" width="10.83203125" style="102"/>
  </cols>
  <sheetData>
    <row r="1" spans="1:30" x14ac:dyDescent="0.15">
      <c r="A1" s="58" t="s">
        <v>118</v>
      </c>
      <c r="B1" s="177" t="s">
        <v>193</v>
      </c>
      <c r="C1" s="177" t="s">
        <v>194</v>
      </c>
      <c r="D1" s="177" t="s">
        <v>195</v>
      </c>
      <c r="E1" s="177" t="s">
        <v>196</v>
      </c>
      <c r="F1" s="177" t="s">
        <v>197</v>
      </c>
      <c r="G1" s="177" t="s">
        <v>198</v>
      </c>
      <c r="H1" s="177" t="s">
        <v>199</v>
      </c>
      <c r="I1" s="177" t="s">
        <v>200</v>
      </c>
      <c r="J1" s="177" t="s">
        <v>201</v>
      </c>
      <c r="K1" s="177" t="s">
        <v>202</v>
      </c>
      <c r="L1" s="177" t="s">
        <v>203</v>
      </c>
      <c r="M1" s="177" t="s">
        <v>166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/>
      <c r="AD1"/>
    </row>
    <row r="2" spans="1:30" customFormat="1" x14ac:dyDescent="0.15">
      <c r="A2" s="176" t="s">
        <v>193</v>
      </c>
      <c r="B2" s="102">
        <v>0</v>
      </c>
      <c r="C2" s="102">
        <v>0.8</v>
      </c>
      <c r="D2" s="102">
        <v>0.8</v>
      </c>
      <c r="E2" s="102">
        <v>0.8</v>
      </c>
      <c r="F2" s="102">
        <v>0.8</v>
      </c>
      <c r="G2" s="102">
        <v>0</v>
      </c>
      <c r="H2" s="102">
        <v>0</v>
      </c>
      <c r="I2" s="102">
        <v>0.8</v>
      </c>
      <c r="J2" s="102">
        <v>0.8</v>
      </c>
      <c r="K2" s="102">
        <v>0</v>
      </c>
      <c r="L2" s="102">
        <v>0</v>
      </c>
      <c r="M2" s="102">
        <v>0</v>
      </c>
      <c r="N2" s="102">
        <v>0.8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</row>
    <row r="3" spans="1:30" customFormat="1" x14ac:dyDescent="0.15">
      <c r="A3" s="176" t="s">
        <v>194</v>
      </c>
      <c r="B3" s="102">
        <v>0</v>
      </c>
      <c r="C3" s="102">
        <v>0.8</v>
      </c>
      <c r="D3" s="102">
        <v>0.8</v>
      </c>
      <c r="E3" s="102">
        <v>0</v>
      </c>
      <c r="F3" s="102">
        <v>0</v>
      </c>
      <c r="G3" s="102">
        <v>0</v>
      </c>
      <c r="H3" s="102">
        <v>0</v>
      </c>
      <c r="I3" s="102">
        <v>0.8</v>
      </c>
      <c r="J3" s="102">
        <v>0.8</v>
      </c>
      <c r="K3" s="102">
        <v>0</v>
      </c>
      <c r="L3" s="102">
        <v>0</v>
      </c>
      <c r="M3" s="102">
        <v>0</v>
      </c>
      <c r="N3" s="102">
        <v>0.8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</row>
    <row r="4" spans="1:30" customFormat="1" x14ac:dyDescent="0.15">
      <c r="A4" s="176" t="s">
        <v>195</v>
      </c>
      <c r="B4" s="102">
        <v>0</v>
      </c>
      <c r="C4" s="102">
        <v>0</v>
      </c>
      <c r="D4" s="102">
        <v>0</v>
      </c>
      <c r="E4" s="102">
        <v>0.8</v>
      </c>
      <c r="F4" s="102">
        <v>0.8</v>
      </c>
      <c r="G4" s="102">
        <v>0</v>
      </c>
      <c r="H4" s="102">
        <v>0</v>
      </c>
      <c r="I4" s="102">
        <v>0.8</v>
      </c>
      <c r="J4" s="102">
        <v>0.8</v>
      </c>
      <c r="K4" s="102">
        <v>0.8</v>
      </c>
      <c r="L4" s="102">
        <v>0.8</v>
      </c>
      <c r="M4" s="102">
        <v>0.8</v>
      </c>
      <c r="N4" s="102">
        <v>0.8</v>
      </c>
      <c r="O4" s="102">
        <v>0.8</v>
      </c>
      <c r="P4" s="102">
        <v>0.8</v>
      </c>
      <c r="Q4" s="102">
        <v>0</v>
      </c>
      <c r="R4" s="102">
        <v>0.8</v>
      </c>
      <c r="S4" s="102">
        <v>0</v>
      </c>
      <c r="T4" s="102">
        <v>0</v>
      </c>
      <c r="U4" s="102">
        <v>0</v>
      </c>
      <c r="V4" s="102">
        <v>0.8</v>
      </c>
      <c r="W4" s="102">
        <v>0</v>
      </c>
      <c r="X4" s="102">
        <v>0.8</v>
      </c>
      <c r="Y4" s="102">
        <v>0</v>
      </c>
      <c r="Z4" s="102">
        <v>0.8</v>
      </c>
      <c r="AA4" s="102">
        <v>0</v>
      </c>
      <c r="AB4" s="102">
        <v>0</v>
      </c>
    </row>
    <row r="5" spans="1:30" customFormat="1" x14ac:dyDescent="0.15">
      <c r="A5" s="176" t="s">
        <v>196</v>
      </c>
      <c r="B5" s="102">
        <v>0</v>
      </c>
      <c r="C5" s="102">
        <v>0</v>
      </c>
      <c r="D5" s="102">
        <v>0</v>
      </c>
      <c r="E5" s="102">
        <v>0</v>
      </c>
      <c r="F5" s="102">
        <v>0.8</v>
      </c>
      <c r="G5" s="102">
        <v>0</v>
      </c>
      <c r="H5" s="102">
        <v>0</v>
      </c>
      <c r="I5" s="102">
        <v>0.8</v>
      </c>
      <c r="J5" s="102">
        <v>0.8</v>
      </c>
      <c r="K5" s="102">
        <v>0.8</v>
      </c>
      <c r="L5" s="102">
        <v>0.8</v>
      </c>
      <c r="M5" s="102">
        <v>0.8</v>
      </c>
      <c r="N5" s="102">
        <v>0.8</v>
      </c>
      <c r="O5" s="102">
        <v>0.8</v>
      </c>
      <c r="P5" s="102">
        <v>0.8</v>
      </c>
      <c r="Q5" s="102">
        <v>0.8</v>
      </c>
      <c r="R5" s="102">
        <v>0.8</v>
      </c>
      <c r="S5" s="102">
        <v>0.8</v>
      </c>
      <c r="T5" s="102">
        <v>0.8</v>
      </c>
      <c r="U5" s="102">
        <v>0.8</v>
      </c>
      <c r="V5" s="102">
        <v>0.8</v>
      </c>
      <c r="W5" s="102">
        <v>0</v>
      </c>
      <c r="X5" s="102">
        <v>0.8</v>
      </c>
      <c r="Y5" s="102">
        <v>0</v>
      </c>
      <c r="Z5" s="102">
        <v>0.8</v>
      </c>
      <c r="AA5" s="102">
        <v>0</v>
      </c>
      <c r="AB5" s="102">
        <v>0</v>
      </c>
    </row>
    <row r="6" spans="1:30" customFormat="1" x14ac:dyDescent="0.15">
      <c r="A6" s="176" t="s">
        <v>197</v>
      </c>
      <c r="B6" s="102">
        <v>0</v>
      </c>
      <c r="C6" s="102">
        <v>0</v>
      </c>
      <c r="D6" s="102">
        <v>0</v>
      </c>
      <c r="E6" s="102">
        <v>0</v>
      </c>
      <c r="F6" s="102">
        <v>0.8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0.8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</row>
    <row r="7" spans="1:30" customFormat="1" x14ac:dyDescent="0.15">
      <c r="A7" s="176" t="s">
        <v>198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0.8</v>
      </c>
      <c r="I7" s="102">
        <v>0</v>
      </c>
      <c r="J7" s="102">
        <v>0</v>
      </c>
      <c r="K7" s="102">
        <v>0.8</v>
      </c>
      <c r="L7" s="102">
        <v>0</v>
      </c>
      <c r="M7" s="102">
        <v>0</v>
      </c>
      <c r="N7" s="102">
        <v>0</v>
      </c>
      <c r="O7" s="102">
        <v>0.8</v>
      </c>
      <c r="P7" s="102">
        <v>0.8</v>
      </c>
      <c r="Q7" s="102">
        <v>0</v>
      </c>
      <c r="R7" s="102">
        <v>0</v>
      </c>
      <c r="S7" s="102">
        <v>0</v>
      </c>
      <c r="T7" s="102">
        <v>0.8</v>
      </c>
      <c r="U7" s="102">
        <v>0.8</v>
      </c>
      <c r="V7" s="102">
        <v>0</v>
      </c>
      <c r="W7" s="102">
        <v>0.8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</row>
    <row r="8" spans="1:30" customFormat="1" x14ac:dyDescent="0.15">
      <c r="A8" s="176" t="s">
        <v>199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0.8</v>
      </c>
      <c r="I8" s="102">
        <v>0</v>
      </c>
      <c r="J8" s="102">
        <v>0</v>
      </c>
      <c r="K8" s="102">
        <v>0.8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0.8</v>
      </c>
      <c r="U8" s="102">
        <v>0.8</v>
      </c>
      <c r="V8" s="102">
        <v>0</v>
      </c>
      <c r="W8" s="102">
        <v>0.8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</row>
    <row r="9" spans="1:30" customFormat="1" x14ac:dyDescent="0.15">
      <c r="A9" s="176" t="s">
        <v>200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0.8</v>
      </c>
      <c r="N9" s="102">
        <v>0</v>
      </c>
      <c r="O9" s="102">
        <v>0</v>
      </c>
      <c r="P9" s="102">
        <v>0</v>
      </c>
      <c r="Q9" s="102">
        <v>0.8</v>
      </c>
      <c r="R9" s="102">
        <v>0</v>
      </c>
      <c r="S9" s="102">
        <v>0.8</v>
      </c>
      <c r="T9" s="102">
        <v>0</v>
      </c>
      <c r="U9" s="102">
        <v>0</v>
      </c>
      <c r="V9" s="102">
        <v>0.8</v>
      </c>
      <c r="W9" s="102">
        <v>0.8</v>
      </c>
      <c r="X9" s="102">
        <v>0.8</v>
      </c>
      <c r="Y9" s="102">
        <v>0.8</v>
      </c>
      <c r="Z9" s="102">
        <v>0.8</v>
      </c>
      <c r="AA9" s="102">
        <v>0</v>
      </c>
      <c r="AB9" s="102">
        <v>0</v>
      </c>
    </row>
    <row r="10" spans="1:30" customFormat="1" x14ac:dyDescent="0.15">
      <c r="A10" s="176" t="s">
        <v>201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0.8</v>
      </c>
      <c r="N10" s="102">
        <v>0</v>
      </c>
      <c r="O10" s="102">
        <v>0</v>
      </c>
      <c r="P10" s="102">
        <v>0</v>
      </c>
      <c r="Q10" s="102">
        <v>0.8</v>
      </c>
      <c r="R10" s="102">
        <v>0</v>
      </c>
      <c r="S10" s="102">
        <v>0.8</v>
      </c>
      <c r="T10" s="102">
        <v>0</v>
      </c>
      <c r="U10" s="102">
        <v>0</v>
      </c>
      <c r="V10" s="102">
        <v>0.8</v>
      </c>
      <c r="W10" s="102">
        <v>0.8</v>
      </c>
      <c r="X10" s="102">
        <v>0.8</v>
      </c>
      <c r="Y10" s="102">
        <v>0.8</v>
      </c>
      <c r="Z10" s="102">
        <v>0.8</v>
      </c>
      <c r="AA10" s="102">
        <v>0</v>
      </c>
      <c r="AB10" s="102">
        <v>0</v>
      </c>
    </row>
    <row r="11" spans="1:30" customFormat="1" x14ac:dyDescent="0.15">
      <c r="A11" s="176" t="s">
        <v>202</v>
      </c>
      <c r="B11" s="102">
        <v>0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0.8</v>
      </c>
      <c r="L11" s="102">
        <v>0</v>
      </c>
      <c r="M11" s="102">
        <v>0.8</v>
      </c>
      <c r="N11" s="102">
        <v>0</v>
      </c>
      <c r="O11" s="102">
        <v>0</v>
      </c>
      <c r="P11" s="102">
        <v>0.8</v>
      </c>
      <c r="Q11" s="102">
        <v>0.8</v>
      </c>
      <c r="R11" s="102">
        <v>0.8</v>
      </c>
      <c r="S11" s="102">
        <v>0.8</v>
      </c>
      <c r="T11" s="102">
        <v>0.8</v>
      </c>
      <c r="U11" s="102">
        <v>0</v>
      </c>
      <c r="V11" s="102">
        <v>0.8</v>
      </c>
      <c r="W11" s="102">
        <v>0.8</v>
      </c>
      <c r="X11" s="102">
        <v>0.8</v>
      </c>
      <c r="Y11" s="102">
        <v>0.8</v>
      </c>
      <c r="Z11" s="102">
        <v>0.8</v>
      </c>
      <c r="AA11" s="102">
        <v>0</v>
      </c>
      <c r="AB11" s="102">
        <v>0</v>
      </c>
    </row>
    <row r="12" spans="1:30" customFormat="1" x14ac:dyDescent="0.15">
      <c r="A12" s="176" t="s">
        <v>203</v>
      </c>
      <c r="B12" s="102">
        <v>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0.8</v>
      </c>
      <c r="L12" s="102">
        <v>0</v>
      </c>
      <c r="M12" s="102">
        <v>0.8</v>
      </c>
      <c r="N12" s="102">
        <v>0</v>
      </c>
      <c r="O12" s="102">
        <v>0</v>
      </c>
      <c r="P12" s="102">
        <v>0.8</v>
      </c>
      <c r="Q12" s="102">
        <v>0.8</v>
      </c>
      <c r="R12" s="102">
        <v>0.8</v>
      </c>
      <c r="S12" s="102">
        <v>0.8</v>
      </c>
      <c r="T12" s="102">
        <v>0.8</v>
      </c>
      <c r="U12" s="102">
        <v>0.8</v>
      </c>
      <c r="V12" s="102">
        <v>0.8</v>
      </c>
      <c r="W12" s="102">
        <v>0.8</v>
      </c>
      <c r="X12" s="102">
        <v>0.8</v>
      </c>
      <c r="Y12" s="102">
        <v>0.8</v>
      </c>
      <c r="Z12" s="102">
        <v>0</v>
      </c>
      <c r="AA12" s="102">
        <v>0</v>
      </c>
      <c r="AB12" s="102">
        <v>0</v>
      </c>
    </row>
    <row r="13" spans="1:30" customFormat="1" x14ac:dyDescent="0.15">
      <c r="A13" s="176" t="s">
        <v>166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0.8</v>
      </c>
      <c r="N13" s="102">
        <v>0</v>
      </c>
      <c r="O13" s="102">
        <v>0</v>
      </c>
      <c r="P13" s="102">
        <v>0</v>
      </c>
      <c r="Q13" s="102">
        <v>0.8</v>
      </c>
      <c r="R13" s="102">
        <v>0.8</v>
      </c>
      <c r="S13" s="102">
        <v>0.8</v>
      </c>
      <c r="T13" s="102">
        <v>0.8</v>
      </c>
      <c r="U13" s="102">
        <v>0.8</v>
      </c>
      <c r="V13" s="102">
        <v>0.8</v>
      </c>
      <c r="W13" s="102">
        <v>0.8</v>
      </c>
      <c r="X13" s="102">
        <v>0.8</v>
      </c>
      <c r="Y13" s="102">
        <v>0.8</v>
      </c>
      <c r="Z13" s="102">
        <v>0.8</v>
      </c>
      <c r="AA13" s="102">
        <v>0</v>
      </c>
      <c r="AB13" s="102">
        <v>0</v>
      </c>
    </row>
    <row r="14" spans="1:30" customFormat="1" x14ac:dyDescent="0.15">
      <c r="A14" s="176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0.8</v>
      </c>
      <c r="L14" s="102">
        <v>0</v>
      </c>
      <c r="M14" s="102">
        <v>0.8</v>
      </c>
      <c r="N14" s="102">
        <v>0</v>
      </c>
      <c r="O14" s="102">
        <v>0</v>
      </c>
      <c r="P14" s="102">
        <v>0</v>
      </c>
      <c r="Q14" s="102">
        <v>0.8</v>
      </c>
      <c r="R14" s="102">
        <v>0.8</v>
      </c>
      <c r="S14" s="102">
        <v>0.8</v>
      </c>
      <c r="T14" s="102">
        <v>0.8</v>
      </c>
      <c r="U14" s="102">
        <v>0.8</v>
      </c>
      <c r="V14" s="102">
        <v>0.8</v>
      </c>
      <c r="W14" s="102">
        <v>0.8</v>
      </c>
      <c r="X14" s="102">
        <v>0.8</v>
      </c>
      <c r="Y14" s="102">
        <v>0.8</v>
      </c>
      <c r="Z14" s="102">
        <v>0.8</v>
      </c>
      <c r="AA14" s="102">
        <v>0</v>
      </c>
      <c r="AB14" s="102">
        <v>0</v>
      </c>
    </row>
    <row r="15" spans="1:30" customFormat="1" x14ac:dyDescent="0.15">
      <c r="A15" s="176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0.8</v>
      </c>
      <c r="N15" s="102">
        <v>0</v>
      </c>
      <c r="O15" s="102">
        <v>0</v>
      </c>
      <c r="P15" s="102">
        <v>0</v>
      </c>
      <c r="Q15" s="102">
        <v>0.8</v>
      </c>
      <c r="R15" s="102">
        <v>0</v>
      </c>
      <c r="S15" s="102">
        <v>0.8</v>
      </c>
      <c r="T15" s="102">
        <v>0</v>
      </c>
      <c r="U15" s="102">
        <v>0</v>
      </c>
      <c r="V15" s="102">
        <v>0</v>
      </c>
      <c r="W15" s="102">
        <v>0.8</v>
      </c>
      <c r="X15" s="102">
        <v>0.8</v>
      </c>
      <c r="Y15" s="102">
        <v>0.8</v>
      </c>
      <c r="Z15" s="102">
        <v>0.8</v>
      </c>
      <c r="AA15" s="102">
        <v>0</v>
      </c>
      <c r="AB15" s="102">
        <v>0</v>
      </c>
    </row>
    <row r="16" spans="1:30" customFormat="1" x14ac:dyDescent="0.15">
      <c r="A16" s="176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0.8</v>
      </c>
      <c r="T16" s="102">
        <v>0</v>
      </c>
      <c r="U16" s="102">
        <v>0.8</v>
      </c>
      <c r="V16" s="102">
        <v>0.8</v>
      </c>
      <c r="W16" s="102">
        <v>0.8</v>
      </c>
      <c r="X16" s="102">
        <v>0</v>
      </c>
      <c r="Y16" s="102">
        <v>0.8</v>
      </c>
      <c r="Z16" s="102">
        <v>0.8</v>
      </c>
      <c r="AA16" s="102">
        <v>0</v>
      </c>
      <c r="AB16" s="102">
        <v>0</v>
      </c>
    </row>
    <row r="17" spans="1:28" customFormat="1" x14ac:dyDescent="0.15">
      <c r="A17" s="176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0.8</v>
      </c>
      <c r="X17" s="102">
        <v>0.8</v>
      </c>
      <c r="Y17" s="102">
        <v>0</v>
      </c>
      <c r="Z17" s="102">
        <v>0.8</v>
      </c>
      <c r="AA17" s="102">
        <v>0</v>
      </c>
      <c r="AB17" s="102">
        <v>0</v>
      </c>
    </row>
    <row r="18" spans="1:28" customFormat="1" x14ac:dyDescent="0.15">
      <c r="A18" s="176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0.8</v>
      </c>
      <c r="R18" s="102">
        <v>0</v>
      </c>
      <c r="S18" s="102">
        <v>0.8</v>
      </c>
      <c r="T18" s="102">
        <v>0.8</v>
      </c>
      <c r="U18" s="102">
        <v>0</v>
      </c>
      <c r="V18" s="102">
        <v>0</v>
      </c>
      <c r="W18" s="102">
        <v>0</v>
      </c>
      <c r="X18" s="102">
        <v>0.8</v>
      </c>
      <c r="Y18" s="102">
        <v>0.8</v>
      </c>
      <c r="Z18" s="102">
        <v>0</v>
      </c>
      <c r="AA18" s="102">
        <v>0</v>
      </c>
      <c r="AB18" s="102">
        <v>0</v>
      </c>
    </row>
    <row r="19" spans="1:28" customFormat="1" x14ac:dyDescent="0.15">
      <c r="A19" s="176" t="s">
        <v>209</v>
      </c>
      <c r="B19" s="102">
        <v>0</v>
      </c>
      <c r="C19" s="102">
        <v>0</v>
      </c>
      <c r="D19" s="102">
        <v>0</v>
      </c>
      <c r="E19" s="102">
        <v>0</v>
      </c>
      <c r="F19" s="102">
        <v>0</v>
      </c>
      <c r="G19" s="102">
        <v>0</v>
      </c>
      <c r="H19" s="102">
        <v>0</v>
      </c>
      <c r="I19" s="102">
        <v>0</v>
      </c>
      <c r="J19" s="102">
        <v>0</v>
      </c>
      <c r="K19" s="102">
        <v>0</v>
      </c>
      <c r="L19" s="102">
        <v>0</v>
      </c>
      <c r="M19" s="102">
        <v>0.8</v>
      </c>
      <c r="N19" s="102">
        <v>0</v>
      </c>
      <c r="O19" s="102">
        <v>0</v>
      </c>
      <c r="P19" s="102">
        <v>0</v>
      </c>
      <c r="Q19" s="102">
        <v>0.8</v>
      </c>
      <c r="R19" s="102">
        <v>0</v>
      </c>
      <c r="S19" s="102">
        <v>0.8</v>
      </c>
      <c r="T19" s="102">
        <v>0.8</v>
      </c>
      <c r="U19" s="102">
        <v>0.8</v>
      </c>
      <c r="V19" s="102">
        <v>0</v>
      </c>
      <c r="W19" s="102">
        <v>0.8</v>
      </c>
      <c r="X19" s="102">
        <v>0.8</v>
      </c>
      <c r="Y19" s="102">
        <v>0.8</v>
      </c>
      <c r="Z19" s="102">
        <v>0.8</v>
      </c>
      <c r="AA19" s="102">
        <v>0</v>
      </c>
      <c r="AB19" s="102">
        <v>0</v>
      </c>
    </row>
    <row r="20" spans="1:28" customFormat="1" x14ac:dyDescent="0.15">
      <c r="A20" s="176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0.8</v>
      </c>
      <c r="R20" s="102">
        <v>0</v>
      </c>
      <c r="S20" s="102">
        <v>0.8</v>
      </c>
      <c r="T20" s="102">
        <v>0</v>
      </c>
      <c r="U20" s="102">
        <v>0.8</v>
      </c>
      <c r="V20" s="102">
        <v>0.8</v>
      </c>
      <c r="W20" s="102">
        <v>0.8</v>
      </c>
      <c r="X20" s="102">
        <v>0.8</v>
      </c>
      <c r="Y20" s="102">
        <v>0</v>
      </c>
      <c r="Z20" s="102">
        <v>0.8</v>
      </c>
      <c r="AA20" s="102">
        <v>0</v>
      </c>
      <c r="AB20" s="102">
        <v>0</v>
      </c>
    </row>
    <row r="21" spans="1:28" customFormat="1" x14ac:dyDescent="0.15">
      <c r="A21" s="176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0.8</v>
      </c>
      <c r="T21" s="102">
        <v>0.8</v>
      </c>
      <c r="U21" s="102">
        <v>0.8</v>
      </c>
      <c r="V21" s="102">
        <v>0</v>
      </c>
      <c r="W21" s="102">
        <v>0.8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</row>
    <row r="22" spans="1:28" customFormat="1" x14ac:dyDescent="0.15">
      <c r="A22" s="176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0.8</v>
      </c>
      <c r="R22" s="102">
        <v>0</v>
      </c>
      <c r="S22" s="102">
        <v>0.8</v>
      </c>
      <c r="T22" s="102">
        <v>0.8</v>
      </c>
      <c r="U22" s="102">
        <v>0.8</v>
      </c>
      <c r="V22" s="102">
        <v>0.8</v>
      </c>
      <c r="W22" s="102">
        <v>0.8</v>
      </c>
      <c r="X22" s="102">
        <v>0.8</v>
      </c>
      <c r="Y22" s="102">
        <v>0.8</v>
      </c>
      <c r="Z22" s="102">
        <v>0</v>
      </c>
      <c r="AA22" s="102">
        <v>0</v>
      </c>
      <c r="AB22" s="102">
        <v>0</v>
      </c>
    </row>
    <row r="23" spans="1:28" customFormat="1" x14ac:dyDescent="0.15">
      <c r="A23" s="176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0.8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</row>
    <row r="24" spans="1:28" customFormat="1" x14ac:dyDescent="0.15">
      <c r="A24" s="176" t="s">
        <v>214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0.8</v>
      </c>
      <c r="AA24" s="102">
        <v>0</v>
      </c>
      <c r="AB24" s="102">
        <v>0</v>
      </c>
    </row>
    <row r="25" spans="1:28" customFormat="1" x14ac:dyDescent="0.15">
      <c r="A25" s="176" t="s">
        <v>215</v>
      </c>
      <c r="B25" s="102">
        <v>0</v>
      </c>
      <c r="C25" s="102">
        <v>0</v>
      </c>
      <c r="D25" s="102">
        <v>0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0.8</v>
      </c>
      <c r="X25" s="102">
        <v>0.8</v>
      </c>
      <c r="Y25" s="102">
        <v>0</v>
      </c>
      <c r="Z25" s="102">
        <v>0.8</v>
      </c>
      <c r="AA25" s="102">
        <v>0</v>
      </c>
      <c r="AB25" s="102">
        <v>0</v>
      </c>
    </row>
    <row r="26" spans="1:28" customFormat="1" x14ac:dyDescent="0.15">
      <c r="A26" s="176" t="s">
        <v>216</v>
      </c>
      <c r="B26" s="102">
        <v>0</v>
      </c>
      <c r="C26" s="102">
        <v>0</v>
      </c>
      <c r="D26" s="102">
        <v>0</v>
      </c>
      <c r="E26" s="102">
        <v>0</v>
      </c>
      <c r="F26" s="102">
        <v>0</v>
      </c>
      <c r="G26" s="102">
        <v>0</v>
      </c>
      <c r="H26" s="102">
        <v>0</v>
      </c>
      <c r="I26" s="102">
        <v>0</v>
      </c>
      <c r="J26" s="102">
        <v>0</v>
      </c>
      <c r="K26" s="102">
        <v>0</v>
      </c>
      <c r="L26" s="102">
        <v>0</v>
      </c>
      <c r="M26" s="102">
        <v>0</v>
      </c>
      <c r="N26" s="102">
        <v>0</v>
      </c>
      <c r="O26" s="102">
        <v>0</v>
      </c>
      <c r="P26" s="102">
        <v>0</v>
      </c>
      <c r="Q26" s="102">
        <v>0</v>
      </c>
      <c r="R26" s="102">
        <v>0</v>
      </c>
      <c r="S26" s="102">
        <v>0</v>
      </c>
      <c r="T26" s="102">
        <v>0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</row>
    <row r="27" spans="1:28" customFormat="1" x14ac:dyDescent="0.15">
      <c r="A27" s="176" t="s">
        <v>217</v>
      </c>
      <c r="B27" s="102">
        <v>0</v>
      </c>
      <c r="C27" s="102">
        <v>0.8</v>
      </c>
      <c r="D27" s="102">
        <v>0</v>
      </c>
      <c r="E27" s="102">
        <v>0</v>
      </c>
      <c r="F27" s="102">
        <v>0.8</v>
      </c>
      <c r="G27" s="102">
        <v>0.8</v>
      </c>
      <c r="H27" s="102">
        <v>0.8</v>
      </c>
      <c r="I27" s="102">
        <v>0</v>
      </c>
      <c r="J27" s="102">
        <v>0</v>
      </c>
      <c r="K27" s="102">
        <v>0.8</v>
      </c>
      <c r="L27" s="102">
        <v>0</v>
      </c>
      <c r="M27" s="102">
        <v>0</v>
      </c>
      <c r="N27" s="102">
        <v>0.8</v>
      </c>
      <c r="O27" s="102">
        <v>0</v>
      </c>
      <c r="P27" s="102">
        <v>0</v>
      </c>
      <c r="Q27" s="102">
        <v>0</v>
      </c>
      <c r="R27" s="102">
        <v>0</v>
      </c>
      <c r="S27" s="102">
        <v>0</v>
      </c>
      <c r="T27" s="102">
        <v>0.8</v>
      </c>
      <c r="U27" s="102">
        <v>0.8</v>
      </c>
      <c r="V27" s="102">
        <v>0</v>
      </c>
      <c r="W27" s="102">
        <v>0.8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</row>
    <row r="28" spans="1:28" customFormat="1" x14ac:dyDescent="0.15">
      <c r="A28" s="176" t="s">
        <v>218</v>
      </c>
      <c r="B28" s="102">
        <v>0</v>
      </c>
      <c r="C28" s="102">
        <v>0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0</v>
      </c>
      <c r="L28" s="102">
        <v>0</v>
      </c>
      <c r="M28" s="102">
        <v>0</v>
      </c>
      <c r="N28" s="102">
        <v>0</v>
      </c>
      <c r="O28" s="102">
        <v>0</v>
      </c>
      <c r="P28" s="102">
        <v>0</v>
      </c>
      <c r="Q28" s="102">
        <v>0</v>
      </c>
      <c r="R28" s="102">
        <v>0</v>
      </c>
      <c r="S28" s="102">
        <v>0</v>
      </c>
      <c r="T28" s="102">
        <v>0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</row>
    <row r="29" spans="1:28" customFormat="1" x14ac:dyDescent="0.15">
      <c r="A29" s="176" t="s">
        <v>220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</row>
    <row r="30" spans="1:28" customFormat="1" x14ac:dyDescent="0.15"/>
    <row r="31" spans="1:28" customFormat="1" x14ac:dyDescent="0.15"/>
    <row r="32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28" width="2.33203125" style="102" customWidth="1"/>
    <col min="29" max="16384" width="10.83203125" style="102"/>
  </cols>
  <sheetData>
    <row r="1" spans="1:31" x14ac:dyDescent="0.15">
      <c r="A1" s="58" t="s">
        <v>139</v>
      </c>
      <c r="B1" s="179" t="s">
        <v>193</v>
      </c>
      <c r="C1" s="179" t="s">
        <v>194</v>
      </c>
      <c r="D1" s="179" t="s">
        <v>195</v>
      </c>
      <c r="E1" s="179" t="s">
        <v>196</v>
      </c>
      <c r="F1" s="179" t="s">
        <v>197</v>
      </c>
      <c r="G1" s="179" t="s">
        <v>198</v>
      </c>
      <c r="H1" s="179" t="s">
        <v>199</v>
      </c>
      <c r="I1" s="179" t="s">
        <v>200</v>
      </c>
      <c r="J1" s="179" t="s">
        <v>201</v>
      </c>
      <c r="K1" s="179" t="s">
        <v>202</v>
      </c>
      <c r="L1" s="179" t="s">
        <v>203</v>
      </c>
      <c r="M1" s="179" t="s">
        <v>166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/>
      <c r="AD1"/>
      <c r="AE1"/>
    </row>
    <row r="2" spans="1:31" customFormat="1" x14ac:dyDescent="0.15">
      <c r="A2" s="178" t="s">
        <v>193</v>
      </c>
      <c r="B2" s="102">
        <v>0</v>
      </c>
      <c r="C2" s="102">
        <v>1</v>
      </c>
      <c r="D2" s="102">
        <v>1</v>
      </c>
      <c r="E2" s="102">
        <v>1</v>
      </c>
      <c r="F2" s="102">
        <v>1</v>
      </c>
      <c r="G2" s="102">
        <v>0</v>
      </c>
      <c r="H2" s="102">
        <v>0</v>
      </c>
      <c r="I2" s="102">
        <v>1</v>
      </c>
      <c r="J2" s="102">
        <v>1</v>
      </c>
      <c r="K2" s="102">
        <v>0</v>
      </c>
      <c r="L2" s="102">
        <v>0</v>
      </c>
      <c r="M2" s="102">
        <v>0</v>
      </c>
      <c r="N2" s="102">
        <v>1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</row>
    <row r="3" spans="1:31" customFormat="1" x14ac:dyDescent="0.15">
      <c r="A3" s="178" t="s">
        <v>194</v>
      </c>
      <c r="B3" s="102">
        <v>0</v>
      </c>
      <c r="C3" s="102">
        <v>1</v>
      </c>
      <c r="D3" s="102">
        <v>1</v>
      </c>
      <c r="E3" s="102">
        <v>0</v>
      </c>
      <c r="F3" s="102">
        <v>0</v>
      </c>
      <c r="G3" s="102">
        <v>0</v>
      </c>
      <c r="H3" s="102">
        <v>0</v>
      </c>
      <c r="I3" s="102">
        <v>1</v>
      </c>
      <c r="J3" s="102">
        <v>1</v>
      </c>
      <c r="K3" s="102">
        <v>0</v>
      </c>
      <c r="L3" s="102">
        <v>0</v>
      </c>
      <c r="M3" s="102">
        <v>0</v>
      </c>
      <c r="N3" s="102">
        <v>1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</row>
    <row r="4" spans="1:31" customFormat="1" x14ac:dyDescent="0.15">
      <c r="A4" s="178" t="s">
        <v>195</v>
      </c>
      <c r="B4" s="102">
        <v>0</v>
      </c>
      <c r="C4" s="102">
        <v>0</v>
      </c>
      <c r="D4" s="102">
        <v>0</v>
      </c>
      <c r="E4" s="102">
        <v>1</v>
      </c>
      <c r="F4" s="102">
        <v>1</v>
      </c>
      <c r="G4" s="102">
        <v>0</v>
      </c>
      <c r="H4" s="102">
        <v>0</v>
      </c>
      <c r="I4" s="102">
        <v>1</v>
      </c>
      <c r="J4" s="102">
        <v>1</v>
      </c>
      <c r="K4" s="102">
        <v>1</v>
      </c>
      <c r="L4" s="102">
        <v>1</v>
      </c>
      <c r="M4" s="102">
        <v>1</v>
      </c>
      <c r="N4" s="102">
        <v>1</v>
      </c>
      <c r="O4" s="102">
        <v>1</v>
      </c>
      <c r="P4" s="102">
        <v>1</v>
      </c>
      <c r="Q4" s="102">
        <v>0</v>
      </c>
      <c r="R4" s="102">
        <v>1</v>
      </c>
      <c r="S4" s="102">
        <v>0</v>
      </c>
      <c r="T4" s="102">
        <v>0</v>
      </c>
      <c r="U4" s="102">
        <v>0</v>
      </c>
      <c r="V4" s="102">
        <v>1</v>
      </c>
      <c r="W4" s="102">
        <v>0</v>
      </c>
      <c r="X4" s="102">
        <v>1</v>
      </c>
      <c r="Y4" s="102">
        <v>0</v>
      </c>
      <c r="Z4" s="102">
        <v>1</v>
      </c>
      <c r="AA4" s="102">
        <v>0</v>
      </c>
      <c r="AB4" s="102">
        <v>0</v>
      </c>
    </row>
    <row r="5" spans="1:31" customFormat="1" x14ac:dyDescent="0.15">
      <c r="A5" s="178" t="s">
        <v>196</v>
      </c>
      <c r="B5" s="102">
        <v>0</v>
      </c>
      <c r="C5" s="102">
        <v>0</v>
      </c>
      <c r="D5" s="102">
        <v>0</v>
      </c>
      <c r="E5" s="102">
        <v>0</v>
      </c>
      <c r="F5" s="102">
        <v>1</v>
      </c>
      <c r="G5" s="102">
        <v>0</v>
      </c>
      <c r="H5" s="102">
        <v>0</v>
      </c>
      <c r="I5" s="102">
        <v>1</v>
      </c>
      <c r="J5" s="102">
        <v>1</v>
      </c>
      <c r="K5" s="102">
        <v>1</v>
      </c>
      <c r="L5" s="102">
        <v>1</v>
      </c>
      <c r="M5" s="102">
        <v>1</v>
      </c>
      <c r="N5" s="102">
        <v>1</v>
      </c>
      <c r="O5" s="102">
        <v>1</v>
      </c>
      <c r="P5" s="102">
        <v>1</v>
      </c>
      <c r="Q5" s="102">
        <v>1</v>
      </c>
      <c r="R5" s="102">
        <v>1</v>
      </c>
      <c r="S5" s="102">
        <v>1</v>
      </c>
      <c r="T5" s="102">
        <v>1</v>
      </c>
      <c r="U5" s="102">
        <v>1</v>
      </c>
      <c r="V5" s="102">
        <v>1</v>
      </c>
      <c r="W5" s="102">
        <v>0</v>
      </c>
      <c r="X5" s="102">
        <v>1</v>
      </c>
      <c r="Y5" s="102">
        <v>0</v>
      </c>
      <c r="Z5" s="102">
        <v>1</v>
      </c>
      <c r="AA5" s="102">
        <v>0</v>
      </c>
      <c r="AB5" s="102">
        <v>0</v>
      </c>
    </row>
    <row r="6" spans="1:31" customFormat="1" x14ac:dyDescent="0.15">
      <c r="A6" s="178" t="s">
        <v>197</v>
      </c>
      <c r="B6" s="102">
        <v>0</v>
      </c>
      <c r="C6" s="102">
        <v>0</v>
      </c>
      <c r="D6" s="102">
        <v>0</v>
      </c>
      <c r="E6" s="102">
        <v>0</v>
      </c>
      <c r="F6" s="102">
        <v>1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1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</row>
    <row r="7" spans="1:31" customFormat="1" x14ac:dyDescent="0.15">
      <c r="A7" s="178" t="s">
        <v>198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1</v>
      </c>
      <c r="I7" s="102">
        <v>0</v>
      </c>
      <c r="J7" s="102">
        <v>0</v>
      </c>
      <c r="K7" s="102">
        <v>1</v>
      </c>
      <c r="L7" s="102">
        <v>0</v>
      </c>
      <c r="M7" s="102">
        <v>0</v>
      </c>
      <c r="N7" s="102">
        <v>0</v>
      </c>
      <c r="O7" s="102">
        <v>1</v>
      </c>
      <c r="P7" s="102">
        <v>1</v>
      </c>
      <c r="Q7" s="102">
        <v>0</v>
      </c>
      <c r="R7" s="102">
        <v>0</v>
      </c>
      <c r="S7" s="102">
        <v>0</v>
      </c>
      <c r="T7" s="102">
        <v>1</v>
      </c>
      <c r="U7" s="102">
        <v>1</v>
      </c>
      <c r="V7" s="102">
        <v>0</v>
      </c>
      <c r="W7" s="102">
        <v>1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</row>
    <row r="8" spans="1:31" customFormat="1" x14ac:dyDescent="0.15">
      <c r="A8" s="178" t="s">
        <v>199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1</v>
      </c>
      <c r="I8" s="102">
        <v>0</v>
      </c>
      <c r="J8" s="102">
        <v>0</v>
      </c>
      <c r="K8" s="102">
        <v>1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1</v>
      </c>
      <c r="U8" s="102">
        <v>1</v>
      </c>
      <c r="V8" s="102">
        <v>0</v>
      </c>
      <c r="W8" s="102">
        <v>1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</row>
    <row r="9" spans="1:31" customFormat="1" x14ac:dyDescent="0.15">
      <c r="A9" s="178" t="s">
        <v>200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1</v>
      </c>
      <c r="N9" s="102">
        <v>0</v>
      </c>
      <c r="O9" s="102">
        <v>0</v>
      </c>
      <c r="P9" s="102">
        <v>0</v>
      </c>
      <c r="Q9" s="102">
        <v>1</v>
      </c>
      <c r="R9" s="102">
        <v>0</v>
      </c>
      <c r="S9" s="102">
        <v>1</v>
      </c>
      <c r="T9" s="102">
        <v>0</v>
      </c>
      <c r="U9" s="102">
        <v>0</v>
      </c>
      <c r="V9" s="102">
        <v>1</v>
      </c>
      <c r="W9" s="102">
        <v>1</v>
      </c>
      <c r="X9" s="102">
        <v>1</v>
      </c>
      <c r="Y9" s="102">
        <v>1</v>
      </c>
      <c r="Z9" s="102">
        <v>1</v>
      </c>
      <c r="AA9" s="102">
        <v>0</v>
      </c>
      <c r="AB9" s="102">
        <v>0</v>
      </c>
    </row>
    <row r="10" spans="1:31" customFormat="1" x14ac:dyDescent="0.15">
      <c r="A10" s="178" t="s">
        <v>201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1</v>
      </c>
      <c r="N10" s="102">
        <v>0</v>
      </c>
      <c r="O10" s="102">
        <v>0</v>
      </c>
      <c r="P10" s="102">
        <v>0</v>
      </c>
      <c r="Q10" s="102">
        <v>1</v>
      </c>
      <c r="R10" s="102">
        <v>0</v>
      </c>
      <c r="S10" s="102">
        <v>1</v>
      </c>
      <c r="T10" s="102">
        <v>0</v>
      </c>
      <c r="U10" s="102">
        <v>0</v>
      </c>
      <c r="V10" s="102">
        <v>1</v>
      </c>
      <c r="W10" s="102">
        <v>1</v>
      </c>
      <c r="X10" s="102">
        <v>1</v>
      </c>
      <c r="Y10" s="102">
        <v>1</v>
      </c>
      <c r="Z10" s="102">
        <v>1</v>
      </c>
      <c r="AA10" s="102">
        <v>0</v>
      </c>
      <c r="AB10" s="102">
        <v>0</v>
      </c>
    </row>
    <row r="11" spans="1:31" customFormat="1" x14ac:dyDescent="0.15">
      <c r="A11" s="178" t="s">
        <v>202</v>
      </c>
      <c r="B11" s="102">
        <v>0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1</v>
      </c>
      <c r="L11" s="102">
        <v>0</v>
      </c>
      <c r="M11" s="102">
        <v>1</v>
      </c>
      <c r="N11" s="102">
        <v>0</v>
      </c>
      <c r="O11" s="102">
        <v>0</v>
      </c>
      <c r="P11" s="102">
        <v>1</v>
      </c>
      <c r="Q11" s="102">
        <v>1</v>
      </c>
      <c r="R11" s="102">
        <v>1</v>
      </c>
      <c r="S11" s="102">
        <v>1</v>
      </c>
      <c r="T11" s="102">
        <v>1</v>
      </c>
      <c r="U11" s="102">
        <v>0</v>
      </c>
      <c r="V11" s="102">
        <v>1</v>
      </c>
      <c r="W11" s="102">
        <v>1</v>
      </c>
      <c r="X11" s="102">
        <v>1</v>
      </c>
      <c r="Y11" s="102">
        <v>1</v>
      </c>
      <c r="Z11" s="102">
        <v>1</v>
      </c>
      <c r="AA11" s="102">
        <v>0</v>
      </c>
      <c r="AB11" s="102">
        <v>0</v>
      </c>
    </row>
    <row r="12" spans="1:31" customFormat="1" x14ac:dyDescent="0.15">
      <c r="A12" s="178" t="s">
        <v>203</v>
      </c>
      <c r="B12" s="102">
        <v>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1</v>
      </c>
      <c r="L12" s="102">
        <v>0</v>
      </c>
      <c r="M12" s="102">
        <v>1</v>
      </c>
      <c r="N12" s="102">
        <v>0</v>
      </c>
      <c r="O12" s="102">
        <v>0</v>
      </c>
      <c r="P12" s="102">
        <v>1</v>
      </c>
      <c r="Q12" s="102">
        <v>1</v>
      </c>
      <c r="R12" s="102">
        <v>1</v>
      </c>
      <c r="S12" s="102">
        <v>1</v>
      </c>
      <c r="T12" s="102">
        <v>1</v>
      </c>
      <c r="U12" s="102">
        <v>1</v>
      </c>
      <c r="V12" s="102">
        <v>1</v>
      </c>
      <c r="W12" s="102">
        <v>1</v>
      </c>
      <c r="X12" s="102">
        <v>1</v>
      </c>
      <c r="Y12" s="102">
        <v>1</v>
      </c>
      <c r="Z12" s="102">
        <v>0</v>
      </c>
      <c r="AA12" s="102">
        <v>0</v>
      </c>
      <c r="AB12" s="102">
        <v>0</v>
      </c>
    </row>
    <row r="13" spans="1:31" customFormat="1" x14ac:dyDescent="0.15">
      <c r="A13" s="178" t="s">
        <v>166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1</v>
      </c>
      <c r="N13" s="102">
        <v>0</v>
      </c>
      <c r="O13" s="102">
        <v>0</v>
      </c>
      <c r="P13" s="102">
        <v>0</v>
      </c>
      <c r="Q13" s="102">
        <v>1</v>
      </c>
      <c r="R13" s="102">
        <v>1</v>
      </c>
      <c r="S13" s="102">
        <v>1</v>
      </c>
      <c r="T13" s="102">
        <v>1</v>
      </c>
      <c r="U13" s="102">
        <v>1</v>
      </c>
      <c r="V13" s="102">
        <v>1</v>
      </c>
      <c r="W13" s="102">
        <v>1</v>
      </c>
      <c r="X13" s="102">
        <v>1</v>
      </c>
      <c r="Y13" s="102">
        <v>1</v>
      </c>
      <c r="Z13" s="102">
        <v>1</v>
      </c>
      <c r="AA13" s="102">
        <v>0</v>
      </c>
      <c r="AB13" s="102">
        <v>0</v>
      </c>
    </row>
    <row r="14" spans="1:31" customFormat="1" x14ac:dyDescent="0.15">
      <c r="A14" s="178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1</v>
      </c>
      <c r="L14" s="102">
        <v>0</v>
      </c>
      <c r="M14" s="102">
        <v>1</v>
      </c>
      <c r="N14" s="102">
        <v>0</v>
      </c>
      <c r="O14" s="102">
        <v>0</v>
      </c>
      <c r="P14" s="102">
        <v>0</v>
      </c>
      <c r="Q14" s="102">
        <v>1</v>
      </c>
      <c r="R14" s="102">
        <v>1</v>
      </c>
      <c r="S14" s="102">
        <v>1</v>
      </c>
      <c r="T14" s="102">
        <v>1</v>
      </c>
      <c r="U14" s="102">
        <v>1</v>
      </c>
      <c r="V14" s="102">
        <v>1</v>
      </c>
      <c r="W14" s="102">
        <v>1</v>
      </c>
      <c r="X14" s="102">
        <v>1</v>
      </c>
      <c r="Y14" s="102">
        <v>1</v>
      </c>
      <c r="Z14" s="102">
        <v>1</v>
      </c>
      <c r="AA14" s="102">
        <v>0</v>
      </c>
      <c r="AB14" s="102">
        <v>0</v>
      </c>
    </row>
    <row r="15" spans="1:31" customFormat="1" x14ac:dyDescent="0.15">
      <c r="A15" s="178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1</v>
      </c>
      <c r="N15" s="102">
        <v>0</v>
      </c>
      <c r="O15" s="102">
        <v>0</v>
      </c>
      <c r="P15" s="102">
        <v>0</v>
      </c>
      <c r="Q15" s="102">
        <v>1</v>
      </c>
      <c r="R15" s="102">
        <v>0</v>
      </c>
      <c r="S15" s="102">
        <v>1</v>
      </c>
      <c r="T15" s="102">
        <v>0</v>
      </c>
      <c r="U15" s="102">
        <v>0</v>
      </c>
      <c r="V15" s="102">
        <v>0</v>
      </c>
      <c r="W15" s="102">
        <v>1</v>
      </c>
      <c r="X15" s="102">
        <v>1</v>
      </c>
      <c r="Y15" s="102">
        <v>1</v>
      </c>
      <c r="Z15" s="102">
        <v>1</v>
      </c>
      <c r="AA15" s="102">
        <v>0</v>
      </c>
      <c r="AB15" s="102">
        <v>0</v>
      </c>
    </row>
    <row r="16" spans="1:31" customFormat="1" x14ac:dyDescent="0.15">
      <c r="A16" s="178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</v>
      </c>
      <c r="Q16" s="102">
        <v>0</v>
      </c>
      <c r="R16" s="102">
        <v>0</v>
      </c>
      <c r="S16" s="102">
        <v>1</v>
      </c>
      <c r="T16" s="102">
        <v>0</v>
      </c>
      <c r="U16" s="102">
        <v>1</v>
      </c>
      <c r="V16" s="102">
        <v>1</v>
      </c>
      <c r="W16" s="102">
        <v>1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</row>
    <row r="17" spans="1:28" customFormat="1" x14ac:dyDescent="0.15">
      <c r="A17" s="178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0</v>
      </c>
      <c r="P17" s="102">
        <v>0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1</v>
      </c>
      <c r="X17" s="102">
        <v>1</v>
      </c>
      <c r="Y17" s="102">
        <v>0</v>
      </c>
      <c r="Z17" s="102">
        <v>1</v>
      </c>
      <c r="AA17" s="102">
        <v>0</v>
      </c>
      <c r="AB17" s="102">
        <v>0</v>
      </c>
    </row>
    <row r="18" spans="1:28" customFormat="1" x14ac:dyDescent="0.15">
      <c r="A18" s="178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1</v>
      </c>
      <c r="R18" s="102">
        <v>0</v>
      </c>
      <c r="S18" s="102">
        <v>1</v>
      </c>
      <c r="T18" s="102">
        <v>1</v>
      </c>
      <c r="U18" s="102">
        <v>0</v>
      </c>
      <c r="V18" s="102">
        <v>0</v>
      </c>
      <c r="W18" s="102">
        <v>0</v>
      </c>
      <c r="X18" s="102">
        <v>1</v>
      </c>
      <c r="Y18" s="102">
        <v>1</v>
      </c>
      <c r="Z18" s="102">
        <v>0</v>
      </c>
      <c r="AA18" s="102">
        <v>0</v>
      </c>
      <c r="AB18" s="102">
        <v>0</v>
      </c>
    </row>
    <row r="19" spans="1:28" customFormat="1" x14ac:dyDescent="0.15">
      <c r="A19" s="178" t="s">
        <v>209</v>
      </c>
      <c r="B19" s="102">
        <v>0</v>
      </c>
      <c r="C19" s="102">
        <v>0</v>
      </c>
      <c r="D19" s="102">
        <v>0</v>
      </c>
      <c r="E19" s="102">
        <v>0</v>
      </c>
      <c r="F19" s="102">
        <v>0</v>
      </c>
      <c r="G19" s="102">
        <v>0</v>
      </c>
      <c r="H19" s="102">
        <v>0</v>
      </c>
      <c r="I19" s="102">
        <v>0</v>
      </c>
      <c r="J19" s="102">
        <v>0</v>
      </c>
      <c r="K19" s="102">
        <v>0</v>
      </c>
      <c r="L19" s="102">
        <v>0</v>
      </c>
      <c r="M19" s="102">
        <v>1</v>
      </c>
      <c r="N19" s="102">
        <v>0</v>
      </c>
      <c r="O19" s="102">
        <v>0</v>
      </c>
      <c r="P19" s="102">
        <v>0</v>
      </c>
      <c r="Q19" s="102">
        <v>1</v>
      </c>
      <c r="R19" s="102">
        <v>0</v>
      </c>
      <c r="S19" s="102">
        <v>1</v>
      </c>
      <c r="T19" s="102">
        <v>1</v>
      </c>
      <c r="U19" s="102">
        <v>1</v>
      </c>
      <c r="V19" s="102">
        <v>0</v>
      </c>
      <c r="W19" s="102">
        <v>1</v>
      </c>
      <c r="X19" s="102">
        <v>1</v>
      </c>
      <c r="Y19" s="102">
        <v>1</v>
      </c>
      <c r="Z19" s="102">
        <v>1</v>
      </c>
      <c r="AA19" s="102">
        <v>0</v>
      </c>
      <c r="AB19" s="102">
        <v>0</v>
      </c>
    </row>
    <row r="20" spans="1:28" customFormat="1" x14ac:dyDescent="0.15">
      <c r="A20" s="178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1</v>
      </c>
      <c r="R20" s="102">
        <v>0</v>
      </c>
      <c r="S20" s="102">
        <v>1</v>
      </c>
      <c r="T20" s="102">
        <v>0</v>
      </c>
      <c r="U20" s="102">
        <v>1</v>
      </c>
      <c r="V20" s="102">
        <v>1</v>
      </c>
      <c r="W20" s="102">
        <v>1</v>
      </c>
      <c r="X20" s="102">
        <v>1</v>
      </c>
      <c r="Y20" s="102">
        <v>0</v>
      </c>
      <c r="Z20" s="102">
        <v>1</v>
      </c>
      <c r="AA20" s="102">
        <v>0</v>
      </c>
      <c r="AB20" s="102">
        <v>0</v>
      </c>
    </row>
    <row r="21" spans="1:28" customFormat="1" x14ac:dyDescent="0.15">
      <c r="A21" s="178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1</v>
      </c>
      <c r="T21" s="102">
        <v>1</v>
      </c>
      <c r="U21" s="102">
        <v>1</v>
      </c>
      <c r="V21" s="102">
        <v>0</v>
      </c>
      <c r="W21" s="102">
        <v>1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</row>
    <row r="22" spans="1:28" customFormat="1" x14ac:dyDescent="0.15">
      <c r="A22" s="178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1</v>
      </c>
      <c r="R22" s="102">
        <v>0</v>
      </c>
      <c r="S22" s="102">
        <v>1</v>
      </c>
      <c r="T22" s="102">
        <v>1</v>
      </c>
      <c r="U22" s="102">
        <v>1</v>
      </c>
      <c r="V22" s="102">
        <v>1</v>
      </c>
      <c r="W22" s="102">
        <v>1</v>
      </c>
      <c r="X22" s="102">
        <v>1</v>
      </c>
      <c r="Y22" s="102">
        <v>1</v>
      </c>
      <c r="Z22" s="102">
        <v>0</v>
      </c>
      <c r="AA22" s="102">
        <v>0</v>
      </c>
      <c r="AB22" s="102">
        <v>0</v>
      </c>
    </row>
    <row r="23" spans="1:28" customFormat="1" x14ac:dyDescent="0.15">
      <c r="A23" s="178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1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</row>
    <row r="24" spans="1:28" customFormat="1" x14ac:dyDescent="0.15">
      <c r="A24" s="178" t="s">
        <v>214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1</v>
      </c>
      <c r="AA24" s="102">
        <v>0</v>
      </c>
      <c r="AB24" s="102">
        <v>0</v>
      </c>
    </row>
    <row r="25" spans="1:28" customFormat="1" x14ac:dyDescent="0.15">
      <c r="A25" s="178" t="s">
        <v>215</v>
      </c>
      <c r="B25" s="102">
        <v>0</v>
      </c>
      <c r="C25" s="102">
        <v>0</v>
      </c>
      <c r="D25" s="102">
        <v>0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1</v>
      </c>
      <c r="X25" s="102">
        <v>1</v>
      </c>
      <c r="Y25" s="102">
        <v>0</v>
      </c>
      <c r="Z25" s="102">
        <v>1</v>
      </c>
      <c r="AA25" s="102">
        <v>0</v>
      </c>
      <c r="AB25" s="102">
        <v>0</v>
      </c>
    </row>
    <row r="26" spans="1:28" customFormat="1" x14ac:dyDescent="0.15">
      <c r="A26" s="178" t="s">
        <v>216</v>
      </c>
      <c r="B26" s="102">
        <v>0</v>
      </c>
      <c r="C26" s="102">
        <v>0</v>
      </c>
      <c r="D26" s="102">
        <v>0</v>
      </c>
      <c r="E26" s="102">
        <v>0</v>
      </c>
      <c r="F26" s="102">
        <v>0</v>
      </c>
      <c r="G26" s="102">
        <v>0</v>
      </c>
      <c r="H26" s="102">
        <v>0</v>
      </c>
      <c r="I26" s="102">
        <v>0</v>
      </c>
      <c r="J26" s="102">
        <v>0</v>
      </c>
      <c r="K26" s="102">
        <v>0</v>
      </c>
      <c r="L26" s="102">
        <v>0</v>
      </c>
      <c r="M26" s="102">
        <v>0</v>
      </c>
      <c r="N26" s="102">
        <v>0</v>
      </c>
      <c r="O26" s="102">
        <v>0</v>
      </c>
      <c r="P26" s="102">
        <v>0</v>
      </c>
      <c r="Q26" s="102">
        <v>0</v>
      </c>
      <c r="R26" s="102">
        <v>0</v>
      </c>
      <c r="S26" s="102">
        <v>0</v>
      </c>
      <c r="T26" s="102">
        <v>0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</row>
    <row r="27" spans="1:28" customFormat="1" x14ac:dyDescent="0.15">
      <c r="A27" s="178" t="s">
        <v>217</v>
      </c>
      <c r="B27" s="102">
        <v>0</v>
      </c>
      <c r="C27" s="102">
        <v>1</v>
      </c>
      <c r="D27" s="102">
        <v>0</v>
      </c>
      <c r="E27" s="102">
        <v>0</v>
      </c>
      <c r="F27" s="102">
        <v>1</v>
      </c>
      <c r="G27" s="102">
        <v>1</v>
      </c>
      <c r="H27" s="102">
        <v>1</v>
      </c>
      <c r="I27" s="102">
        <v>0</v>
      </c>
      <c r="J27" s="102">
        <v>0</v>
      </c>
      <c r="K27" s="102">
        <v>1</v>
      </c>
      <c r="L27" s="102">
        <v>0</v>
      </c>
      <c r="M27" s="102">
        <v>0</v>
      </c>
      <c r="N27" s="102">
        <v>1</v>
      </c>
      <c r="O27" s="102">
        <v>0</v>
      </c>
      <c r="P27" s="102">
        <v>0</v>
      </c>
      <c r="Q27" s="102">
        <v>0</v>
      </c>
      <c r="R27" s="102">
        <v>0</v>
      </c>
      <c r="S27" s="102">
        <v>0</v>
      </c>
      <c r="T27" s="102">
        <v>1</v>
      </c>
      <c r="U27" s="102">
        <v>1</v>
      </c>
      <c r="V27" s="102">
        <v>0</v>
      </c>
      <c r="W27" s="102">
        <v>1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</row>
    <row r="28" spans="1:28" customFormat="1" x14ac:dyDescent="0.15">
      <c r="A28" s="178" t="s">
        <v>218</v>
      </c>
      <c r="B28" s="102">
        <v>0</v>
      </c>
      <c r="C28" s="102">
        <v>0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</v>
      </c>
      <c r="K28" s="102">
        <v>0</v>
      </c>
      <c r="L28" s="102">
        <v>0</v>
      </c>
      <c r="M28" s="102">
        <v>0</v>
      </c>
      <c r="N28" s="102">
        <v>0</v>
      </c>
      <c r="O28" s="102">
        <v>0</v>
      </c>
      <c r="P28" s="102">
        <v>0</v>
      </c>
      <c r="Q28" s="102">
        <v>0</v>
      </c>
      <c r="R28" s="102">
        <v>0</v>
      </c>
      <c r="S28" s="102">
        <v>0</v>
      </c>
      <c r="T28" s="102">
        <v>0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</row>
    <row r="29" spans="1:28" customFormat="1" x14ac:dyDescent="0.15">
      <c r="A29" s="178" t="s">
        <v>220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</row>
    <row r="30" spans="1:28" customFormat="1" x14ac:dyDescent="0.15"/>
    <row r="31" spans="1:28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81" t="s">
        <v>219</v>
      </c>
      <c r="D1" s="181" t="s">
        <v>214</v>
      </c>
    </row>
    <row r="2" spans="1:4" x14ac:dyDescent="0.15">
      <c r="A2">
        <v>1</v>
      </c>
      <c r="B2" s="180" t="s">
        <v>193</v>
      </c>
      <c r="C2">
        <v>0</v>
      </c>
      <c r="D2">
        <v>0</v>
      </c>
    </row>
    <row r="3" spans="1:4" x14ac:dyDescent="0.15">
      <c r="A3">
        <v>2</v>
      </c>
      <c r="B3" s="180" t="s">
        <v>194</v>
      </c>
      <c r="C3">
        <v>0</v>
      </c>
      <c r="D3">
        <v>0</v>
      </c>
    </row>
    <row r="4" spans="1:4" x14ac:dyDescent="0.15">
      <c r="A4">
        <v>3</v>
      </c>
      <c r="B4" s="180" t="s">
        <v>195</v>
      </c>
      <c r="C4">
        <v>0</v>
      </c>
      <c r="D4">
        <v>0</v>
      </c>
    </row>
    <row r="5" spans="1:4" x14ac:dyDescent="0.15">
      <c r="A5">
        <v>4</v>
      </c>
      <c r="B5" s="180" t="s">
        <v>196</v>
      </c>
      <c r="C5">
        <v>0</v>
      </c>
      <c r="D5">
        <v>0</v>
      </c>
    </row>
    <row r="6" spans="1:4" x14ac:dyDescent="0.15">
      <c r="A6">
        <v>5</v>
      </c>
      <c r="B6" s="180" t="s">
        <v>197</v>
      </c>
      <c r="C6">
        <v>0</v>
      </c>
      <c r="D6">
        <v>0</v>
      </c>
    </row>
    <row r="7" spans="1:4" x14ac:dyDescent="0.15">
      <c r="A7">
        <v>6</v>
      </c>
      <c r="B7" s="180" t="s">
        <v>198</v>
      </c>
      <c r="C7">
        <v>0</v>
      </c>
      <c r="D7">
        <v>0</v>
      </c>
    </row>
    <row r="8" spans="1:4" x14ac:dyDescent="0.15">
      <c r="A8">
        <v>7</v>
      </c>
      <c r="B8" s="180" t="s">
        <v>199</v>
      </c>
      <c r="C8">
        <v>0</v>
      </c>
      <c r="D8">
        <v>0</v>
      </c>
    </row>
    <row r="9" spans="1:4" x14ac:dyDescent="0.15">
      <c r="A9">
        <v>8</v>
      </c>
      <c r="B9" s="180" t="s">
        <v>200</v>
      </c>
      <c r="C9">
        <v>0</v>
      </c>
      <c r="D9">
        <v>0</v>
      </c>
    </row>
    <row r="10" spans="1:4" x14ac:dyDescent="0.15">
      <c r="A10">
        <v>9</v>
      </c>
      <c r="B10" s="180" t="s">
        <v>201</v>
      </c>
      <c r="C10">
        <v>0</v>
      </c>
      <c r="D10">
        <v>0</v>
      </c>
    </row>
    <row r="11" spans="1:4" x14ac:dyDescent="0.15">
      <c r="A11">
        <v>10</v>
      </c>
      <c r="B11" s="180" t="s">
        <v>202</v>
      </c>
      <c r="C11">
        <v>0</v>
      </c>
      <c r="D11">
        <v>0</v>
      </c>
    </row>
    <row r="12" spans="1:4" x14ac:dyDescent="0.15">
      <c r="A12">
        <v>11</v>
      </c>
      <c r="B12" s="180" t="s">
        <v>203</v>
      </c>
      <c r="C12">
        <v>0</v>
      </c>
      <c r="D12">
        <v>0</v>
      </c>
    </row>
    <row r="13" spans="1:4" x14ac:dyDescent="0.15">
      <c r="A13">
        <v>12</v>
      </c>
      <c r="B13" s="180" t="s">
        <v>166</v>
      </c>
      <c r="C13">
        <v>0</v>
      </c>
      <c r="D13">
        <v>0</v>
      </c>
    </row>
    <row r="14" spans="1:4" x14ac:dyDescent="0.15">
      <c r="A14">
        <v>13</v>
      </c>
      <c r="B14" s="180" t="s">
        <v>204</v>
      </c>
      <c r="C14">
        <v>0</v>
      </c>
      <c r="D14">
        <v>0</v>
      </c>
    </row>
    <row r="15" spans="1:4" x14ac:dyDescent="0.15">
      <c r="A15">
        <v>14</v>
      </c>
      <c r="B15" s="180" t="s">
        <v>205</v>
      </c>
      <c r="C15">
        <v>0</v>
      </c>
      <c r="D15">
        <v>0</v>
      </c>
    </row>
    <row r="16" spans="1:4" x14ac:dyDescent="0.15">
      <c r="A16">
        <v>15</v>
      </c>
      <c r="B16" s="180" t="s">
        <v>206</v>
      </c>
      <c r="C16">
        <v>0</v>
      </c>
      <c r="D16">
        <v>0</v>
      </c>
    </row>
    <row r="17" spans="1:4" x14ac:dyDescent="0.15">
      <c r="A17">
        <v>16</v>
      </c>
      <c r="B17" s="180" t="s">
        <v>207</v>
      </c>
      <c r="C17">
        <v>0</v>
      </c>
      <c r="D17">
        <v>0</v>
      </c>
    </row>
    <row r="18" spans="1:4" x14ac:dyDescent="0.15">
      <c r="A18">
        <v>17</v>
      </c>
      <c r="B18" s="180" t="s">
        <v>208</v>
      </c>
      <c r="C18">
        <v>0</v>
      </c>
      <c r="D18">
        <v>0</v>
      </c>
    </row>
    <row r="19" spans="1:4" x14ac:dyDescent="0.15">
      <c r="A19">
        <v>18</v>
      </c>
      <c r="B19" s="180" t="s">
        <v>209</v>
      </c>
      <c r="C19">
        <v>0</v>
      </c>
      <c r="D19">
        <v>0</v>
      </c>
    </row>
    <row r="20" spans="1:4" x14ac:dyDescent="0.15">
      <c r="A20">
        <v>19</v>
      </c>
      <c r="B20" s="180" t="s">
        <v>210</v>
      </c>
      <c r="C20">
        <v>0</v>
      </c>
      <c r="D20">
        <v>0</v>
      </c>
    </row>
    <row r="21" spans="1:4" x14ac:dyDescent="0.15">
      <c r="A21">
        <v>20</v>
      </c>
      <c r="B21" s="180" t="s">
        <v>211</v>
      </c>
      <c r="C21">
        <v>0</v>
      </c>
      <c r="D21">
        <v>0</v>
      </c>
    </row>
    <row r="22" spans="1:4" x14ac:dyDescent="0.15">
      <c r="A22">
        <v>21</v>
      </c>
      <c r="B22" s="180" t="s">
        <v>212</v>
      </c>
      <c r="C22">
        <v>0</v>
      </c>
      <c r="D22">
        <v>0</v>
      </c>
    </row>
    <row r="23" spans="1:4" x14ac:dyDescent="0.15">
      <c r="A23">
        <v>22</v>
      </c>
      <c r="B23" s="180" t="s">
        <v>213</v>
      </c>
      <c r="C23">
        <v>0</v>
      </c>
      <c r="D23">
        <v>0</v>
      </c>
    </row>
    <row r="24" spans="1:4" x14ac:dyDescent="0.15">
      <c r="A24">
        <v>23</v>
      </c>
      <c r="B24" s="180" t="s">
        <v>214</v>
      </c>
      <c r="C24">
        <v>0</v>
      </c>
      <c r="D24">
        <v>0.8</v>
      </c>
    </row>
    <row r="25" spans="1:4" x14ac:dyDescent="0.15">
      <c r="A25">
        <v>24</v>
      </c>
      <c r="B25" s="180" t="s">
        <v>215</v>
      </c>
      <c r="C25">
        <v>0.8</v>
      </c>
      <c r="D25">
        <v>0</v>
      </c>
    </row>
    <row r="26" spans="1:4" x14ac:dyDescent="0.15">
      <c r="A26">
        <v>25</v>
      </c>
      <c r="B26" s="180" t="s">
        <v>216</v>
      </c>
      <c r="C26">
        <v>0</v>
      </c>
      <c r="D26">
        <v>0</v>
      </c>
    </row>
    <row r="27" spans="1:4" x14ac:dyDescent="0.15">
      <c r="A27">
        <v>26</v>
      </c>
      <c r="B27" s="180" t="s">
        <v>217</v>
      </c>
      <c r="C27">
        <v>0</v>
      </c>
      <c r="D27">
        <v>0</v>
      </c>
    </row>
    <row r="28" spans="1:4" x14ac:dyDescent="0.15">
      <c r="A28">
        <v>27</v>
      </c>
      <c r="B28" s="180" t="s">
        <v>218</v>
      </c>
      <c r="C28">
        <v>0</v>
      </c>
      <c r="D28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28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83" t="s">
        <v>219</v>
      </c>
      <c r="D1" s="183" t="s">
        <v>214</v>
      </c>
    </row>
    <row r="2" spans="1:4" x14ac:dyDescent="0.15">
      <c r="A2">
        <v>1</v>
      </c>
      <c r="B2" s="182" t="s">
        <v>193</v>
      </c>
      <c r="C2">
        <v>0</v>
      </c>
      <c r="D2">
        <v>0</v>
      </c>
    </row>
    <row r="3" spans="1:4" x14ac:dyDescent="0.15">
      <c r="A3">
        <v>2</v>
      </c>
      <c r="B3" s="182" t="s">
        <v>194</v>
      </c>
      <c r="C3">
        <v>0</v>
      </c>
      <c r="D3">
        <v>0</v>
      </c>
    </row>
    <row r="4" spans="1:4" x14ac:dyDescent="0.15">
      <c r="A4">
        <v>3</v>
      </c>
      <c r="B4" s="182" t="s">
        <v>195</v>
      </c>
      <c r="C4">
        <v>0</v>
      </c>
      <c r="D4">
        <v>0</v>
      </c>
    </row>
    <row r="5" spans="1:4" x14ac:dyDescent="0.15">
      <c r="A5">
        <v>4</v>
      </c>
      <c r="B5" s="182" t="s">
        <v>196</v>
      </c>
      <c r="C5">
        <v>0</v>
      </c>
      <c r="D5">
        <v>0</v>
      </c>
    </row>
    <row r="6" spans="1:4" x14ac:dyDescent="0.15">
      <c r="A6">
        <v>5</v>
      </c>
      <c r="B6" s="182" t="s">
        <v>197</v>
      </c>
      <c r="C6">
        <v>0</v>
      </c>
      <c r="D6">
        <v>0</v>
      </c>
    </row>
    <row r="7" spans="1:4" x14ac:dyDescent="0.15">
      <c r="A7">
        <v>6</v>
      </c>
      <c r="B7" s="182" t="s">
        <v>198</v>
      </c>
      <c r="C7">
        <v>0</v>
      </c>
      <c r="D7">
        <v>0</v>
      </c>
    </row>
    <row r="8" spans="1:4" x14ac:dyDescent="0.15">
      <c r="A8">
        <v>7</v>
      </c>
      <c r="B8" s="182" t="s">
        <v>199</v>
      </c>
      <c r="C8">
        <v>0</v>
      </c>
      <c r="D8">
        <v>0</v>
      </c>
    </row>
    <row r="9" spans="1:4" x14ac:dyDescent="0.15">
      <c r="A9">
        <v>8</v>
      </c>
      <c r="B9" s="182" t="s">
        <v>200</v>
      </c>
      <c r="C9">
        <v>0</v>
      </c>
      <c r="D9">
        <v>0</v>
      </c>
    </row>
    <row r="10" spans="1:4" x14ac:dyDescent="0.15">
      <c r="A10">
        <v>9</v>
      </c>
      <c r="B10" s="182" t="s">
        <v>201</v>
      </c>
      <c r="C10">
        <v>0</v>
      </c>
      <c r="D10">
        <v>0</v>
      </c>
    </row>
    <row r="11" spans="1:4" x14ac:dyDescent="0.15">
      <c r="A11">
        <v>10</v>
      </c>
      <c r="B11" s="182" t="s">
        <v>202</v>
      </c>
      <c r="C11">
        <v>0</v>
      </c>
      <c r="D11">
        <v>0</v>
      </c>
    </row>
    <row r="12" spans="1:4" x14ac:dyDescent="0.15">
      <c r="A12">
        <v>11</v>
      </c>
      <c r="B12" s="182" t="s">
        <v>203</v>
      </c>
      <c r="C12">
        <v>0</v>
      </c>
      <c r="D12">
        <v>0</v>
      </c>
    </row>
    <row r="13" spans="1:4" x14ac:dyDescent="0.15">
      <c r="A13">
        <v>12</v>
      </c>
      <c r="B13" s="182" t="s">
        <v>166</v>
      </c>
      <c r="C13">
        <v>0</v>
      </c>
      <c r="D13">
        <v>0</v>
      </c>
    </row>
    <row r="14" spans="1:4" x14ac:dyDescent="0.15">
      <c r="A14">
        <v>13</v>
      </c>
      <c r="B14" s="182" t="s">
        <v>204</v>
      </c>
      <c r="C14">
        <v>0</v>
      </c>
      <c r="D14">
        <v>0</v>
      </c>
    </row>
    <row r="15" spans="1:4" x14ac:dyDescent="0.15">
      <c r="A15">
        <v>14</v>
      </c>
      <c r="B15" s="182" t="s">
        <v>205</v>
      </c>
      <c r="C15">
        <v>0</v>
      </c>
      <c r="D15">
        <v>0</v>
      </c>
    </row>
    <row r="16" spans="1:4" x14ac:dyDescent="0.15">
      <c r="A16">
        <v>15</v>
      </c>
      <c r="B16" s="182" t="s">
        <v>206</v>
      </c>
      <c r="C16">
        <v>0</v>
      </c>
      <c r="D16">
        <v>0</v>
      </c>
    </row>
    <row r="17" spans="1:4" x14ac:dyDescent="0.15">
      <c r="A17">
        <v>16</v>
      </c>
      <c r="B17" s="182" t="s">
        <v>207</v>
      </c>
      <c r="C17">
        <v>0</v>
      </c>
      <c r="D17">
        <v>0</v>
      </c>
    </row>
    <row r="18" spans="1:4" x14ac:dyDescent="0.15">
      <c r="A18">
        <v>17</v>
      </c>
      <c r="B18" s="182" t="s">
        <v>208</v>
      </c>
      <c r="C18">
        <v>0</v>
      </c>
      <c r="D18">
        <v>0</v>
      </c>
    </row>
    <row r="19" spans="1:4" x14ac:dyDescent="0.15">
      <c r="A19">
        <v>18</v>
      </c>
      <c r="B19" s="182" t="s">
        <v>209</v>
      </c>
      <c r="C19">
        <v>0</v>
      </c>
      <c r="D19">
        <v>0</v>
      </c>
    </row>
    <row r="20" spans="1:4" x14ac:dyDescent="0.15">
      <c r="A20">
        <v>19</v>
      </c>
      <c r="B20" s="182" t="s">
        <v>210</v>
      </c>
      <c r="C20">
        <v>0</v>
      </c>
      <c r="D20">
        <v>0</v>
      </c>
    </row>
    <row r="21" spans="1:4" x14ac:dyDescent="0.15">
      <c r="A21">
        <v>20</v>
      </c>
      <c r="B21" s="182" t="s">
        <v>211</v>
      </c>
      <c r="C21">
        <v>0</v>
      </c>
      <c r="D21">
        <v>0</v>
      </c>
    </row>
    <row r="22" spans="1:4" x14ac:dyDescent="0.15">
      <c r="A22">
        <v>21</v>
      </c>
      <c r="B22" s="182" t="s">
        <v>212</v>
      </c>
      <c r="C22">
        <v>0</v>
      </c>
      <c r="D22">
        <v>0</v>
      </c>
    </row>
    <row r="23" spans="1:4" x14ac:dyDescent="0.15">
      <c r="A23">
        <v>22</v>
      </c>
      <c r="B23" s="182" t="s">
        <v>213</v>
      </c>
      <c r="C23">
        <v>0</v>
      </c>
      <c r="D23">
        <v>0</v>
      </c>
    </row>
    <row r="24" spans="1:4" x14ac:dyDescent="0.15">
      <c r="A24">
        <v>23</v>
      </c>
      <c r="B24" s="182" t="s">
        <v>214</v>
      </c>
      <c r="C24">
        <v>0</v>
      </c>
      <c r="D24">
        <v>0.8</v>
      </c>
    </row>
    <row r="25" spans="1:4" x14ac:dyDescent="0.15">
      <c r="A25">
        <v>24</v>
      </c>
      <c r="B25" s="182" t="s">
        <v>215</v>
      </c>
      <c r="C25">
        <v>0.8</v>
      </c>
      <c r="D25">
        <v>0</v>
      </c>
    </row>
    <row r="26" spans="1:4" x14ac:dyDescent="0.15">
      <c r="A26">
        <v>25</v>
      </c>
      <c r="B26" s="182" t="s">
        <v>216</v>
      </c>
      <c r="C26">
        <v>0</v>
      </c>
      <c r="D26">
        <v>0</v>
      </c>
    </row>
    <row r="27" spans="1:4" x14ac:dyDescent="0.15">
      <c r="A27">
        <v>26</v>
      </c>
      <c r="B27" s="182" t="s">
        <v>217</v>
      </c>
      <c r="C27">
        <v>0</v>
      </c>
      <c r="D27">
        <v>0</v>
      </c>
    </row>
    <row r="28" spans="1:4" x14ac:dyDescent="0.15">
      <c r="A28">
        <v>27</v>
      </c>
      <c r="B28" s="182" t="s">
        <v>218</v>
      </c>
      <c r="C28">
        <v>0</v>
      </c>
      <c r="D2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75"/>
    <col min="2" max="2" width="41.83203125" style="75" bestFit="1" customWidth="1"/>
    <col min="3" max="3" width="9.33203125" style="75" bestFit="1" customWidth="1"/>
    <col min="4" max="4" width="13" style="75" bestFit="1" customWidth="1"/>
    <col min="5" max="6" width="9.33203125" style="75" bestFit="1" customWidth="1"/>
    <col min="7" max="7" width="9.33203125" style="91" bestFit="1" customWidth="1"/>
    <col min="8" max="8" width="9.33203125" style="75" bestFit="1" customWidth="1"/>
    <col min="9" max="9" width="11" style="75" customWidth="1"/>
    <col min="10" max="10" width="8.83203125" style="75"/>
    <col min="15" max="16384" width="8.83203125" style="7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0" t="s">
        <v>14</v>
      </c>
      <c r="H1" s="1" t="s">
        <v>26</v>
      </c>
      <c r="I1" s="1" t="s">
        <v>24</v>
      </c>
    </row>
    <row r="2" spans="1:10" ht="15" customHeight="1" x14ac:dyDescent="0.15">
      <c r="A2" s="136">
        <v>1</v>
      </c>
      <c r="B2" s="136" t="s">
        <v>193</v>
      </c>
      <c r="C2" s="8">
        <v>1</v>
      </c>
      <c r="D2" s="9">
        <v>207.19999694824219</v>
      </c>
      <c r="E2" s="9">
        <v>35.700000762939453</v>
      </c>
      <c r="F2" s="10"/>
      <c r="G2" s="9">
        <v>0.77609413862228394</v>
      </c>
      <c r="H2" s="10"/>
      <c r="I2">
        <v>0</v>
      </c>
      <c r="J2"/>
    </row>
    <row r="3" spans="1:10" ht="15" customHeight="1" x14ac:dyDescent="0.15">
      <c r="A3" s="137">
        <v>2</v>
      </c>
      <c r="B3" s="137" t="s">
        <v>194</v>
      </c>
      <c r="C3" s="8">
        <v>2.0638298988342285</v>
      </c>
      <c r="D3" s="9">
        <v>3.8322341442108154</v>
      </c>
      <c r="E3" s="9">
        <v>482</v>
      </c>
      <c r="F3" s="9">
        <v>1928</v>
      </c>
      <c r="G3" s="9">
        <v>0.99900001287460327</v>
      </c>
      <c r="H3" s="9">
        <v>0.25</v>
      </c>
      <c r="I3">
        <v>0</v>
      </c>
      <c r="J3"/>
    </row>
    <row r="4" spans="1:10" ht="15" customHeight="1" x14ac:dyDescent="0.15">
      <c r="A4" s="138">
        <v>3</v>
      </c>
      <c r="B4" s="138" t="s">
        <v>195</v>
      </c>
      <c r="C4" s="8">
        <v>2.5319149494171143</v>
      </c>
      <c r="D4" s="9">
        <v>20.405681610107422</v>
      </c>
      <c r="E4" s="9">
        <v>40</v>
      </c>
      <c r="F4" s="9">
        <v>133.33299255371094</v>
      </c>
      <c r="G4" s="9">
        <v>0.9989999532699585</v>
      </c>
      <c r="H4" s="9">
        <v>0.30000075697898865</v>
      </c>
      <c r="I4">
        <v>0</v>
      </c>
      <c r="J4"/>
    </row>
    <row r="5" spans="1:10" ht="15" customHeight="1" x14ac:dyDescent="0.15">
      <c r="A5" s="139">
        <v>4</v>
      </c>
      <c r="B5" s="139" t="s">
        <v>196</v>
      </c>
      <c r="C5" s="8">
        <v>2.6127660274505615</v>
      </c>
      <c r="D5" s="9">
        <v>32.547817230224609</v>
      </c>
      <c r="E5" s="9">
        <v>13</v>
      </c>
      <c r="F5" s="9">
        <v>31.707000732421875</v>
      </c>
      <c r="G5" s="9">
        <v>0.99899989366531372</v>
      </c>
      <c r="H5" s="9">
        <v>0.41000407934188843</v>
      </c>
      <c r="I5">
        <v>0</v>
      </c>
      <c r="J5"/>
    </row>
    <row r="6" spans="1:10" ht="15" customHeight="1" x14ac:dyDescent="0.15">
      <c r="A6" s="140">
        <v>5</v>
      </c>
      <c r="B6" s="140" t="s">
        <v>197</v>
      </c>
      <c r="C6" s="8">
        <v>3.1870603561401367</v>
      </c>
      <c r="D6" s="9">
        <v>20.10789680480957</v>
      </c>
      <c r="E6" s="9">
        <v>0.43999999761581421</v>
      </c>
      <c r="F6" s="9">
        <v>1.4670000076293945</v>
      </c>
      <c r="G6" s="9">
        <v>0.49999997019767761</v>
      </c>
      <c r="H6" s="9">
        <v>0.29993182420730591</v>
      </c>
      <c r="I6">
        <v>0</v>
      </c>
      <c r="J6"/>
    </row>
    <row r="7" spans="1:10" ht="15" customHeight="1" x14ac:dyDescent="0.15">
      <c r="A7" s="141">
        <v>6</v>
      </c>
      <c r="B7" s="141" t="s">
        <v>198</v>
      </c>
      <c r="C7" s="8">
        <v>2</v>
      </c>
      <c r="D7" s="9">
        <v>41.331527709960938</v>
      </c>
      <c r="E7" s="9">
        <v>8</v>
      </c>
      <c r="F7" s="9">
        <v>33</v>
      </c>
      <c r="G7" s="9">
        <v>0.99900037050247192</v>
      </c>
      <c r="H7" s="9">
        <v>0.24242424964904785</v>
      </c>
      <c r="I7">
        <v>0</v>
      </c>
      <c r="J7"/>
    </row>
    <row r="8" spans="1:10" ht="15" customHeight="1" x14ac:dyDescent="0.15">
      <c r="A8" s="142">
        <v>7</v>
      </c>
      <c r="B8" s="142" t="s">
        <v>199</v>
      </c>
      <c r="C8" s="8">
        <v>2.9578948020935059</v>
      </c>
      <c r="D8" s="9">
        <v>14.794675827026367</v>
      </c>
      <c r="E8" s="9">
        <v>1.2000000476837158</v>
      </c>
      <c r="F8" s="9">
        <v>10</v>
      </c>
      <c r="G8" s="9">
        <v>0.99900573492050171</v>
      </c>
      <c r="H8" s="9">
        <v>0.12000000476837158</v>
      </c>
      <c r="I8">
        <v>0</v>
      </c>
      <c r="J8"/>
    </row>
    <row r="9" spans="1:10" ht="15" customHeight="1" x14ac:dyDescent="0.15">
      <c r="A9" s="143">
        <v>8</v>
      </c>
      <c r="B9" s="143" t="s">
        <v>200</v>
      </c>
      <c r="C9" s="8">
        <v>2.6511490345001221</v>
      </c>
      <c r="D9" s="9">
        <v>35.36871337890625</v>
      </c>
      <c r="E9" s="9">
        <v>1.3500000238418579</v>
      </c>
      <c r="F9" s="9">
        <v>14</v>
      </c>
      <c r="G9" s="9">
        <v>0.96115386486053467</v>
      </c>
      <c r="H9" s="9">
        <v>9.6428573131561279E-2</v>
      </c>
      <c r="I9">
        <v>0</v>
      </c>
      <c r="J9"/>
    </row>
    <row r="10" spans="1:10" ht="15" customHeight="1" x14ac:dyDescent="0.15">
      <c r="A10" s="144">
        <v>9</v>
      </c>
      <c r="B10" s="144" t="s">
        <v>201</v>
      </c>
      <c r="C10" s="8">
        <v>3.0335319042205811</v>
      </c>
      <c r="D10" s="9">
        <v>1.5332835912704468</v>
      </c>
      <c r="E10" s="9">
        <v>1.7999999523162842</v>
      </c>
      <c r="F10" s="9">
        <v>18</v>
      </c>
      <c r="G10" s="9">
        <v>0.99897933006286621</v>
      </c>
      <c r="H10" s="9">
        <v>9.9999994039535522E-2</v>
      </c>
      <c r="I10">
        <v>0</v>
      </c>
      <c r="J10"/>
    </row>
    <row r="11" spans="1:10" ht="15" customHeight="1" x14ac:dyDescent="0.15">
      <c r="A11" s="145">
        <v>10</v>
      </c>
      <c r="B11" s="145" t="s">
        <v>202</v>
      </c>
      <c r="C11" s="8">
        <v>3.0762231349945068</v>
      </c>
      <c r="D11" s="9">
        <v>18.973501205444336</v>
      </c>
      <c r="E11" s="9">
        <v>1.7999999523162842</v>
      </c>
      <c r="F11" s="9">
        <v>12</v>
      </c>
      <c r="G11" s="9">
        <v>0.99899464845657349</v>
      </c>
      <c r="H11" s="9">
        <v>0.14999999105930328</v>
      </c>
      <c r="I11">
        <v>0</v>
      </c>
      <c r="J11"/>
    </row>
    <row r="12" spans="1:10" ht="15" customHeight="1" x14ac:dyDescent="0.15">
      <c r="A12" s="146">
        <v>11</v>
      </c>
      <c r="B12" s="146" t="s">
        <v>203</v>
      </c>
      <c r="C12" s="8">
        <v>3.5804257392883301</v>
      </c>
      <c r="D12" s="9">
        <v>17.239433288574219</v>
      </c>
      <c r="E12" s="9">
        <v>1.2300000190734863</v>
      </c>
      <c r="F12" s="9">
        <v>12.300000190734863</v>
      </c>
      <c r="G12" s="9">
        <v>0.99899971485137939</v>
      </c>
      <c r="H12" s="9">
        <v>0.10000000149011612</v>
      </c>
      <c r="I12">
        <v>0</v>
      </c>
      <c r="J12"/>
    </row>
    <row r="13" spans="1:10" ht="15" customHeight="1" x14ac:dyDescent="0.15">
      <c r="A13" s="147">
        <v>12</v>
      </c>
      <c r="B13" s="147" t="s">
        <v>166</v>
      </c>
      <c r="C13" s="8">
        <v>3.8811275959014893</v>
      </c>
      <c r="D13" s="9">
        <v>4.0204954147338867</v>
      </c>
      <c r="E13" s="9">
        <v>5</v>
      </c>
      <c r="F13" s="9">
        <v>15</v>
      </c>
      <c r="G13" s="9">
        <v>0.99900192022323608</v>
      </c>
      <c r="H13" s="9">
        <v>0.3333333432674408</v>
      </c>
      <c r="I13">
        <v>0</v>
      </c>
      <c r="J13"/>
    </row>
    <row r="14" spans="1:10" ht="15" customHeight="1" x14ac:dyDescent="0.15">
      <c r="A14" s="148">
        <v>13</v>
      </c>
      <c r="B14" s="148" t="s">
        <v>204</v>
      </c>
      <c r="C14" s="8">
        <v>3.5231187343597412</v>
      </c>
      <c r="D14" s="9">
        <v>15.771459579467773</v>
      </c>
      <c r="E14" s="9">
        <v>0.95822399854660034</v>
      </c>
      <c r="F14" s="9">
        <v>9.3493404388427734</v>
      </c>
      <c r="G14" s="9">
        <v>0.9990004301071167</v>
      </c>
      <c r="H14" s="9">
        <v>0.10249108076095581</v>
      </c>
      <c r="I14">
        <v>0</v>
      </c>
      <c r="J14"/>
    </row>
    <row r="15" spans="1:10" ht="15" customHeight="1" x14ac:dyDescent="0.15">
      <c r="A15" s="149">
        <v>14</v>
      </c>
      <c r="B15" s="149" t="s">
        <v>205</v>
      </c>
      <c r="C15" s="8">
        <v>3.3885107040405273</v>
      </c>
      <c r="D15" s="9">
        <v>11.21831226348877</v>
      </c>
      <c r="E15" s="9">
        <v>1.2000000476837158</v>
      </c>
      <c r="F15" s="9">
        <v>10</v>
      </c>
      <c r="G15" s="9">
        <v>0.99899983406066895</v>
      </c>
      <c r="H15" s="9">
        <v>0.12000000476837158</v>
      </c>
      <c r="I15">
        <v>0</v>
      </c>
      <c r="J15"/>
    </row>
    <row r="16" spans="1:10" ht="15" customHeight="1" x14ac:dyDescent="0.15">
      <c r="A16" s="150">
        <v>15</v>
      </c>
      <c r="B16" s="150" t="s">
        <v>206</v>
      </c>
      <c r="C16" s="8">
        <v>3.5957918167114258</v>
      </c>
      <c r="D16" s="9">
        <v>5.3047051429748535</v>
      </c>
      <c r="E16" s="9">
        <v>0.80000001192092896</v>
      </c>
      <c r="F16" s="9">
        <v>5.3330001831054688</v>
      </c>
      <c r="G16" s="9">
        <v>0.99900275468826294</v>
      </c>
      <c r="H16" s="9">
        <v>0.15000937879085541</v>
      </c>
      <c r="I16">
        <v>0</v>
      </c>
      <c r="J16"/>
    </row>
    <row r="17" spans="1:10" ht="15" customHeight="1" x14ac:dyDescent="0.15">
      <c r="A17" s="151">
        <v>16</v>
      </c>
      <c r="B17" s="151" t="s">
        <v>207</v>
      </c>
      <c r="C17" s="8">
        <v>4.4940428733825684</v>
      </c>
      <c r="D17" s="9">
        <v>2.7746662497520447E-2</v>
      </c>
      <c r="E17" s="9">
        <v>0.5</v>
      </c>
      <c r="F17" s="9">
        <v>5</v>
      </c>
      <c r="G17" s="9">
        <v>0.99907147884368896</v>
      </c>
      <c r="H17" s="9">
        <v>0.10000000149011612</v>
      </c>
      <c r="I17">
        <v>0</v>
      </c>
      <c r="J17"/>
    </row>
    <row r="18" spans="1:10" ht="15" customHeight="1" x14ac:dyDescent="0.15">
      <c r="A18" s="152">
        <v>17</v>
      </c>
      <c r="B18" s="152" t="s">
        <v>208</v>
      </c>
      <c r="C18" s="8">
        <v>3.8806357383728027</v>
      </c>
      <c r="D18" s="9">
        <v>4.4725823402404785</v>
      </c>
      <c r="E18" s="9">
        <v>2</v>
      </c>
      <c r="F18" s="9">
        <v>13.33329963684082</v>
      </c>
      <c r="G18" s="9">
        <v>0.99899983406066895</v>
      </c>
      <c r="H18" s="9">
        <v>0.15000037848949432</v>
      </c>
      <c r="I18">
        <v>0</v>
      </c>
      <c r="J18"/>
    </row>
    <row r="19" spans="1:10" ht="15" customHeight="1" x14ac:dyDescent="0.15">
      <c r="A19" s="153">
        <v>18</v>
      </c>
      <c r="B19" s="153" t="s">
        <v>209</v>
      </c>
      <c r="C19" s="8">
        <v>4.217961311340332</v>
      </c>
      <c r="D19" s="9">
        <v>13.107485771179199</v>
      </c>
      <c r="E19" s="9">
        <v>1.2282500267028809</v>
      </c>
      <c r="F19" s="9">
        <v>7.8243999481201172</v>
      </c>
      <c r="G19" s="9">
        <v>0.98362624645233154</v>
      </c>
      <c r="H19" s="9">
        <v>0.15697689354419708</v>
      </c>
      <c r="I19">
        <v>0</v>
      </c>
      <c r="J19"/>
    </row>
    <row r="20" spans="1:10" ht="15" customHeight="1" x14ac:dyDescent="0.15">
      <c r="A20" s="154">
        <v>19</v>
      </c>
      <c r="B20" s="154" t="s">
        <v>210</v>
      </c>
      <c r="C20" s="8">
        <v>4.0164604187011719</v>
      </c>
      <c r="D20" s="9">
        <v>7.3729610443115234</v>
      </c>
      <c r="E20" s="9">
        <v>1.1400209665298462</v>
      </c>
      <c r="F20" s="9">
        <v>7.2775001525878906</v>
      </c>
      <c r="G20" s="9">
        <v>0.96563500165939331</v>
      </c>
      <c r="H20" s="9">
        <v>0.15665008127689362</v>
      </c>
      <c r="I20">
        <v>0</v>
      </c>
      <c r="J20"/>
    </row>
    <row r="21" spans="1:10" ht="15" customHeight="1" x14ac:dyDescent="0.15">
      <c r="A21" s="155">
        <v>20</v>
      </c>
      <c r="B21" s="155" t="s">
        <v>211</v>
      </c>
      <c r="C21" s="8">
        <v>3.8531348705291748</v>
      </c>
      <c r="D21" s="9">
        <v>6.209932804107666</v>
      </c>
      <c r="E21" s="9">
        <v>1</v>
      </c>
      <c r="F21" s="9">
        <v>5</v>
      </c>
      <c r="G21" s="9">
        <v>0.9990047812461853</v>
      </c>
      <c r="H21" s="9">
        <v>0.20000000298023224</v>
      </c>
      <c r="I21">
        <v>0</v>
      </c>
      <c r="J21"/>
    </row>
    <row r="22" spans="1:10" ht="15" customHeight="1" x14ac:dyDescent="0.15">
      <c r="A22" s="156">
        <v>21</v>
      </c>
      <c r="B22" s="156" t="s">
        <v>212</v>
      </c>
      <c r="C22" s="8">
        <v>3.861903190612793</v>
      </c>
      <c r="D22" s="9">
        <v>3.5037789344787598</v>
      </c>
      <c r="E22" s="9">
        <v>1</v>
      </c>
      <c r="F22" s="9">
        <v>5</v>
      </c>
      <c r="G22" s="9">
        <v>0.99900162220001221</v>
      </c>
      <c r="H22" s="9">
        <v>0.20000000298023224</v>
      </c>
      <c r="I22">
        <v>0</v>
      </c>
      <c r="J22"/>
    </row>
    <row r="23" spans="1:10" ht="15" customHeight="1" x14ac:dyDescent="0.15">
      <c r="A23" s="157">
        <v>22</v>
      </c>
      <c r="B23" s="157" t="s">
        <v>213</v>
      </c>
      <c r="C23" s="8">
        <v>3.7320408821105957</v>
      </c>
      <c r="D23" s="9">
        <v>0.36000001430511475</v>
      </c>
      <c r="E23" s="9">
        <v>0.5</v>
      </c>
      <c r="F23" s="9">
        <v>3.3333001136779785</v>
      </c>
      <c r="G23" s="9">
        <v>0.66699349880218506</v>
      </c>
      <c r="H23" s="9">
        <v>0.15000149607658386</v>
      </c>
      <c r="I23">
        <v>0</v>
      </c>
      <c r="J23"/>
    </row>
    <row r="24" spans="1:10" ht="15" customHeight="1" x14ac:dyDescent="0.15">
      <c r="A24" s="158">
        <v>23</v>
      </c>
      <c r="B24" s="158" t="s">
        <v>214</v>
      </c>
      <c r="C24" s="8">
        <v>4.2523293495178223</v>
      </c>
      <c r="D24" s="9">
        <v>1.7682181671261787E-2</v>
      </c>
      <c r="E24" s="9">
        <v>0.15600000321865082</v>
      </c>
      <c r="F24" s="9">
        <v>120.30000305175781</v>
      </c>
      <c r="G24" s="9">
        <v>0.37515020370483398</v>
      </c>
      <c r="H24" s="9">
        <v>1.2967580696567893E-3</v>
      </c>
      <c r="I24">
        <v>6.120000034570694E-4</v>
      </c>
      <c r="J24"/>
    </row>
    <row r="25" spans="1:10" ht="15" customHeight="1" x14ac:dyDescent="0.15">
      <c r="A25" s="159">
        <v>24</v>
      </c>
      <c r="B25" s="159" t="s">
        <v>215</v>
      </c>
      <c r="C25" s="8">
        <v>4.5193376541137695</v>
      </c>
      <c r="D25" s="9">
        <v>9.2179998755455017E-3</v>
      </c>
      <c r="E25" s="9">
        <v>0.28999999165534973</v>
      </c>
      <c r="F25" s="9">
        <v>18.25</v>
      </c>
      <c r="G25" s="9">
        <v>0.79592758417129517</v>
      </c>
      <c r="H25" s="9">
        <v>1.5890410169959068E-2</v>
      </c>
      <c r="I25">
        <v>1.0949999559670687E-3</v>
      </c>
      <c r="J25"/>
    </row>
    <row r="26" spans="1:10" ht="15" customHeight="1" x14ac:dyDescent="0.15">
      <c r="A26" s="160">
        <v>25</v>
      </c>
      <c r="B26" s="160" t="s">
        <v>216</v>
      </c>
      <c r="C26" s="8">
        <v>4.1616826057434082</v>
      </c>
      <c r="D26" s="9">
        <v>1.8999999389052391E-2</v>
      </c>
      <c r="E26" s="9">
        <v>0.15000000596046448</v>
      </c>
      <c r="F26" s="9">
        <v>7.4183001518249512</v>
      </c>
      <c r="G26" s="7">
        <v>0</v>
      </c>
      <c r="H26" s="9">
        <v>2.0220266655087471E-2</v>
      </c>
      <c r="I26">
        <v>0</v>
      </c>
      <c r="J26"/>
    </row>
    <row r="27" spans="1:10" ht="15" customHeight="1" x14ac:dyDescent="0.15">
      <c r="A27" s="161">
        <v>26</v>
      </c>
      <c r="B27" s="161" t="s">
        <v>217</v>
      </c>
      <c r="C27" s="8">
        <v>1</v>
      </c>
      <c r="D27" s="10"/>
      <c r="E27" s="10"/>
      <c r="F27" s="10"/>
      <c r="G27" s="9">
        <v>0.95373439788818359</v>
      </c>
      <c r="H27" s="10"/>
      <c r="I27">
        <v>0</v>
      </c>
      <c r="J27"/>
    </row>
    <row r="28" spans="1:10" ht="15" customHeight="1" x14ac:dyDescent="0.15">
      <c r="A28" s="162">
        <v>27</v>
      </c>
      <c r="B28" s="162" t="s">
        <v>218</v>
      </c>
      <c r="C28" s="8">
        <v>1</v>
      </c>
      <c r="D28" s="9">
        <v>5</v>
      </c>
      <c r="E28" s="10"/>
      <c r="F28" s="10"/>
      <c r="G28" s="7">
        <v>0</v>
      </c>
      <c r="H28" s="10"/>
      <c r="I28">
        <v>0</v>
      </c>
      <c r="J28"/>
    </row>
    <row r="29" spans="1:10" ht="15" customHeight="1" x14ac:dyDescent="0.15">
      <c r="A29" s="163">
        <v>28</v>
      </c>
      <c r="B29" s="163" t="s">
        <v>219</v>
      </c>
      <c r="C29" s="8">
        <v>5.5193371772766113</v>
      </c>
      <c r="D29" s="10"/>
      <c r="E29" s="10"/>
      <c r="F29" s="10"/>
      <c r="G29" s="10"/>
      <c r="H29" s="10"/>
      <c r="I29">
        <v>1.0949999559670687E-3</v>
      </c>
      <c r="J29"/>
    </row>
    <row r="30" spans="1:10" ht="15" customHeight="1" x14ac:dyDescent="0.15">
      <c r="A30" s="164">
        <v>29</v>
      </c>
      <c r="B30" s="164" t="s">
        <v>214</v>
      </c>
      <c r="C30" s="8">
        <v>5.2523293495178223</v>
      </c>
      <c r="D30" s="10"/>
      <c r="E30" s="10"/>
      <c r="F30" s="10"/>
      <c r="G30" s="10"/>
      <c r="H30" s="10"/>
      <c r="I30">
        <v>6.120000034570694E-4</v>
      </c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5" bestFit="1" customWidth="1"/>
    <col min="2" max="4" width="9.5" style="75" bestFit="1" customWidth="1"/>
    <col min="5" max="7" width="9" style="75" bestFit="1" customWidth="1"/>
    <col min="8" max="16" width="12.6640625" style="75" bestFit="1" customWidth="1"/>
    <col min="17" max="17" width="12.33203125" style="75" bestFit="1" customWidth="1"/>
    <col min="18" max="18" width="8.83203125" style="75"/>
    <col min="19" max="21" width="9.33203125" style="75" bestFit="1" customWidth="1"/>
    <col min="22" max="23" width="8.83203125" style="75"/>
    <col min="24" max="24" width="9.33203125" style="75" bestFit="1" customWidth="1"/>
    <col min="25" max="27" width="8.83203125" style="75"/>
    <col min="28" max="58" width="9" style="75" bestFit="1" customWidth="1"/>
    <col min="59" max="59" width="12.33203125" style="75" bestFit="1" customWidth="1"/>
    <col min="60" max="60" width="9" style="75" bestFit="1" customWidth="1"/>
    <col min="61" max="61" width="11.33203125" style="75" bestFit="1" customWidth="1"/>
    <col min="62" max="77" width="9" style="75" bestFit="1" customWidth="1"/>
    <col min="78" max="78" width="12.33203125" style="75" bestFit="1" customWidth="1"/>
    <col min="79" max="79" width="9" style="75" bestFit="1" customWidth="1"/>
    <col min="80" max="80" width="12.33203125" style="75" bestFit="1" customWidth="1"/>
    <col min="81" max="107" width="9" style="75" bestFit="1" customWidth="1"/>
    <col min="108" max="108" width="11.33203125" style="75" bestFit="1" customWidth="1"/>
    <col min="109" max="124" width="9" style="75" bestFit="1" customWidth="1"/>
    <col min="125" max="125" width="10.33203125" style="75" bestFit="1" customWidth="1"/>
    <col min="126" max="129" width="9.33203125" style="75" bestFit="1" customWidth="1"/>
    <col min="130" max="130" width="9" style="75" bestFit="1" customWidth="1"/>
    <col min="131" max="134" width="9.33203125" style="75" bestFit="1" customWidth="1"/>
    <col min="135" max="165" width="9" style="75" bestFit="1" customWidth="1"/>
    <col min="166" max="166" width="12.33203125" style="75" bestFit="1" customWidth="1"/>
    <col min="167" max="170" width="9" style="75" bestFit="1" customWidth="1"/>
    <col min="171" max="176" width="8.83203125" style="75"/>
    <col min="177" max="177" width="13.83203125" style="75" bestFit="1" customWidth="1"/>
    <col min="178" max="16384" width="8.83203125" style="7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224</v>
      </c>
      <c r="E1" t="s">
        <v>225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166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35.700000762939453</v>
      </c>
      <c r="C2">
        <v>7.9934391975402832</v>
      </c>
      <c r="D2"/>
      <c r="E2"/>
      <c r="F2"/>
      <c r="G2" s="247">
        <v>16.759735107421875</v>
      </c>
      <c r="H2" s="245">
        <v>6.5655179023742676</v>
      </c>
      <c r="I2" s="244">
        <v>2.9883987903594971</v>
      </c>
      <c r="J2" s="11">
        <v>5.6946491822600365E-3</v>
      </c>
      <c r="K2"/>
      <c r="L2"/>
      <c r="M2" s="13">
        <v>1.338275671005249</v>
      </c>
      <c r="N2" s="14">
        <v>4.3956104665994644E-2</v>
      </c>
      <c r="O2"/>
      <c r="P2"/>
      <c r="Q2"/>
      <c r="R2" s="11">
        <v>4.9815117381513119E-3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482</v>
      </c>
      <c r="C3">
        <v>0.48199379444122314</v>
      </c>
      <c r="D3"/>
      <c r="E3"/>
      <c r="F3"/>
      <c r="G3" s="243">
        <v>115.68000030517578</v>
      </c>
      <c r="H3" s="246">
        <v>354.9822998046875</v>
      </c>
      <c r="I3"/>
      <c r="J3"/>
      <c r="K3"/>
      <c r="L3"/>
      <c r="M3" s="59">
        <v>10.33677864074707</v>
      </c>
      <c r="N3" s="11">
        <v>0.28807327151298523</v>
      </c>
      <c r="O3"/>
      <c r="P3"/>
      <c r="Q3"/>
      <c r="R3" s="11">
        <v>0.23086179792881012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40</v>
      </c>
      <c r="C4">
        <v>4.0001869201660156E-2</v>
      </c>
      <c r="D4"/>
      <c r="E4"/>
      <c r="F4"/>
      <c r="G4"/>
      <c r="H4"/>
      <c r="I4" s="242">
        <v>20.229536056518555</v>
      </c>
      <c r="J4" s="59">
        <v>0.89626699686050415</v>
      </c>
      <c r="K4"/>
      <c r="L4"/>
      <c r="M4" s="202">
        <v>4.3678598403930664</v>
      </c>
      <c r="N4" s="15">
        <v>0.41928136348724365</v>
      </c>
      <c r="O4" s="59">
        <v>0.89262205362319946</v>
      </c>
      <c r="P4" s="238">
        <v>4.156588077545166</v>
      </c>
      <c r="Q4" s="14">
        <v>5.9108469635248184E-2</v>
      </c>
      <c r="R4" s="239">
        <v>5.5929727554321289</v>
      </c>
      <c r="S4" s="237">
        <v>2.7488207817077637</v>
      </c>
      <c r="T4" s="20">
        <v>0.20795674622058868</v>
      </c>
      <c r="U4"/>
      <c r="V4" s="20">
        <v>0.23379480838775635</v>
      </c>
      <c r="W4"/>
      <c r="X4"/>
      <c r="Y4"/>
      <c r="Z4" s="12">
        <v>0.1545354425907135</v>
      </c>
      <c r="AA4"/>
      <c r="AB4" s="11">
        <v>3.1266896985471249E-4</v>
      </c>
      <c r="AC4"/>
      <c r="AD4" s="11">
        <v>3.4534657606855035E-4</v>
      </c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13</v>
      </c>
      <c r="C5">
        <v>1.3001382350921631E-2</v>
      </c>
      <c r="D5"/>
      <c r="E5"/>
      <c r="F5"/>
      <c r="G5"/>
      <c r="H5"/>
      <c r="I5"/>
      <c r="J5" s="19">
        <v>0.10875672101974487</v>
      </c>
      <c r="K5"/>
      <c r="L5"/>
      <c r="M5" s="227">
        <v>2.7384066581726074</v>
      </c>
      <c r="N5" s="59">
        <v>0.27134579420089722</v>
      </c>
      <c r="O5" s="234">
        <v>0.97934317588806152</v>
      </c>
      <c r="P5" s="240">
        <v>3.9089264869689941</v>
      </c>
      <c r="Q5" s="23">
        <v>1.0005590915679932</v>
      </c>
      <c r="R5" s="61">
        <v>0.77015817165374756</v>
      </c>
      <c r="S5" s="206">
        <v>0.68934345245361328</v>
      </c>
      <c r="T5" s="18">
        <v>0.56496858596801758</v>
      </c>
      <c r="U5" s="11">
        <v>8.5248926188796759E-4</v>
      </c>
      <c r="V5" s="65">
        <v>0.91610264778137207</v>
      </c>
      <c r="W5" s="232">
        <v>0.29934510588645935</v>
      </c>
      <c r="X5" s="135">
        <v>0.37916666269302368</v>
      </c>
      <c r="Y5" s="20">
        <v>8.5857369005680084E-2</v>
      </c>
      <c r="Z5" s="59">
        <v>0.26912549138069153</v>
      </c>
      <c r="AA5"/>
      <c r="AB5" s="11">
        <v>2.8097087051719427E-3</v>
      </c>
      <c r="AC5"/>
      <c r="AD5" s="11">
        <v>1.9312978256493807E-3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0.43999999761581421</v>
      </c>
      <c r="C6">
        <v>0.2200000137090683</v>
      </c>
      <c r="D6"/>
      <c r="E6"/>
      <c r="F6"/>
      <c r="G6"/>
      <c r="H6"/>
      <c r="I6"/>
      <c r="J6" s="99">
        <v>2.9339997097849846E-2</v>
      </c>
      <c r="K6"/>
      <c r="L6"/>
      <c r="M6"/>
      <c r="N6"/>
      <c r="O6"/>
      <c r="P6"/>
      <c r="Q6"/>
      <c r="R6" s="218">
        <v>0.19065999984741211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8</v>
      </c>
      <c r="C7">
        <v>7.9970359802246094E-3</v>
      </c>
      <c r="D7"/>
      <c r="E7"/>
      <c r="F7"/>
      <c r="G7"/>
      <c r="H7"/>
      <c r="I7"/>
      <c r="J7"/>
      <c r="K7"/>
      <c r="L7" s="241">
        <v>3.0783815383911133</v>
      </c>
      <c r="M7"/>
      <c r="N7"/>
      <c r="O7" s="225">
        <v>3.5806396007537842</v>
      </c>
      <c r="P7"/>
      <c r="Q7"/>
      <c r="R7"/>
      <c r="S7" s="235">
        <v>0.81426793336868286</v>
      </c>
      <c r="T7" s="19">
        <v>6.8446524441242218E-2</v>
      </c>
      <c r="U7"/>
      <c r="V7"/>
      <c r="W7"/>
      <c r="X7" s="135">
        <v>0.23367659747600555</v>
      </c>
      <c r="Y7" s="22">
        <v>0.21034564077854156</v>
      </c>
      <c r="Z7"/>
      <c r="AA7" s="11">
        <v>6.2452685087919235E-3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1.2000000476837158</v>
      </c>
      <c r="C8">
        <v>1.1931181652471423E-3</v>
      </c>
      <c r="D8"/>
      <c r="E8"/>
      <c r="F8"/>
      <c r="G8"/>
      <c r="H8"/>
      <c r="I8"/>
      <c r="J8"/>
      <c r="K8"/>
      <c r="L8" s="229">
        <v>0.5</v>
      </c>
      <c r="M8"/>
      <c r="N8"/>
      <c r="O8" s="196">
        <v>0.23084183037281036</v>
      </c>
      <c r="P8"/>
      <c r="Q8"/>
      <c r="R8"/>
      <c r="S8"/>
      <c r="T8"/>
      <c r="U8"/>
      <c r="V8"/>
      <c r="W8"/>
      <c r="X8" s="212">
        <v>0.18133795261383057</v>
      </c>
      <c r="Y8" s="219">
        <v>0.27283170819282532</v>
      </c>
      <c r="Z8"/>
      <c r="AA8" s="16">
        <v>1.3795505277812481E-2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1.3500000238418579</v>
      </c>
      <c r="C9">
        <v>5.2442282438278198E-2</v>
      </c>
      <c r="D9"/>
      <c r="E9"/>
      <c r="F9"/>
      <c r="G9"/>
      <c r="H9"/>
      <c r="I9"/>
      <c r="J9"/>
      <c r="K9"/>
      <c r="L9"/>
      <c r="M9"/>
      <c r="N9"/>
      <c r="O9"/>
      <c r="P9"/>
      <c r="Q9" s="231">
        <v>0.24042005836963654</v>
      </c>
      <c r="R9"/>
      <c r="S9"/>
      <c r="T9"/>
      <c r="U9" s="11">
        <v>6.6682281612884253E-5</v>
      </c>
      <c r="V9"/>
      <c r="W9" s="236">
        <v>1.0090912580490112</v>
      </c>
      <c r="X9"/>
      <c r="Y9"/>
      <c r="Z9" s="205">
        <v>4.5074280351400375E-2</v>
      </c>
      <c r="AA9" s="11">
        <v>4.4128406443633139E-4</v>
      </c>
      <c r="AB9" s="14">
        <v>2.345092361792922E-3</v>
      </c>
      <c r="AC9" s="11">
        <v>7.1346323238685727E-5</v>
      </c>
      <c r="AD9" s="11">
        <v>4.7818753955652937E-5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1.7999999523162842</v>
      </c>
      <c r="C10">
        <v>1.8372058402746916E-3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 s="204">
        <v>0.43265432119369507</v>
      </c>
      <c r="R10"/>
      <c r="S10"/>
      <c r="T10"/>
      <c r="U10" s="11">
        <v>2.7144356863573194E-4</v>
      </c>
      <c r="V10"/>
      <c r="W10" s="210">
        <v>1.1370953321456909</v>
      </c>
      <c r="X10"/>
      <c r="Y10"/>
      <c r="Z10" s="20">
        <v>1.1425736360251904E-2</v>
      </c>
      <c r="AA10" s="12">
        <v>7.830178365111351E-3</v>
      </c>
      <c r="AB10" s="200">
        <v>0.20667046308517456</v>
      </c>
      <c r="AC10" s="11">
        <v>1.7554849619045854E-3</v>
      </c>
      <c r="AD10" s="11">
        <v>4.5960396528244019E-4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1.7999999523162842</v>
      </c>
      <c r="C11">
        <v>1.8096327548846602E-3</v>
      </c>
      <c r="D11"/>
      <c r="E11"/>
      <c r="F11"/>
      <c r="G11"/>
      <c r="H11"/>
      <c r="I11"/>
      <c r="J11"/>
      <c r="K11"/>
      <c r="L11"/>
      <c r="M11"/>
      <c r="N11"/>
      <c r="O11" s="205">
        <v>6.0000002384185791E-2</v>
      </c>
      <c r="P11"/>
      <c r="Q11" s="17">
        <v>3.1785082072019577E-2</v>
      </c>
      <c r="R11"/>
      <c r="S11"/>
      <c r="T11" s="99">
        <v>0.11928211152553558</v>
      </c>
      <c r="U11" s="11">
        <v>3.6559757427312434E-4</v>
      </c>
      <c r="V11" s="233">
        <v>0.94919496774673462</v>
      </c>
      <c r="W11" s="227">
        <v>0.37837374210357666</v>
      </c>
      <c r="X11" s="202">
        <v>0.19795875251293182</v>
      </c>
      <c r="Y11"/>
      <c r="Z11" s="14">
        <v>3.6933394148945808E-3</v>
      </c>
      <c r="AA11" s="11">
        <v>1.5819277614355087E-3</v>
      </c>
      <c r="AB11" s="135">
        <v>5.2121885120868683E-2</v>
      </c>
      <c r="AC11" s="14">
        <v>3.3426687587052584E-3</v>
      </c>
      <c r="AD11" s="11">
        <v>4.9026706255972385E-4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1.2300000190734863</v>
      </c>
      <c r="C12">
        <v>1.2303506955504417E-3</v>
      </c>
      <c r="D12"/>
      <c r="E12"/>
      <c r="F12"/>
      <c r="G12"/>
      <c r="H12"/>
      <c r="I12"/>
      <c r="J12"/>
      <c r="K12"/>
      <c r="L12"/>
      <c r="M12"/>
      <c r="N12"/>
      <c r="O12" s="206">
        <v>6.6035240888595581E-2</v>
      </c>
      <c r="P12"/>
      <c r="Q12" s="222">
        <v>0.31484034657478333</v>
      </c>
      <c r="R12"/>
      <c r="S12"/>
      <c r="T12" s="21">
        <v>3.2820094376802444E-2</v>
      </c>
      <c r="U12" s="11">
        <v>1.0703096631914377E-3</v>
      </c>
      <c r="V12" s="62">
        <v>0.11415290087461472</v>
      </c>
      <c r="W12" s="215">
        <v>0.17847141623497009</v>
      </c>
      <c r="X12" s="207">
        <v>0.46686619520187378</v>
      </c>
      <c r="Y12" s="19">
        <v>9.005419909954071E-3</v>
      </c>
      <c r="Z12" s="135">
        <v>3.6583580076694489E-2</v>
      </c>
      <c r="AA12" s="14">
        <v>1.7410495784133673E-3</v>
      </c>
      <c r="AB12" s="20">
        <v>6.1682453379034996E-3</v>
      </c>
      <c r="AC12" s="11">
        <v>1.0148688452318311E-3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166</v>
      </c>
      <c r="B13">
        <v>5</v>
      </c>
      <c r="C13">
        <v>4.9903988838195801E-3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 s="135">
        <v>0.15000000596046448</v>
      </c>
      <c r="R13"/>
      <c r="S13"/>
      <c r="T13"/>
      <c r="U13" s="14">
        <v>1.0179424658417702E-2</v>
      </c>
      <c r="V13" s="221">
        <v>1.0382800102233887</v>
      </c>
      <c r="W13" s="100">
        <v>0.86730086803436279</v>
      </c>
      <c r="X13" s="100">
        <v>0.8674769401550293</v>
      </c>
      <c r="Y13" s="226">
        <v>1.5445691347122192</v>
      </c>
      <c r="Z13" s="211">
        <v>0.45316928625106812</v>
      </c>
      <c r="AA13" s="20">
        <v>2.9861701652407646E-2</v>
      </c>
      <c r="AB13" s="12">
        <v>2.3803876712918282E-2</v>
      </c>
      <c r="AC13" s="11">
        <v>1.4644956681877375E-3</v>
      </c>
      <c r="AD13" s="14">
        <v>8.9041078463196754E-3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0.95822399854660034</v>
      </c>
      <c r="C14">
        <v>9.5781183335930109E-4</v>
      </c>
      <c r="D14"/>
      <c r="E14"/>
      <c r="F14"/>
      <c r="G14"/>
      <c r="H14"/>
      <c r="I14"/>
      <c r="J14"/>
      <c r="K14"/>
      <c r="L14"/>
      <c r="M14"/>
      <c r="N14"/>
      <c r="O14" s="212">
        <v>0.14436331391334534</v>
      </c>
      <c r="P14"/>
      <c r="Q14" s="220">
        <v>0.2600206732749939</v>
      </c>
      <c r="R14"/>
      <c r="S14"/>
      <c r="T14"/>
      <c r="U14" s="11">
        <v>7.0371839683502913E-4</v>
      </c>
      <c r="V14" s="61">
        <v>5.6717269122600555E-2</v>
      </c>
      <c r="W14" s="223">
        <v>0.3576524555683136</v>
      </c>
      <c r="X14" s="24">
        <v>3.4021403640508652E-2</v>
      </c>
      <c r="Y14" s="63">
        <v>4.9218125641345978E-2</v>
      </c>
      <c r="Z14" s="203">
        <v>3.7767108529806137E-2</v>
      </c>
      <c r="AA14" s="20">
        <v>5.3286878392100334E-3</v>
      </c>
      <c r="AB14" s="16">
        <v>1.1192338541150093E-2</v>
      </c>
      <c r="AC14" s="11">
        <v>2.4533277610316873E-4</v>
      </c>
      <c r="AD14" s="11">
        <v>3.5745746572501957E-5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1.2001991271972656E-3</v>
      </c>
      <c r="D15"/>
      <c r="E15"/>
      <c r="F15"/>
      <c r="G15"/>
      <c r="H15"/>
      <c r="I15"/>
      <c r="J15"/>
      <c r="K15"/>
      <c r="L15"/>
      <c r="M15"/>
      <c r="N15"/>
      <c r="O15"/>
      <c r="P15"/>
      <c r="Q15" s="225">
        <v>0.53758019208908081</v>
      </c>
      <c r="R15"/>
      <c r="S15"/>
      <c r="T15"/>
      <c r="U15" s="11">
        <v>3.4626715932972729E-4</v>
      </c>
      <c r="V15"/>
      <c r="W15" s="228">
        <v>0.65822654962539673</v>
      </c>
      <c r="X15"/>
      <c r="Y15"/>
      <c r="Z15"/>
      <c r="AA15" s="11">
        <v>3.2106123398989439E-4</v>
      </c>
      <c r="AB15" s="11">
        <v>9.4788812566548586E-4</v>
      </c>
      <c r="AC15" s="11">
        <v>7.4979400960728526E-4</v>
      </c>
      <c r="AD15" s="11">
        <v>6.2817224534228444E-4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0.80000001192092896</v>
      </c>
      <c r="C16">
        <v>7.9779623774811625E-4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217">
        <v>0.63800358772277832</v>
      </c>
      <c r="X16"/>
      <c r="Y16" s="202">
        <v>8.7798468768596649E-2</v>
      </c>
      <c r="Z16" s="201">
        <v>6.6050395369529724E-2</v>
      </c>
      <c r="AA16" s="20">
        <v>4.5265038497745991E-3</v>
      </c>
      <c r="AB16"/>
      <c r="AC16" s="14">
        <v>1.6807925421744585E-3</v>
      </c>
      <c r="AD16" s="14">
        <v>1.1424665572121739E-3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</v>
      </c>
      <c r="C17">
        <v>4.6426057815551758E-4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 s="197">
        <v>0.17307861149311066</v>
      </c>
      <c r="AB17" s="101">
        <v>0.22994561493396759</v>
      </c>
      <c r="AC17"/>
      <c r="AD17" s="196">
        <v>9.6511512994766235E-2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</v>
      </c>
      <c r="C18">
        <v>2.0003318786621094E-3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 s="11">
        <v>7.1342819137498736E-4</v>
      </c>
      <c r="V18"/>
      <c r="W18" s="230">
        <v>1.834433913230896</v>
      </c>
      <c r="X18" s="68">
        <v>0.15595854818820953</v>
      </c>
      <c r="Y18"/>
      <c r="Z18"/>
      <c r="AA18"/>
      <c r="AB18" s="11">
        <v>9.5101265469565988E-4</v>
      </c>
      <c r="AC18" s="12">
        <v>5.9428992681205273E-3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1.2282500267028809</v>
      </c>
      <c r="C19">
        <v>2.0111063495278358E-2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 s="13">
        <v>4.6009916812181473E-2</v>
      </c>
      <c r="R19"/>
      <c r="S19"/>
      <c r="T19"/>
      <c r="U19" s="11">
        <v>2.6460704975761473E-4</v>
      </c>
      <c r="V19"/>
      <c r="W19" s="218">
        <v>0.5320591926574707</v>
      </c>
      <c r="X19" s="132">
        <v>0.41754657030105591</v>
      </c>
      <c r="Y19" s="213">
        <v>0.20135223865509033</v>
      </c>
      <c r="Z19"/>
      <c r="AA19" s="11">
        <v>1.8319126684218645E-4</v>
      </c>
      <c r="AB19" s="19">
        <v>8.4372041746973991E-3</v>
      </c>
      <c r="AC19" s="14">
        <v>2.0278568845242262E-3</v>
      </c>
      <c r="AD19" s="11">
        <v>2.5806442135944963E-4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1.1400209665298462</v>
      </c>
      <c r="C20">
        <v>3.9176817983388901E-2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 s="11">
        <v>8.6555903544649482E-4</v>
      </c>
      <c r="V20"/>
      <c r="W20" s="224">
        <v>0.80678248405456543</v>
      </c>
      <c r="X20"/>
      <c r="Y20" s="209">
        <v>0.23162086308002472</v>
      </c>
      <c r="Z20" s="60">
        <v>4.7522004693746567E-2</v>
      </c>
      <c r="AA20" s="11">
        <v>3.2567334710620344E-4</v>
      </c>
      <c r="AB20" s="16">
        <v>1.3268765993416309E-2</v>
      </c>
      <c r="AC20"/>
      <c r="AD20" s="11">
        <v>4.5878117089159787E-4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</v>
      </c>
      <c r="C21">
        <v>9.9521875381469727E-4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 s="214">
        <v>0.44591006636619568</v>
      </c>
      <c r="X21" s="216">
        <v>0.51842808723449707</v>
      </c>
      <c r="Y21" s="22">
        <v>2.5000002235174179E-2</v>
      </c>
      <c r="Z21"/>
      <c r="AA21" s="15">
        <v>9.6666775643825531E-3</v>
      </c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</v>
      </c>
      <c r="C22">
        <v>9.9837779998779297E-4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12">
        <v>3.9595342241227627E-3</v>
      </c>
      <c r="V22"/>
      <c r="W22" s="207">
        <v>0.38051965832710266</v>
      </c>
      <c r="X22" s="208">
        <v>0.45941874384880066</v>
      </c>
      <c r="Y22" s="199">
        <v>8.8617652654647827E-2</v>
      </c>
      <c r="Z22" s="63">
        <v>5.000000074505806E-2</v>
      </c>
      <c r="AA22" s="20">
        <v>6.853105966001749E-3</v>
      </c>
      <c r="AB22" s="15">
        <v>9.1047743335366249E-3</v>
      </c>
      <c r="AC22" s="11">
        <v>5.2814796799793839E-4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</v>
      </c>
      <c r="C23">
        <v>0.16650325059890747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198">
        <v>0.33349674940109253</v>
      </c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0.15600000321865082</v>
      </c>
      <c r="C24">
        <v>9.7476571798324585E-2</v>
      </c>
      <c r="D24"/>
      <c r="E24" s="70">
        <v>3.4611113369464874E-2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 s="193">
        <v>2.3912318050861359E-2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0.28999999165534973</v>
      </c>
      <c r="C25">
        <v>5.9180997312068939E-2</v>
      </c>
      <c r="D25" s="192">
        <v>0.11878932267427444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 s="195">
        <v>6.5121956169605255E-2</v>
      </c>
      <c r="AB25" s="194">
        <v>4.6143222600221634E-2</v>
      </c>
      <c r="AC25"/>
      <c r="AD25" s="14">
        <v>7.6448603067547083E-4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0.15000000596046448</v>
      </c>
      <c r="C26">
        <v>0.15000000596046448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/>
      <c r="C27">
        <v>0.95373439788818359</v>
      </c>
      <c r="D27"/>
      <c r="E27"/>
      <c r="F27"/>
      <c r="G27" s="9">
        <v>3472.6171875</v>
      </c>
      <c r="H27"/>
      <c r="I27"/>
      <c r="J27" s="9">
        <v>5.8996562957763672</v>
      </c>
      <c r="K27" s="9">
        <v>1363.9404296875</v>
      </c>
      <c r="L27" s="9">
        <v>13.315208435058594</v>
      </c>
      <c r="M27"/>
      <c r="N27"/>
      <c r="O27" s="9">
        <v>21.629791259765625</v>
      </c>
      <c r="P27"/>
      <c r="Q27"/>
      <c r="R27" s="9">
        <v>2.5066967010498047</v>
      </c>
      <c r="S27"/>
      <c r="T27"/>
      <c r="U27"/>
      <c r="V27"/>
      <c r="W27"/>
      <c r="X27" s="9">
        <v>2.1462688446044922</v>
      </c>
      <c r="Y27" s="9">
        <v>3.1049666404724121</v>
      </c>
      <c r="Z27"/>
      <c r="AA27" s="9">
        <v>0.20410002768039703</v>
      </c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7" t="s">
        <v>167</v>
      </c>
    </row>
    <row r="2" spans="1:12" x14ac:dyDescent="0.15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7" t="s">
        <v>168</v>
      </c>
    </row>
    <row r="3" spans="1:12" ht="14" thickBot="1" x14ac:dyDescent="0.2">
      <c r="A3" s="1" t="s">
        <v>39</v>
      </c>
      <c r="B3" s="35">
        <v>0</v>
      </c>
      <c r="C3" s="3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spans="1:12" x14ac:dyDescent="0.15">
      <c r="D5" s="184" t="s">
        <v>193</v>
      </c>
      <c r="E5">
        <v>4</v>
      </c>
      <c r="F5">
        <v>2</v>
      </c>
      <c r="G5">
        <v>4</v>
      </c>
      <c r="H5" s="185" t="s">
        <v>193</v>
      </c>
      <c r="J5" s="52"/>
      <c r="K5" s="53"/>
    </row>
    <row r="6" spans="1:12" ht="14" thickBot="1" x14ac:dyDescent="0.2">
      <c r="A6" s="36" t="s">
        <v>121</v>
      </c>
      <c r="D6" s="184" t="s">
        <v>194</v>
      </c>
      <c r="E6">
        <v>5</v>
      </c>
      <c r="F6">
        <v>3.14</v>
      </c>
      <c r="G6">
        <v>5</v>
      </c>
      <c r="H6" s="185" t="s">
        <v>194</v>
      </c>
      <c r="J6" s="52"/>
      <c r="K6" s="53"/>
    </row>
    <row r="7" spans="1:12" x14ac:dyDescent="0.15">
      <c r="A7" s="31" t="s">
        <v>126</v>
      </c>
      <c r="B7" s="38">
        <v>1</v>
      </c>
      <c r="C7" s="33"/>
      <c r="D7" s="184" t="s">
        <v>195</v>
      </c>
      <c r="E7">
        <v>6</v>
      </c>
      <c r="F7">
        <v>3.11</v>
      </c>
      <c r="G7">
        <v>6</v>
      </c>
      <c r="H7" s="185" t="s">
        <v>195</v>
      </c>
      <c r="J7" s="52"/>
      <c r="K7" s="53"/>
    </row>
    <row r="8" spans="1:12" x14ac:dyDescent="0.15">
      <c r="A8" s="31" t="s">
        <v>38</v>
      </c>
      <c r="B8" s="39">
        <v>1</v>
      </c>
      <c r="C8" s="33"/>
      <c r="D8" s="184" t="s">
        <v>196</v>
      </c>
      <c r="E8">
        <v>7</v>
      </c>
      <c r="F8">
        <v>3.11</v>
      </c>
      <c r="G8">
        <v>7</v>
      </c>
      <c r="H8" s="185" t="s">
        <v>196</v>
      </c>
      <c r="J8" s="52"/>
      <c r="K8" s="53"/>
    </row>
    <row r="9" spans="1:12" x14ac:dyDescent="0.15">
      <c r="A9" s="31" t="s">
        <v>40</v>
      </c>
      <c r="B9" s="39">
        <v>1.1000000000000001</v>
      </c>
      <c r="C9" s="33"/>
      <c r="D9" s="184" t="s">
        <v>197</v>
      </c>
      <c r="E9">
        <v>8</v>
      </c>
      <c r="F9">
        <v>3.11</v>
      </c>
      <c r="G9">
        <v>8</v>
      </c>
      <c r="H9" s="185" t="s">
        <v>197</v>
      </c>
      <c r="J9" s="52"/>
      <c r="K9" s="53"/>
    </row>
    <row r="10" spans="1:12" x14ac:dyDescent="0.15">
      <c r="A10" s="31" t="s">
        <v>41</v>
      </c>
      <c r="B10" s="39">
        <v>1.2</v>
      </c>
      <c r="C10" s="33"/>
      <c r="D10" s="184" t="s">
        <v>198</v>
      </c>
      <c r="E10">
        <v>9</v>
      </c>
      <c r="F10">
        <v>3.21</v>
      </c>
      <c r="G10">
        <v>9</v>
      </c>
      <c r="H10" s="185" t="s">
        <v>198</v>
      </c>
      <c r="J10" s="52"/>
      <c r="K10" s="53"/>
    </row>
    <row r="11" spans="1:12" ht="12" customHeight="1" x14ac:dyDescent="0.15">
      <c r="A11" s="37" t="s">
        <v>127</v>
      </c>
      <c r="B11" s="39">
        <v>2</v>
      </c>
      <c r="C11" s="33"/>
      <c r="D11" s="184" t="s">
        <v>199</v>
      </c>
      <c r="E11">
        <v>10</v>
      </c>
      <c r="F11">
        <v>3.21</v>
      </c>
      <c r="G11">
        <v>10</v>
      </c>
      <c r="H11" s="185" t="s">
        <v>199</v>
      </c>
      <c r="J11" s="52"/>
      <c r="K11" s="53"/>
    </row>
    <row r="12" spans="1:12" x14ac:dyDescent="0.15">
      <c r="A12" s="31" t="s">
        <v>42</v>
      </c>
      <c r="B12" s="39">
        <v>2.1</v>
      </c>
      <c r="C12" s="33"/>
      <c r="D12" s="184" t="s">
        <v>200</v>
      </c>
      <c r="E12">
        <v>11</v>
      </c>
      <c r="F12">
        <v>3.12</v>
      </c>
      <c r="G12">
        <v>11</v>
      </c>
      <c r="H12" s="185" t="s">
        <v>200</v>
      </c>
      <c r="J12" s="52"/>
      <c r="K12" s="53"/>
    </row>
    <row r="13" spans="1:12" x14ac:dyDescent="0.15">
      <c r="A13" s="31" t="s">
        <v>43</v>
      </c>
      <c r="B13" s="39">
        <v>2.2000000000000002</v>
      </c>
      <c r="C13" s="33"/>
      <c r="D13" s="184" t="s">
        <v>201</v>
      </c>
      <c r="E13">
        <v>12</v>
      </c>
      <c r="F13">
        <v>3.12</v>
      </c>
      <c r="G13">
        <v>12</v>
      </c>
      <c r="H13" s="185" t="s">
        <v>201</v>
      </c>
      <c r="J13" s="52"/>
      <c r="K13" s="53"/>
    </row>
    <row r="14" spans="1:12" x14ac:dyDescent="0.15">
      <c r="A14" s="31" t="s">
        <v>67</v>
      </c>
      <c r="B14" s="39">
        <v>2.2999999999999998</v>
      </c>
      <c r="C14" s="33"/>
      <c r="D14" s="184" t="s">
        <v>202</v>
      </c>
      <c r="E14">
        <v>13</v>
      </c>
      <c r="F14">
        <v>3.22</v>
      </c>
      <c r="G14">
        <v>13</v>
      </c>
      <c r="H14" s="185" t="s">
        <v>202</v>
      </c>
      <c r="J14" s="52"/>
      <c r="K14" s="53"/>
    </row>
    <row r="15" spans="1:12" x14ac:dyDescent="0.15">
      <c r="A15" s="37" t="s">
        <v>128</v>
      </c>
      <c r="B15" s="39">
        <v>3</v>
      </c>
      <c r="C15" s="33"/>
      <c r="D15" s="184" t="s">
        <v>203</v>
      </c>
      <c r="E15">
        <v>14</v>
      </c>
      <c r="F15">
        <v>3.12</v>
      </c>
      <c r="G15">
        <v>14</v>
      </c>
      <c r="H15" s="185" t="s">
        <v>203</v>
      </c>
      <c r="J15" s="52"/>
      <c r="K15" s="53"/>
    </row>
    <row r="16" spans="1:12" x14ac:dyDescent="0.15">
      <c r="A16" s="31" t="s">
        <v>62</v>
      </c>
      <c r="B16" s="39">
        <v>3.11</v>
      </c>
      <c r="C16" s="33"/>
      <c r="D16" s="184" t="s">
        <v>166</v>
      </c>
      <c r="E16">
        <v>15</v>
      </c>
      <c r="F16">
        <v>3.12</v>
      </c>
      <c r="G16">
        <v>15</v>
      </c>
      <c r="H16" s="185" t="s">
        <v>166</v>
      </c>
      <c r="J16" s="52"/>
      <c r="K16" s="53"/>
    </row>
    <row r="17" spans="1:12" x14ac:dyDescent="0.15">
      <c r="A17" s="31" t="s">
        <v>61</v>
      </c>
      <c r="B17" s="39">
        <v>3.12</v>
      </c>
      <c r="C17" s="33"/>
      <c r="D17" s="184" t="s">
        <v>204</v>
      </c>
      <c r="E17">
        <v>16</v>
      </c>
      <c r="F17">
        <v>3.1</v>
      </c>
      <c r="G17">
        <v>16</v>
      </c>
      <c r="H17" s="185" t="s">
        <v>204</v>
      </c>
      <c r="J17" s="52"/>
      <c r="K17" s="53"/>
    </row>
    <row r="18" spans="1:12" x14ac:dyDescent="0.15">
      <c r="A18" s="31" t="s">
        <v>68</v>
      </c>
      <c r="B18" s="39">
        <v>3.13</v>
      </c>
      <c r="C18" s="33"/>
      <c r="D18" s="184" t="s">
        <v>205</v>
      </c>
      <c r="E18">
        <v>17</v>
      </c>
      <c r="F18">
        <v>3.12</v>
      </c>
      <c r="G18">
        <v>17</v>
      </c>
      <c r="H18" s="185" t="s">
        <v>205</v>
      </c>
      <c r="J18" s="52"/>
      <c r="K18" s="53"/>
    </row>
    <row r="19" spans="1:12" x14ac:dyDescent="0.15">
      <c r="A19" s="31" t="s">
        <v>66</v>
      </c>
      <c r="B19" s="39">
        <v>3.21</v>
      </c>
      <c r="C19" s="33"/>
      <c r="D19" s="184" t="s">
        <v>206</v>
      </c>
      <c r="E19">
        <v>18</v>
      </c>
      <c r="F19">
        <v>3.12</v>
      </c>
      <c r="G19">
        <v>18</v>
      </c>
      <c r="H19" s="185" t="s">
        <v>206</v>
      </c>
      <c r="J19" s="52"/>
      <c r="K19" s="53"/>
    </row>
    <row r="20" spans="1:12" x14ac:dyDescent="0.15">
      <c r="A20" s="31" t="s">
        <v>63</v>
      </c>
      <c r="B20" s="39">
        <v>3.22</v>
      </c>
      <c r="C20" s="33"/>
      <c r="D20" s="184" t="s">
        <v>207</v>
      </c>
      <c r="E20">
        <v>19</v>
      </c>
      <c r="F20">
        <v>3.1</v>
      </c>
      <c r="G20">
        <v>19</v>
      </c>
      <c r="H20" s="185" t="s">
        <v>207</v>
      </c>
      <c r="J20" s="52"/>
      <c r="K20" s="53"/>
    </row>
    <row r="21" spans="1:12" ht="14" thickBot="1" x14ac:dyDescent="0.2">
      <c r="A21" s="31" t="s">
        <v>69</v>
      </c>
      <c r="B21" s="39">
        <v>3.23</v>
      </c>
      <c r="C21" s="33"/>
      <c r="D21" s="184" t="s">
        <v>208</v>
      </c>
      <c r="E21">
        <v>20</v>
      </c>
      <c r="F21">
        <v>3.12</v>
      </c>
      <c r="G21">
        <v>20</v>
      </c>
      <c r="H21" s="185" t="s">
        <v>208</v>
      </c>
      <c r="J21" s="54"/>
      <c r="K21" s="55"/>
      <c r="L21" s="57" t="s">
        <v>152</v>
      </c>
    </row>
    <row r="22" spans="1:12" x14ac:dyDescent="0.15">
      <c r="A22" s="31" t="s">
        <v>64</v>
      </c>
      <c r="B22" s="39">
        <v>8</v>
      </c>
      <c r="C22" s="33"/>
      <c r="D22" s="184" t="s">
        <v>209</v>
      </c>
      <c r="E22">
        <v>21</v>
      </c>
      <c r="F22">
        <v>3.12</v>
      </c>
      <c r="G22">
        <v>21</v>
      </c>
      <c r="H22" s="185" t="s">
        <v>209</v>
      </c>
    </row>
    <row r="23" spans="1:12" x14ac:dyDescent="0.15">
      <c r="A23" s="31" t="s">
        <v>129</v>
      </c>
      <c r="B23" s="39">
        <v>4</v>
      </c>
      <c r="C23" s="33"/>
      <c r="D23" s="184" t="s">
        <v>210</v>
      </c>
      <c r="E23">
        <v>22</v>
      </c>
      <c r="F23">
        <v>3.12</v>
      </c>
      <c r="G23">
        <v>22</v>
      </c>
      <c r="H23" s="185" t="s">
        <v>210</v>
      </c>
    </row>
    <row r="24" spans="1:12" x14ac:dyDescent="0.15">
      <c r="A24" s="31" t="s">
        <v>122</v>
      </c>
      <c r="B24" s="39">
        <v>4.0999999999999996</v>
      </c>
      <c r="C24" s="33"/>
      <c r="D24" s="184" t="s">
        <v>211</v>
      </c>
      <c r="E24">
        <v>23</v>
      </c>
      <c r="F24">
        <v>3.2</v>
      </c>
      <c r="G24">
        <v>23</v>
      </c>
      <c r="H24" s="185" t="s">
        <v>211</v>
      </c>
    </row>
    <row r="25" spans="1:12" x14ac:dyDescent="0.15">
      <c r="A25" s="31" t="s">
        <v>70</v>
      </c>
      <c r="B25" s="39">
        <v>4.2</v>
      </c>
      <c r="C25" s="33"/>
      <c r="D25" s="184" t="s">
        <v>212</v>
      </c>
      <c r="E25">
        <v>24</v>
      </c>
      <c r="F25">
        <v>3.1</v>
      </c>
      <c r="G25">
        <v>24</v>
      </c>
      <c r="H25" s="185" t="s">
        <v>212</v>
      </c>
    </row>
    <row r="26" spans="1:12" x14ac:dyDescent="0.15">
      <c r="A26" s="31" t="s">
        <v>123</v>
      </c>
      <c r="B26" s="39">
        <v>4.3</v>
      </c>
      <c r="C26" s="33"/>
      <c r="D26" s="184" t="s">
        <v>213</v>
      </c>
      <c r="E26">
        <v>25</v>
      </c>
      <c r="F26">
        <v>3.12</v>
      </c>
      <c r="G26">
        <v>25</v>
      </c>
      <c r="H26" s="185" t="s">
        <v>213</v>
      </c>
    </row>
    <row r="27" spans="1:12" x14ac:dyDescent="0.15">
      <c r="A27" s="31" t="s">
        <v>125</v>
      </c>
      <c r="B27" s="39">
        <v>6.1</v>
      </c>
      <c r="D27" s="184" t="s">
        <v>214</v>
      </c>
      <c r="E27">
        <v>26</v>
      </c>
      <c r="F27">
        <v>3.13</v>
      </c>
      <c r="G27">
        <v>26</v>
      </c>
      <c r="H27" s="185" t="s">
        <v>214</v>
      </c>
    </row>
    <row r="28" spans="1:12" x14ac:dyDescent="0.15">
      <c r="A28" s="31" t="s">
        <v>124</v>
      </c>
      <c r="B28" s="39">
        <v>6.2</v>
      </c>
      <c r="D28" s="184" t="s">
        <v>215</v>
      </c>
      <c r="E28">
        <v>27</v>
      </c>
      <c r="F28">
        <v>3.13</v>
      </c>
      <c r="G28">
        <v>27</v>
      </c>
      <c r="H28" s="185" t="s">
        <v>215</v>
      </c>
    </row>
    <row r="29" spans="1:12" x14ac:dyDescent="0.15">
      <c r="A29" s="31" t="s">
        <v>44</v>
      </c>
      <c r="B29" s="39">
        <v>5</v>
      </c>
      <c r="D29" s="184" t="s">
        <v>216</v>
      </c>
      <c r="E29">
        <v>28</v>
      </c>
      <c r="F29">
        <v>3.13</v>
      </c>
      <c r="G29">
        <v>28</v>
      </c>
      <c r="H29" s="185" t="s">
        <v>216</v>
      </c>
    </row>
    <row r="30" spans="1:12" x14ac:dyDescent="0.15">
      <c r="A30" s="31" t="s">
        <v>73</v>
      </c>
      <c r="B30" s="39">
        <v>7</v>
      </c>
      <c r="D30" s="184" t="s">
        <v>217</v>
      </c>
      <c r="E30">
        <v>29</v>
      </c>
      <c r="F30">
        <v>4.0999999999999996</v>
      </c>
      <c r="G30">
        <v>29</v>
      </c>
      <c r="H30" s="185" t="s">
        <v>217</v>
      </c>
    </row>
    <row r="31" spans="1:12" x14ac:dyDescent="0.15">
      <c r="A31" s="31" t="s">
        <v>170</v>
      </c>
      <c r="B31" s="39">
        <v>3.14</v>
      </c>
      <c r="D31" s="184" t="s">
        <v>218</v>
      </c>
      <c r="E31">
        <v>30</v>
      </c>
      <c r="F31">
        <v>4.3</v>
      </c>
      <c r="G31">
        <v>30</v>
      </c>
      <c r="H31" s="185" t="s">
        <v>218</v>
      </c>
    </row>
    <row r="32" spans="1:12" ht="12" customHeight="1" thickBot="1" x14ac:dyDescent="0.2">
      <c r="A32" s="37" t="s">
        <v>171</v>
      </c>
      <c r="B32" s="40">
        <v>9</v>
      </c>
      <c r="D32" s="184" t="s">
        <v>219</v>
      </c>
      <c r="E32">
        <v>31</v>
      </c>
      <c r="F32">
        <v>5</v>
      </c>
      <c r="G32">
        <v>31</v>
      </c>
      <c r="H32" s="185" t="s">
        <v>219</v>
      </c>
    </row>
    <row r="33" spans="4:8" customFormat="1" ht="12" customHeight="1" x14ac:dyDescent="0.15">
      <c r="D33" s="184" t="s">
        <v>214</v>
      </c>
      <c r="E33">
        <v>32</v>
      </c>
      <c r="F33">
        <v>5</v>
      </c>
      <c r="G33">
        <v>32</v>
      </c>
      <c r="H33" s="185" t="s">
        <v>214</v>
      </c>
    </row>
    <row r="34" spans="4:8" customFormat="1" ht="12" customHeight="1" x14ac:dyDescent="0.15">
      <c r="D34" s="184" t="s">
        <v>138</v>
      </c>
      <c r="E34">
        <v>33</v>
      </c>
      <c r="F34">
        <v>6.1</v>
      </c>
      <c r="G34">
        <v>33</v>
      </c>
      <c r="H34" s="185" t="s">
        <v>138</v>
      </c>
    </row>
    <row r="35" spans="4:8" customFormat="1" x14ac:dyDescent="0.15">
      <c r="D35" s="184" t="s">
        <v>45</v>
      </c>
      <c r="E35">
        <v>34</v>
      </c>
      <c r="F35">
        <v>6.2</v>
      </c>
      <c r="G35">
        <v>34</v>
      </c>
      <c r="H35" s="185" t="s">
        <v>45</v>
      </c>
    </row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6" bestFit="1" customWidth="1"/>
    <col min="2" max="2" width="5.83203125" style="75" customWidth="1"/>
    <col min="3" max="3" width="13.1640625" style="75" customWidth="1"/>
    <col min="4" max="4" width="39.6640625" style="75" customWidth="1"/>
    <col min="5" max="5" width="8.1640625" style="75" customWidth="1"/>
    <col min="6" max="6" width="21.6640625" style="75" bestFit="1" customWidth="1"/>
    <col min="7" max="9" width="2.33203125" style="75" customWidth="1"/>
    <col min="10" max="10" width="2.33203125" style="75" bestFit="1" customWidth="1"/>
    <col min="11" max="15" width="2.33203125" style="75" customWidth="1"/>
    <col min="16" max="16" width="2.33203125" style="66" customWidth="1"/>
    <col min="17" max="17" width="2.33203125" style="75" customWidth="1"/>
    <col min="18" max="18" width="2.33203125" style="67" customWidth="1"/>
    <col min="19" max="16384" width="11.5" style="75"/>
  </cols>
  <sheetData>
    <row r="1" spans="1:23" ht="15" customHeight="1" thickBot="1" x14ac:dyDescent="0.2">
      <c r="F1" s="1"/>
      <c r="G1" s="64" t="s">
        <v>46</v>
      </c>
      <c r="H1" s="64" t="s">
        <v>47</v>
      </c>
      <c r="I1" s="64" t="s">
        <v>120</v>
      </c>
      <c r="J1" s="64" t="s">
        <v>132</v>
      </c>
      <c r="K1" s="77" t="s">
        <v>48</v>
      </c>
      <c r="L1" s="67"/>
      <c r="M1" s="77" t="s">
        <v>119</v>
      </c>
      <c r="N1" s="67"/>
      <c r="O1" s="77" t="s">
        <v>49</v>
      </c>
      <c r="P1" s="69"/>
      <c r="Q1" s="77" t="s">
        <v>50</v>
      </c>
      <c r="R1" s="64" t="s">
        <v>154</v>
      </c>
    </row>
    <row r="2" spans="1:23" ht="15" customHeight="1" x14ac:dyDescent="0.15">
      <c r="A2" s="77" t="s">
        <v>51</v>
      </c>
      <c r="B2" s="78">
        <v>0.5</v>
      </c>
      <c r="C2" s="76" t="s">
        <v>52</v>
      </c>
      <c r="D2" s="79"/>
      <c r="F2" s="1"/>
      <c r="G2" s="80"/>
      <c r="H2" s="80"/>
      <c r="I2" s="80" t="s">
        <v>133</v>
      </c>
      <c r="J2" s="80" t="s">
        <v>133</v>
      </c>
      <c r="K2" s="80" t="s">
        <v>52</v>
      </c>
      <c r="L2" s="80" t="s">
        <v>53</v>
      </c>
      <c r="M2" s="80" t="s">
        <v>52</v>
      </c>
      <c r="N2" s="80" t="s">
        <v>53</v>
      </c>
      <c r="O2" s="80" t="s">
        <v>52</v>
      </c>
      <c r="P2" s="81" t="s">
        <v>53</v>
      </c>
      <c r="Q2" s="80"/>
      <c r="R2" s="82" t="s">
        <v>155</v>
      </c>
    </row>
    <row r="3" spans="1:23" ht="15" customHeight="1" thickBot="1" x14ac:dyDescent="0.2">
      <c r="A3" s="77" t="s">
        <v>54</v>
      </c>
      <c r="B3" s="83">
        <v>0.5</v>
      </c>
      <c r="C3" s="76" t="s">
        <v>53</v>
      </c>
      <c r="D3" s="7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3">
        <v>0</v>
      </c>
    </row>
    <row r="5" spans="1:23" ht="15" customHeight="1" x14ac:dyDescent="0.15">
      <c r="A5" s="77" t="s">
        <v>55</v>
      </c>
      <c r="B5" s="84">
        <v>0.5</v>
      </c>
      <c r="C5" s="76" t="s">
        <v>52</v>
      </c>
      <c r="D5" s="7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3">
        <v>0</v>
      </c>
    </row>
    <row r="6" spans="1:23" ht="15" customHeight="1" thickBot="1" x14ac:dyDescent="0.2">
      <c r="A6" s="77"/>
      <c r="B6" s="85">
        <v>0.5</v>
      </c>
      <c r="C6" s="76" t="s">
        <v>53</v>
      </c>
      <c r="D6" s="79"/>
      <c r="F6" s="186" t="s">
        <v>193</v>
      </c>
      <c r="G6" s="75">
        <v>0</v>
      </c>
      <c r="H6" s="75">
        <v>0</v>
      </c>
      <c r="I6" s="75">
        <v>0</v>
      </c>
      <c r="J6" s="75">
        <v>0</v>
      </c>
      <c r="K6" s="75">
        <v>0</v>
      </c>
      <c r="L6" s="75">
        <v>0</v>
      </c>
      <c r="M6" s="75">
        <v>1</v>
      </c>
      <c r="N6" s="75">
        <v>0</v>
      </c>
      <c r="O6" s="75">
        <v>0</v>
      </c>
      <c r="P6" s="66">
        <v>0</v>
      </c>
      <c r="Q6" s="75">
        <v>0</v>
      </c>
      <c r="R6" s="67">
        <v>1</v>
      </c>
      <c r="S6"/>
      <c r="T6"/>
    </row>
    <row r="7" spans="1:23" ht="15" customHeight="1" thickBot="1" x14ac:dyDescent="0.2">
      <c r="F7" s="186" t="s">
        <v>194</v>
      </c>
      <c r="G7" s="75">
        <v>0</v>
      </c>
      <c r="H7" s="75">
        <v>0</v>
      </c>
      <c r="I7" s="75">
        <v>0</v>
      </c>
      <c r="J7" s="75">
        <v>0</v>
      </c>
      <c r="K7" s="75">
        <v>1</v>
      </c>
      <c r="L7" s="75">
        <v>0</v>
      </c>
      <c r="M7" s="75">
        <v>1</v>
      </c>
      <c r="N7" s="75">
        <v>0</v>
      </c>
      <c r="O7" s="75">
        <v>1</v>
      </c>
      <c r="P7" s="66">
        <v>0</v>
      </c>
      <c r="Q7" s="75">
        <v>0</v>
      </c>
      <c r="R7" s="67">
        <v>1</v>
      </c>
      <c r="S7"/>
      <c r="T7"/>
    </row>
    <row r="8" spans="1:23" ht="15" customHeight="1" x14ac:dyDescent="0.15">
      <c r="A8" s="77" t="s">
        <v>56</v>
      </c>
      <c r="B8" s="84">
        <v>1</v>
      </c>
      <c r="C8" s="187" t="s">
        <v>193</v>
      </c>
      <c r="D8" s="79" t="s">
        <v>160</v>
      </c>
      <c r="F8" s="186" t="s">
        <v>195</v>
      </c>
      <c r="G8" s="75">
        <v>0</v>
      </c>
      <c r="H8" s="75">
        <v>0</v>
      </c>
      <c r="I8" s="75">
        <v>0</v>
      </c>
      <c r="J8" s="75">
        <v>0</v>
      </c>
      <c r="K8" s="75">
        <v>1</v>
      </c>
      <c r="L8" s="75">
        <v>0</v>
      </c>
      <c r="M8" s="75">
        <v>1</v>
      </c>
      <c r="N8" s="75">
        <v>0</v>
      </c>
      <c r="O8" s="75">
        <v>1</v>
      </c>
      <c r="P8" s="66">
        <v>0</v>
      </c>
      <c r="Q8" s="75">
        <v>0</v>
      </c>
      <c r="R8" s="67">
        <v>1</v>
      </c>
      <c r="S8"/>
      <c r="T8"/>
      <c r="W8"/>
    </row>
    <row r="9" spans="1:23" ht="15" customHeight="1" x14ac:dyDescent="0.15">
      <c r="A9" s="117" t="s">
        <v>169</v>
      </c>
      <c r="B9" s="86"/>
      <c r="C9" s="74"/>
      <c r="D9" s="79" t="s">
        <v>160</v>
      </c>
      <c r="F9" s="186" t="s">
        <v>196</v>
      </c>
      <c r="G9" s="75">
        <v>0</v>
      </c>
      <c r="H9" s="75">
        <v>0</v>
      </c>
      <c r="I9" s="75">
        <v>0</v>
      </c>
      <c r="J9" s="75">
        <v>0</v>
      </c>
      <c r="K9" s="75">
        <v>1</v>
      </c>
      <c r="L9" s="75">
        <v>0</v>
      </c>
      <c r="M9" s="75">
        <v>1</v>
      </c>
      <c r="N9" s="75">
        <v>0</v>
      </c>
      <c r="O9" s="75">
        <v>1</v>
      </c>
      <c r="P9" s="66">
        <v>0</v>
      </c>
      <c r="Q9" s="75">
        <v>0</v>
      </c>
      <c r="R9" s="67">
        <v>1</v>
      </c>
      <c r="S9"/>
      <c r="T9"/>
      <c r="W9"/>
    </row>
    <row r="10" spans="1:23" ht="15" customHeight="1" x14ac:dyDescent="0.15">
      <c r="B10" s="86"/>
      <c r="C10" s="74"/>
      <c r="D10" s="79" t="s">
        <v>160</v>
      </c>
      <c r="F10" s="186" t="s">
        <v>197</v>
      </c>
      <c r="G10" s="75">
        <v>0</v>
      </c>
      <c r="H10" s="75">
        <v>0</v>
      </c>
      <c r="I10" s="75">
        <v>0</v>
      </c>
      <c r="J10" s="75">
        <v>0</v>
      </c>
      <c r="K10" s="75">
        <v>1</v>
      </c>
      <c r="L10" s="75">
        <v>0</v>
      </c>
      <c r="M10" s="75">
        <v>1</v>
      </c>
      <c r="N10" s="75">
        <v>0</v>
      </c>
      <c r="O10" s="75">
        <v>1</v>
      </c>
      <c r="P10" s="66">
        <v>0</v>
      </c>
      <c r="Q10" s="75">
        <v>0</v>
      </c>
      <c r="R10" s="67">
        <v>1</v>
      </c>
      <c r="S10"/>
      <c r="T10"/>
      <c r="W10"/>
    </row>
    <row r="11" spans="1:23" ht="15" customHeight="1" x14ac:dyDescent="0.15">
      <c r="A11" s="77"/>
      <c r="B11" s="86"/>
      <c r="C11" s="89"/>
      <c r="D11" s="79" t="s">
        <v>160</v>
      </c>
      <c r="F11" s="186" t="s">
        <v>198</v>
      </c>
      <c r="G11" s="75">
        <v>0</v>
      </c>
      <c r="H11" s="75">
        <v>0</v>
      </c>
      <c r="I11" s="75">
        <v>0</v>
      </c>
      <c r="J11" s="75">
        <v>0</v>
      </c>
      <c r="K11" s="75">
        <v>1</v>
      </c>
      <c r="L11" s="75">
        <v>0</v>
      </c>
      <c r="M11" s="75">
        <v>1</v>
      </c>
      <c r="N11" s="75">
        <v>0</v>
      </c>
      <c r="O11" s="75">
        <v>1</v>
      </c>
      <c r="P11" s="66">
        <v>0</v>
      </c>
      <c r="Q11" s="75">
        <v>0</v>
      </c>
      <c r="R11" s="67">
        <v>1</v>
      </c>
      <c r="S11"/>
      <c r="T11"/>
      <c r="W11"/>
    </row>
    <row r="12" spans="1:23" ht="15" customHeight="1" x14ac:dyDescent="0.15">
      <c r="B12" s="86"/>
      <c r="C12" s="90"/>
      <c r="D12" s="79" t="s">
        <v>160</v>
      </c>
      <c r="F12" s="186" t="s">
        <v>199</v>
      </c>
      <c r="G12" s="75">
        <v>0</v>
      </c>
      <c r="H12" s="75">
        <v>0</v>
      </c>
      <c r="I12" s="75">
        <v>0</v>
      </c>
      <c r="J12" s="75">
        <v>0</v>
      </c>
      <c r="K12" s="75">
        <v>1</v>
      </c>
      <c r="L12" s="75">
        <v>0</v>
      </c>
      <c r="M12" s="75">
        <v>1</v>
      </c>
      <c r="N12" s="75">
        <v>0</v>
      </c>
      <c r="O12" s="75">
        <v>1</v>
      </c>
      <c r="P12" s="66">
        <v>0</v>
      </c>
      <c r="Q12" s="75">
        <v>0</v>
      </c>
      <c r="R12" s="67">
        <v>1</v>
      </c>
      <c r="S12"/>
      <c r="T12"/>
      <c r="W12"/>
    </row>
    <row r="13" spans="1:23" ht="15" customHeight="1" x14ac:dyDescent="0.15">
      <c r="B13" s="86"/>
      <c r="C13" s="90"/>
      <c r="D13" s="79" t="s">
        <v>160</v>
      </c>
      <c r="F13" s="186" t="s">
        <v>200</v>
      </c>
      <c r="G13" s="75">
        <v>0</v>
      </c>
      <c r="H13" s="75">
        <v>0</v>
      </c>
      <c r="I13" s="75">
        <v>0</v>
      </c>
      <c r="J13" s="75">
        <v>0</v>
      </c>
      <c r="K13" s="75">
        <v>1</v>
      </c>
      <c r="L13" s="75">
        <v>0</v>
      </c>
      <c r="M13" s="75">
        <v>1</v>
      </c>
      <c r="N13" s="75">
        <v>0</v>
      </c>
      <c r="O13" s="75">
        <v>1</v>
      </c>
      <c r="P13" s="66">
        <v>0</v>
      </c>
      <c r="Q13" s="75">
        <v>0</v>
      </c>
      <c r="R13" s="67">
        <v>1</v>
      </c>
      <c r="S13"/>
      <c r="T13"/>
      <c r="W13"/>
    </row>
    <row r="14" spans="1:23" ht="15" customHeight="1" x14ac:dyDescent="0.15">
      <c r="B14" s="86"/>
      <c r="C14" s="74"/>
      <c r="D14" s="79" t="s">
        <v>160</v>
      </c>
      <c r="F14" s="186" t="s">
        <v>201</v>
      </c>
      <c r="G14" s="75">
        <v>0</v>
      </c>
      <c r="H14" s="75">
        <v>0</v>
      </c>
      <c r="I14" s="75">
        <v>0</v>
      </c>
      <c r="J14" s="75">
        <v>0</v>
      </c>
      <c r="K14" s="75">
        <v>1</v>
      </c>
      <c r="L14" s="75">
        <v>0</v>
      </c>
      <c r="M14" s="75">
        <v>1</v>
      </c>
      <c r="N14" s="75">
        <v>0</v>
      </c>
      <c r="O14" s="75">
        <v>1</v>
      </c>
      <c r="P14" s="66">
        <v>0</v>
      </c>
      <c r="Q14" s="75">
        <v>0</v>
      </c>
      <c r="R14" s="67">
        <v>1</v>
      </c>
      <c r="S14"/>
      <c r="T14"/>
      <c r="W14"/>
    </row>
    <row r="15" spans="1:23" ht="15" customHeight="1" x14ac:dyDescent="0.15">
      <c r="B15" s="86"/>
      <c r="C15" s="74"/>
      <c r="D15" s="79" t="s">
        <v>160</v>
      </c>
      <c r="F15" s="186" t="s">
        <v>202</v>
      </c>
      <c r="G15" s="75">
        <v>0</v>
      </c>
      <c r="H15" s="75">
        <v>0</v>
      </c>
      <c r="I15" s="75">
        <v>0</v>
      </c>
      <c r="J15" s="75">
        <v>0</v>
      </c>
      <c r="K15" s="75">
        <v>1</v>
      </c>
      <c r="L15" s="75">
        <v>0</v>
      </c>
      <c r="M15" s="75">
        <v>1</v>
      </c>
      <c r="N15" s="75">
        <v>0</v>
      </c>
      <c r="O15" s="75">
        <v>1</v>
      </c>
      <c r="P15" s="66">
        <v>0</v>
      </c>
      <c r="Q15" s="75">
        <v>0</v>
      </c>
      <c r="R15" s="67">
        <v>1</v>
      </c>
      <c r="S15"/>
      <c r="T15"/>
      <c r="W15"/>
    </row>
    <row r="16" spans="1:23" ht="15" customHeight="1" x14ac:dyDescent="0.15">
      <c r="B16" s="86"/>
      <c r="C16" s="74"/>
      <c r="D16" s="79" t="s">
        <v>160</v>
      </c>
      <c r="F16" s="186" t="s">
        <v>203</v>
      </c>
      <c r="G16" s="75">
        <v>0</v>
      </c>
      <c r="H16" s="75">
        <v>0</v>
      </c>
      <c r="I16" s="75">
        <v>0</v>
      </c>
      <c r="J16" s="75">
        <v>0</v>
      </c>
      <c r="K16" s="75">
        <v>1</v>
      </c>
      <c r="L16" s="75">
        <v>0</v>
      </c>
      <c r="M16" s="75">
        <v>1</v>
      </c>
      <c r="N16" s="75">
        <v>0</v>
      </c>
      <c r="O16" s="75">
        <v>1</v>
      </c>
      <c r="P16" s="66">
        <v>0</v>
      </c>
      <c r="Q16" s="75">
        <v>0</v>
      </c>
      <c r="R16" s="67">
        <v>1</v>
      </c>
      <c r="S16"/>
      <c r="T16"/>
    </row>
    <row r="17" spans="1:20" ht="15" customHeight="1" thickBot="1" x14ac:dyDescent="0.2">
      <c r="B17" s="85"/>
      <c r="C17" s="74"/>
      <c r="D17" s="79" t="s">
        <v>160</v>
      </c>
      <c r="F17" s="186" t="s">
        <v>166</v>
      </c>
      <c r="G17" s="75">
        <v>0</v>
      </c>
      <c r="H17" s="75">
        <v>0</v>
      </c>
      <c r="I17" s="75">
        <v>0</v>
      </c>
      <c r="J17" s="75">
        <v>0</v>
      </c>
      <c r="K17" s="75">
        <v>1</v>
      </c>
      <c r="L17" s="75">
        <v>0</v>
      </c>
      <c r="M17" s="75">
        <v>1</v>
      </c>
      <c r="N17" s="75">
        <v>0</v>
      </c>
      <c r="O17" s="75">
        <v>1</v>
      </c>
      <c r="P17" s="66">
        <v>0</v>
      </c>
      <c r="Q17" s="75">
        <v>0</v>
      </c>
      <c r="R17" s="67">
        <v>1</v>
      </c>
      <c r="S17"/>
      <c r="T17"/>
    </row>
    <row r="18" spans="1:20" ht="15" customHeight="1" thickBot="1" x14ac:dyDescent="0.2">
      <c r="B18" s="87"/>
      <c r="F18" s="186" t="s">
        <v>204</v>
      </c>
      <c r="G18" s="75">
        <v>0</v>
      </c>
      <c r="H18" s="75">
        <v>0</v>
      </c>
      <c r="I18" s="75">
        <v>0</v>
      </c>
      <c r="J18" s="75">
        <v>0</v>
      </c>
      <c r="K18" s="75">
        <v>1</v>
      </c>
      <c r="L18" s="75">
        <v>0</v>
      </c>
      <c r="M18" s="75">
        <v>1</v>
      </c>
      <c r="N18" s="75">
        <v>0</v>
      </c>
      <c r="O18" s="75">
        <v>1</v>
      </c>
      <c r="P18" s="66">
        <v>0</v>
      </c>
      <c r="Q18" s="75">
        <v>0</v>
      </c>
      <c r="R18" s="67">
        <v>1</v>
      </c>
      <c r="S18"/>
      <c r="T18"/>
    </row>
    <row r="19" spans="1:20" ht="15" customHeight="1" x14ac:dyDescent="0.15">
      <c r="A19" s="77" t="s">
        <v>57</v>
      </c>
      <c r="B19" s="84">
        <v>1</v>
      </c>
      <c r="C19" s="188" t="s">
        <v>193</v>
      </c>
      <c r="D19" s="79" t="s">
        <v>160</v>
      </c>
      <c r="F19" s="186" t="s">
        <v>205</v>
      </c>
      <c r="G19" s="75">
        <v>0</v>
      </c>
      <c r="H19" s="75">
        <v>0</v>
      </c>
      <c r="I19" s="75">
        <v>0</v>
      </c>
      <c r="J19" s="75">
        <v>0</v>
      </c>
      <c r="K19" s="75">
        <v>1</v>
      </c>
      <c r="L19" s="75">
        <v>0</v>
      </c>
      <c r="M19" s="75">
        <v>1</v>
      </c>
      <c r="N19" s="75">
        <v>0</v>
      </c>
      <c r="O19" s="75">
        <v>1</v>
      </c>
      <c r="P19" s="66">
        <v>0</v>
      </c>
      <c r="Q19" s="75">
        <v>0</v>
      </c>
      <c r="R19" s="67">
        <v>1</v>
      </c>
      <c r="S19"/>
      <c r="T19"/>
    </row>
    <row r="20" spans="1:20" ht="15" customHeight="1" x14ac:dyDescent="0.15">
      <c r="A20" s="117" t="s">
        <v>169</v>
      </c>
      <c r="B20" s="86"/>
      <c r="C20" s="74"/>
      <c r="D20" s="79" t="s">
        <v>160</v>
      </c>
      <c r="F20" s="186" t="s">
        <v>206</v>
      </c>
      <c r="G20" s="75">
        <v>0</v>
      </c>
      <c r="H20" s="75">
        <v>0</v>
      </c>
      <c r="I20" s="75">
        <v>0</v>
      </c>
      <c r="J20" s="75">
        <v>0</v>
      </c>
      <c r="K20" s="75">
        <v>1</v>
      </c>
      <c r="L20" s="75">
        <v>0</v>
      </c>
      <c r="M20" s="75">
        <v>1</v>
      </c>
      <c r="N20" s="75">
        <v>0</v>
      </c>
      <c r="O20" s="75">
        <v>1</v>
      </c>
      <c r="P20" s="66">
        <v>0</v>
      </c>
      <c r="Q20" s="75">
        <v>0</v>
      </c>
      <c r="R20" s="67">
        <v>1</v>
      </c>
      <c r="S20"/>
      <c r="T20"/>
    </row>
    <row r="21" spans="1:20" ht="15" customHeight="1" x14ac:dyDescent="0.15">
      <c r="B21" s="86"/>
      <c r="C21" s="74"/>
      <c r="D21" s="79" t="s">
        <v>160</v>
      </c>
      <c r="F21" s="186" t="s">
        <v>207</v>
      </c>
      <c r="G21" s="75">
        <v>0</v>
      </c>
      <c r="H21" s="75">
        <v>0</v>
      </c>
      <c r="I21" s="75">
        <v>0</v>
      </c>
      <c r="J21" s="75">
        <v>0</v>
      </c>
      <c r="K21" s="75">
        <v>1</v>
      </c>
      <c r="L21" s="75">
        <v>0</v>
      </c>
      <c r="M21" s="75">
        <v>1</v>
      </c>
      <c r="N21" s="75">
        <v>0</v>
      </c>
      <c r="O21" s="75">
        <v>1</v>
      </c>
      <c r="P21" s="66">
        <v>0</v>
      </c>
      <c r="Q21" s="75">
        <v>0</v>
      </c>
      <c r="R21" s="67">
        <v>1</v>
      </c>
      <c r="S21"/>
      <c r="T21"/>
    </row>
    <row r="22" spans="1:20" ht="15" customHeight="1" x14ac:dyDescent="0.15">
      <c r="A22" s="75"/>
      <c r="B22" s="86"/>
      <c r="C22" s="89"/>
      <c r="D22" s="79" t="s">
        <v>160</v>
      </c>
      <c r="F22" s="186" t="s">
        <v>208</v>
      </c>
      <c r="G22" s="75">
        <v>0</v>
      </c>
      <c r="H22" s="75">
        <v>0</v>
      </c>
      <c r="I22" s="75">
        <v>0</v>
      </c>
      <c r="J22" s="75">
        <v>0</v>
      </c>
      <c r="K22" s="75">
        <v>1</v>
      </c>
      <c r="L22" s="75">
        <v>0</v>
      </c>
      <c r="M22" s="75">
        <v>1</v>
      </c>
      <c r="N22" s="75">
        <v>0</v>
      </c>
      <c r="O22" s="75">
        <v>1</v>
      </c>
      <c r="P22" s="66">
        <v>0</v>
      </c>
      <c r="Q22" s="75">
        <v>0</v>
      </c>
      <c r="R22" s="67">
        <v>1</v>
      </c>
      <c r="S22"/>
      <c r="T22"/>
    </row>
    <row r="23" spans="1:20" ht="15" customHeight="1" x14ac:dyDescent="0.15">
      <c r="A23" s="75"/>
      <c r="B23" s="86"/>
      <c r="C23" s="90"/>
      <c r="D23" s="79" t="s">
        <v>160</v>
      </c>
      <c r="F23" s="186" t="s">
        <v>209</v>
      </c>
      <c r="G23" s="75">
        <v>0</v>
      </c>
      <c r="H23" s="75">
        <v>0</v>
      </c>
      <c r="I23" s="75">
        <v>0</v>
      </c>
      <c r="J23" s="75">
        <v>0</v>
      </c>
      <c r="K23" s="75">
        <v>1</v>
      </c>
      <c r="L23" s="75">
        <v>0</v>
      </c>
      <c r="M23" s="75">
        <v>1</v>
      </c>
      <c r="N23" s="75">
        <v>0</v>
      </c>
      <c r="O23" s="75">
        <v>1</v>
      </c>
      <c r="P23" s="66">
        <v>0</v>
      </c>
      <c r="Q23" s="75">
        <v>0</v>
      </c>
      <c r="R23" s="67">
        <v>1</v>
      </c>
      <c r="S23"/>
      <c r="T23"/>
    </row>
    <row r="24" spans="1:20" ht="15" customHeight="1" x14ac:dyDescent="0.15">
      <c r="A24" s="75"/>
      <c r="B24" s="86"/>
      <c r="C24" s="90"/>
      <c r="D24" s="79" t="s">
        <v>160</v>
      </c>
      <c r="F24" s="186" t="s">
        <v>210</v>
      </c>
      <c r="G24" s="75">
        <v>0</v>
      </c>
      <c r="H24" s="75">
        <v>0</v>
      </c>
      <c r="I24" s="75">
        <v>0</v>
      </c>
      <c r="J24" s="75">
        <v>0</v>
      </c>
      <c r="K24" s="75">
        <v>1</v>
      </c>
      <c r="L24" s="75">
        <v>0</v>
      </c>
      <c r="M24" s="75">
        <v>1</v>
      </c>
      <c r="N24" s="75">
        <v>0</v>
      </c>
      <c r="O24" s="75">
        <v>1</v>
      </c>
      <c r="P24" s="66">
        <v>0</v>
      </c>
      <c r="Q24" s="75">
        <v>0</v>
      </c>
      <c r="R24" s="67">
        <v>1</v>
      </c>
      <c r="S24"/>
      <c r="T24"/>
    </row>
    <row r="25" spans="1:20" ht="15" customHeight="1" x14ac:dyDescent="0.15">
      <c r="A25" s="75"/>
      <c r="B25" s="86"/>
      <c r="C25" s="74"/>
      <c r="D25" s="79" t="s">
        <v>160</v>
      </c>
      <c r="F25" s="186" t="s">
        <v>211</v>
      </c>
      <c r="G25" s="75">
        <v>0</v>
      </c>
      <c r="H25" s="75">
        <v>0</v>
      </c>
      <c r="I25" s="75">
        <v>0</v>
      </c>
      <c r="J25" s="75">
        <v>0</v>
      </c>
      <c r="K25" s="75">
        <v>1</v>
      </c>
      <c r="L25" s="75">
        <v>0</v>
      </c>
      <c r="M25" s="75">
        <v>1</v>
      </c>
      <c r="N25" s="75">
        <v>0</v>
      </c>
      <c r="O25" s="75">
        <v>1</v>
      </c>
      <c r="P25" s="66">
        <v>0</v>
      </c>
      <c r="Q25" s="75">
        <v>0</v>
      </c>
      <c r="R25" s="67">
        <v>1</v>
      </c>
      <c r="S25"/>
      <c r="T25"/>
    </row>
    <row r="26" spans="1:20" ht="15" customHeight="1" x14ac:dyDescent="0.15">
      <c r="B26" s="86"/>
      <c r="C26" s="74"/>
      <c r="D26" s="79" t="s">
        <v>160</v>
      </c>
      <c r="F26" s="186" t="s">
        <v>212</v>
      </c>
      <c r="G26" s="75">
        <v>0</v>
      </c>
      <c r="H26" s="75">
        <v>0</v>
      </c>
      <c r="I26" s="75">
        <v>0</v>
      </c>
      <c r="J26" s="75">
        <v>0</v>
      </c>
      <c r="K26" s="75">
        <v>1</v>
      </c>
      <c r="L26" s="75">
        <v>0</v>
      </c>
      <c r="M26" s="75">
        <v>1</v>
      </c>
      <c r="N26" s="75">
        <v>0</v>
      </c>
      <c r="O26" s="75">
        <v>1</v>
      </c>
      <c r="P26" s="66">
        <v>0</v>
      </c>
      <c r="Q26" s="75">
        <v>0</v>
      </c>
      <c r="R26" s="67">
        <v>1</v>
      </c>
      <c r="S26"/>
      <c r="T26"/>
    </row>
    <row r="27" spans="1:20" ht="15" customHeight="1" x14ac:dyDescent="0.15">
      <c r="B27" s="86"/>
      <c r="C27" s="74"/>
      <c r="D27" s="79" t="s">
        <v>160</v>
      </c>
      <c r="F27" s="186" t="s">
        <v>213</v>
      </c>
      <c r="G27" s="75">
        <v>0</v>
      </c>
      <c r="H27" s="75">
        <v>0</v>
      </c>
      <c r="I27" s="75">
        <v>0</v>
      </c>
      <c r="J27" s="75">
        <v>0</v>
      </c>
      <c r="K27" s="75">
        <v>1</v>
      </c>
      <c r="L27" s="75">
        <v>0</v>
      </c>
      <c r="M27" s="75">
        <v>1</v>
      </c>
      <c r="N27" s="75">
        <v>0</v>
      </c>
      <c r="O27" s="75">
        <v>1</v>
      </c>
      <c r="P27" s="66">
        <v>0</v>
      </c>
      <c r="Q27" s="75">
        <v>0</v>
      </c>
      <c r="R27" s="67">
        <v>1</v>
      </c>
      <c r="S27"/>
      <c r="T27"/>
    </row>
    <row r="28" spans="1:20" ht="15" customHeight="1" thickBot="1" x14ac:dyDescent="0.2">
      <c r="B28" s="85"/>
      <c r="C28" s="74"/>
      <c r="D28" s="79" t="s">
        <v>160</v>
      </c>
      <c r="F28" s="186" t="s">
        <v>214</v>
      </c>
      <c r="G28" s="75">
        <v>0</v>
      </c>
      <c r="H28" s="75">
        <v>0</v>
      </c>
      <c r="I28" s="75">
        <v>0</v>
      </c>
      <c r="J28" s="75">
        <v>0</v>
      </c>
      <c r="K28" s="75">
        <v>1</v>
      </c>
      <c r="L28" s="75">
        <v>0</v>
      </c>
      <c r="M28" s="75">
        <v>1</v>
      </c>
      <c r="N28" s="75">
        <v>0</v>
      </c>
      <c r="O28" s="75">
        <v>1</v>
      </c>
      <c r="P28" s="66">
        <v>0</v>
      </c>
      <c r="Q28" s="75">
        <v>0</v>
      </c>
      <c r="R28" s="67">
        <v>1</v>
      </c>
      <c r="S28"/>
      <c r="T28"/>
    </row>
    <row r="29" spans="1:20" ht="15" customHeight="1" x14ac:dyDescent="0.15">
      <c r="F29" s="186" t="s">
        <v>215</v>
      </c>
      <c r="G29" s="75">
        <v>0</v>
      </c>
      <c r="H29" s="75">
        <v>0</v>
      </c>
      <c r="I29" s="75">
        <v>0</v>
      </c>
      <c r="J29" s="75">
        <v>0</v>
      </c>
      <c r="K29" s="75">
        <v>1</v>
      </c>
      <c r="L29" s="75">
        <v>0</v>
      </c>
      <c r="M29" s="75">
        <v>1</v>
      </c>
      <c r="N29" s="75">
        <v>0</v>
      </c>
      <c r="O29" s="75">
        <v>1</v>
      </c>
      <c r="P29" s="66">
        <v>0</v>
      </c>
      <c r="Q29" s="75">
        <v>0</v>
      </c>
      <c r="R29" s="67">
        <v>1</v>
      </c>
      <c r="S29"/>
      <c r="T29"/>
    </row>
    <row r="30" spans="1:20" ht="15" customHeight="1" x14ac:dyDescent="0.15">
      <c r="F30" s="186" t="s">
        <v>216</v>
      </c>
      <c r="G30" s="75">
        <v>0</v>
      </c>
      <c r="H30" s="75">
        <v>0</v>
      </c>
      <c r="I30" s="75">
        <v>0</v>
      </c>
      <c r="J30" s="75">
        <v>0</v>
      </c>
      <c r="K30" s="75">
        <v>1</v>
      </c>
      <c r="L30" s="75">
        <v>0</v>
      </c>
      <c r="M30" s="75">
        <v>1</v>
      </c>
      <c r="N30" s="75">
        <v>0</v>
      </c>
      <c r="O30" s="75">
        <v>1</v>
      </c>
      <c r="P30" s="66">
        <v>0</v>
      </c>
      <c r="Q30" s="75">
        <v>0</v>
      </c>
      <c r="R30" s="67">
        <v>1</v>
      </c>
      <c r="S30"/>
      <c r="T30"/>
    </row>
    <row r="31" spans="1:20" ht="15" customHeight="1" x14ac:dyDescent="0.15">
      <c r="A31" s="118"/>
      <c r="B31" s="129" t="s">
        <v>17</v>
      </c>
      <c r="C31" s="129" t="s">
        <v>1</v>
      </c>
      <c r="D31" s="129" t="s">
        <v>161</v>
      </c>
      <c r="E31" s="130" t="s">
        <v>163</v>
      </c>
      <c r="F31" s="186" t="s">
        <v>217</v>
      </c>
      <c r="G31" s="75">
        <v>0</v>
      </c>
      <c r="H31" s="75">
        <v>0</v>
      </c>
      <c r="I31" s="75">
        <v>0</v>
      </c>
      <c r="J31" s="75">
        <v>0</v>
      </c>
      <c r="K31" s="75">
        <v>0</v>
      </c>
      <c r="L31" s="75">
        <v>1</v>
      </c>
      <c r="M31" s="75">
        <v>0</v>
      </c>
      <c r="N31" s="75">
        <v>1</v>
      </c>
      <c r="O31" s="75">
        <v>0</v>
      </c>
      <c r="P31" s="66">
        <v>1</v>
      </c>
      <c r="Q31" s="75">
        <v>0</v>
      </c>
      <c r="R31" s="67">
        <v>1</v>
      </c>
      <c r="S31"/>
      <c r="T31"/>
    </row>
    <row r="32" spans="1:20" ht="15" customHeight="1" x14ac:dyDescent="0.15">
      <c r="A32" s="189" t="s">
        <v>193</v>
      </c>
      <c r="B32" s="87">
        <v>207.2</v>
      </c>
      <c r="C32" s="87">
        <v>35.700000000000003</v>
      </c>
      <c r="D32" s="87">
        <v>7397.04</v>
      </c>
      <c r="E32" s="120">
        <v>1</v>
      </c>
      <c r="F32" s="186" t="s">
        <v>218</v>
      </c>
      <c r="G32" s="75">
        <v>0</v>
      </c>
      <c r="H32" s="75">
        <v>0</v>
      </c>
      <c r="I32" s="75">
        <v>0</v>
      </c>
      <c r="J32" s="75">
        <v>0</v>
      </c>
      <c r="K32" s="75">
        <v>0</v>
      </c>
      <c r="L32" s="75">
        <v>1</v>
      </c>
      <c r="M32" s="75">
        <v>0</v>
      </c>
      <c r="N32" s="75">
        <v>1</v>
      </c>
      <c r="O32" s="75">
        <v>0</v>
      </c>
      <c r="P32" s="66">
        <v>1</v>
      </c>
      <c r="Q32" s="75">
        <v>0</v>
      </c>
      <c r="R32" s="67">
        <v>1</v>
      </c>
      <c r="S32"/>
      <c r="T32"/>
    </row>
    <row r="33" spans="1:20" ht="15" customHeight="1" x14ac:dyDescent="0.15">
      <c r="A33" s="119"/>
      <c r="B33" s="87"/>
      <c r="C33" s="87"/>
      <c r="D33" s="87"/>
      <c r="E33" s="120"/>
      <c r="F33" s="186" t="s">
        <v>219</v>
      </c>
      <c r="G33" s="75">
        <v>0</v>
      </c>
      <c r="H33" s="75">
        <v>0</v>
      </c>
      <c r="I33" s="75">
        <v>0</v>
      </c>
      <c r="J33" s="75">
        <v>0</v>
      </c>
      <c r="K33" s="75">
        <v>0</v>
      </c>
      <c r="L33" s="75">
        <v>1</v>
      </c>
      <c r="M33" s="75">
        <v>0</v>
      </c>
      <c r="N33" s="75">
        <v>0</v>
      </c>
      <c r="O33" s="75">
        <v>0</v>
      </c>
      <c r="P33" s="66">
        <v>0</v>
      </c>
      <c r="Q33" s="75">
        <v>0</v>
      </c>
      <c r="R33" s="67">
        <v>1</v>
      </c>
      <c r="S33"/>
      <c r="T33"/>
    </row>
    <row r="34" spans="1:20" ht="15" customHeight="1" x14ac:dyDescent="0.15">
      <c r="A34" s="121"/>
      <c r="B34" s="87"/>
      <c r="C34" s="87"/>
      <c r="D34" s="87"/>
      <c r="E34" s="120"/>
      <c r="F34" s="186" t="s">
        <v>214</v>
      </c>
      <c r="G34" s="75">
        <v>0</v>
      </c>
      <c r="H34" s="75">
        <v>0</v>
      </c>
      <c r="I34" s="75">
        <v>0</v>
      </c>
      <c r="J34" s="75">
        <v>0</v>
      </c>
      <c r="K34" s="75">
        <v>0</v>
      </c>
      <c r="L34" s="75">
        <v>1</v>
      </c>
      <c r="M34" s="75">
        <v>0</v>
      </c>
      <c r="N34" s="75">
        <v>0</v>
      </c>
      <c r="O34" s="75">
        <v>0</v>
      </c>
      <c r="P34" s="66">
        <v>0</v>
      </c>
      <c r="Q34" s="75">
        <v>0</v>
      </c>
      <c r="R34" s="67">
        <v>1</v>
      </c>
      <c r="S34"/>
      <c r="T34"/>
    </row>
    <row r="35" spans="1:20" ht="15" customHeight="1" x14ac:dyDescent="0.15">
      <c r="A35" s="122"/>
      <c r="B35" s="87"/>
      <c r="C35" s="87"/>
      <c r="D35" s="87"/>
      <c r="E35" s="12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3"/>
      <c r="B36" s="87"/>
      <c r="C36" s="87"/>
      <c r="D36" s="87"/>
      <c r="E36" s="12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3"/>
      <c r="B37" s="87"/>
      <c r="C37" s="87"/>
      <c r="D37" s="87"/>
      <c r="E37" s="12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4"/>
      <c r="B38" s="87"/>
      <c r="C38" s="87"/>
      <c r="D38" s="87"/>
      <c r="E38" s="12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4"/>
      <c r="B39" s="87"/>
      <c r="C39" s="87"/>
      <c r="D39" s="87"/>
      <c r="E39" s="12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4"/>
      <c r="B40" s="87"/>
      <c r="C40" s="87"/>
      <c r="D40" s="87"/>
      <c r="E40" s="12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4"/>
      <c r="B41" s="87"/>
      <c r="C41" s="87"/>
      <c r="D41" s="88"/>
      <c r="E41" s="12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7397.04</v>
      </c>
      <c r="E42" s="12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5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5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5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5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3" customWidth="1"/>
    <col min="3" max="5" width="7.83203125" style="103" customWidth="1"/>
    <col min="6" max="8" width="8.83203125" style="6"/>
    <col min="9" max="9" width="13.1640625" style="6" customWidth="1"/>
    <col min="10" max="10" width="14.83203125" style="6" customWidth="1"/>
    <col min="11" max="11" width="15.83203125" style="6" customWidth="1"/>
    <col min="12" max="12" width="15.5" style="6" customWidth="1"/>
    <col min="13" max="13" width="14.6640625" style="6" customWidth="1"/>
    <col min="14" max="14" width="11.83203125" style="6" customWidth="1"/>
    <col min="15" max="15" width="13" style="6" customWidth="1"/>
    <col min="16" max="16" width="7.5" style="6" customWidth="1"/>
    <col min="17" max="17" width="8.33203125" style="6" customWidth="1"/>
    <col min="18" max="18" width="12.5" style="6" customWidth="1"/>
    <col min="19" max="19" width="12.6640625" style="6" customWidth="1"/>
    <col min="20" max="20" width="11.6640625" style="6" customWidth="1"/>
    <col min="21" max="21" width="13.83203125" style="6" customWidth="1"/>
    <col min="22" max="22" width="12.83203125" style="6" customWidth="1"/>
    <col min="23" max="23" width="14.83203125" style="6" customWidth="1"/>
    <col min="24" max="24" width="13.33203125" style="6" customWidth="1"/>
    <col min="25" max="25" width="15.33203125" style="6" customWidth="1"/>
    <col min="26" max="26" width="15.1640625" style="6" customWidth="1"/>
    <col min="27" max="27" width="14.6640625" style="6" customWidth="1"/>
    <col min="28" max="28" width="14" style="6" customWidth="1"/>
    <col min="29" max="29" width="13.83203125" style="6" customWidth="1"/>
    <col min="30" max="30" width="15.1640625" style="6" customWidth="1"/>
    <col min="31" max="31" width="8.5" style="6" customWidth="1"/>
    <col min="32" max="32" width="6" style="6" customWidth="1"/>
    <col min="33" max="33" width="10.1640625" style="6" customWidth="1"/>
    <col min="34" max="34" width="7.6640625" style="6" customWidth="1"/>
    <col min="35" max="35" width="21.6640625" style="6" customWidth="1"/>
    <col min="36" max="36" width="7.5" style="6" customWidth="1"/>
    <col min="37" max="37" width="8.5" style="6" customWidth="1"/>
    <col min="38" max="38" width="8.83203125" style="6"/>
    <col min="81" max="81" width="22.1640625" bestFit="1" customWidth="1"/>
  </cols>
  <sheetData>
    <row r="1" spans="1:38" x14ac:dyDescent="0.15">
      <c r="A1" s="4" t="s">
        <v>156</v>
      </c>
      <c r="B1" s="32" t="s">
        <v>157</v>
      </c>
      <c r="C1" s="32" t="s">
        <v>17</v>
      </c>
      <c r="D1" s="32" t="s">
        <v>158</v>
      </c>
      <c r="E1" s="32" t="s">
        <v>159</v>
      </c>
      <c r="F1" t="s">
        <v>38</v>
      </c>
      <c r="G1" t="s">
        <v>40</v>
      </c>
      <c r="H1" t="s">
        <v>41</v>
      </c>
      <c r="I1" s="191" t="s">
        <v>193</v>
      </c>
      <c r="J1" s="191" t="s">
        <v>194</v>
      </c>
      <c r="K1" s="191" t="s">
        <v>195</v>
      </c>
      <c r="L1" s="191" t="s">
        <v>196</v>
      </c>
      <c r="M1" s="191" t="s">
        <v>197</v>
      </c>
      <c r="N1" s="191" t="s">
        <v>198</v>
      </c>
      <c r="O1" s="191" t="s">
        <v>199</v>
      </c>
      <c r="P1" s="191" t="s">
        <v>200</v>
      </c>
      <c r="Q1" s="191" t="s">
        <v>201</v>
      </c>
      <c r="R1" s="191" t="s">
        <v>202</v>
      </c>
      <c r="S1" s="191" t="s">
        <v>203</v>
      </c>
      <c r="T1" s="191" t="s">
        <v>166</v>
      </c>
      <c r="U1" s="191" t="s">
        <v>204</v>
      </c>
      <c r="V1" s="191" t="s">
        <v>205</v>
      </c>
      <c r="W1" s="191" t="s">
        <v>206</v>
      </c>
      <c r="X1" s="191" t="s">
        <v>207</v>
      </c>
      <c r="Y1" s="191" t="s">
        <v>208</v>
      </c>
      <c r="Z1" s="191" t="s">
        <v>209</v>
      </c>
      <c r="AA1" s="191" t="s">
        <v>210</v>
      </c>
      <c r="AB1" s="191" t="s">
        <v>211</v>
      </c>
      <c r="AC1" s="191" t="s">
        <v>212</v>
      </c>
      <c r="AD1" s="191" t="s">
        <v>213</v>
      </c>
      <c r="AE1" s="191" t="s">
        <v>214</v>
      </c>
      <c r="AF1" s="191" t="s">
        <v>215</v>
      </c>
      <c r="AG1" s="191" t="s">
        <v>216</v>
      </c>
      <c r="AH1" s="191" t="s">
        <v>217</v>
      </c>
      <c r="AI1" s="191" t="s">
        <v>218</v>
      </c>
      <c r="AJ1" s="191" t="s">
        <v>219</v>
      </c>
      <c r="AK1" s="191" t="s">
        <v>214</v>
      </c>
      <c r="AL1"/>
    </row>
    <row r="2" spans="1:38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90" t="s">
        <v>193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90" t="s">
        <v>194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90" t="s">
        <v>195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90" t="s">
        <v>196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90" t="s">
        <v>197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90" t="s">
        <v>198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90" t="s">
        <v>199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90" t="s">
        <v>200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90" t="s">
        <v>201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90" t="s">
        <v>202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90" t="s">
        <v>203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90" t="s">
        <v>166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0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0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0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0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0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0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0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0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0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0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0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0" t="s">
        <v>215</v>
      </c>
      <c r="B28" s="10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0" t="s">
        <v>216</v>
      </c>
      <c r="B29" s="10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0" t="s">
        <v>217</v>
      </c>
      <c r="B30" s="10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0" t="s">
        <v>218</v>
      </c>
      <c r="B31" s="10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0" t="s">
        <v>219</v>
      </c>
      <c r="B32" s="10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0" t="s">
        <v>214</v>
      </c>
      <c r="B33" s="10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2022-10-24T04:36:16Z</dcterms:modified>
</cp:coreProperties>
</file>