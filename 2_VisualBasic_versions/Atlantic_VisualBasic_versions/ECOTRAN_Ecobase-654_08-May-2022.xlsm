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72BBFC4E-0FA5-384F-B8F7-A9354180EAFD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Main!$C$2:$N$44</definedName>
    <definedName name="matDetritus">Detritus!$C$2:$E$44</definedName>
    <definedName name="matDiet">Diets!$B$2:$AL$41</definedName>
    <definedName name="matDiscards">Discards!$C$2:$F$40</definedName>
    <definedName name="matFishery">Fishing!$C$2:$F$40</definedName>
    <definedName name="matFishing">Fishing!#REF!</definedName>
    <definedName name="matMort">Mortalities!$A$1:$AT$40</definedName>
    <definedName name="matOut">MainOutputs!$A$2:$I$44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<sst xmlns="http://schemas.openxmlformats.org/spreadsheetml/2006/main" count="1160" uniqueCount="242">
  <si>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</si>
  <si>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</si>
  <si>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</si>
  <si>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</si>
  <si>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</si>
  <si>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</si>
  <si>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</si>
  <si>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</si>
  <si>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</si>
  <si>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</si>
  <si>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</si>
  <si>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</si>
  <si>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</si>
  <si>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</si>
  <si>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</si>
  <si>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</si>
  <si>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</si>
  <si>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</si>
  <si>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</si>
  <si>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</si>
  <si>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</si>
  <si>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</si>
  <si>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</si>
  <si>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</si>
  <si>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</si>
  <si>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</si>
  <si>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</si>
  <si>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</si>
  <si>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</si>
  <si>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</si>
  <si>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</si>
  <si>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</si>
  <si>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</si>
  <si>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</si>
  <si>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</si>
  <si>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</si>
  <si>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</si>
  <si>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</si>
  <si>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</si>
  <si>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</si>
  <si>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</si>
  <si>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</si>
  <si>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</si>
  <si>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</si>
  <si>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</si>
  <si>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</si>
  <si>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</si>
  <si>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</si>
  <si>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</si>
  <si>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</si>
  <si>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</si>
  <si>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</si>
  <si>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</si>
  <si>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</si>
  <si>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</si>
  <si>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</si>
  <si>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</si>
  <si>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</si>
  <si>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</si>
  <si>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</si>
  <si>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</si>
  <si>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</si>
  <si>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</si>
  <si>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</si>
  <si>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</si>
  <si>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</si>
  <si>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</si>
  <si>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</si>
  <si>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</si>
  <si>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</si>
  <si>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</si>
  <si>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</si>
  <si>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</si>
  <si>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</si>
  <si>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</si>
  <si>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</si>
  <si>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</si>
  <si>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</si>
  <si>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</si>
  <si>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</si>
  <si>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</si>
  <si>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</si>
  <si>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</si>
  <si>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</si>
  <si>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</si>
  <si>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</si>
  <si>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</si>
  <si>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</si>
  <si>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</si>
  <si>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</si>
  <si>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</si>
  <si>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</si>
  <si>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</si>
  <si>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</si>
  <si>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</si>
  <si>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</si>
  <si>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</si>
  <si>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</si>
  <si>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</si>
  <si>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</si>
  <si>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</si>
  <si>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</si>
  <si>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</si>
  <si>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</si>
  <si>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</si>
  <si>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</si>
  <si>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</si>
  <si>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</si>
  <si>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</si>
  <si>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</si>
  <si>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</si>
  <si>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</si>
  <si>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</si>
  <si>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</si>
  <si>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</si>
  <si>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</si>
  <si>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</si>
  <si>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</si>
  <si>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</si>
  <si>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</si>
  <si>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</si>
  <si>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</si>
  <si>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</si>
  <si>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</si>
  <si>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</si>
  <si>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</si>
  <si>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</si>
  <si>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</si>
  <si>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</si>
  <si>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</si>
  <si>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</si>
  <si>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</si>
  <si>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</si>
  <si>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</si>
  <si>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</si>
  <si>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</si>
  <si>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</si>
  <si>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</si>
  <si>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</si>
  <si>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</si>
  <si>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</si>
  <si>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</si>
  <si>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</si>
  <si>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</si>
  <si>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</si>
  <si>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</si>
  <si>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</si>
  <si>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</si>
  <si>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</si>
  <si>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</si>
  <si>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</si>
  <si>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</si>
  <si>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</si>
  <si>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</si>
  <si>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</si>
  <si>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</si>
  <si>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</si>
  <si>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</si>
  <si>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</si>
  <si>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</si>
  <si>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</si>
  <si>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</si>
  <si>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</si>
  <si>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</si>
  <si>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</si>
  <si>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</si>
  <si>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</si>
  <si>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</si>
  <si>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</si>
  <si>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</si>
  <si>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</si>
  <si>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</si>
  <si>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</si>
  <si>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</si>
  <si>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</si>
  <si>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</si>
  <si>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</si>
  <si>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</si>
  <si>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</si>
  <si>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</si>
  <si>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</si>
  <si>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</si>
  <si>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</si>
  <si>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</si>
  <si>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</si>
  <si>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Morocco</t>
  </si>
  <si>
    <t>BOX(-20.4146817938796 20.2568477857131,-5.40651609820922 35.9831075338079)</t>
  </si>
  <si>
    <t>open ocean</t>
  </si>
  <si>
    <t>WetWeight</t>
  </si>
  <si>
    <t>From 84_Morocco_Sylvie_Nov to which new marine mammal biomasse estimates were taken from K. Kaschner data base ; 07/02/2002 16:27:36; 07/02/2002 19:32:53; 2003-03-20 17:44:26; 2003-03-20 17:50:01</t>
  </si>
  <si>
    <t>Stanford R.,Lunn K.,Guénette S.(2001). A preliminary ecosystem model for the Atlantic coast of Morocco for the mid-1980s Fisheries Impacts on North Atlantic Ecosystems: Models and Analyses. pp 314-344. In Guénette S.,Christensen V.,Pauly D.</t>
  </si>
  <si>
    <t>Primary producers</t>
  </si>
  <si>
    <t>Sm. zooplankton</t>
  </si>
  <si>
    <t>Lg. zooplankton</t>
  </si>
  <si>
    <t>Worms</t>
  </si>
  <si>
    <t>Other benthos</t>
  </si>
  <si>
    <t>Predatory echinoderms</t>
  </si>
  <si>
    <t>Crabs</t>
  </si>
  <si>
    <t>Shrimp</t>
  </si>
  <si>
    <t>Lobsters</t>
  </si>
  <si>
    <t>Detrital feeders</t>
  </si>
  <si>
    <t>Sm. deep water bottom</t>
  </si>
  <si>
    <t>Lg. deep water bottom</t>
  </si>
  <si>
    <t>Lg. deep water comm.</t>
  </si>
  <si>
    <t>Sm. demersal</t>
  </si>
  <si>
    <t>Med. demersal</t>
  </si>
  <si>
    <t>Med. demersal comm.</t>
  </si>
  <si>
    <t>Lg. demersal</t>
  </si>
  <si>
    <t>Lg. demersal comm.</t>
  </si>
  <si>
    <t>V. lg. demersal</t>
  </si>
  <si>
    <t>V. lg. demersal comm.</t>
  </si>
  <si>
    <t>Sm. bathypelagic</t>
  </si>
  <si>
    <t>Med. bathypelagic</t>
  </si>
  <si>
    <t>Lg. bathypelagic</t>
  </si>
  <si>
    <t>Mesopelagic prey</t>
  </si>
  <si>
    <t>Med. pelagic</t>
  </si>
  <si>
    <t>Med. pelagic comm.</t>
  </si>
  <si>
    <t>Lg. pelagic</t>
  </si>
  <si>
    <t>Sardines</t>
  </si>
  <si>
    <t>Tunas</t>
  </si>
  <si>
    <t>Sm. demersal sharks/rays</t>
  </si>
  <si>
    <t>Lg. demersal sharks/rays</t>
  </si>
  <si>
    <t>Pelagic sharks</t>
  </si>
  <si>
    <t>Cephalopods</t>
  </si>
  <si>
    <t>Turtles</t>
  </si>
  <si>
    <t>Seabirds</t>
  </si>
  <si>
    <t>Baleen whales</t>
  </si>
  <si>
    <t>Toothed whales/dolphins</t>
  </si>
  <si>
    <t>Detritus</t>
  </si>
  <si>
    <t>detritus_TerminalBenthic</t>
  </si>
  <si>
    <t>Industrial</t>
  </si>
  <si>
    <t>Coastal</t>
  </si>
  <si>
    <t>Artisanal</t>
  </si>
  <si>
    <t>Foreign</t>
  </si>
  <si>
    <t>Import</t>
  </si>
  <si>
    <t>export</t>
  </si>
  <si>
    <t>sum</t>
  </si>
  <si>
    <t>TOTAL</t>
  </si>
  <si>
    <t>F Industrial</t>
  </si>
  <si>
    <t>F Coastal</t>
  </si>
  <si>
    <t>F Artisanal</t>
  </si>
  <si>
    <t>F Foreign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</si>
</sst>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6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FFD0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FFE800"/>
        <bgColor indexed="64"/>
      </patternFill>
    </fill>
    <fill>
      <patternFill patternType="solid">
        <fgColor rgb="FFFFD800"/>
        <bgColor indexed="64"/>
      </patternFill>
    </fill>
    <fill>
      <patternFill patternType="solid">
        <fgColor rgb="FFFFD300"/>
        <bgColor indexed="64"/>
      </patternFill>
    </fill>
    <fill>
      <patternFill patternType="solid">
        <fgColor rgb="FFE5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FFE300"/>
        <bgColor indexed="64"/>
      </patternFill>
    </fill>
    <fill>
      <patternFill patternType="solid">
        <fgColor rgb="FFFF8900"/>
        <bgColor indexed="64"/>
      </patternFill>
    </fill>
    <fill>
      <patternFill patternType="solid">
        <fgColor rgb="FFFFB2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FF68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FF24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FFEC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FFC200"/>
        <bgColor indexed="64"/>
      </patternFill>
    </fill>
    <fill>
      <patternFill patternType="solid">
        <fgColor rgb="FFFFF700"/>
        <bgColor indexed="64"/>
      </patternFill>
    </fill>
    <fill>
      <patternFill patternType="solid">
        <fgColor rgb="FFD0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FF40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6C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85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0" borderId="0" xfId="0" applyFont="1" applyFill="1" applyAlignment="1">
      <alignment horizontal="center"/>
    </xf>
    <xf numFmtId="0" fontId="0" fillId="41" borderId="0" xfId="0" applyFill="1"/>
    <xf numFmtId="0" fontId="0" fillId="42" borderId="0" xfId="0" applyFill="1"/>
    <xf numFmtId="0" fontId="0" fillId="43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0" borderId="0" xfId="0" applyBorder="1"/>
    <xf numFmtId="0" fontId="0" fillId="48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9" borderId="0" xfId="0" applyFill="1"/>
    <xf numFmtId="0" fontId="0" fillId="50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06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9" t="s">
        <v>171</v>
      </c>
      <c r="C53" s="112">
        <v>654</v>
      </c>
      <c r="D53" s="112"/>
    </row>
    <row r="54" spans="2:4" x14ac:dyDescent="0.15">
      <c r="B54" s="179" t="s">
        <v>172</v>
      </c>
      <c r="C54" s="179" t="s">
        <v>185</v>
      </c>
      <c r="D54" s="112"/>
    </row>
    <row r="55" spans="2:4" x14ac:dyDescent="0.15">
      <c r="B55" s="179" t="s">
        <v>173</v>
      </c>
      <c r="C55" s="179" t="s">
        <v>185</v>
      </c>
      <c r="D55" s="112"/>
    </row>
    <row r="56" spans="2:4" x14ac:dyDescent="0.15">
      <c r="B56" s="179" t="s">
        <v>174</v>
      </c>
      <c r="C56" s="112">
        <v>586900</v>
      </c>
      <c r="D56" s="112"/>
    </row>
    <row r="57" spans="2:4" x14ac:dyDescent="0.15">
      <c r="B57" s="179" t="s">
        <v>175</v>
      </c>
      <c r="C57" s="179" t="s">
        <v>186</v>
      </c>
      <c r="D57" s="112"/>
    </row>
    <row r="58" spans="2:4" x14ac:dyDescent="0.15">
      <c r="B58" s="179" t="s">
        <v>176</v>
      </c>
      <c r="C58" s="179" t="s">
        <v>187</v>
      </c>
      <c r="D58" s="112"/>
    </row>
    <row r="59" spans="2:4" x14ac:dyDescent="0.15">
      <c r="B59" s="179" t="s">
        <v>177</v>
      </c>
      <c r="C59" s="179" t="s">
        <v>188</v>
      </c>
      <c r="D59" s="112"/>
    </row>
    <row r="60" spans="2:4" x14ac:dyDescent="0.15">
      <c r="B60" s="179" t="s">
        <v>178</v>
      </c>
      <c r="C60" s="179" t="s">
        <v>189</v>
      </c>
      <c r="D60" s="112"/>
    </row>
    <row r="61" spans="2:4" x14ac:dyDescent="0.15">
      <c r="B61" s="179" t="s">
        <v>179</v>
      </c>
      <c r="C61" s="112">
        <v>38</v>
      </c>
      <c r="D61" s="112"/>
    </row>
    <row r="62" spans="2:4" x14ac:dyDescent="0.15">
      <c r="B62" s="179" t="s">
        <v>180</v>
      </c>
      <c r="C62" s="112">
        <v>4</v>
      </c>
      <c r="D62" s="112"/>
    </row>
    <row r="63" spans="2:4" x14ac:dyDescent="0.15">
      <c r="B63" s="179" t="s">
        <v>181</v>
      </c>
      <c r="C63" s="112">
        <v>1985</v>
      </c>
      <c r="D63" s="112"/>
    </row>
    <row r="64" spans="2:4" x14ac:dyDescent="0.15">
      <c r="B64" s="179" t="s">
        <v>182</v>
      </c>
      <c r="C64" s="112">
        <v>2</v>
      </c>
      <c r="D64" s="112"/>
    </row>
    <row r="65" spans="2:4" x14ac:dyDescent="0.15">
      <c r="B65" s="179" t="s">
        <v>183</v>
      </c>
      <c r="C65" s="179" t="s">
        <v>190</v>
      </c>
      <c r="D65" s="112"/>
    </row>
    <row r="66" spans="2:4" x14ac:dyDescent="0.15">
      <c r="B66" s="179" t="s">
        <v>184</v>
      </c>
      <c r="D66" s="112"/>
    </row>
    <row r="67" spans="2:4" x14ac:dyDescent="0.15">
      <c r="B67" s="112"/>
      <c r="C67" s="112"/>
      <c r="D67" s="112"/>
    </row>
    <row r="68" spans="2:4" x14ac:dyDescent="0.15">
      <c r="B68" s="112"/>
      <c r="C68" s="112"/>
      <c r="D68" s="11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84" customWidth="1"/>
    <col min="2" max="3" width="3.33203125" style="84" customWidth="1"/>
    <col min="4" max="4" width="14.33203125" style="84" customWidth="1"/>
    <col min="5" max="5" width="23.1640625" style="84" bestFit="1" customWidth="1"/>
    <col min="6" max="6" width="2.33203125" style="84" bestFit="1" customWidth="1"/>
    <col min="7" max="7" width="11.83203125" style="84" bestFit="1" customWidth="1"/>
    <col min="8" max="8" width="8.83203125" style="84" customWidth="1"/>
    <col min="9" max="9" width="10.83203125" style="84" customWidth="1"/>
    <col min="10" max="10" width="12.83203125" style="84" customWidth="1"/>
    <col min="11" max="11" width="13.83203125" style="84" customWidth="1"/>
    <col min="12" max="12" width="2.33203125" style="84" customWidth="1"/>
    <col min="13" max="13" width="3.83203125" style="84" customWidth="1"/>
    <col min="14" max="14" width="2.33203125" style="84" customWidth="1"/>
    <col min="16" max="25" width="8.83203125" style="8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4"/>
  </cols>
  <sheetData>
    <row r="1" spans="1:46" s="101" customFormat="1" ht="15" customHeight="1" x14ac:dyDescent="0.15">
      <c r="A1" s="80" t="s">
        <v>18</v>
      </c>
      <c r="C1" s="81" t="s">
        <v>8</v>
      </c>
      <c r="D1" s="80" t="s">
        <v>23</v>
      </c>
      <c r="E1" s="80" t="s">
        <v>0</v>
      </c>
      <c r="F1" s="80" t="s">
        <v>7</v>
      </c>
      <c r="G1" s="82" t="s">
        <v>13</v>
      </c>
      <c r="H1" s="80" t="s">
        <v>1</v>
      </c>
      <c r="I1" s="80" t="s">
        <v>2</v>
      </c>
      <c r="J1" s="80" t="s">
        <v>14</v>
      </c>
      <c r="K1" s="80" t="s">
        <v>3</v>
      </c>
      <c r="L1" s="80" t="s">
        <v>4</v>
      </c>
      <c r="M1" s="80" t="s">
        <v>5</v>
      </c>
      <c r="N1" s="8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1">
        <v>1</v>
      </c>
      <c r="D2"/>
      <c r="E2" s="180" t="s">
        <v>191</v>
      </c>
      <c r="F2" s="84">
        <v>1</v>
      </c>
      <c r="G2" s="84">
        <v>102.458771</v>
      </c>
      <c r="H2" s="84">
        <v>84.550809999999998</v>
      </c>
      <c r="I2" s="6">
        <v>0</v>
      </c>
      <c r="J2" s="6">
        <v>0.31563049999999998</v>
      </c>
      <c r="K2" s="6">
        <v>0</v>
      </c>
      <c r="L2" s="6">
        <v>0</v>
      </c>
      <c r="M2" s="84">
        <v>0</v>
      </c>
      <c r="N2" s="84">
        <v>0</v>
      </c>
    </row>
    <row r="3" spans="1:46" ht="15" customHeight="1" x14ac:dyDescent="0.15">
      <c r="A3" s="1" t="s">
        <v>9</v>
      </c>
      <c r="B3" s="4">
        <v>37</v>
      </c>
      <c r="C3" s="84">
        <v>2</v>
      </c>
      <c r="D3"/>
      <c r="E3" s="180" t="s">
        <v>192</v>
      </c>
      <c r="F3" s="84">
        <v>0</v>
      </c>
      <c r="G3" s="84">
        <v>20.2</v>
      </c>
      <c r="H3" s="84">
        <v>25</v>
      </c>
      <c r="I3" s="84">
        <v>90.4</v>
      </c>
      <c r="J3" s="84">
        <v>0.58689183</v>
      </c>
      <c r="K3" s="84">
        <v>0.276548654</v>
      </c>
      <c r="L3" s="84">
        <v>0</v>
      </c>
      <c r="M3" s="84">
        <v>0.2</v>
      </c>
      <c r="N3" s="84">
        <v>0</v>
      </c>
    </row>
    <row r="4" spans="1:46" ht="15" customHeight="1" x14ac:dyDescent="0.15">
      <c r="A4" s="1" t="s">
        <v>10</v>
      </c>
      <c r="B4" s="4">
        <v>2</v>
      </c>
      <c r="C4" s="84">
        <v>3</v>
      </c>
      <c r="D4"/>
      <c r="E4" s="180" t="s">
        <v>193</v>
      </c>
      <c r="F4" s="84">
        <v>0</v>
      </c>
      <c r="G4" s="84">
        <v>56.303890000000003</v>
      </c>
      <c r="H4" s="84">
        <v>6</v>
      </c>
      <c r="I4" s="84">
        <v>25</v>
      </c>
      <c r="J4" s="84">
        <v>0.95</v>
      </c>
      <c r="K4" s="84">
        <v>0.24</v>
      </c>
      <c r="L4" s="84">
        <v>0</v>
      </c>
      <c r="M4" s="84">
        <v>0.4</v>
      </c>
      <c r="N4" s="84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4</v>
      </c>
      <c r="C5" s="84">
        <v>4</v>
      </c>
      <c r="D5"/>
      <c r="E5" s="180" t="s">
        <v>194</v>
      </c>
      <c r="F5" s="84">
        <v>0</v>
      </c>
      <c r="G5" s="84">
        <v>21.962692300000001</v>
      </c>
      <c r="H5" s="84">
        <v>2</v>
      </c>
      <c r="I5" s="84">
        <v>22.2</v>
      </c>
      <c r="J5" s="84">
        <v>0.95</v>
      </c>
      <c r="K5" s="84">
        <v>9.0090089999999998E-2</v>
      </c>
      <c r="L5" s="84">
        <v>0</v>
      </c>
      <c r="M5" s="84">
        <v>0.2</v>
      </c>
      <c r="N5" s="84">
        <v>0</v>
      </c>
      <c r="P5" s="73"/>
      <c r="Q5" s="73"/>
      <c r="R5" s="73"/>
    </row>
    <row r="6" spans="1:46" ht="15" customHeight="1" thickBot="1" x14ac:dyDescent="0.2">
      <c r="B6" s="1"/>
      <c r="C6" s="84">
        <v>5</v>
      </c>
      <c r="D6"/>
      <c r="E6" s="180" t="s">
        <v>195</v>
      </c>
      <c r="F6" s="84">
        <v>0</v>
      </c>
      <c r="G6" s="84">
        <v>155.756226</v>
      </c>
      <c r="H6" s="84">
        <v>1.55</v>
      </c>
      <c r="I6" s="84">
        <v>9.4</v>
      </c>
      <c r="J6" s="84">
        <v>0.95</v>
      </c>
      <c r="K6" s="84">
        <v>0.16489361199999999</v>
      </c>
      <c r="L6" s="84">
        <v>0</v>
      </c>
      <c r="M6" s="84">
        <v>0.2</v>
      </c>
      <c r="N6" s="84">
        <v>0</v>
      </c>
      <c r="P6" s="73"/>
      <c r="Q6" s="73"/>
      <c r="R6" s="73"/>
      <c r="W6" s="36" t="s">
        <v>31</v>
      </c>
      <c r="X6" s="52">
        <f>MAX(MainOutputs!G:G)</f>
        <v>0.9888838529586792</v>
      </c>
    </row>
    <row r="7" spans="1:46" ht="15" customHeight="1" x14ac:dyDescent="0.15">
      <c r="A7" s="2" t="s">
        <v>27</v>
      </c>
      <c r="B7" s="84">
        <f ca="1">COUNTIF(OFFSET(cornerDiets,1,1,NumLiving+NumDead+1,NumLiving+NumDead),"&gt;0")+NumLiving+NumDead+1</f>
        <v>391</v>
      </c>
      <c r="C7" s="84">
        <v>6</v>
      </c>
      <c r="D7"/>
      <c r="E7" s="180" t="s">
        <v>196</v>
      </c>
      <c r="F7" s="84">
        <v>0</v>
      </c>
      <c r="G7" s="84">
        <v>2.5102956299999999</v>
      </c>
      <c r="H7" s="84">
        <v>1.1000000000000001</v>
      </c>
      <c r="I7" s="84">
        <v>4.4400000000000004</v>
      </c>
      <c r="J7" s="84">
        <v>0.95</v>
      </c>
      <c r="K7" s="84">
        <v>0.24774774899999999</v>
      </c>
      <c r="L7" s="84">
        <v>0</v>
      </c>
      <c r="M7" s="84">
        <v>0.2</v>
      </c>
      <c r="N7" s="84">
        <v>0</v>
      </c>
      <c r="P7" s="73"/>
      <c r="Q7" s="73"/>
      <c r="R7" s="73"/>
    </row>
    <row r="8" spans="1:46" ht="15" customHeight="1" x14ac:dyDescent="0.15">
      <c r="A8" s="2" t="s">
        <v>28</v>
      </c>
      <c r="B8" s="84">
        <f ca="1">COUNTIF(OFFSET(cornerFishing,1,2,NumLiving+NumDead,NumGears),"&gt;0")+NumDead*COUNTIF(OFFSET(cornerDiscards,1,2,NumLiving+NumDead,NumGears),"&gt;0")+NumLiving+NumDead+1</f>
        <v>203</v>
      </c>
      <c r="C8" s="84">
        <v>7</v>
      </c>
      <c r="D8"/>
      <c r="E8" s="180" t="s">
        <v>197</v>
      </c>
      <c r="F8" s="84">
        <v>0</v>
      </c>
      <c r="G8" s="84">
        <v>12.41436</v>
      </c>
      <c r="H8" s="84">
        <v>1.8</v>
      </c>
      <c r="I8" s="84">
        <v>10</v>
      </c>
      <c r="J8" s="84">
        <v>0.95</v>
      </c>
      <c r="K8" s="84">
        <v>0.179999992</v>
      </c>
      <c r="L8" s="84">
        <v>0</v>
      </c>
      <c r="M8" s="84">
        <v>0.2</v>
      </c>
      <c r="N8" s="84">
        <v>0</v>
      </c>
      <c r="P8" s="73"/>
      <c r="Q8" s="73"/>
      <c r="R8" s="73"/>
    </row>
    <row r="9" spans="1:46" ht="15" customHeight="1" x14ac:dyDescent="0.15">
      <c r="B9" s="1"/>
      <c r="C9" s="84">
        <v>8</v>
      </c>
      <c r="D9"/>
      <c r="E9" s="180" t="s">
        <v>198</v>
      </c>
      <c r="F9" s="84">
        <v>0</v>
      </c>
      <c r="G9" s="84">
        <v>28.368793499999999</v>
      </c>
      <c r="H9" s="84">
        <v>1.7</v>
      </c>
      <c r="I9" s="84">
        <v>11.333333</v>
      </c>
      <c r="J9" s="84">
        <v>0.95</v>
      </c>
      <c r="K9" s="84">
        <v>0.15</v>
      </c>
      <c r="L9" s="84">
        <v>0</v>
      </c>
      <c r="M9" s="84">
        <v>0.2</v>
      </c>
      <c r="N9" s="84">
        <v>0</v>
      </c>
      <c r="P9" s="73"/>
      <c r="Q9" s="73"/>
      <c r="R9" s="73"/>
    </row>
    <row r="10" spans="1:46" ht="15" customHeight="1" x14ac:dyDescent="0.15">
      <c r="B10" s="1"/>
      <c r="C10" s="84">
        <v>9</v>
      </c>
      <c r="D10"/>
      <c r="E10" s="180" t="s">
        <v>199</v>
      </c>
      <c r="F10" s="84">
        <v>0</v>
      </c>
      <c r="G10" s="84">
        <v>1.8761354699999999</v>
      </c>
      <c r="H10" s="84">
        <v>0.28199999999999997</v>
      </c>
      <c r="I10" s="84">
        <v>5.85</v>
      </c>
      <c r="J10" s="84">
        <v>0.95</v>
      </c>
      <c r="K10" s="84">
        <v>4.8205129999999999E-2</v>
      </c>
      <c r="L10" s="84">
        <v>0</v>
      </c>
      <c r="M10" s="84">
        <v>0.2</v>
      </c>
      <c r="N10" s="84">
        <v>0</v>
      </c>
    </row>
    <row r="11" spans="1:46" ht="15" customHeight="1" x14ac:dyDescent="0.15">
      <c r="C11" s="84">
        <v>10</v>
      </c>
      <c r="D11"/>
      <c r="E11" s="180" t="s">
        <v>200</v>
      </c>
      <c r="F11" s="84">
        <v>0</v>
      </c>
      <c r="G11" s="84">
        <v>0.32575347999999998</v>
      </c>
      <c r="H11" s="84">
        <v>0.55200000000000005</v>
      </c>
      <c r="I11" s="84">
        <v>7.1609999999999996</v>
      </c>
      <c r="J11" s="84">
        <v>0.95</v>
      </c>
      <c r="K11" s="84">
        <v>7.7084206000000002E-2</v>
      </c>
      <c r="L11" s="84">
        <v>0</v>
      </c>
      <c r="M11" s="84">
        <v>0.2</v>
      </c>
      <c r="N11" s="84">
        <v>0</v>
      </c>
    </row>
    <row r="12" spans="1:46" ht="15" customHeight="1" x14ac:dyDescent="0.15">
      <c r="C12" s="84">
        <v>11</v>
      </c>
      <c r="D12"/>
      <c r="E12" s="180" t="s">
        <v>201</v>
      </c>
      <c r="F12" s="84">
        <v>0</v>
      </c>
      <c r="G12" s="84">
        <v>3.0538685299999999</v>
      </c>
      <c r="H12" s="84">
        <v>0.35199999999999998</v>
      </c>
      <c r="I12" s="84">
        <v>6.1669999999999998</v>
      </c>
      <c r="J12" s="84">
        <v>0.95</v>
      </c>
      <c r="K12" s="84">
        <v>5.7077996399999997E-2</v>
      </c>
      <c r="L12" s="84">
        <v>0</v>
      </c>
      <c r="M12" s="84">
        <v>0.2</v>
      </c>
      <c r="N12" s="84">
        <v>0</v>
      </c>
    </row>
    <row r="13" spans="1:46" ht="15" customHeight="1" x14ac:dyDescent="0.15">
      <c r="C13" s="84">
        <v>12</v>
      </c>
      <c r="D13"/>
      <c r="E13" s="180" t="s">
        <v>202</v>
      </c>
      <c r="F13" s="84">
        <v>0</v>
      </c>
      <c r="G13" s="84">
        <v>0.22467105100000001</v>
      </c>
      <c r="H13" s="84">
        <v>0.27</v>
      </c>
      <c r="I13" s="84">
        <v>2.9849999999999999</v>
      </c>
      <c r="J13" s="84">
        <v>0.95</v>
      </c>
      <c r="K13" s="84">
        <v>9.0452270000000001E-2</v>
      </c>
      <c r="L13" s="84">
        <v>0</v>
      </c>
      <c r="M13" s="84">
        <v>0.2</v>
      </c>
      <c r="N13" s="84">
        <v>0</v>
      </c>
    </row>
    <row r="14" spans="1:46" ht="15" customHeight="1" x14ac:dyDescent="0.15">
      <c r="C14" s="84">
        <v>13</v>
      </c>
      <c r="D14"/>
      <c r="E14" s="180" t="s">
        <v>203</v>
      </c>
      <c r="F14" s="84">
        <v>0</v>
      </c>
      <c r="G14" s="84">
        <v>0.109319054</v>
      </c>
      <c r="H14" s="84">
        <v>0.53300000000000003</v>
      </c>
      <c r="I14" s="84">
        <v>4.47</v>
      </c>
      <c r="J14" s="84">
        <v>0.95</v>
      </c>
      <c r="K14" s="84">
        <v>0.11923937499999999</v>
      </c>
      <c r="L14" s="84">
        <v>0</v>
      </c>
      <c r="M14" s="84">
        <v>0.2</v>
      </c>
      <c r="N14" s="84">
        <v>0</v>
      </c>
    </row>
    <row r="15" spans="1:46" ht="15" customHeight="1" x14ac:dyDescent="0.15">
      <c r="C15" s="84">
        <v>14</v>
      </c>
      <c r="D15"/>
      <c r="E15" s="180" t="s">
        <v>204</v>
      </c>
      <c r="F15" s="84">
        <v>0</v>
      </c>
      <c r="G15" s="84">
        <v>12.3019848</v>
      </c>
      <c r="H15" s="84">
        <v>1.4450000000000001</v>
      </c>
      <c r="I15" s="84">
        <v>10.957000000000001</v>
      </c>
      <c r="J15" s="84">
        <v>0.95</v>
      </c>
      <c r="K15" s="84">
        <v>0.13187916599999999</v>
      </c>
      <c r="L15" s="84">
        <v>0</v>
      </c>
      <c r="M15" s="84">
        <v>0.2</v>
      </c>
      <c r="N15" s="84">
        <v>0</v>
      </c>
    </row>
    <row r="16" spans="1:46" ht="15" customHeight="1" x14ac:dyDescent="0.15">
      <c r="C16" s="84">
        <v>15</v>
      </c>
      <c r="D16"/>
      <c r="E16" s="180" t="s">
        <v>205</v>
      </c>
      <c r="F16" s="84">
        <v>0</v>
      </c>
      <c r="G16" s="84">
        <v>5.5907063499999996</v>
      </c>
      <c r="H16" s="84">
        <v>0.69</v>
      </c>
      <c r="I16" s="84">
        <v>8.5579999999999998</v>
      </c>
      <c r="J16" s="84">
        <v>0.95</v>
      </c>
      <c r="K16" s="84">
        <v>8.0626320000000001E-2</v>
      </c>
      <c r="L16" s="84">
        <v>0</v>
      </c>
      <c r="M16" s="84">
        <v>0.2</v>
      </c>
      <c r="N16" s="84">
        <v>0</v>
      </c>
    </row>
    <row r="17" spans="1:22" ht="15" customHeight="1" x14ac:dyDescent="0.15">
      <c r="C17" s="84">
        <v>16</v>
      </c>
      <c r="D17"/>
      <c r="E17" s="180" t="s">
        <v>206</v>
      </c>
      <c r="F17" s="84">
        <v>0</v>
      </c>
      <c r="G17" s="84">
        <v>1.8582000000000001</v>
      </c>
      <c r="H17" s="84">
        <v>1.26</v>
      </c>
      <c r="I17" s="84">
        <v>7.9210000000000003</v>
      </c>
      <c r="J17" s="84">
        <v>0.96262425200000001</v>
      </c>
      <c r="K17" s="84">
        <v>0.15907082</v>
      </c>
      <c r="L17" s="84">
        <v>0</v>
      </c>
      <c r="M17" s="84">
        <v>0.2</v>
      </c>
      <c r="N17" s="84">
        <v>0</v>
      </c>
      <c r="V17" s="1" t="s">
        <v>30</v>
      </c>
    </row>
    <row r="18" spans="1:22" ht="15" customHeight="1" x14ac:dyDescent="0.15">
      <c r="C18" s="84">
        <v>17</v>
      </c>
      <c r="D18"/>
      <c r="E18" s="180" t="s">
        <v>207</v>
      </c>
      <c r="F18" s="84">
        <v>0</v>
      </c>
      <c r="G18" s="84">
        <v>1.9000082</v>
      </c>
      <c r="H18" s="84">
        <v>0.49399999999999999</v>
      </c>
      <c r="I18" s="84">
        <v>7.45</v>
      </c>
      <c r="J18" s="84">
        <v>0.95</v>
      </c>
      <c r="K18" s="84">
        <v>6.6308720000000002E-2</v>
      </c>
      <c r="L18" s="84">
        <v>0</v>
      </c>
      <c r="M18" s="84">
        <v>0.2</v>
      </c>
      <c r="N18" s="84">
        <v>0</v>
      </c>
      <c r="V18" s="1"/>
    </row>
    <row r="19" spans="1:22" ht="15" customHeight="1" x14ac:dyDescent="0.15">
      <c r="C19" s="84">
        <v>18</v>
      </c>
      <c r="D19"/>
      <c r="E19" s="180" t="s">
        <v>208</v>
      </c>
      <c r="F19" s="84">
        <v>0</v>
      </c>
      <c r="G19" s="84">
        <v>2.2360000000000002</v>
      </c>
      <c r="H19" s="84">
        <v>0.82199999999999995</v>
      </c>
      <c r="I19" s="84">
        <v>5.9870000000000001</v>
      </c>
      <c r="J19" s="84">
        <v>0.63493619999999995</v>
      </c>
      <c r="K19" s="84">
        <v>0.137297481</v>
      </c>
      <c r="L19" s="84">
        <v>0</v>
      </c>
      <c r="M19" s="84">
        <v>0.2</v>
      </c>
      <c r="N19" s="84">
        <v>0</v>
      </c>
    </row>
    <row r="20" spans="1:22" ht="15" customHeight="1" thickBot="1" x14ac:dyDescent="0.2">
      <c r="C20" s="84">
        <v>19</v>
      </c>
      <c r="D20"/>
      <c r="E20" s="180" t="s">
        <v>209</v>
      </c>
      <c r="F20" s="84">
        <v>0</v>
      </c>
      <c r="G20" s="84">
        <v>0.395486116</v>
      </c>
      <c r="H20" s="84">
        <v>0.157</v>
      </c>
      <c r="I20" s="84">
        <v>3.8809999999999998</v>
      </c>
      <c r="J20" s="84">
        <v>0.95</v>
      </c>
      <c r="K20" s="84">
        <v>4.0453493600000001E-2</v>
      </c>
      <c r="L20" s="84">
        <v>0</v>
      </c>
      <c r="M20" s="84">
        <v>0.2</v>
      </c>
      <c r="N20" s="84">
        <v>0</v>
      </c>
    </row>
    <row r="21" spans="1:22" ht="15" customHeight="1" thickBot="1" x14ac:dyDescent="0.2">
      <c r="A21" s="47" t="s">
        <v>137</v>
      </c>
      <c r="B21" s="102"/>
      <c r="C21" s="84">
        <v>20</v>
      </c>
      <c r="D21"/>
      <c r="E21" s="180" t="s">
        <v>210</v>
      </c>
      <c r="F21" s="84">
        <v>0</v>
      </c>
      <c r="G21" s="84">
        <v>0.5</v>
      </c>
      <c r="H21" s="84">
        <v>0.71599999999999997</v>
      </c>
      <c r="I21" s="84">
        <v>4.8869999999999996</v>
      </c>
      <c r="J21" s="84">
        <v>0.93031260000000005</v>
      </c>
      <c r="K21" s="84">
        <v>0.14651115200000001</v>
      </c>
      <c r="L21" s="84">
        <v>0</v>
      </c>
      <c r="M21" s="84">
        <v>0.2</v>
      </c>
      <c r="N21" s="84">
        <v>0</v>
      </c>
    </row>
    <row r="22" spans="1:22" ht="15" customHeight="1" x14ac:dyDescent="0.15">
      <c r="A22" s="103" t="s">
        <v>58</v>
      </c>
      <c r="B22" s="104">
        <v>0</v>
      </c>
      <c r="C22" s="84">
        <v>21</v>
      </c>
      <c r="D22"/>
      <c r="E22" s="180" t="s">
        <v>211</v>
      </c>
      <c r="F22" s="84">
        <v>0</v>
      </c>
      <c r="G22" s="84">
        <v>3.6320688699999999</v>
      </c>
      <c r="H22" s="84">
        <v>1.768</v>
      </c>
      <c r="I22" s="84">
        <v>12.648</v>
      </c>
      <c r="J22" s="84">
        <v>0.95</v>
      </c>
      <c r="K22" s="84">
        <v>0.13978494699999999</v>
      </c>
      <c r="L22" s="84">
        <v>0</v>
      </c>
      <c r="M22" s="84">
        <v>0.2</v>
      </c>
      <c r="N22" s="84">
        <v>0</v>
      </c>
    </row>
    <row r="23" spans="1:22" ht="15" customHeight="1" x14ac:dyDescent="0.15">
      <c r="A23" s="103" t="s">
        <v>59</v>
      </c>
      <c r="B23" s="104">
        <v>1</v>
      </c>
      <c r="C23" s="84">
        <v>22</v>
      </c>
      <c r="D23"/>
      <c r="E23" s="180" t="s">
        <v>212</v>
      </c>
      <c r="F23" s="84">
        <v>0</v>
      </c>
      <c r="G23" s="84">
        <v>0.28993377100000001</v>
      </c>
      <c r="H23" s="84">
        <v>0.52500000000000002</v>
      </c>
      <c r="I23" s="84">
        <v>7.4820000000000002</v>
      </c>
      <c r="J23" s="84">
        <v>0.95</v>
      </c>
      <c r="K23" s="84">
        <v>7.01684058E-2</v>
      </c>
      <c r="L23" s="84">
        <v>0</v>
      </c>
      <c r="M23" s="84">
        <v>0.2</v>
      </c>
      <c r="N23" s="84">
        <v>0</v>
      </c>
    </row>
    <row r="24" spans="1:22" ht="15" customHeight="1" x14ac:dyDescent="0.15">
      <c r="A24" s="103" t="s">
        <v>60</v>
      </c>
      <c r="B24" s="104">
        <v>2</v>
      </c>
      <c r="C24" s="84">
        <v>23</v>
      </c>
      <c r="D24"/>
      <c r="E24" s="180" t="s">
        <v>213</v>
      </c>
      <c r="F24" s="84">
        <v>0</v>
      </c>
      <c r="G24" s="84">
        <v>0.24</v>
      </c>
      <c r="H24" s="84">
        <v>0.435</v>
      </c>
      <c r="I24" s="84">
        <v>4.34</v>
      </c>
      <c r="J24" s="84">
        <v>0.85554980000000003</v>
      </c>
      <c r="K24" s="84">
        <v>0.10023041100000001</v>
      </c>
      <c r="L24" s="84">
        <v>0</v>
      </c>
      <c r="M24" s="84">
        <v>0.2</v>
      </c>
      <c r="N24" s="84">
        <v>0</v>
      </c>
    </row>
    <row r="25" spans="1:22" ht="15" customHeight="1" thickBot="1" x14ac:dyDescent="0.2">
      <c r="A25" s="105" t="s">
        <v>44</v>
      </c>
      <c r="B25" s="106">
        <v>3</v>
      </c>
      <c r="C25" s="84">
        <v>24</v>
      </c>
      <c r="D25"/>
      <c r="E25" s="180" t="s">
        <v>214</v>
      </c>
      <c r="F25" s="84">
        <v>0</v>
      </c>
      <c r="G25" s="84">
        <v>5.7192850000000002</v>
      </c>
      <c r="H25" s="84">
        <v>2.3769999999999998</v>
      </c>
      <c r="I25" s="84">
        <v>13.036</v>
      </c>
      <c r="J25" s="84">
        <v>0.95</v>
      </c>
      <c r="K25" s="84">
        <v>0.182341218</v>
      </c>
      <c r="L25" s="84">
        <v>0</v>
      </c>
      <c r="M25" s="84">
        <v>0.2</v>
      </c>
      <c r="N25" s="84">
        <v>0</v>
      </c>
    </row>
    <row r="26" spans="1:22" ht="15" customHeight="1" x14ac:dyDescent="0.15">
      <c r="A26" s="107" t="s">
        <v>140</v>
      </c>
      <c r="C26" s="84">
        <v>25</v>
      </c>
      <c r="D26"/>
      <c r="E26" s="180" t="s">
        <v>215</v>
      </c>
      <c r="F26" s="84">
        <v>0</v>
      </c>
      <c r="G26" s="84">
        <v>3.0246596299999999</v>
      </c>
      <c r="H26" s="84">
        <v>1.131</v>
      </c>
      <c r="I26" s="84">
        <v>8.4710000000000001</v>
      </c>
      <c r="J26" s="84">
        <v>0.95</v>
      </c>
      <c r="K26" s="84">
        <v>0.13351436</v>
      </c>
      <c r="L26" s="84">
        <v>0</v>
      </c>
      <c r="M26" s="84">
        <v>0.2</v>
      </c>
      <c r="N26" s="84">
        <v>0</v>
      </c>
    </row>
    <row r="27" spans="1:22" ht="15" customHeight="1" x14ac:dyDescent="0.15">
      <c r="C27" s="84">
        <v>26</v>
      </c>
      <c r="D27"/>
      <c r="E27" s="180" t="s">
        <v>216</v>
      </c>
      <c r="F27" s="84">
        <v>0</v>
      </c>
      <c r="G27" s="84">
        <v>6.3957467100000001</v>
      </c>
      <c r="H27" s="84">
        <v>0.94099999999999995</v>
      </c>
      <c r="I27" s="84">
        <v>6.3140000000000001</v>
      </c>
      <c r="J27" s="84">
        <v>0.95</v>
      </c>
      <c r="K27" s="84">
        <v>0.149033889</v>
      </c>
      <c r="L27" s="84">
        <v>0</v>
      </c>
      <c r="M27" s="84">
        <v>0.2</v>
      </c>
      <c r="N27" s="84">
        <v>0</v>
      </c>
    </row>
    <row r="28" spans="1:22" ht="15" customHeight="1" x14ac:dyDescent="0.15">
      <c r="C28" s="84">
        <v>27</v>
      </c>
      <c r="D28"/>
      <c r="E28" s="180" t="s">
        <v>217</v>
      </c>
      <c r="F28" s="84">
        <v>0</v>
      </c>
      <c r="G28" s="84">
        <v>2.3211581699999999</v>
      </c>
      <c r="H28" s="84">
        <v>0.77700000000000002</v>
      </c>
      <c r="I28" s="84">
        <v>3.206</v>
      </c>
      <c r="J28" s="84">
        <v>0.95</v>
      </c>
      <c r="K28" s="84">
        <v>0.24235807400000001</v>
      </c>
      <c r="L28" s="84">
        <v>0</v>
      </c>
      <c r="M28" s="84">
        <v>0.2</v>
      </c>
      <c r="N28" s="84">
        <v>0</v>
      </c>
    </row>
    <row r="29" spans="1:22" customFormat="1" ht="15" customHeight="1" x14ac:dyDescent="0.15">
      <c r="C29" s="84">
        <v>28</v>
      </c>
      <c r="E29" s="180" t="s">
        <v>218</v>
      </c>
      <c r="F29" s="84">
        <v>0</v>
      </c>
      <c r="G29" s="84">
        <v>17.646999999999998</v>
      </c>
      <c r="H29" s="84">
        <v>1.1000000000000001</v>
      </c>
      <c r="I29" s="84">
        <v>11.081</v>
      </c>
      <c r="J29" s="84">
        <v>0.98888385300000003</v>
      </c>
      <c r="K29" s="84">
        <v>9.9269019999999999E-2</v>
      </c>
      <c r="L29" s="84">
        <v>0</v>
      </c>
      <c r="M29" s="84">
        <v>0.2</v>
      </c>
      <c r="N29" s="84">
        <v>0</v>
      </c>
    </row>
    <row r="30" spans="1:22" customFormat="1" ht="15" customHeight="1" x14ac:dyDescent="0.15">
      <c r="C30" s="84">
        <v>29</v>
      </c>
      <c r="E30" s="180" t="s">
        <v>219</v>
      </c>
      <c r="F30" s="84">
        <v>0</v>
      </c>
      <c r="G30" s="84">
        <v>5.7619999999999998E-2</v>
      </c>
      <c r="H30" s="84">
        <v>0.64200000000000002</v>
      </c>
      <c r="I30" s="84">
        <v>3.774</v>
      </c>
      <c r="J30" s="84">
        <v>0.66041720000000004</v>
      </c>
      <c r="K30" s="84">
        <v>0.17011129999999999</v>
      </c>
      <c r="L30" s="84">
        <v>0</v>
      </c>
      <c r="M30" s="84">
        <v>0.2</v>
      </c>
      <c r="N30" s="84">
        <v>0</v>
      </c>
    </row>
    <row r="31" spans="1:22" customFormat="1" ht="15" customHeight="1" x14ac:dyDescent="0.15">
      <c r="C31" s="84">
        <v>30</v>
      </c>
      <c r="E31" s="180" t="s">
        <v>220</v>
      </c>
      <c r="F31" s="84">
        <v>0</v>
      </c>
      <c r="G31" s="84">
        <v>0.32900000000000001</v>
      </c>
      <c r="H31" s="84">
        <v>0.65800000000000003</v>
      </c>
      <c r="I31" s="84">
        <v>5.7069999999999999</v>
      </c>
      <c r="J31" s="84">
        <v>0.88853073100000002</v>
      </c>
      <c r="K31" s="84">
        <v>0.11529700499999999</v>
      </c>
      <c r="L31" s="84">
        <v>0</v>
      </c>
      <c r="M31" s="84">
        <v>0.2</v>
      </c>
      <c r="N31" s="84">
        <v>0</v>
      </c>
    </row>
    <row r="32" spans="1:22" customFormat="1" ht="15" customHeight="1" x14ac:dyDescent="0.15">
      <c r="C32" s="84">
        <v>31</v>
      </c>
      <c r="E32" s="180" t="s">
        <v>221</v>
      </c>
      <c r="F32" s="84">
        <v>0</v>
      </c>
      <c r="G32" s="84">
        <v>0.2</v>
      </c>
      <c r="H32" s="84">
        <v>0.32</v>
      </c>
      <c r="I32" s="84">
        <v>3.1960000000000002</v>
      </c>
      <c r="J32" s="84">
        <v>0.84544366599999998</v>
      </c>
      <c r="K32" s="84">
        <v>0.100125149</v>
      </c>
      <c r="L32" s="84">
        <v>0</v>
      </c>
      <c r="M32" s="84">
        <v>0.2</v>
      </c>
      <c r="N32" s="84">
        <v>0</v>
      </c>
    </row>
    <row r="33" spans="3:14" customFormat="1" ht="15" customHeight="1" x14ac:dyDescent="0.15">
      <c r="C33" s="84">
        <v>32</v>
      </c>
      <c r="E33" s="180" t="s">
        <v>222</v>
      </c>
      <c r="F33" s="84">
        <v>0</v>
      </c>
      <c r="G33" s="84">
        <v>0.2</v>
      </c>
      <c r="H33" s="84">
        <v>0.36</v>
      </c>
      <c r="I33" s="84">
        <v>2.5739999999999998</v>
      </c>
      <c r="J33" s="84">
        <v>0.72433525300000001</v>
      </c>
      <c r="K33" s="84">
        <v>0.13986015299999999</v>
      </c>
      <c r="L33" s="84">
        <v>0</v>
      </c>
      <c r="M33" s="84">
        <v>0.2</v>
      </c>
      <c r="N33" s="84">
        <v>0</v>
      </c>
    </row>
    <row r="34" spans="3:14" customFormat="1" ht="15" customHeight="1" x14ac:dyDescent="0.15">
      <c r="C34" s="84">
        <v>33</v>
      </c>
      <c r="E34" s="180" t="s">
        <v>223</v>
      </c>
      <c r="F34" s="84">
        <v>0</v>
      </c>
      <c r="G34" s="84">
        <v>2.1118347599999998</v>
      </c>
      <c r="H34" s="84">
        <v>3.1</v>
      </c>
      <c r="I34" s="84">
        <v>11.7</v>
      </c>
      <c r="J34" s="84">
        <v>0.95</v>
      </c>
      <c r="K34" s="84">
        <v>0.26495724900000001</v>
      </c>
      <c r="L34" s="84">
        <v>0</v>
      </c>
      <c r="M34" s="84">
        <v>0.2</v>
      </c>
      <c r="N34" s="84">
        <v>0</v>
      </c>
    </row>
    <row r="35" spans="3:14" customFormat="1" ht="15" customHeight="1" x14ac:dyDescent="0.15">
      <c r="C35" s="84">
        <v>34</v>
      </c>
      <c r="E35" s="180" t="s">
        <v>224</v>
      </c>
      <c r="F35" s="84">
        <v>0</v>
      </c>
      <c r="G35" s="84">
        <v>5.0000000000000001E-3</v>
      </c>
      <c r="H35" s="84">
        <v>0.15</v>
      </c>
      <c r="I35" s="84">
        <v>3.5</v>
      </c>
      <c r="J35" s="84">
        <v>9.4481274500000004E-2</v>
      </c>
      <c r="K35" s="84">
        <v>4.2857144E-2</v>
      </c>
      <c r="L35" s="84">
        <v>0</v>
      </c>
      <c r="M35" s="84">
        <v>0.2</v>
      </c>
      <c r="N35" s="84">
        <v>0</v>
      </c>
    </row>
    <row r="36" spans="3:14" customFormat="1" ht="15" customHeight="1" x14ac:dyDescent="0.15">
      <c r="C36" s="84">
        <v>35</v>
      </c>
      <c r="E36" s="180" t="s">
        <v>225</v>
      </c>
      <c r="F36" s="84">
        <v>0</v>
      </c>
      <c r="G36" s="84">
        <v>1.4999999999999999E-2</v>
      </c>
      <c r="H36" s="84">
        <v>0.04</v>
      </c>
      <c r="I36" s="84">
        <v>52.143000000000001</v>
      </c>
      <c r="J36" s="84">
        <v>9.5198500000000005E-2</v>
      </c>
      <c r="K36" s="84">
        <v>7.6712115E-4</v>
      </c>
      <c r="L36" s="84">
        <v>0</v>
      </c>
      <c r="M36" s="84">
        <v>0.2</v>
      </c>
      <c r="N36" s="84">
        <v>0</v>
      </c>
    </row>
    <row r="37" spans="3:14" customFormat="1" ht="15" customHeight="1" x14ac:dyDescent="0.15">
      <c r="C37" s="84">
        <v>36</v>
      </c>
      <c r="E37" s="180" t="s">
        <v>226</v>
      </c>
      <c r="F37" s="84">
        <v>0</v>
      </c>
      <c r="G37" s="84">
        <v>3.1E-2</v>
      </c>
      <c r="H37" s="84">
        <v>0.02</v>
      </c>
      <c r="I37" s="84">
        <v>4.6520924600000004</v>
      </c>
      <c r="J37" s="84">
        <v>0.20429028599999999</v>
      </c>
      <c r="K37" s="84">
        <v>4.2991405400000004E-3</v>
      </c>
      <c r="L37" s="84">
        <v>0</v>
      </c>
      <c r="M37" s="84">
        <v>0.2</v>
      </c>
      <c r="N37" s="84">
        <v>0</v>
      </c>
    </row>
    <row r="38" spans="3:14" customFormat="1" ht="15" customHeight="1" x14ac:dyDescent="0.15">
      <c r="C38" s="84">
        <v>37</v>
      </c>
      <c r="E38" s="180" t="s">
        <v>227</v>
      </c>
      <c r="F38" s="84">
        <v>0</v>
      </c>
      <c r="G38" s="84">
        <v>6.2E-2</v>
      </c>
      <c r="H38" s="84">
        <v>7.0000000000000007E-2</v>
      </c>
      <c r="I38" s="84">
        <v>12.1157389</v>
      </c>
      <c r="J38" s="84">
        <v>0.22821402499999999</v>
      </c>
      <c r="K38" s="84">
        <v>5.7776090000000004E-3</v>
      </c>
      <c r="L38" s="84">
        <v>0</v>
      </c>
      <c r="M38" s="84">
        <v>0.2</v>
      </c>
      <c r="N38" s="84">
        <v>0</v>
      </c>
    </row>
    <row r="39" spans="3:14" customFormat="1" ht="15" customHeight="1" x14ac:dyDescent="0.15">
      <c r="C39" s="84">
        <v>38</v>
      </c>
      <c r="E39" s="180" t="s">
        <v>228</v>
      </c>
      <c r="F39" s="84">
        <v>2</v>
      </c>
      <c r="G39" s="84">
        <v>0</v>
      </c>
      <c r="H39" s="84">
        <v>0</v>
      </c>
      <c r="I39" s="84">
        <v>0</v>
      </c>
      <c r="J39" s="84">
        <v>0.34624373899999999</v>
      </c>
      <c r="K39" s="84">
        <v>0</v>
      </c>
      <c r="L39" s="84">
        <v>0</v>
      </c>
      <c r="M39" s="84">
        <v>0.2</v>
      </c>
      <c r="N39" s="84">
        <v>0</v>
      </c>
    </row>
    <row r="40" spans="3:14" customFormat="1" ht="15" customHeight="1" x14ac:dyDescent="0.15">
      <c r="C40" s="84">
        <v>39</v>
      </c>
      <c r="E40" s="180" t="s">
        <v>229</v>
      </c>
      <c r="F40" s="84">
        <v>2</v>
      </c>
      <c r="G40" s="84">
        <v>5</v>
      </c>
      <c r="H40" s="84">
        <v>0</v>
      </c>
      <c r="I40" s="84">
        <v>0</v>
      </c>
      <c r="J40" s="84">
        <v>0</v>
      </c>
      <c r="K40" s="84">
        <v>0</v>
      </c>
      <c r="L40" s="84">
        <v>0</v>
      </c>
      <c r="M40" s="84">
        <v>0</v>
      </c>
      <c r="N40" s="84">
        <v>0</v>
      </c>
    </row>
    <row r="41" spans="3:14" customFormat="1" ht="15" customHeight="1" x14ac:dyDescent="0.15">
      <c r="C41" s="84">
        <v>40</v>
      </c>
      <c r="E41" s="180" t="s">
        <v>230</v>
      </c>
      <c r="F41" s="84">
        <v>3</v>
      </c>
      <c r="G41" s="84">
        <v>0</v>
      </c>
      <c r="H41" s="84">
        <v>0</v>
      </c>
      <c r="I41" s="84">
        <v>0</v>
      </c>
      <c r="J41" s="84">
        <v>0</v>
      </c>
      <c r="K41" s="84">
        <v>0</v>
      </c>
      <c r="L41" s="84">
        <v>0</v>
      </c>
      <c r="M41" s="84">
        <v>0</v>
      </c>
      <c r="N41" s="84">
        <v>0</v>
      </c>
    </row>
    <row r="42" spans="3:14" customFormat="1" ht="15" customHeight="1" x14ac:dyDescent="0.15">
      <c r="C42" s="84">
        <v>41</v>
      </c>
      <c r="E42" s="180" t="s">
        <v>231</v>
      </c>
      <c r="F42" s="84">
        <v>3</v>
      </c>
      <c r="G42" s="84">
        <v>0</v>
      </c>
      <c r="H42" s="84">
        <v>0</v>
      </c>
      <c r="I42" s="84">
        <v>0</v>
      </c>
      <c r="J42" s="84">
        <v>0</v>
      </c>
      <c r="K42" s="84">
        <v>0</v>
      </c>
      <c r="L42" s="84">
        <v>0</v>
      </c>
      <c r="M42" s="84">
        <v>0</v>
      </c>
      <c r="N42" s="84">
        <v>0</v>
      </c>
    </row>
    <row r="43" spans="3:14" customFormat="1" ht="15" customHeight="1" x14ac:dyDescent="0.15">
      <c r="C43" s="84">
        <v>42</v>
      </c>
      <c r="E43" s="180" t="s">
        <v>232</v>
      </c>
      <c r="F43" s="84">
        <v>3</v>
      </c>
      <c r="G43" s="84">
        <v>0</v>
      </c>
      <c r="H43" s="84">
        <v>0</v>
      </c>
      <c r="I43" s="84">
        <v>0</v>
      </c>
      <c r="J43" s="84">
        <v>0</v>
      </c>
      <c r="K43" s="84">
        <v>0</v>
      </c>
      <c r="L43" s="84">
        <v>0</v>
      </c>
      <c r="M43" s="84">
        <v>0</v>
      </c>
      <c r="N43" s="84">
        <v>0</v>
      </c>
    </row>
    <row r="44" spans="3:14" customFormat="1" ht="15" customHeight="1" x14ac:dyDescent="0.15">
      <c r="C44" s="84">
        <v>43</v>
      </c>
      <c r="E44" s="180" t="s">
        <v>233</v>
      </c>
      <c r="F44" s="84">
        <v>3</v>
      </c>
      <c r="G44" s="84">
        <v>0</v>
      </c>
      <c r="H44" s="84">
        <v>0</v>
      </c>
      <c r="I44" s="84">
        <v>0</v>
      </c>
      <c r="J44" s="84">
        <v>0</v>
      </c>
      <c r="K44" s="84">
        <v>0</v>
      </c>
      <c r="L44" s="84">
        <v>0</v>
      </c>
      <c r="M44" s="84">
        <v>0</v>
      </c>
      <c r="N44" s="84">
        <v>0</v>
      </c>
    </row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N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3.1640625" style="146" bestFit="1" customWidth="1"/>
    <col min="2" max="3" width="2.33203125" style="146" bestFit="1" customWidth="1"/>
    <col min="4" max="4" width="12.83203125" style="146" bestFit="1" customWidth="1"/>
    <col min="5" max="6" width="2.33203125" style="146" bestFit="1" customWidth="1"/>
    <col min="7" max="7" width="3.83203125" style="146" bestFit="1" customWidth="1"/>
    <col min="8" max="8" width="14.83203125" style="146" bestFit="1" customWidth="1"/>
    <col min="9" max="9" width="13.83203125" style="146" bestFit="1" customWidth="1"/>
    <col min="10" max="10" width="12.83203125" style="146" bestFit="1" customWidth="1"/>
    <col min="11" max="11" width="13.83203125" style="146" bestFit="1" customWidth="1"/>
    <col min="12" max="12" width="14.83203125" style="146" bestFit="1" customWidth="1"/>
    <col min="13" max="13" width="13.83203125" style="146" bestFit="1" customWidth="1"/>
    <col min="14" max="14" width="15.83203125" style="146" bestFit="1" customWidth="1"/>
    <col min="15" max="15" width="14.83203125" style="146" bestFit="1" customWidth="1"/>
    <col min="16" max="17" width="15.83203125" style="146" bestFit="1" customWidth="1"/>
    <col min="18" max="19" width="14.83203125" style="146" bestFit="1" customWidth="1"/>
    <col min="20" max="20" width="13.83203125" style="146" bestFit="1" customWidth="1"/>
    <col min="21" max="21" width="15.83203125" style="146" bestFit="1" customWidth="1"/>
    <col min="22" max="26" width="13.83203125" style="146" bestFit="1" customWidth="1"/>
    <col min="27" max="27" width="14.83203125" style="146" bestFit="1" customWidth="1"/>
    <col min="28" max="28" width="15.83203125" style="146" bestFit="1" customWidth="1"/>
    <col min="29" max="29" width="13.83203125" style="146" bestFit="1" customWidth="1"/>
    <col min="30" max="30" width="14.83203125" style="146" customWidth="1"/>
    <col min="31" max="33" width="15.83203125" style="146" customWidth="1"/>
    <col min="34" max="34" width="14.83203125" style="146" customWidth="1"/>
    <col min="35" max="35" width="2.33203125" style="146" customWidth="1"/>
    <col min="36" max="36" width="5.83203125" style="146" customWidth="1"/>
    <col min="37" max="37" width="13.83203125" style="146" customWidth="1"/>
    <col min="38" max="38" width="15.83203125" style="146" customWidth="1"/>
    <col min="39" max="40" width="2.33203125" style="146" customWidth="1"/>
    <col min="41" max="16384" width="8.83203125" style="146"/>
  </cols>
  <sheetData>
    <row r="1" spans="1:40" x14ac:dyDescent="0.15">
      <c r="A1" s="145" t="s">
        <v>19</v>
      </c>
      <c r="B1" s="182" t="s">
        <v>191</v>
      </c>
      <c r="C1" s="182" t="s">
        <v>192</v>
      </c>
      <c r="D1" s="182" t="s">
        <v>193</v>
      </c>
      <c r="E1" s="182" t="s">
        <v>194</v>
      </c>
      <c r="F1" s="182" t="s">
        <v>195</v>
      </c>
      <c r="G1" s="182" t="s">
        <v>196</v>
      </c>
      <c r="H1" s="182" t="s">
        <v>197</v>
      </c>
      <c r="I1" s="182" t="s">
        <v>198</v>
      </c>
      <c r="J1" s="182" t="s">
        <v>199</v>
      </c>
      <c r="K1" s="182" t="s">
        <v>200</v>
      </c>
      <c r="L1" s="182" t="s">
        <v>201</v>
      </c>
      <c r="M1" s="182" t="s">
        <v>202</v>
      </c>
      <c r="N1" s="182" t="s">
        <v>203</v>
      </c>
      <c r="O1" s="182" t="s">
        <v>204</v>
      </c>
      <c r="P1" s="182" t="s">
        <v>205</v>
      </c>
      <c r="Q1" s="182" t="s">
        <v>206</v>
      </c>
      <c r="R1" s="182" t="s">
        <v>207</v>
      </c>
      <c r="S1" s="182" t="s">
        <v>208</v>
      </c>
      <c r="T1" s="182" t="s">
        <v>209</v>
      </c>
      <c r="U1" s="182" t="s">
        <v>210</v>
      </c>
      <c r="V1" s="182" t="s">
        <v>211</v>
      </c>
      <c r="W1" s="182" t="s">
        <v>212</v>
      </c>
      <c r="X1" s="182" t="s">
        <v>213</v>
      </c>
      <c r="Y1" s="182" t="s">
        <v>214</v>
      </c>
      <c r="Z1" s="182" t="s">
        <v>215</v>
      </c>
      <c r="AA1" s="182" t="s">
        <v>216</v>
      </c>
      <c r="AB1" s="182" t="s">
        <v>217</v>
      </c>
      <c r="AC1" s="182" t="s">
        <v>218</v>
      </c>
      <c r="AD1" s="182" t="s">
        <v>219</v>
      </c>
      <c r="AE1" s="182" t="s">
        <v>220</v>
      </c>
      <c r="AF1" s="182" t="s">
        <v>221</v>
      </c>
      <c r="AG1" s="182" t="s">
        <v>222</v>
      </c>
      <c r="AH1" s="182" t="s">
        <v>223</v>
      </c>
      <c r="AI1" s="182" t="s">
        <v>224</v>
      </c>
      <c r="AJ1" s="182" t="s">
        <v>225</v>
      </c>
      <c r="AK1" s="182" t="s">
        <v>226</v>
      </c>
      <c r="AL1" s="182" t="s">
        <v>227</v>
      </c>
      <c r="AM1" s="182" t="s">
        <v>228</v>
      </c>
      <c r="AN1" s="182" t="s">
        <v>229</v>
      </c>
    </row>
    <row r="2" spans="1:40" customFormat="1" x14ac:dyDescent="0.15">
      <c r="A2" s="181" t="s">
        <v>191</v>
      </c>
      <c r="B2" s="146">
        <v>0</v>
      </c>
      <c r="C2" s="146">
        <v>1</v>
      </c>
      <c r="D2" s="146">
        <v>0.57887807684487691</v>
      </c>
      <c r="E2" s="146">
        <v>0</v>
      </c>
      <c r="F2" s="146">
        <v>0</v>
      </c>
      <c r="G2" s="146">
        <v>0</v>
      </c>
      <c r="H2" s="146">
        <v>6.5069859682227596E-3</v>
      </c>
      <c r="I2" s="146">
        <v>0.20000024132000035</v>
      </c>
      <c r="J2" s="146">
        <v>0</v>
      </c>
      <c r="K2" s="146">
        <v>0.40837301301271051</v>
      </c>
      <c r="L2" s="146">
        <v>0</v>
      </c>
      <c r="M2" s="146">
        <v>0</v>
      </c>
      <c r="N2" s="146">
        <v>0</v>
      </c>
      <c r="O2" s="146">
        <v>8.1174407947910959E-3</v>
      </c>
      <c r="P2" s="146">
        <v>3.5737781153515044E-2</v>
      </c>
      <c r="Q2" s="146">
        <v>5.0465516910239351E-2</v>
      </c>
      <c r="R2" s="146">
        <v>0</v>
      </c>
      <c r="S2" s="146">
        <v>4.0868763909200578E-2</v>
      </c>
      <c r="T2" s="146">
        <v>0</v>
      </c>
      <c r="U2" s="146">
        <v>0</v>
      </c>
      <c r="V2" s="146">
        <v>4.4572578961458914E-2</v>
      </c>
      <c r="W2" s="146">
        <v>0</v>
      </c>
      <c r="X2" s="146">
        <v>0</v>
      </c>
      <c r="Y2" s="146">
        <v>0</v>
      </c>
      <c r="Z2" s="146">
        <v>0</v>
      </c>
      <c r="AA2" s="146">
        <v>4.0215247158057403E-2</v>
      </c>
      <c r="AB2" s="146">
        <v>0</v>
      </c>
      <c r="AC2" s="146">
        <v>9.995800608164615E-2</v>
      </c>
      <c r="AD2" s="146">
        <v>0</v>
      </c>
      <c r="AE2" s="146">
        <v>0</v>
      </c>
      <c r="AF2" s="146">
        <v>6.486451696427576E-3</v>
      </c>
      <c r="AG2" s="146">
        <v>5.0037156388418125E-3</v>
      </c>
      <c r="AH2" s="146">
        <v>0</v>
      </c>
      <c r="AI2" s="146">
        <v>0</v>
      </c>
      <c r="AJ2" s="146">
        <v>0</v>
      </c>
      <c r="AK2" s="146">
        <v>0</v>
      </c>
      <c r="AL2" s="146">
        <v>0</v>
      </c>
      <c r="AM2" s="146">
        <v>0</v>
      </c>
      <c r="AN2" s="146">
        <v>0</v>
      </c>
    </row>
    <row r="3" spans="1:40" customFormat="1" x14ac:dyDescent="0.15">
      <c r="A3" s="181" t="s">
        <v>192</v>
      </c>
      <c r="B3" s="146">
        <v>0</v>
      </c>
      <c r="C3" s="146">
        <v>0</v>
      </c>
      <c r="D3" s="146">
        <v>6.0017367599305295E-2</v>
      </c>
      <c r="E3" s="146">
        <v>0</v>
      </c>
      <c r="F3" s="146">
        <v>0</v>
      </c>
      <c r="G3" s="146">
        <v>0</v>
      </c>
      <c r="H3" s="146">
        <v>0.13956535366658124</v>
      </c>
      <c r="I3" s="146">
        <v>0.10000047816000077</v>
      </c>
      <c r="J3" s="146">
        <v>0</v>
      </c>
      <c r="K3" s="146">
        <v>0</v>
      </c>
      <c r="L3" s="146">
        <v>0</v>
      </c>
      <c r="M3" s="146">
        <v>0</v>
      </c>
      <c r="N3" s="146">
        <v>0</v>
      </c>
      <c r="O3" s="146">
        <v>0.11036437420998861</v>
      </c>
      <c r="P3" s="146">
        <v>2.6145757961672011E-2</v>
      </c>
      <c r="Q3" s="146">
        <v>0</v>
      </c>
      <c r="R3" s="146">
        <v>0</v>
      </c>
      <c r="S3" s="146">
        <v>1.0844012986030185E-2</v>
      </c>
      <c r="T3" s="146">
        <v>0</v>
      </c>
      <c r="U3" s="146">
        <v>0</v>
      </c>
      <c r="V3" s="146">
        <v>0.23810362245218564</v>
      </c>
      <c r="W3" s="146">
        <v>0</v>
      </c>
      <c r="X3" s="146">
        <v>0</v>
      </c>
      <c r="Y3" s="146">
        <v>0.56891873558690143</v>
      </c>
      <c r="Z3" s="146">
        <v>0.15853964351932934</v>
      </c>
      <c r="AA3" s="146">
        <v>0.20104146378963156</v>
      </c>
      <c r="AB3" s="146">
        <v>9.695994932593445E-2</v>
      </c>
      <c r="AC3" s="146">
        <v>0.40023188431091006</v>
      </c>
      <c r="AD3" s="146">
        <v>9.9389871670134827E-3</v>
      </c>
      <c r="AE3" s="146">
        <v>0</v>
      </c>
      <c r="AF3" s="146">
        <v>0</v>
      </c>
      <c r="AG3" s="146">
        <v>8.5063173860310232E-2</v>
      </c>
      <c r="AH3" s="146">
        <v>6.4074496561654593E-2</v>
      </c>
      <c r="AI3" s="146">
        <v>0</v>
      </c>
      <c r="AJ3" s="146">
        <v>0</v>
      </c>
      <c r="AK3" s="146">
        <v>0</v>
      </c>
      <c r="AL3" s="146">
        <v>0</v>
      </c>
      <c r="AM3" s="146">
        <v>0</v>
      </c>
      <c r="AN3" s="146">
        <v>0</v>
      </c>
    </row>
    <row r="4" spans="1:40" customFormat="1" x14ac:dyDescent="0.15">
      <c r="A4" s="181" t="s">
        <v>193</v>
      </c>
      <c r="B4" s="146">
        <v>0</v>
      </c>
      <c r="C4" s="146">
        <v>0</v>
      </c>
      <c r="D4" s="146">
        <v>0.100028949998842</v>
      </c>
      <c r="E4" s="146">
        <v>0</v>
      </c>
      <c r="F4" s="146">
        <v>0</v>
      </c>
      <c r="G4" s="146">
        <v>0</v>
      </c>
      <c r="H4" s="146">
        <v>0</v>
      </c>
      <c r="I4" s="146">
        <v>0.10000047816000077</v>
      </c>
      <c r="J4" s="146">
        <v>0.11107309088926907</v>
      </c>
      <c r="K4" s="146">
        <v>0</v>
      </c>
      <c r="L4" s="146">
        <v>3.906776046256228E-2</v>
      </c>
      <c r="M4" s="146">
        <v>1.605397801213589E-2</v>
      </c>
      <c r="N4" s="146">
        <v>1.2103477350026552E-3</v>
      </c>
      <c r="O4" s="146">
        <v>7.7156678049479177E-2</v>
      </c>
      <c r="P4" s="146">
        <v>3.2221182169769359E-2</v>
      </c>
      <c r="Q4" s="146">
        <v>4.8345170201405989E-2</v>
      </c>
      <c r="R4" s="146">
        <v>2.9883999659920082E-2</v>
      </c>
      <c r="S4" s="146">
        <v>4.8721440692180339E-2</v>
      </c>
      <c r="T4" s="146">
        <v>0</v>
      </c>
      <c r="U4" s="146">
        <v>3.0024738726774882E-2</v>
      </c>
      <c r="V4" s="146">
        <v>0.31813841358737499</v>
      </c>
      <c r="W4" s="146">
        <v>8.3765710977170463E-2</v>
      </c>
      <c r="X4" s="146">
        <v>0</v>
      </c>
      <c r="Y4" s="146">
        <v>0.31995428345836358</v>
      </c>
      <c r="Z4" s="146">
        <v>0.57164290081575464</v>
      </c>
      <c r="AA4" s="146">
        <v>0.17003511220516182</v>
      </c>
      <c r="AB4" s="146">
        <v>0</v>
      </c>
      <c r="AC4" s="146">
        <v>0.34985308628575895</v>
      </c>
      <c r="AD4" s="146">
        <v>4.3180976381002358E-2</v>
      </c>
      <c r="AE4" s="146">
        <v>2.4909343995460749E-2</v>
      </c>
      <c r="AF4" s="146">
        <v>2.8491132966586494E-3</v>
      </c>
      <c r="AG4" s="146">
        <v>4.2364239742233902E-4</v>
      </c>
      <c r="AH4" s="146">
        <v>0.13596232764787508</v>
      </c>
      <c r="AI4" s="146">
        <v>1</v>
      </c>
      <c r="AJ4" s="146">
        <v>0.125</v>
      </c>
      <c r="AK4" s="146">
        <v>0.71000000150599973</v>
      </c>
      <c r="AL4" s="146">
        <v>0</v>
      </c>
      <c r="AM4" s="146">
        <v>0</v>
      </c>
      <c r="AN4" s="146">
        <v>0</v>
      </c>
    </row>
    <row r="5" spans="1:40" customFormat="1" x14ac:dyDescent="0.15">
      <c r="A5" s="181" t="s">
        <v>194</v>
      </c>
      <c r="B5" s="146">
        <v>0</v>
      </c>
      <c r="C5" s="146">
        <v>0</v>
      </c>
      <c r="D5" s="146">
        <v>0</v>
      </c>
      <c r="E5" s="146">
        <v>0</v>
      </c>
      <c r="F5" s="146">
        <v>0</v>
      </c>
      <c r="G5" s="146">
        <v>0</v>
      </c>
      <c r="H5" s="146">
        <v>3.6000907334492821E-2</v>
      </c>
      <c r="I5" s="146">
        <v>3.0000034748000053E-2</v>
      </c>
      <c r="J5" s="146">
        <v>0</v>
      </c>
      <c r="K5" s="146">
        <v>1.0528954313587378E-2</v>
      </c>
      <c r="L5" s="146">
        <v>0.16077268290354857</v>
      </c>
      <c r="M5" s="146">
        <v>7.541635817794079E-2</v>
      </c>
      <c r="N5" s="146">
        <v>0</v>
      </c>
      <c r="O5" s="146">
        <v>6.1003791457824148E-2</v>
      </c>
      <c r="P5" s="146">
        <v>0.1548875342617356</v>
      </c>
      <c r="Q5" s="146">
        <v>0.10256677142729319</v>
      </c>
      <c r="R5" s="146">
        <v>5.9781342019688322E-2</v>
      </c>
      <c r="S5" s="146">
        <v>4.2860661578054036E-2</v>
      </c>
      <c r="T5" s="146">
        <v>0</v>
      </c>
      <c r="U5" s="146">
        <v>0</v>
      </c>
      <c r="V5" s="146">
        <v>5.0039785634072999E-2</v>
      </c>
      <c r="W5" s="146">
        <v>8.3765710977170463E-2</v>
      </c>
      <c r="X5" s="146">
        <v>6.8986261807440052E-2</v>
      </c>
      <c r="Y5" s="146">
        <v>1.1141266123996541E-2</v>
      </c>
      <c r="Z5" s="146">
        <v>0</v>
      </c>
      <c r="AA5" s="146">
        <v>2.3449112142015758E-2</v>
      </c>
      <c r="AB5" s="146">
        <v>0</v>
      </c>
      <c r="AC5" s="146">
        <v>0</v>
      </c>
      <c r="AD5" s="146">
        <v>4.7907365984883642E-3</v>
      </c>
      <c r="AE5" s="146">
        <v>1.7063431670899042E-2</v>
      </c>
      <c r="AF5" s="146">
        <v>3.2924894059082042E-3</v>
      </c>
      <c r="AG5" s="146">
        <v>0</v>
      </c>
      <c r="AH5" s="146">
        <v>6.4074496561654593E-2</v>
      </c>
      <c r="AI5" s="146">
        <v>0</v>
      </c>
      <c r="AJ5" s="146">
        <v>0</v>
      </c>
      <c r="AK5" s="146">
        <v>0</v>
      </c>
      <c r="AL5" s="146">
        <v>0</v>
      </c>
      <c r="AM5" s="146">
        <v>0</v>
      </c>
      <c r="AN5" s="146">
        <v>0</v>
      </c>
    </row>
    <row r="6" spans="1:40" customFormat="1" x14ac:dyDescent="0.15">
      <c r="A6" s="181" t="s">
        <v>195</v>
      </c>
      <c r="B6" s="146">
        <v>0</v>
      </c>
      <c r="C6" s="146">
        <v>0</v>
      </c>
      <c r="D6" s="146">
        <v>0</v>
      </c>
      <c r="E6" s="146">
        <v>0</v>
      </c>
      <c r="F6" s="146">
        <v>0</v>
      </c>
      <c r="G6" s="146">
        <v>0.8</v>
      </c>
      <c r="H6" s="146">
        <v>0.25006244748537637</v>
      </c>
      <c r="I6" s="146">
        <v>0.20000024132000035</v>
      </c>
      <c r="J6" s="146">
        <v>0.66688173333118261</v>
      </c>
      <c r="K6" s="146">
        <v>8.2727506963900507E-2</v>
      </c>
      <c r="L6" s="146">
        <v>0.25458354101426911</v>
      </c>
      <c r="M6" s="146">
        <v>0.19675452524641068</v>
      </c>
      <c r="N6" s="146">
        <v>0.14323101802458518</v>
      </c>
      <c r="O6" s="146">
        <v>0.37300305657048272</v>
      </c>
      <c r="P6" s="146">
        <v>0.46759309435499591</v>
      </c>
      <c r="Q6" s="146">
        <v>0.33047393137675452</v>
      </c>
      <c r="R6" s="146">
        <v>0.17630089799369578</v>
      </c>
      <c r="S6" s="146">
        <v>0.14290835559091386</v>
      </c>
      <c r="T6" s="146">
        <v>0.20259319240518639</v>
      </c>
      <c r="U6" s="146">
        <v>5.3007849517628582E-2</v>
      </c>
      <c r="V6" s="146">
        <v>0.1000435326689857</v>
      </c>
      <c r="W6" s="146">
        <v>0.11567516789235115</v>
      </c>
      <c r="X6" s="146">
        <v>0.29883734182953836</v>
      </c>
      <c r="Y6" s="146">
        <v>9.9985714830738537E-2</v>
      </c>
      <c r="Z6" s="146">
        <v>0</v>
      </c>
      <c r="AA6" s="146">
        <v>0</v>
      </c>
      <c r="AB6" s="146">
        <v>0</v>
      </c>
      <c r="AC6" s="146">
        <v>7.4968521361233956E-2</v>
      </c>
      <c r="AD6" s="146">
        <v>8.1371013180295357E-3</v>
      </c>
      <c r="AE6" s="146">
        <v>0.14790180234808903</v>
      </c>
      <c r="AF6" s="146">
        <v>0.13722232857785785</v>
      </c>
      <c r="AG6" s="146">
        <v>3.60267573996607E-2</v>
      </c>
      <c r="AH6" s="146">
        <v>9.9972294152849098E-2</v>
      </c>
      <c r="AI6" s="146">
        <v>0</v>
      </c>
      <c r="AJ6" s="146">
        <v>0.05</v>
      </c>
      <c r="AK6" s="146">
        <v>0</v>
      </c>
      <c r="AL6" s="146">
        <v>1.0009025877550998E-2</v>
      </c>
      <c r="AM6" s="146">
        <v>0</v>
      </c>
      <c r="AN6" s="146">
        <v>0</v>
      </c>
    </row>
    <row r="7" spans="1:40" customFormat="1" x14ac:dyDescent="0.15">
      <c r="A7" s="181" t="s">
        <v>196</v>
      </c>
      <c r="B7" s="146">
        <v>0</v>
      </c>
      <c r="C7" s="146">
        <v>0</v>
      </c>
      <c r="D7" s="146">
        <v>0</v>
      </c>
      <c r="E7" s="146">
        <v>0</v>
      </c>
      <c r="F7" s="146">
        <v>0</v>
      </c>
      <c r="G7" s="146">
        <v>0</v>
      </c>
      <c r="H7" s="146">
        <v>2.9036554250133524E-3</v>
      </c>
      <c r="I7" s="146">
        <v>0</v>
      </c>
      <c r="J7" s="146">
        <v>0</v>
      </c>
      <c r="K7" s="146">
        <v>0</v>
      </c>
      <c r="L7" s="146">
        <v>0</v>
      </c>
      <c r="M7" s="146">
        <v>1.6667337197317134E-3</v>
      </c>
      <c r="N7" s="146">
        <v>0</v>
      </c>
      <c r="O7" s="146">
        <v>0</v>
      </c>
      <c r="P7" s="146">
        <v>3.5737781153515044E-2</v>
      </c>
      <c r="Q7" s="146">
        <v>2.943777122263776E-2</v>
      </c>
      <c r="R7" s="146">
        <v>0</v>
      </c>
      <c r="S7" s="146">
        <v>5.8294396161896953E-3</v>
      </c>
      <c r="T7" s="146">
        <v>0</v>
      </c>
      <c r="U7" s="146">
        <v>0</v>
      </c>
      <c r="V7" s="146">
        <v>0</v>
      </c>
      <c r="W7" s="146">
        <v>0</v>
      </c>
      <c r="X7" s="146">
        <v>0</v>
      </c>
      <c r="Y7" s="146">
        <v>0</v>
      </c>
      <c r="Z7" s="146">
        <v>0</v>
      </c>
      <c r="AA7" s="146">
        <v>0</v>
      </c>
      <c r="AB7" s="146">
        <v>0</v>
      </c>
      <c r="AC7" s="146">
        <v>0</v>
      </c>
      <c r="AD7" s="146">
        <v>0</v>
      </c>
      <c r="AE7" s="146">
        <v>0</v>
      </c>
      <c r="AF7" s="146">
        <v>0</v>
      </c>
      <c r="AG7" s="146">
        <v>0</v>
      </c>
      <c r="AH7" s="146">
        <v>0</v>
      </c>
      <c r="AI7" s="146">
        <v>0</v>
      </c>
      <c r="AJ7" s="146">
        <v>0</v>
      </c>
      <c r="AK7" s="146">
        <v>0</v>
      </c>
      <c r="AL7" s="146">
        <v>0</v>
      </c>
      <c r="AM7" s="146">
        <v>0</v>
      </c>
      <c r="AN7" s="146">
        <v>0</v>
      </c>
    </row>
    <row r="8" spans="1:40" customFormat="1" x14ac:dyDescent="0.15">
      <c r="A8" s="181" t="s">
        <v>197</v>
      </c>
      <c r="B8" s="146">
        <v>0</v>
      </c>
      <c r="C8" s="146">
        <v>0</v>
      </c>
      <c r="D8" s="146">
        <v>0</v>
      </c>
      <c r="E8" s="146">
        <v>0</v>
      </c>
      <c r="F8" s="146">
        <v>0</v>
      </c>
      <c r="G8" s="146">
        <v>0</v>
      </c>
      <c r="H8" s="146">
        <v>1.9997428519390393E-2</v>
      </c>
      <c r="I8" s="146">
        <v>0</v>
      </c>
      <c r="J8" s="146">
        <v>0</v>
      </c>
      <c r="K8" s="146">
        <v>0</v>
      </c>
      <c r="L8" s="146">
        <v>8.9277097157040824E-2</v>
      </c>
      <c r="M8" s="146">
        <v>0.27553104734316991</v>
      </c>
      <c r="N8" s="146">
        <v>6.0517386550132781E-4</v>
      </c>
      <c r="O8" s="146">
        <v>3.7658764947986423E-2</v>
      </c>
      <c r="P8" s="146">
        <v>5.9324703790836876E-3</v>
      </c>
      <c r="Q8" s="146">
        <v>0.14247676759355823</v>
      </c>
      <c r="R8" s="146">
        <v>2.4211512624472985E-2</v>
      </c>
      <c r="S8" s="146">
        <v>0.12263830692549385</v>
      </c>
      <c r="T8" s="146">
        <v>0</v>
      </c>
      <c r="U8" s="146">
        <v>5.1596391430472843E-2</v>
      </c>
      <c r="V8" s="146">
        <v>0</v>
      </c>
      <c r="W8" s="146">
        <v>0</v>
      </c>
      <c r="X8" s="146">
        <v>0</v>
      </c>
      <c r="Y8" s="146">
        <v>0</v>
      </c>
      <c r="Z8" s="146">
        <v>8.3270820420404956E-2</v>
      </c>
      <c r="AA8" s="146">
        <v>0</v>
      </c>
      <c r="AB8" s="146">
        <v>0</v>
      </c>
      <c r="AC8" s="146">
        <v>0</v>
      </c>
      <c r="AD8" s="146">
        <v>7.5078679507655857E-3</v>
      </c>
      <c r="AE8" s="146">
        <v>0.12383202696595727</v>
      </c>
      <c r="AF8" s="146">
        <v>9.7132565454098832E-2</v>
      </c>
      <c r="AG8" s="146">
        <v>0</v>
      </c>
      <c r="AH8" s="146">
        <v>0.1972757361948341</v>
      </c>
      <c r="AI8" s="146">
        <v>0</v>
      </c>
      <c r="AJ8" s="146">
        <v>0</v>
      </c>
      <c r="AK8" s="146">
        <v>0</v>
      </c>
      <c r="AL8" s="146">
        <v>1.0009025877550998E-2</v>
      </c>
      <c r="AM8" s="146">
        <v>0</v>
      </c>
      <c r="AN8" s="146">
        <v>0</v>
      </c>
    </row>
    <row r="9" spans="1:40" customFormat="1" x14ac:dyDescent="0.15">
      <c r="A9" s="181" t="s">
        <v>198</v>
      </c>
      <c r="B9" s="146">
        <v>0</v>
      </c>
      <c r="C9" s="146">
        <v>0</v>
      </c>
      <c r="D9" s="146">
        <v>0</v>
      </c>
      <c r="E9" s="146">
        <v>0</v>
      </c>
      <c r="F9" s="146">
        <v>0</v>
      </c>
      <c r="G9" s="146">
        <v>0</v>
      </c>
      <c r="H9" s="146">
        <v>5.9472453096659581E-3</v>
      </c>
      <c r="I9" s="146">
        <v>1.9998125731997E-2</v>
      </c>
      <c r="J9" s="146">
        <v>0</v>
      </c>
      <c r="K9" s="146">
        <v>0</v>
      </c>
      <c r="L9" s="146">
        <v>8.3923380993652832E-2</v>
      </c>
      <c r="M9" s="146">
        <v>0.19675452524641068</v>
      </c>
      <c r="N9" s="146">
        <v>6.0517386550132781E-4</v>
      </c>
      <c r="O9" s="146">
        <v>9.358125763426579E-3</v>
      </c>
      <c r="P9" s="146">
        <v>8.727164718808586E-2</v>
      </c>
      <c r="Q9" s="146">
        <v>0.16225974367597415</v>
      </c>
      <c r="R9" s="146">
        <v>0.56691502854850695</v>
      </c>
      <c r="S9" s="146">
        <v>0.34214527747315487</v>
      </c>
      <c r="T9" s="146">
        <v>0</v>
      </c>
      <c r="U9" s="146">
        <v>8.0437039268022953E-2</v>
      </c>
      <c r="V9" s="146">
        <v>0</v>
      </c>
      <c r="W9" s="146">
        <v>0.12577430235911685</v>
      </c>
      <c r="X9" s="146">
        <v>0</v>
      </c>
      <c r="Y9" s="146">
        <v>0</v>
      </c>
      <c r="Z9" s="146">
        <v>8.3270820420404956E-2</v>
      </c>
      <c r="AA9" s="146">
        <v>0.10002062688538879</v>
      </c>
      <c r="AB9" s="146">
        <v>0</v>
      </c>
      <c r="AC9" s="146">
        <v>2.4989501520411538E-2</v>
      </c>
      <c r="AD9" s="146">
        <v>7.0073440427144938E-3</v>
      </c>
      <c r="AE9" s="146">
        <v>0.20522882325821282</v>
      </c>
      <c r="AF9" s="146">
        <v>2.6257813571108075E-2</v>
      </c>
      <c r="AG9" s="146">
        <v>0</v>
      </c>
      <c r="AH9" s="146">
        <v>0.18335617361661544</v>
      </c>
      <c r="AI9" s="146">
        <v>0</v>
      </c>
      <c r="AJ9" s="146">
        <v>0</v>
      </c>
      <c r="AK9" s="146">
        <v>0</v>
      </c>
      <c r="AL9" s="146">
        <v>1.0009025877550998E-2</v>
      </c>
      <c r="AM9" s="146">
        <v>0</v>
      </c>
      <c r="AN9" s="146">
        <v>0</v>
      </c>
    </row>
    <row r="10" spans="1:40" customFormat="1" x14ac:dyDescent="0.15">
      <c r="A10" s="181" t="s">
        <v>199</v>
      </c>
      <c r="B10" s="146">
        <v>0</v>
      </c>
      <c r="C10" s="146">
        <v>0</v>
      </c>
      <c r="D10" s="146">
        <v>0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1.3750323762803834E-3</v>
      </c>
      <c r="M10" s="146">
        <v>0</v>
      </c>
      <c r="N10" s="146">
        <v>0</v>
      </c>
      <c r="O10" s="146">
        <v>0</v>
      </c>
      <c r="P10" s="146">
        <v>5.9324703790836876E-3</v>
      </c>
      <c r="Q10" s="146">
        <v>1.2722400053001522E-2</v>
      </c>
      <c r="R10" s="146">
        <v>0</v>
      </c>
      <c r="S10" s="146">
        <v>0</v>
      </c>
      <c r="T10" s="146">
        <v>0</v>
      </c>
      <c r="U10" s="146">
        <v>0</v>
      </c>
      <c r="V10" s="146">
        <v>0</v>
      </c>
      <c r="W10" s="146">
        <v>0</v>
      </c>
      <c r="X10" s="146">
        <v>0</v>
      </c>
      <c r="Y10" s="146">
        <v>0</v>
      </c>
      <c r="Z10" s="146">
        <v>0</v>
      </c>
      <c r="AA10" s="146">
        <v>0</v>
      </c>
      <c r="AB10" s="146">
        <v>0</v>
      </c>
      <c r="AC10" s="146">
        <v>0</v>
      </c>
      <c r="AD10" s="146">
        <v>0</v>
      </c>
      <c r="AE10" s="146">
        <v>0</v>
      </c>
      <c r="AF10" s="146">
        <v>0</v>
      </c>
      <c r="AG10" s="146">
        <v>0</v>
      </c>
      <c r="AH10" s="146">
        <v>0</v>
      </c>
      <c r="AI10" s="146">
        <v>0</v>
      </c>
      <c r="AJ10" s="146">
        <v>0</v>
      </c>
      <c r="AK10" s="146">
        <v>0</v>
      </c>
      <c r="AL10" s="146">
        <v>0</v>
      </c>
      <c r="AM10" s="146">
        <v>0</v>
      </c>
      <c r="AN10" s="146">
        <v>0</v>
      </c>
    </row>
    <row r="11" spans="1:40" customFormat="1" x14ac:dyDescent="0.15">
      <c r="A11" s="181" t="s">
        <v>200</v>
      </c>
      <c r="B11" s="146">
        <v>0</v>
      </c>
      <c r="C11" s="146">
        <v>0</v>
      </c>
      <c r="D11" s="146">
        <v>0</v>
      </c>
      <c r="E11" s="146">
        <v>0</v>
      </c>
      <c r="F11" s="146">
        <v>0</v>
      </c>
      <c r="G11" s="146">
        <v>0</v>
      </c>
      <c r="H11" s="146">
        <v>0</v>
      </c>
      <c r="I11" s="146">
        <v>0</v>
      </c>
      <c r="J11" s="146">
        <v>0</v>
      </c>
      <c r="K11" s="146">
        <v>0</v>
      </c>
      <c r="L11" s="146">
        <v>0</v>
      </c>
      <c r="M11" s="146">
        <v>0</v>
      </c>
      <c r="N11" s="146">
        <v>0</v>
      </c>
      <c r="O11" s="146">
        <v>0</v>
      </c>
      <c r="P11" s="146">
        <v>0</v>
      </c>
      <c r="Q11" s="146">
        <v>0</v>
      </c>
      <c r="R11" s="146">
        <v>0</v>
      </c>
      <c r="S11" s="146">
        <v>0</v>
      </c>
      <c r="T11" s="146">
        <v>0</v>
      </c>
      <c r="U11" s="146">
        <v>0</v>
      </c>
      <c r="V11" s="146">
        <v>0</v>
      </c>
      <c r="W11" s="146">
        <v>0</v>
      </c>
      <c r="X11" s="146">
        <v>0</v>
      </c>
      <c r="Y11" s="146">
        <v>0</v>
      </c>
      <c r="Z11" s="146">
        <v>0</v>
      </c>
      <c r="AA11" s="146">
        <v>0</v>
      </c>
      <c r="AB11" s="146">
        <v>0</v>
      </c>
      <c r="AC11" s="146">
        <v>0</v>
      </c>
      <c r="AD11" s="146">
        <v>0</v>
      </c>
      <c r="AE11" s="146">
        <v>0</v>
      </c>
      <c r="AF11" s="146">
        <v>0</v>
      </c>
      <c r="AG11" s="146">
        <v>2.0014865755367019E-3</v>
      </c>
      <c r="AH11" s="146">
        <v>6.7693932812005969E-3</v>
      </c>
      <c r="AI11" s="146">
        <v>0</v>
      </c>
      <c r="AJ11" s="146">
        <v>0</v>
      </c>
      <c r="AK11" s="146">
        <v>0</v>
      </c>
      <c r="AL11" s="146">
        <v>0</v>
      </c>
      <c r="AM11" s="146">
        <v>0</v>
      </c>
      <c r="AN11" s="146">
        <v>0</v>
      </c>
    </row>
    <row r="12" spans="1:40" customFormat="1" x14ac:dyDescent="0.15">
      <c r="A12" s="181" t="s">
        <v>201</v>
      </c>
      <c r="B12" s="146">
        <v>0</v>
      </c>
      <c r="C12" s="146">
        <v>0</v>
      </c>
      <c r="D12" s="146">
        <v>0</v>
      </c>
      <c r="E12" s="146">
        <v>0</v>
      </c>
      <c r="F12" s="146">
        <v>0</v>
      </c>
      <c r="G12" s="146">
        <v>0</v>
      </c>
      <c r="H12" s="146">
        <v>0</v>
      </c>
      <c r="I12" s="146">
        <v>0</v>
      </c>
      <c r="J12" s="146">
        <v>0</v>
      </c>
      <c r="K12" s="146">
        <v>0</v>
      </c>
      <c r="L12" s="146">
        <v>0</v>
      </c>
      <c r="M12" s="146">
        <v>0</v>
      </c>
      <c r="N12" s="146">
        <v>4.9998799323333919E-2</v>
      </c>
      <c r="O12" s="146">
        <v>0</v>
      </c>
      <c r="P12" s="146">
        <v>0</v>
      </c>
      <c r="Q12" s="146">
        <v>6.3500404664542705E-3</v>
      </c>
      <c r="R12" s="146">
        <v>0</v>
      </c>
      <c r="S12" s="146">
        <v>4.9142810964437319E-3</v>
      </c>
      <c r="T12" s="146">
        <v>0</v>
      </c>
      <c r="U12" s="146">
        <v>8.4687109229347323E-4</v>
      </c>
      <c r="V12" s="146">
        <v>1.0008530466801242E-2</v>
      </c>
      <c r="W12" s="146">
        <v>0</v>
      </c>
      <c r="X12" s="146">
        <v>0</v>
      </c>
      <c r="Y12" s="146">
        <v>0</v>
      </c>
      <c r="Z12" s="146">
        <v>0</v>
      </c>
      <c r="AA12" s="146">
        <v>7.0565213830154272E-3</v>
      </c>
      <c r="AB12" s="146">
        <v>0</v>
      </c>
      <c r="AC12" s="146">
        <v>0</v>
      </c>
      <c r="AD12" s="146">
        <v>3.3892673359455033E-2</v>
      </c>
      <c r="AE12" s="146">
        <v>8.9337311418319159E-4</v>
      </c>
      <c r="AF12" s="146">
        <v>0</v>
      </c>
      <c r="AG12" s="146">
        <v>8.0059448021469165E-2</v>
      </c>
      <c r="AH12" s="146">
        <v>0</v>
      </c>
      <c r="AI12" s="146">
        <v>0</v>
      </c>
      <c r="AJ12" s="146">
        <v>0</v>
      </c>
      <c r="AK12" s="146">
        <v>0</v>
      </c>
      <c r="AL12" s="146">
        <v>0</v>
      </c>
      <c r="AM12" s="146">
        <v>0</v>
      </c>
      <c r="AN12" s="146">
        <v>0</v>
      </c>
    </row>
    <row r="13" spans="1:40" customFormat="1" x14ac:dyDescent="0.15">
      <c r="A13" s="181" t="s">
        <v>202</v>
      </c>
      <c r="B13" s="146">
        <v>0</v>
      </c>
      <c r="C13" s="146">
        <v>0</v>
      </c>
      <c r="D13" s="146">
        <v>0</v>
      </c>
      <c r="E13" s="146">
        <v>0</v>
      </c>
      <c r="F13" s="146">
        <v>0</v>
      </c>
      <c r="G13" s="146">
        <v>0</v>
      </c>
      <c r="H13" s="146">
        <v>0</v>
      </c>
      <c r="I13" s="146">
        <v>0</v>
      </c>
      <c r="J13" s="146">
        <v>0</v>
      </c>
      <c r="K13" s="146">
        <v>0</v>
      </c>
      <c r="L13" s="146">
        <v>0</v>
      </c>
      <c r="M13" s="146">
        <v>0</v>
      </c>
      <c r="N13" s="146">
        <v>0</v>
      </c>
      <c r="O13" s="146">
        <v>0</v>
      </c>
      <c r="P13" s="146">
        <v>0</v>
      </c>
      <c r="Q13" s="146">
        <v>0</v>
      </c>
      <c r="R13" s="146">
        <v>0</v>
      </c>
      <c r="S13" s="146">
        <v>0</v>
      </c>
      <c r="T13" s="146">
        <v>0</v>
      </c>
      <c r="U13" s="146">
        <v>0</v>
      </c>
      <c r="V13" s="146">
        <v>0</v>
      </c>
      <c r="W13" s="146">
        <v>0</v>
      </c>
      <c r="X13" s="146">
        <v>0</v>
      </c>
      <c r="Y13" s="146">
        <v>0</v>
      </c>
      <c r="Z13" s="146">
        <v>0</v>
      </c>
      <c r="AA13" s="146">
        <v>0</v>
      </c>
      <c r="AB13" s="146">
        <v>0</v>
      </c>
      <c r="AC13" s="146">
        <v>0</v>
      </c>
      <c r="AD13" s="146">
        <v>0</v>
      </c>
      <c r="AE13" s="146">
        <v>0</v>
      </c>
      <c r="AF13" s="146">
        <v>1.0673914300450139E-3</v>
      </c>
      <c r="AG13" s="146">
        <v>3.2023785188587228E-2</v>
      </c>
      <c r="AH13" s="146">
        <v>0</v>
      </c>
      <c r="AI13" s="146">
        <v>0</v>
      </c>
      <c r="AJ13" s="146">
        <v>0</v>
      </c>
      <c r="AK13" s="146">
        <v>0</v>
      </c>
      <c r="AL13" s="146">
        <v>0</v>
      </c>
      <c r="AM13" s="146">
        <v>0</v>
      </c>
      <c r="AN13" s="146">
        <v>0</v>
      </c>
    </row>
    <row r="14" spans="1:40" customFormat="1" x14ac:dyDescent="0.15">
      <c r="A14" s="181" t="s">
        <v>203</v>
      </c>
      <c r="B14" s="146">
        <v>0</v>
      </c>
      <c r="C14" s="146">
        <v>0</v>
      </c>
      <c r="D14" s="146">
        <v>0</v>
      </c>
      <c r="E14" s="146">
        <v>0</v>
      </c>
      <c r="F14" s="146">
        <v>0</v>
      </c>
      <c r="G14" s="146">
        <v>0</v>
      </c>
      <c r="H14" s="146">
        <v>0</v>
      </c>
      <c r="I14" s="146">
        <v>0</v>
      </c>
      <c r="J14" s="146">
        <v>0</v>
      </c>
      <c r="K14" s="146">
        <v>0</v>
      </c>
      <c r="L14" s="146">
        <v>0</v>
      </c>
      <c r="M14" s="146">
        <v>0</v>
      </c>
      <c r="N14" s="146">
        <v>0</v>
      </c>
      <c r="O14" s="146">
        <v>0</v>
      </c>
      <c r="P14" s="146">
        <v>0</v>
      </c>
      <c r="Q14" s="146">
        <v>0</v>
      </c>
      <c r="R14" s="146">
        <v>0</v>
      </c>
      <c r="S14" s="146">
        <v>0</v>
      </c>
      <c r="T14" s="146">
        <v>0</v>
      </c>
      <c r="U14" s="146">
        <v>0</v>
      </c>
      <c r="V14" s="146">
        <v>0</v>
      </c>
      <c r="W14" s="146">
        <v>0</v>
      </c>
      <c r="X14" s="146">
        <v>0</v>
      </c>
      <c r="Y14" s="146">
        <v>0</v>
      </c>
      <c r="Z14" s="146">
        <v>0</v>
      </c>
      <c r="AA14" s="146">
        <v>0</v>
      </c>
      <c r="AB14" s="146">
        <v>0</v>
      </c>
      <c r="AC14" s="146">
        <v>0</v>
      </c>
      <c r="AD14" s="146">
        <v>0</v>
      </c>
      <c r="AE14" s="146">
        <v>0</v>
      </c>
      <c r="AF14" s="146">
        <v>0</v>
      </c>
      <c r="AG14" s="146">
        <v>9.0066903499151044E-2</v>
      </c>
      <c r="AH14" s="146">
        <v>0</v>
      </c>
      <c r="AI14" s="146">
        <v>0</v>
      </c>
      <c r="AJ14" s="146">
        <v>0</v>
      </c>
      <c r="AK14" s="146">
        <v>0</v>
      </c>
      <c r="AL14" s="146">
        <v>0</v>
      </c>
      <c r="AM14" s="146">
        <v>0</v>
      </c>
      <c r="AN14" s="146">
        <v>0</v>
      </c>
    </row>
    <row r="15" spans="1:40" customFormat="1" x14ac:dyDescent="0.15">
      <c r="A15" s="181" t="s">
        <v>204</v>
      </c>
      <c r="B15" s="146">
        <v>0</v>
      </c>
      <c r="C15" s="146">
        <v>0</v>
      </c>
      <c r="D15" s="146">
        <v>0</v>
      </c>
      <c r="E15" s="146">
        <v>0</v>
      </c>
      <c r="F15" s="146">
        <v>0</v>
      </c>
      <c r="G15" s="146">
        <v>0</v>
      </c>
      <c r="H15" s="146">
        <v>1.2002615311326363E-2</v>
      </c>
      <c r="I15" s="146">
        <v>0</v>
      </c>
      <c r="J15" s="146">
        <v>0.21204859787951399</v>
      </c>
      <c r="K15" s="146">
        <v>0</v>
      </c>
      <c r="L15" s="146">
        <v>0.24904808694872935</v>
      </c>
      <c r="M15" s="146">
        <v>0</v>
      </c>
      <c r="N15" s="146">
        <v>0.24997073611926399</v>
      </c>
      <c r="O15" s="146">
        <v>4.6810492616630736E-3</v>
      </c>
      <c r="P15" s="146">
        <v>8.1410664248507458E-2</v>
      </c>
      <c r="Q15" s="146">
        <v>2.0002537383330575E-4</v>
      </c>
      <c r="R15" s="146">
        <v>5.0019006630783701E-2</v>
      </c>
      <c r="S15" s="146">
        <v>8.8068414201575587E-2</v>
      </c>
      <c r="T15" s="146">
        <v>0.27012425754024849</v>
      </c>
      <c r="U15" s="146">
        <v>6.7436009386332325E-3</v>
      </c>
      <c r="V15" s="146">
        <v>0</v>
      </c>
      <c r="W15" s="146">
        <v>0</v>
      </c>
      <c r="X15" s="146">
        <v>0</v>
      </c>
      <c r="Y15" s="146">
        <v>0</v>
      </c>
      <c r="Z15" s="146">
        <v>0</v>
      </c>
      <c r="AA15" s="146">
        <v>0</v>
      </c>
      <c r="AB15" s="146">
        <v>5.655997580679506E-2</v>
      </c>
      <c r="AC15" s="146">
        <v>0</v>
      </c>
      <c r="AD15" s="146">
        <v>2.0442856586684183E-2</v>
      </c>
      <c r="AE15" s="146">
        <v>2.7053442329500452E-2</v>
      </c>
      <c r="AF15" s="146">
        <v>0</v>
      </c>
      <c r="AG15" s="146">
        <v>4.0029731510734037E-3</v>
      </c>
      <c r="AH15" s="146">
        <v>2.7085704025140146E-2</v>
      </c>
      <c r="AI15" s="146">
        <v>0</v>
      </c>
      <c r="AJ15" s="146">
        <v>0.21</v>
      </c>
      <c r="AK15" s="146">
        <v>4.0000000743999946E-2</v>
      </c>
      <c r="AL15" s="146">
        <v>7.0063184742857235E-2</v>
      </c>
      <c r="AM15" s="146">
        <v>0</v>
      </c>
      <c r="AN15" s="146">
        <v>0</v>
      </c>
    </row>
    <row r="16" spans="1:40" customFormat="1" x14ac:dyDescent="0.15">
      <c r="A16" s="181" t="s">
        <v>205</v>
      </c>
      <c r="B16" s="146">
        <v>0</v>
      </c>
      <c r="C16" s="146">
        <v>0</v>
      </c>
      <c r="D16" s="146">
        <v>0</v>
      </c>
      <c r="E16" s="146">
        <v>0</v>
      </c>
      <c r="F16" s="146">
        <v>0</v>
      </c>
      <c r="G16" s="146">
        <v>0</v>
      </c>
      <c r="H16" s="146">
        <v>0</v>
      </c>
      <c r="I16" s="146">
        <v>0</v>
      </c>
      <c r="J16" s="146">
        <v>0</v>
      </c>
      <c r="K16" s="146">
        <v>0</v>
      </c>
      <c r="L16" s="146">
        <v>1.5530647883882871E-2</v>
      </c>
      <c r="M16" s="146">
        <v>0</v>
      </c>
      <c r="N16" s="146">
        <v>0.15698161449089865</v>
      </c>
      <c r="O16" s="146">
        <v>0</v>
      </c>
      <c r="P16" s="146">
        <v>0</v>
      </c>
      <c r="Q16" s="146">
        <v>1.6963198170668689E-4</v>
      </c>
      <c r="R16" s="146">
        <v>0</v>
      </c>
      <c r="S16" s="146">
        <v>3.5519881661370987E-3</v>
      </c>
      <c r="T16" s="146">
        <v>0.27012425754024849</v>
      </c>
      <c r="U16" s="146">
        <v>0.18808813228839802</v>
      </c>
      <c r="V16" s="146">
        <v>0</v>
      </c>
      <c r="W16" s="146">
        <v>0</v>
      </c>
      <c r="X16" s="146">
        <v>0</v>
      </c>
      <c r="Y16" s="146">
        <v>0</v>
      </c>
      <c r="Z16" s="146">
        <v>0</v>
      </c>
      <c r="AA16" s="146">
        <v>4.9243110928232629E-2</v>
      </c>
      <c r="AB16" s="146">
        <v>2.4239986931483614E-2</v>
      </c>
      <c r="AC16" s="146">
        <v>0</v>
      </c>
      <c r="AD16" s="146">
        <v>4.7199476044211902E-2</v>
      </c>
      <c r="AE16" s="146">
        <v>1.7720323381327858E-2</v>
      </c>
      <c r="AF16" s="146">
        <v>3.7301203354266392E-2</v>
      </c>
      <c r="AG16" s="146">
        <v>7.0052034943784217E-2</v>
      </c>
      <c r="AH16" s="146">
        <v>0</v>
      </c>
      <c r="AI16" s="146">
        <v>0</v>
      </c>
      <c r="AJ16" s="146">
        <v>0</v>
      </c>
      <c r="AK16" s="146">
        <v>4.0000000743999946E-2</v>
      </c>
      <c r="AL16" s="146">
        <v>7.0063184742857235E-2</v>
      </c>
      <c r="AM16" s="146">
        <v>0</v>
      </c>
      <c r="AN16" s="146">
        <v>0</v>
      </c>
    </row>
    <row r="17" spans="1:40" customFormat="1" x14ac:dyDescent="0.15">
      <c r="A17" s="181" t="s">
        <v>206</v>
      </c>
      <c r="B17" s="146">
        <v>0</v>
      </c>
      <c r="C17" s="146">
        <v>0</v>
      </c>
      <c r="D17" s="146">
        <v>0</v>
      </c>
      <c r="E17" s="146">
        <v>0</v>
      </c>
      <c r="F17" s="146">
        <v>0</v>
      </c>
      <c r="G17" s="146">
        <v>0</v>
      </c>
      <c r="H17" s="146">
        <v>0</v>
      </c>
      <c r="I17" s="146">
        <v>0</v>
      </c>
      <c r="J17" s="146">
        <v>0</v>
      </c>
      <c r="K17" s="146">
        <v>0</v>
      </c>
      <c r="L17" s="146">
        <v>0</v>
      </c>
      <c r="M17" s="146">
        <v>0.11387121424887146</v>
      </c>
      <c r="N17" s="146">
        <v>0.20999494857800341</v>
      </c>
      <c r="O17" s="146">
        <v>0</v>
      </c>
      <c r="P17" s="146">
        <v>0</v>
      </c>
      <c r="Q17" s="146">
        <v>8.0215140334176302E-3</v>
      </c>
      <c r="R17" s="146">
        <v>5.0019001930783754E-3</v>
      </c>
      <c r="S17" s="146">
        <v>5.026083669082651E-3</v>
      </c>
      <c r="T17" s="146">
        <v>5.4565100109130196E-2</v>
      </c>
      <c r="U17" s="146">
        <v>4.0026199635761588E-2</v>
      </c>
      <c r="V17" s="146">
        <v>0</v>
      </c>
      <c r="W17" s="146">
        <v>0</v>
      </c>
      <c r="X17" s="146">
        <v>0</v>
      </c>
      <c r="Y17" s="146">
        <v>0</v>
      </c>
      <c r="Z17" s="146">
        <v>0</v>
      </c>
      <c r="AA17" s="146">
        <v>0</v>
      </c>
      <c r="AB17" s="146">
        <v>0</v>
      </c>
      <c r="AC17" s="146">
        <v>0</v>
      </c>
      <c r="AD17" s="146">
        <v>9.7259081848716331E-2</v>
      </c>
      <c r="AE17" s="146">
        <v>2.9896468374636335E-2</v>
      </c>
      <c r="AF17" s="146">
        <v>5.5381161408106276E-2</v>
      </c>
      <c r="AG17" s="146">
        <v>4.0029731510734037E-3</v>
      </c>
      <c r="AH17" s="146">
        <v>0</v>
      </c>
      <c r="AI17" s="146">
        <v>0</v>
      </c>
      <c r="AJ17" s="146">
        <v>0.15</v>
      </c>
      <c r="AK17" s="146">
        <v>4.0000000743999946E-2</v>
      </c>
      <c r="AL17" s="146">
        <v>7.0063184742857235E-2</v>
      </c>
      <c r="AM17" s="146">
        <v>0</v>
      </c>
      <c r="AN17" s="146">
        <v>0</v>
      </c>
    </row>
    <row r="18" spans="1:40" customFormat="1" x14ac:dyDescent="0.15">
      <c r="A18" s="181" t="s">
        <v>207</v>
      </c>
      <c r="B18" s="146">
        <v>0</v>
      </c>
      <c r="C18" s="146">
        <v>0</v>
      </c>
      <c r="D18" s="146">
        <v>0</v>
      </c>
      <c r="E18" s="146">
        <v>0</v>
      </c>
      <c r="F18" s="146">
        <v>0</v>
      </c>
      <c r="G18" s="146">
        <v>0</v>
      </c>
      <c r="H18" s="146">
        <v>0</v>
      </c>
      <c r="I18" s="146">
        <v>0</v>
      </c>
      <c r="J18" s="146">
        <v>0</v>
      </c>
      <c r="K18" s="146">
        <v>0</v>
      </c>
      <c r="L18" s="146">
        <v>0</v>
      </c>
      <c r="M18" s="146">
        <v>0</v>
      </c>
      <c r="N18" s="146">
        <v>8.9834709980195798E-2</v>
      </c>
      <c r="O18" s="146">
        <v>0</v>
      </c>
      <c r="P18" s="146">
        <v>0</v>
      </c>
      <c r="Q18" s="146">
        <v>1.0577893144067506E-3</v>
      </c>
      <c r="R18" s="146">
        <v>3.1211455944813629E-2</v>
      </c>
      <c r="S18" s="146">
        <v>0</v>
      </c>
      <c r="T18" s="146">
        <v>0</v>
      </c>
      <c r="U18" s="146">
        <v>0.12014859090664784</v>
      </c>
      <c r="V18" s="146">
        <v>0</v>
      </c>
      <c r="W18" s="146">
        <v>0</v>
      </c>
      <c r="X18" s="146">
        <v>0</v>
      </c>
      <c r="Y18" s="146">
        <v>0</v>
      </c>
      <c r="Z18" s="146">
        <v>0</v>
      </c>
      <c r="AA18" s="146">
        <v>0</v>
      </c>
      <c r="AB18" s="146">
        <v>0</v>
      </c>
      <c r="AC18" s="146">
        <v>0</v>
      </c>
      <c r="AD18" s="146">
        <v>0</v>
      </c>
      <c r="AE18" s="146">
        <v>3.5209410558984604E-3</v>
      </c>
      <c r="AF18" s="146">
        <v>3.7711741535052794E-2</v>
      </c>
      <c r="AG18" s="146">
        <v>6.0044595666101166E-3</v>
      </c>
      <c r="AH18" s="146">
        <v>0</v>
      </c>
      <c r="AI18" s="146">
        <v>0</v>
      </c>
      <c r="AJ18" s="146">
        <v>0</v>
      </c>
      <c r="AK18" s="146">
        <v>0</v>
      </c>
      <c r="AL18" s="146">
        <v>3.0027076732652935E-2</v>
      </c>
      <c r="AM18" s="146">
        <v>0</v>
      </c>
      <c r="AN18" s="146">
        <v>0</v>
      </c>
    </row>
    <row r="19" spans="1:40" customFormat="1" x14ac:dyDescent="0.15">
      <c r="A19" s="181" t="s">
        <v>208</v>
      </c>
      <c r="B19" s="146">
        <v>0</v>
      </c>
      <c r="C19" s="146">
        <v>0</v>
      </c>
      <c r="D19" s="146">
        <v>0</v>
      </c>
      <c r="E19" s="146">
        <v>0</v>
      </c>
      <c r="F19" s="146">
        <v>0</v>
      </c>
      <c r="G19" s="146">
        <v>0</v>
      </c>
      <c r="H19" s="146">
        <v>0</v>
      </c>
      <c r="I19" s="146">
        <v>0</v>
      </c>
      <c r="J19" s="146">
        <v>0</v>
      </c>
      <c r="K19" s="146">
        <v>0</v>
      </c>
      <c r="L19" s="146">
        <v>0</v>
      </c>
      <c r="M19" s="146">
        <v>0</v>
      </c>
      <c r="N19" s="146">
        <v>0</v>
      </c>
      <c r="O19" s="146">
        <v>0</v>
      </c>
      <c r="P19" s="146">
        <v>0</v>
      </c>
      <c r="Q19" s="146">
        <v>0</v>
      </c>
      <c r="R19" s="146">
        <v>0</v>
      </c>
      <c r="S19" s="146">
        <v>0</v>
      </c>
      <c r="T19" s="146">
        <v>0</v>
      </c>
      <c r="U19" s="146">
        <v>0</v>
      </c>
      <c r="V19" s="146">
        <v>0</v>
      </c>
      <c r="W19" s="146">
        <v>0</v>
      </c>
      <c r="X19" s="146">
        <v>0</v>
      </c>
      <c r="Y19" s="146">
        <v>0</v>
      </c>
      <c r="Z19" s="146">
        <v>0</v>
      </c>
      <c r="AA19" s="146">
        <v>0</v>
      </c>
      <c r="AB19" s="146">
        <v>0</v>
      </c>
      <c r="AC19" s="146">
        <v>0</v>
      </c>
      <c r="AD19" s="146">
        <v>0</v>
      </c>
      <c r="AE19" s="146">
        <v>2.6207363616068107E-2</v>
      </c>
      <c r="AF19" s="146">
        <v>5.3180692111090444E-2</v>
      </c>
      <c r="AG19" s="146">
        <v>4.2364239742233902E-4</v>
      </c>
      <c r="AH19" s="146">
        <v>0</v>
      </c>
      <c r="AI19" s="146">
        <v>0</v>
      </c>
      <c r="AJ19" s="146">
        <v>0</v>
      </c>
      <c r="AK19" s="146">
        <v>0</v>
      </c>
      <c r="AL19" s="146">
        <v>0</v>
      </c>
      <c r="AM19" s="146">
        <v>0</v>
      </c>
      <c r="AN19" s="146">
        <v>0</v>
      </c>
    </row>
    <row r="20" spans="1:40" customFormat="1" x14ac:dyDescent="0.15">
      <c r="A20" s="181" t="s">
        <v>209</v>
      </c>
      <c r="B20" s="146">
        <v>0</v>
      </c>
      <c r="C20" s="146">
        <v>0</v>
      </c>
      <c r="D20" s="146">
        <v>0</v>
      </c>
      <c r="E20" s="146">
        <v>0</v>
      </c>
      <c r="F20" s="146">
        <v>0</v>
      </c>
      <c r="G20" s="146">
        <v>0</v>
      </c>
      <c r="H20" s="146">
        <v>0</v>
      </c>
      <c r="I20" s="146">
        <v>0</v>
      </c>
      <c r="J20" s="146">
        <v>0</v>
      </c>
      <c r="K20" s="146">
        <v>0</v>
      </c>
      <c r="L20" s="146">
        <v>0</v>
      </c>
      <c r="M20" s="146">
        <v>0</v>
      </c>
      <c r="N20" s="146">
        <v>0</v>
      </c>
      <c r="O20" s="146">
        <v>0</v>
      </c>
      <c r="P20" s="146">
        <v>0</v>
      </c>
      <c r="Q20" s="146">
        <v>0</v>
      </c>
      <c r="R20" s="146">
        <v>0</v>
      </c>
      <c r="S20" s="146">
        <v>0</v>
      </c>
      <c r="T20" s="146">
        <v>0</v>
      </c>
      <c r="U20" s="146">
        <v>0</v>
      </c>
      <c r="V20" s="146">
        <v>0</v>
      </c>
      <c r="W20" s="146">
        <v>0</v>
      </c>
      <c r="X20" s="146">
        <v>0</v>
      </c>
      <c r="Y20" s="146">
        <v>0</v>
      </c>
      <c r="Z20" s="146">
        <v>0</v>
      </c>
      <c r="AA20" s="146">
        <v>0</v>
      </c>
      <c r="AB20" s="146">
        <v>0</v>
      </c>
      <c r="AC20" s="146">
        <v>0</v>
      </c>
      <c r="AD20" s="146">
        <v>0</v>
      </c>
      <c r="AE20" s="146">
        <v>0</v>
      </c>
      <c r="AF20" s="146">
        <v>2.8984275243506944E-2</v>
      </c>
      <c r="AG20" s="146">
        <v>0</v>
      </c>
      <c r="AH20" s="146">
        <v>0</v>
      </c>
      <c r="AI20" s="146">
        <v>0</v>
      </c>
      <c r="AJ20" s="146">
        <v>0</v>
      </c>
      <c r="AK20" s="146">
        <v>0</v>
      </c>
      <c r="AL20" s="146">
        <v>0</v>
      </c>
      <c r="AM20" s="146">
        <v>0</v>
      </c>
      <c r="AN20" s="146">
        <v>0</v>
      </c>
    </row>
    <row r="21" spans="1:40" customFormat="1" x14ac:dyDescent="0.15">
      <c r="A21" s="181" t="s">
        <v>210</v>
      </c>
      <c r="B21" s="146">
        <v>0</v>
      </c>
      <c r="C21" s="146">
        <v>0</v>
      </c>
      <c r="D21" s="146">
        <v>0</v>
      </c>
      <c r="E21" s="146">
        <v>0</v>
      </c>
      <c r="F21" s="146">
        <v>0</v>
      </c>
      <c r="G21" s="146">
        <v>0</v>
      </c>
      <c r="H21" s="146">
        <v>0</v>
      </c>
      <c r="I21" s="146">
        <v>0</v>
      </c>
      <c r="J21" s="146">
        <v>0</v>
      </c>
      <c r="K21" s="146">
        <v>0</v>
      </c>
      <c r="L21" s="146">
        <v>0</v>
      </c>
      <c r="M21" s="146">
        <v>0</v>
      </c>
      <c r="N21" s="146">
        <v>3.2746631747571683E-2</v>
      </c>
      <c r="O21" s="146">
        <v>0</v>
      </c>
      <c r="P21" s="146">
        <v>0</v>
      </c>
      <c r="Q21" s="146">
        <v>0</v>
      </c>
      <c r="R21" s="146">
        <v>1.004399718569931E-3</v>
      </c>
      <c r="S21" s="146">
        <v>0</v>
      </c>
      <c r="T21" s="146">
        <v>0</v>
      </c>
      <c r="U21" s="146">
        <v>1.0004688008957341E-2</v>
      </c>
      <c r="V21" s="146">
        <v>0</v>
      </c>
      <c r="W21" s="146">
        <v>0</v>
      </c>
      <c r="X21" s="146">
        <v>0</v>
      </c>
      <c r="Y21" s="146">
        <v>0</v>
      </c>
      <c r="Z21" s="146">
        <v>0</v>
      </c>
      <c r="AA21" s="146">
        <v>0</v>
      </c>
      <c r="AB21" s="146">
        <v>0</v>
      </c>
      <c r="AC21" s="146">
        <v>0</v>
      </c>
      <c r="AD21" s="146">
        <v>9.9998481619127232E-3</v>
      </c>
      <c r="AE21" s="146">
        <v>2.2108363350992376E-2</v>
      </c>
      <c r="AF21" s="146">
        <v>2.9983733296731305E-2</v>
      </c>
      <c r="AG21" s="146">
        <v>5.003716438841755E-2</v>
      </c>
      <c r="AH21" s="146">
        <v>0</v>
      </c>
      <c r="AI21" s="146">
        <v>0</v>
      </c>
      <c r="AJ21" s="146">
        <v>0</v>
      </c>
      <c r="AK21" s="146">
        <v>0</v>
      </c>
      <c r="AL21" s="146">
        <v>0</v>
      </c>
      <c r="AM21" s="146">
        <v>0</v>
      </c>
      <c r="AN21" s="146">
        <v>0</v>
      </c>
    </row>
    <row r="22" spans="1:40" customFormat="1" x14ac:dyDescent="0.15">
      <c r="A22" s="181" t="s">
        <v>211</v>
      </c>
      <c r="B22" s="146">
        <v>0</v>
      </c>
      <c r="C22" s="146">
        <v>0</v>
      </c>
      <c r="D22" s="146">
        <v>0</v>
      </c>
      <c r="E22" s="146">
        <v>0</v>
      </c>
      <c r="F22" s="146">
        <v>0</v>
      </c>
      <c r="G22" s="146">
        <v>0</v>
      </c>
      <c r="H22" s="146">
        <v>0</v>
      </c>
      <c r="I22" s="146">
        <v>0</v>
      </c>
      <c r="J22" s="146">
        <v>0</v>
      </c>
      <c r="K22" s="146">
        <v>0</v>
      </c>
      <c r="L22" s="146">
        <v>0</v>
      </c>
      <c r="M22" s="146">
        <v>0</v>
      </c>
      <c r="N22" s="146">
        <v>0</v>
      </c>
      <c r="O22" s="146">
        <v>0</v>
      </c>
      <c r="P22" s="146">
        <v>0</v>
      </c>
      <c r="Q22" s="146">
        <v>6.9064560287722973E-4</v>
      </c>
      <c r="R22" s="146">
        <v>7.8213589109929343E-3</v>
      </c>
      <c r="S22" s="146">
        <v>0</v>
      </c>
      <c r="T22" s="146">
        <v>0</v>
      </c>
      <c r="U22" s="146">
        <v>0</v>
      </c>
      <c r="V22" s="146">
        <v>7.5032292051747593E-2</v>
      </c>
      <c r="W22" s="146">
        <v>0.25684426843862262</v>
      </c>
      <c r="X22" s="146">
        <v>0.18360262081038864</v>
      </c>
      <c r="Y22" s="146">
        <v>0</v>
      </c>
      <c r="Z22" s="146">
        <v>0</v>
      </c>
      <c r="AA22" s="146">
        <v>0</v>
      </c>
      <c r="AB22" s="146">
        <v>0</v>
      </c>
      <c r="AC22" s="146">
        <v>0</v>
      </c>
      <c r="AD22" s="146">
        <v>1.8648119937101061E-2</v>
      </c>
      <c r="AE22" s="146">
        <v>0.13587159115709738</v>
      </c>
      <c r="AF22" s="146">
        <v>3.8967988176259197E-2</v>
      </c>
      <c r="AG22" s="146">
        <v>0</v>
      </c>
      <c r="AH22" s="146">
        <v>5.7698304396787567E-2</v>
      </c>
      <c r="AI22" s="146">
        <v>0</v>
      </c>
      <c r="AJ22" s="146">
        <v>0</v>
      </c>
      <c r="AK22" s="146">
        <v>2.9999998458000072E-2</v>
      </c>
      <c r="AL22" s="146">
        <v>4.5040617948979594E-2</v>
      </c>
      <c r="AM22" s="146">
        <v>0</v>
      </c>
      <c r="AN22" s="146">
        <v>0</v>
      </c>
    </row>
    <row r="23" spans="1:40" customFormat="1" x14ac:dyDescent="0.15">
      <c r="A23" s="181" t="s">
        <v>212</v>
      </c>
      <c r="B23" s="146">
        <v>0</v>
      </c>
      <c r="C23" s="146">
        <v>0</v>
      </c>
      <c r="D23" s="146">
        <v>0</v>
      </c>
      <c r="E23" s="146">
        <v>0</v>
      </c>
      <c r="F23" s="146">
        <v>0</v>
      </c>
      <c r="G23" s="146">
        <v>0</v>
      </c>
      <c r="H23" s="146">
        <v>0</v>
      </c>
      <c r="I23" s="146">
        <v>0</v>
      </c>
      <c r="J23" s="146">
        <v>0</v>
      </c>
      <c r="K23" s="146">
        <v>0</v>
      </c>
      <c r="L23" s="146">
        <v>0</v>
      </c>
      <c r="M23" s="146">
        <v>0</v>
      </c>
      <c r="N23" s="146">
        <v>0</v>
      </c>
      <c r="O23" s="146">
        <v>0</v>
      </c>
      <c r="P23" s="146">
        <v>0</v>
      </c>
      <c r="Q23" s="146">
        <v>0</v>
      </c>
      <c r="R23" s="146">
        <v>0</v>
      </c>
      <c r="S23" s="146">
        <v>0</v>
      </c>
      <c r="T23" s="146">
        <v>0</v>
      </c>
      <c r="U23" s="146">
        <v>0</v>
      </c>
      <c r="V23" s="146">
        <v>0</v>
      </c>
      <c r="W23" s="146">
        <v>0</v>
      </c>
      <c r="X23" s="146">
        <v>0</v>
      </c>
      <c r="Y23" s="146">
        <v>0</v>
      </c>
      <c r="Z23" s="146">
        <v>0</v>
      </c>
      <c r="AA23" s="146">
        <v>0</v>
      </c>
      <c r="AB23" s="146">
        <v>0</v>
      </c>
      <c r="AC23" s="146">
        <v>0</v>
      </c>
      <c r="AD23" s="146">
        <v>7.2433048329386199E-3</v>
      </c>
      <c r="AE23" s="146">
        <v>2.737926043467314E-2</v>
      </c>
      <c r="AF23" s="146">
        <v>4.4975602795096825E-2</v>
      </c>
      <c r="AG23" s="146">
        <v>0</v>
      </c>
      <c r="AH23" s="146">
        <v>1.1474572176653727E-3</v>
      </c>
      <c r="AI23" s="146">
        <v>0</v>
      </c>
      <c r="AJ23" s="146">
        <v>0</v>
      </c>
      <c r="AK23" s="146">
        <v>0</v>
      </c>
      <c r="AL23" s="146">
        <v>4.5040617948979594E-2</v>
      </c>
      <c r="AM23" s="146">
        <v>0</v>
      </c>
      <c r="AN23" s="146">
        <v>0</v>
      </c>
    </row>
    <row r="24" spans="1:40" customFormat="1" x14ac:dyDescent="0.15">
      <c r="A24" s="181" t="s">
        <v>213</v>
      </c>
      <c r="B24" s="146">
        <v>0</v>
      </c>
      <c r="C24" s="146">
        <v>0</v>
      </c>
      <c r="D24" s="146">
        <v>0</v>
      </c>
      <c r="E24" s="146">
        <v>0</v>
      </c>
      <c r="F24" s="146">
        <v>0</v>
      </c>
      <c r="G24" s="146">
        <v>0</v>
      </c>
      <c r="H24" s="146">
        <v>0</v>
      </c>
      <c r="I24" s="146">
        <v>0</v>
      </c>
      <c r="J24" s="146">
        <v>0</v>
      </c>
      <c r="K24" s="146">
        <v>0</v>
      </c>
      <c r="L24" s="146">
        <v>0</v>
      </c>
      <c r="M24" s="146">
        <v>0</v>
      </c>
      <c r="N24" s="146">
        <v>0</v>
      </c>
      <c r="O24" s="146">
        <v>0</v>
      </c>
      <c r="P24" s="146">
        <v>0</v>
      </c>
      <c r="Q24" s="146">
        <v>0</v>
      </c>
      <c r="R24" s="146">
        <v>0</v>
      </c>
      <c r="S24" s="146">
        <v>0</v>
      </c>
      <c r="T24" s="146">
        <v>0</v>
      </c>
      <c r="U24" s="146">
        <v>0</v>
      </c>
      <c r="V24" s="146">
        <v>0</v>
      </c>
      <c r="W24" s="146">
        <v>0</v>
      </c>
      <c r="X24" s="146">
        <v>2.0416599334914902E-2</v>
      </c>
      <c r="Y24" s="146">
        <v>0</v>
      </c>
      <c r="Z24" s="146">
        <v>0</v>
      </c>
      <c r="AA24" s="146">
        <v>0</v>
      </c>
      <c r="AB24" s="146">
        <v>0</v>
      </c>
      <c r="AC24" s="146">
        <v>0</v>
      </c>
      <c r="AD24" s="146">
        <v>7.7795826779931739E-3</v>
      </c>
      <c r="AE24" s="146">
        <v>7.3571917568027775E-4</v>
      </c>
      <c r="AF24" s="146">
        <v>0</v>
      </c>
      <c r="AG24" s="146">
        <v>0</v>
      </c>
      <c r="AH24" s="146">
        <v>1.1567101380497392E-3</v>
      </c>
      <c r="AI24" s="146">
        <v>0</v>
      </c>
      <c r="AJ24" s="146">
        <v>0</v>
      </c>
      <c r="AK24" s="146">
        <v>0</v>
      </c>
      <c r="AL24" s="146">
        <v>0</v>
      </c>
      <c r="AM24" s="146">
        <v>0</v>
      </c>
      <c r="AN24" s="146">
        <v>0</v>
      </c>
    </row>
    <row r="25" spans="1:40" customFormat="1" x14ac:dyDescent="0.15">
      <c r="A25" s="181" t="s">
        <v>214</v>
      </c>
      <c r="B25" s="146">
        <v>0</v>
      </c>
      <c r="C25" s="146">
        <v>0</v>
      </c>
      <c r="D25" s="146">
        <v>0</v>
      </c>
      <c r="E25" s="146">
        <v>0</v>
      </c>
      <c r="F25" s="146">
        <v>0</v>
      </c>
      <c r="G25" s="146">
        <v>0</v>
      </c>
      <c r="H25" s="146">
        <v>0</v>
      </c>
      <c r="I25" s="146">
        <v>0</v>
      </c>
      <c r="J25" s="146">
        <v>0</v>
      </c>
      <c r="K25" s="146">
        <v>0</v>
      </c>
      <c r="L25" s="146">
        <v>0</v>
      </c>
      <c r="M25" s="146">
        <v>0</v>
      </c>
      <c r="N25" s="146">
        <v>4.1353548887590574E-2</v>
      </c>
      <c r="O25" s="146">
        <v>0</v>
      </c>
      <c r="P25" s="146">
        <v>8.0052611747876356E-4</v>
      </c>
      <c r="Q25" s="146">
        <v>4.232737807633586E-2</v>
      </c>
      <c r="R25" s="146">
        <v>0</v>
      </c>
      <c r="S25" s="146">
        <v>0</v>
      </c>
      <c r="T25" s="146">
        <v>0</v>
      </c>
      <c r="U25" s="146">
        <v>0</v>
      </c>
      <c r="V25" s="146">
        <v>0.16406124417737303</v>
      </c>
      <c r="W25" s="146">
        <v>0</v>
      </c>
      <c r="X25" s="146">
        <v>0</v>
      </c>
      <c r="Y25" s="146">
        <v>0</v>
      </c>
      <c r="Z25" s="146">
        <v>0.10327581482410629</v>
      </c>
      <c r="AA25" s="146">
        <v>1.9345524164663126E-2</v>
      </c>
      <c r="AB25" s="146">
        <v>0</v>
      </c>
      <c r="AC25" s="146">
        <v>0</v>
      </c>
      <c r="AD25" s="146">
        <v>1.9720670047210637E-2</v>
      </c>
      <c r="AE25" s="146">
        <v>2.5045978297629952E-2</v>
      </c>
      <c r="AF25" s="146">
        <v>0</v>
      </c>
      <c r="AG25" s="146">
        <v>0</v>
      </c>
      <c r="AH25" s="146">
        <v>4.0632614687878814E-2</v>
      </c>
      <c r="AI25" s="146">
        <v>0</v>
      </c>
      <c r="AJ25" s="146">
        <v>0.22500000000000001</v>
      </c>
      <c r="AK25" s="146">
        <v>2.9999998458000072E-2</v>
      </c>
      <c r="AL25" s="146">
        <v>4.5040617948979594E-2</v>
      </c>
      <c r="AM25" s="146">
        <v>0</v>
      </c>
      <c r="AN25" s="146">
        <v>0</v>
      </c>
    </row>
    <row r="26" spans="1:40" customFormat="1" x14ac:dyDescent="0.15">
      <c r="A26" s="181" t="s">
        <v>215</v>
      </c>
      <c r="B26" s="146">
        <v>0</v>
      </c>
      <c r="C26" s="146">
        <v>0</v>
      </c>
      <c r="D26" s="146">
        <v>0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9.0063919180418353E-2</v>
      </c>
      <c r="V26" s="146">
        <v>0</v>
      </c>
      <c r="W26" s="146">
        <v>0</v>
      </c>
      <c r="X26" s="146">
        <v>0</v>
      </c>
      <c r="Y26" s="146">
        <v>0</v>
      </c>
      <c r="Z26" s="146">
        <v>0</v>
      </c>
      <c r="AA26" s="146">
        <v>0</v>
      </c>
      <c r="AB26" s="146">
        <v>0.40197979720543653</v>
      </c>
      <c r="AC26" s="146">
        <v>0</v>
      </c>
      <c r="AD26" s="146">
        <v>4.8808302409376163E-2</v>
      </c>
      <c r="AE26" s="146">
        <v>0</v>
      </c>
      <c r="AF26" s="146">
        <v>1.3958187146742888E-3</v>
      </c>
      <c r="AG26" s="146">
        <v>0</v>
      </c>
      <c r="AH26" s="146">
        <v>0</v>
      </c>
      <c r="AI26" s="146">
        <v>0</v>
      </c>
      <c r="AJ26" s="146">
        <v>0</v>
      </c>
      <c r="AK26" s="146">
        <v>2.9999999658000012E-2</v>
      </c>
      <c r="AL26" s="146">
        <v>3.0027076732652935E-2</v>
      </c>
      <c r="AM26" s="146">
        <v>0</v>
      </c>
      <c r="AN26" s="146">
        <v>0</v>
      </c>
    </row>
    <row r="27" spans="1:40" customFormat="1" x14ac:dyDescent="0.15">
      <c r="A27" s="181" t="s">
        <v>216</v>
      </c>
      <c r="B27" s="146">
        <v>0</v>
      </c>
      <c r="C27" s="146">
        <v>0</v>
      </c>
      <c r="D27" s="146">
        <v>0</v>
      </c>
      <c r="E27" s="146">
        <v>0</v>
      </c>
      <c r="F27" s="146">
        <v>0</v>
      </c>
      <c r="G27" s="146">
        <v>0</v>
      </c>
      <c r="H27" s="146">
        <v>0</v>
      </c>
      <c r="I27" s="146">
        <v>0</v>
      </c>
      <c r="J27" s="146">
        <v>0</v>
      </c>
      <c r="K27" s="146">
        <v>0</v>
      </c>
      <c r="L27" s="146">
        <v>0</v>
      </c>
      <c r="M27" s="146">
        <v>0</v>
      </c>
      <c r="N27" s="146">
        <v>0</v>
      </c>
      <c r="O27" s="146">
        <v>0</v>
      </c>
      <c r="P27" s="146">
        <v>0</v>
      </c>
      <c r="Q27" s="146">
        <v>0</v>
      </c>
      <c r="R27" s="146">
        <v>0</v>
      </c>
      <c r="S27" s="146">
        <v>0</v>
      </c>
      <c r="T27" s="146">
        <v>0</v>
      </c>
      <c r="U27" s="146">
        <v>6.0042611753612238E-2</v>
      </c>
      <c r="V27" s="146">
        <v>0</v>
      </c>
      <c r="W27" s="146">
        <v>0</v>
      </c>
      <c r="X27" s="146">
        <v>7.4804761959884752E-2</v>
      </c>
      <c r="Y27" s="146">
        <v>0</v>
      </c>
      <c r="Z27" s="146">
        <v>0</v>
      </c>
      <c r="AA27" s="146">
        <v>0</v>
      </c>
      <c r="AB27" s="146">
        <v>0.32925984071098563</v>
      </c>
      <c r="AC27" s="146">
        <v>0</v>
      </c>
      <c r="AD27" s="146">
        <v>0.14441567889652193</v>
      </c>
      <c r="AE27" s="146">
        <v>0</v>
      </c>
      <c r="AF27" s="146">
        <v>5.6185807370448045E-2</v>
      </c>
      <c r="AG27" s="146">
        <v>8.0059448021469165E-2</v>
      </c>
      <c r="AH27" s="146">
        <v>6.7043802784999565E-2</v>
      </c>
      <c r="AI27" s="146">
        <v>0</v>
      </c>
      <c r="AJ27" s="146">
        <v>0</v>
      </c>
      <c r="AK27" s="146">
        <v>2.9999999658000012E-2</v>
      </c>
      <c r="AL27" s="146">
        <v>3.0027076732652935E-2</v>
      </c>
      <c r="AM27" s="146">
        <v>0</v>
      </c>
      <c r="AN27" s="146">
        <v>0</v>
      </c>
    </row>
    <row r="28" spans="1:40" customFormat="1" x14ac:dyDescent="0.15">
      <c r="A28" s="181" t="s">
        <v>217</v>
      </c>
      <c r="B28" s="146">
        <v>0</v>
      </c>
      <c r="C28" s="146">
        <v>0</v>
      </c>
      <c r="D28" s="146">
        <v>0</v>
      </c>
      <c r="E28" s="146">
        <v>0</v>
      </c>
      <c r="F28" s="146">
        <v>0</v>
      </c>
      <c r="G28" s="146">
        <v>0</v>
      </c>
      <c r="H28" s="146">
        <v>0</v>
      </c>
      <c r="I28" s="146">
        <v>0</v>
      </c>
      <c r="J28" s="146">
        <v>0</v>
      </c>
      <c r="K28" s="146">
        <v>0</v>
      </c>
      <c r="L28" s="146">
        <v>0</v>
      </c>
      <c r="M28" s="146">
        <v>0</v>
      </c>
      <c r="N28" s="146">
        <v>0</v>
      </c>
      <c r="O28" s="146">
        <v>0</v>
      </c>
      <c r="P28" s="146">
        <v>0</v>
      </c>
      <c r="Q28" s="146">
        <v>0</v>
      </c>
      <c r="R28" s="146">
        <v>0</v>
      </c>
      <c r="S28" s="146">
        <v>0</v>
      </c>
      <c r="T28" s="146">
        <v>0</v>
      </c>
      <c r="U28" s="146">
        <v>7.4853993318828665E-2</v>
      </c>
      <c r="V28" s="146">
        <v>0</v>
      </c>
      <c r="W28" s="146">
        <v>0</v>
      </c>
      <c r="X28" s="146">
        <v>7.4804761959884752E-2</v>
      </c>
      <c r="Y28" s="146">
        <v>0</v>
      </c>
      <c r="Z28" s="146">
        <v>0</v>
      </c>
      <c r="AA28" s="146">
        <v>2.8267896332849842E-2</v>
      </c>
      <c r="AB28" s="146">
        <v>4.0399979719139348E-2</v>
      </c>
      <c r="AC28" s="146">
        <v>0</v>
      </c>
      <c r="AD28" s="146">
        <v>4.7657090905859199E-2</v>
      </c>
      <c r="AE28" s="146">
        <v>0</v>
      </c>
      <c r="AF28" s="146">
        <v>0</v>
      </c>
      <c r="AG28" s="146">
        <v>0</v>
      </c>
      <c r="AH28" s="146">
        <v>0</v>
      </c>
      <c r="AI28" s="146">
        <v>0</v>
      </c>
      <c r="AJ28" s="146">
        <v>0</v>
      </c>
      <c r="AK28" s="146">
        <v>0</v>
      </c>
      <c r="AL28" s="146">
        <v>0</v>
      </c>
      <c r="AM28" s="146">
        <v>0</v>
      </c>
      <c r="AN28" s="146">
        <v>0</v>
      </c>
    </row>
    <row r="29" spans="1:40" customFormat="1" x14ac:dyDescent="0.15">
      <c r="A29" s="181" t="s">
        <v>218</v>
      </c>
      <c r="B29" s="146">
        <v>0</v>
      </c>
      <c r="C29" s="146">
        <v>0</v>
      </c>
      <c r="D29" s="146">
        <v>0</v>
      </c>
      <c r="E29" s="146">
        <v>0</v>
      </c>
      <c r="F29" s="146">
        <v>0</v>
      </c>
      <c r="G29" s="146">
        <v>0</v>
      </c>
      <c r="H29" s="146">
        <v>0</v>
      </c>
      <c r="I29" s="146">
        <v>0</v>
      </c>
      <c r="J29" s="146">
        <v>0</v>
      </c>
      <c r="K29" s="146">
        <v>0</v>
      </c>
      <c r="L29" s="146">
        <v>0.10642177026003376</v>
      </c>
      <c r="M29" s="146">
        <v>0</v>
      </c>
      <c r="N29" s="146">
        <v>0</v>
      </c>
      <c r="O29" s="146">
        <v>0</v>
      </c>
      <c r="P29" s="146">
        <v>0</v>
      </c>
      <c r="Q29" s="146">
        <v>3.8003698158323419E-2</v>
      </c>
      <c r="R29" s="146">
        <v>3.0965106247617089E-2</v>
      </c>
      <c r="S29" s="146">
        <v>8.2364330277132483E-2</v>
      </c>
      <c r="T29" s="146">
        <v>0</v>
      </c>
      <c r="U29" s="146">
        <v>0.120230442905903</v>
      </c>
      <c r="V29" s="146">
        <v>0</v>
      </c>
      <c r="W29" s="146">
        <v>0.12577430235911685</v>
      </c>
      <c r="X29" s="146">
        <v>0</v>
      </c>
      <c r="Y29" s="146">
        <v>0</v>
      </c>
      <c r="Z29" s="146">
        <v>0</v>
      </c>
      <c r="AA29" s="146">
        <v>0.28426278135835337</v>
      </c>
      <c r="AB29" s="146">
        <v>5.0499975348924177E-2</v>
      </c>
      <c r="AC29" s="146">
        <v>0</v>
      </c>
      <c r="AD29" s="146">
        <v>0.20999681640016676</v>
      </c>
      <c r="AE29" s="146">
        <v>2.3469440372600837E-2</v>
      </c>
      <c r="AF29" s="146">
        <v>4.4444517919952131E-2</v>
      </c>
      <c r="AG29" s="146">
        <v>0.13710181910426492</v>
      </c>
      <c r="AH29" s="146">
        <v>2.0316307343939407E-2</v>
      </c>
      <c r="AI29" s="146">
        <v>0</v>
      </c>
      <c r="AJ29" s="146">
        <v>0.04</v>
      </c>
      <c r="AK29" s="146">
        <v>2.9999999658000012E-2</v>
      </c>
      <c r="AL29" s="146">
        <v>2.2019858990612335E-2</v>
      </c>
      <c r="AM29" s="146">
        <v>0</v>
      </c>
      <c r="AN29" s="146">
        <v>0</v>
      </c>
    </row>
    <row r="30" spans="1:40" customFormat="1" x14ac:dyDescent="0.15">
      <c r="A30" s="181" t="s">
        <v>219</v>
      </c>
      <c r="B30" s="146">
        <v>0</v>
      </c>
      <c r="C30" s="146">
        <v>0</v>
      </c>
      <c r="D30" s="146">
        <v>0</v>
      </c>
      <c r="E30" s="146">
        <v>0</v>
      </c>
      <c r="F30" s="146">
        <v>0</v>
      </c>
      <c r="G30" s="146">
        <v>0</v>
      </c>
      <c r="H30" s="146">
        <v>0</v>
      </c>
      <c r="I30" s="146">
        <v>0</v>
      </c>
      <c r="J30" s="146">
        <v>0</v>
      </c>
      <c r="K30" s="146">
        <v>0</v>
      </c>
      <c r="L30" s="146">
        <v>0</v>
      </c>
      <c r="M30" s="146">
        <v>0</v>
      </c>
      <c r="N30" s="146">
        <v>0</v>
      </c>
      <c r="O30" s="146">
        <v>0</v>
      </c>
      <c r="P30" s="146">
        <v>0</v>
      </c>
      <c r="Q30" s="146">
        <v>0</v>
      </c>
      <c r="R30" s="146">
        <v>0</v>
      </c>
      <c r="S30" s="146">
        <v>0</v>
      </c>
      <c r="T30" s="146">
        <v>0</v>
      </c>
      <c r="U30" s="146">
        <v>0</v>
      </c>
      <c r="V30" s="146">
        <v>0</v>
      </c>
      <c r="W30" s="146">
        <v>0</v>
      </c>
      <c r="X30" s="146">
        <v>0</v>
      </c>
      <c r="Y30" s="146">
        <v>0</v>
      </c>
      <c r="Z30" s="146">
        <v>0</v>
      </c>
      <c r="AA30" s="146">
        <v>0</v>
      </c>
      <c r="AB30" s="146">
        <v>1.004949513013591E-4</v>
      </c>
      <c r="AC30" s="146">
        <v>0</v>
      </c>
      <c r="AD30" s="146">
        <v>5.2855395570189277E-2</v>
      </c>
      <c r="AE30" s="146">
        <v>1.0083458760084991E-3</v>
      </c>
      <c r="AF30" s="146">
        <v>5.4745741437844577E-3</v>
      </c>
      <c r="AG30" s="146">
        <v>1.0007432877683509E-3</v>
      </c>
      <c r="AH30" s="146">
        <v>0</v>
      </c>
      <c r="AI30" s="146">
        <v>0</v>
      </c>
      <c r="AJ30" s="146">
        <v>0</v>
      </c>
      <c r="AK30" s="146">
        <v>0</v>
      </c>
      <c r="AL30" s="146">
        <v>0</v>
      </c>
      <c r="AM30" s="146">
        <v>0</v>
      </c>
      <c r="AN30" s="146">
        <v>0</v>
      </c>
    </row>
    <row r="31" spans="1:40" customFormat="1" x14ac:dyDescent="0.15">
      <c r="A31" s="181" t="s">
        <v>220</v>
      </c>
      <c r="B31" s="146">
        <v>0</v>
      </c>
      <c r="C31" s="146">
        <v>0</v>
      </c>
      <c r="D31" s="146">
        <v>0</v>
      </c>
      <c r="E31" s="146">
        <v>0</v>
      </c>
      <c r="F31" s="146">
        <v>0</v>
      </c>
      <c r="G31" s="146">
        <v>0</v>
      </c>
      <c r="H31" s="146">
        <v>0</v>
      </c>
      <c r="I31" s="146">
        <v>0</v>
      </c>
      <c r="J31" s="146">
        <v>0</v>
      </c>
      <c r="K31" s="146">
        <v>0</v>
      </c>
      <c r="L31" s="146">
        <v>0</v>
      </c>
      <c r="M31" s="146">
        <v>0</v>
      </c>
      <c r="N31" s="146">
        <v>0</v>
      </c>
      <c r="O31" s="146">
        <v>0</v>
      </c>
      <c r="P31" s="146">
        <v>0</v>
      </c>
      <c r="Q31" s="146">
        <v>0</v>
      </c>
      <c r="R31" s="146">
        <v>0</v>
      </c>
      <c r="S31" s="146">
        <v>1.0581885503288656E-3</v>
      </c>
      <c r="T31" s="146">
        <v>0</v>
      </c>
      <c r="U31" s="146">
        <v>1.0121221607896885E-2</v>
      </c>
      <c r="V31" s="146">
        <v>0</v>
      </c>
      <c r="W31" s="146">
        <v>0</v>
      </c>
      <c r="X31" s="146">
        <v>0</v>
      </c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46">
        <v>0</v>
      </c>
      <c r="AE31" s="146">
        <v>0</v>
      </c>
      <c r="AF31" s="146">
        <v>2.1414178997795016E-2</v>
      </c>
      <c r="AG31" s="146">
        <v>2.2016352310903722E-2</v>
      </c>
      <c r="AH31" s="146">
        <v>0</v>
      </c>
      <c r="AI31" s="146">
        <v>0</v>
      </c>
      <c r="AJ31" s="146">
        <v>0</v>
      </c>
      <c r="AK31" s="146">
        <v>0</v>
      </c>
      <c r="AL31" s="146">
        <v>0</v>
      </c>
      <c r="AM31" s="146">
        <v>0</v>
      </c>
      <c r="AN31" s="146">
        <v>0</v>
      </c>
    </row>
    <row r="32" spans="1:40" customFormat="1" x14ac:dyDescent="0.15">
      <c r="A32" s="181" t="s">
        <v>221</v>
      </c>
      <c r="B32" s="146">
        <v>0</v>
      </c>
      <c r="C32" s="146">
        <v>0</v>
      </c>
      <c r="D32" s="146">
        <v>0</v>
      </c>
      <c r="E32" s="146">
        <v>0</v>
      </c>
      <c r="F32" s="146">
        <v>0</v>
      </c>
      <c r="G32" s="146">
        <v>0</v>
      </c>
      <c r="H32" s="146">
        <v>0</v>
      </c>
      <c r="I32" s="146">
        <v>0</v>
      </c>
      <c r="J32" s="146">
        <v>0</v>
      </c>
      <c r="K32" s="146">
        <v>0</v>
      </c>
      <c r="L32" s="146">
        <v>0</v>
      </c>
      <c r="M32" s="146">
        <v>0</v>
      </c>
      <c r="N32" s="146">
        <v>0</v>
      </c>
      <c r="O32" s="146">
        <v>0</v>
      </c>
      <c r="P32" s="146">
        <v>0</v>
      </c>
      <c r="Q32" s="146">
        <v>0</v>
      </c>
      <c r="R32" s="146">
        <v>0</v>
      </c>
      <c r="S32" s="146">
        <v>0</v>
      </c>
      <c r="T32" s="146">
        <v>0</v>
      </c>
      <c r="U32" s="146">
        <v>0</v>
      </c>
      <c r="V32" s="146">
        <v>0</v>
      </c>
      <c r="W32" s="146">
        <v>0</v>
      </c>
      <c r="X32" s="146">
        <v>0</v>
      </c>
      <c r="Y32" s="146">
        <v>0</v>
      </c>
      <c r="Z32" s="146">
        <v>0</v>
      </c>
      <c r="AA32" s="146">
        <v>0</v>
      </c>
      <c r="AB32" s="146">
        <v>0</v>
      </c>
      <c r="AC32" s="146">
        <v>0</v>
      </c>
      <c r="AD32" s="146">
        <v>3.2176584603280435E-3</v>
      </c>
      <c r="AE32" s="146">
        <v>0</v>
      </c>
      <c r="AF32" s="146">
        <v>3.6127072009216913E-3</v>
      </c>
      <c r="AG32" s="146">
        <v>0</v>
      </c>
      <c r="AH32" s="146">
        <v>0</v>
      </c>
      <c r="AI32" s="146">
        <v>0</v>
      </c>
      <c r="AJ32" s="146">
        <v>0</v>
      </c>
      <c r="AK32" s="146">
        <v>0</v>
      </c>
      <c r="AL32" s="146">
        <v>0</v>
      </c>
      <c r="AM32" s="146">
        <v>0</v>
      </c>
      <c r="AN32" s="146">
        <v>0</v>
      </c>
    </row>
    <row r="33" spans="1:40" customFormat="1" x14ac:dyDescent="0.15">
      <c r="A33" s="181" t="s">
        <v>222</v>
      </c>
      <c r="B33" s="146">
        <v>0</v>
      </c>
      <c r="C33" s="146">
        <v>0</v>
      </c>
      <c r="D33" s="146">
        <v>0</v>
      </c>
      <c r="E33" s="146">
        <v>0</v>
      </c>
      <c r="F33" s="146">
        <v>0</v>
      </c>
      <c r="G33" s="146">
        <v>0</v>
      </c>
      <c r="H33" s="146">
        <v>0</v>
      </c>
      <c r="I33" s="146">
        <v>0</v>
      </c>
      <c r="J33" s="146">
        <v>0</v>
      </c>
      <c r="K33" s="146">
        <v>0</v>
      </c>
      <c r="L33" s="146">
        <v>0</v>
      </c>
      <c r="M33" s="146">
        <v>0</v>
      </c>
      <c r="N33" s="146">
        <v>0</v>
      </c>
      <c r="O33" s="146">
        <v>0</v>
      </c>
      <c r="P33" s="146">
        <v>0</v>
      </c>
      <c r="Q33" s="146">
        <v>0</v>
      </c>
      <c r="R33" s="146">
        <v>0</v>
      </c>
      <c r="S33" s="146">
        <v>0</v>
      </c>
      <c r="T33" s="146">
        <v>0</v>
      </c>
      <c r="U33" s="146">
        <v>0</v>
      </c>
      <c r="V33" s="146">
        <v>0</v>
      </c>
      <c r="W33" s="146">
        <v>0</v>
      </c>
      <c r="X33" s="146">
        <v>0</v>
      </c>
      <c r="Y33" s="146">
        <v>0</v>
      </c>
      <c r="Z33" s="146">
        <v>0</v>
      </c>
      <c r="AA33" s="146">
        <v>0</v>
      </c>
      <c r="AB33" s="146">
        <v>0</v>
      </c>
      <c r="AC33" s="146">
        <v>0</v>
      </c>
      <c r="AD33" s="146">
        <v>0</v>
      </c>
      <c r="AE33" s="146">
        <v>0</v>
      </c>
      <c r="AF33" s="146">
        <v>1.6421403631461894E-3</v>
      </c>
      <c r="AG33" s="146">
        <v>0</v>
      </c>
      <c r="AH33" s="146">
        <v>0</v>
      </c>
      <c r="AI33" s="146">
        <v>0</v>
      </c>
      <c r="AJ33" s="146">
        <v>0</v>
      </c>
      <c r="AK33" s="146">
        <v>0</v>
      </c>
      <c r="AL33" s="146">
        <v>0</v>
      </c>
      <c r="AM33" s="146">
        <v>0</v>
      </c>
      <c r="AN33" s="146">
        <v>0</v>
      </c>
    </row>
    <row r="34" spans="1:40" customFormat="1" x14ac:dyDescent="0.15">
      <c r="A34" s="181" t="s">
        <v>223</v>
      </c>
      <c r="B34" s="146">
        <v>0</v>
      </c>
      <c r="C34" s="146">
        <v>0</v>
      </c>
      <c r="D34" s="146">
        <v>0</v>
      </c>
      <c r="E34" s="146">
        <v>0</v>
      </c>
      <c r="F34" s="146">
        <v>0</v>
      </c>
      <c r="G34" s="146">
        <v>0</v>
      </c>
      <c r="H34" s="146">
        <v>0</v>
      </c>
      <c r="I34" s="146">
        <v>0</v>
      </c>
      <c r="J34" s="146">
        <v>9.9965779000342203E-3</v>
      </c>
      <c r="K34" s="146">
        <v>0</v>
      </c>
      <c r="L34" s="146">
        <v>0</v>
      </c>
      <c r="M34" s="146">
        <v>0.1239516180053289</v>
      </c>
      <c r="N34" s="146">
        <v>2.346729738255152E-2</v>
      </c>
      <c r="O34" s="146">
        <v>0</v>
      </c>
      <c r="P34" s="146">
        <v>1.0004291231320028E-3</v>
      </c>
      <c r="Q34" s="146">
        <v>3.2714754436289671E-3</v>
      </c>
      <c r="R34" s="146">
        <v>1.6883991507860175E-2</v>
      </c>
      <c r="S34" s="146">
        <v>3.7421237536185717E-2</v>
      </c>
      <c r="T34" s="146">
        <v>0.20259319240518639</v>
      </c>
      <c r="U34" s="146">
        <v>6.376370941975025E-2</v>
      </c>
      <c r="V34" s="146">
        <v>0</v>
      </c>
      <c r="W34" s="146">
        <v>0.20840053699645164</v>
      </c>
      <c r="X34" s="146">
        <v>0.27854765229794848</v>
      </c>
      <c r="Y34" s="146">
        <v>0</v>
      </c>
      <c r="Z34" s="146">
        <v>0</v>
      </c>
      <c r="AA34" s="146">
        <v>4.0316890759973384E-2</v>
      </c>
      <c r="AB34" s="146">
        <v>0</v>
      </c>
      <c r="AC34" s="146">
        <v>0</v>
      </c>
      <c r="AD34" s="146">
        <v>0.15030043040332089</v>
      </c>
      <c r="AE34" s="146">
        <v>0.14015396122508431</v>
      </c>
      <c r="AF34" s="146">
        <v>0.25760248794394602</v>
      </c>
      <c r="AG34" s="146">
        <v>0.29421854876389358</v>
      </c>
      <c r="AH34" s="146">
        <v>3.3434181388855892E-2</v>
      </c>
      <c r="AI34" s="146">
        <v>0</v>
      </c>
      <c r="AJ34" s="146">
        <v>0.2</v>
      </c>
      <c r="AK34" s="146">
        <v>2.0000000371999973E-2</v>
      </c>
      <c r="AL34" s="146">
        <v>0.51146123462285675</v>
      </c>
      <c r="AM34" s="146">
        <v>0</v>
      </c>
      <c r="AN34" s="146">
        <v>0</v>
      </c>
    </row>
    <row r="35" spans="1:40" customFormat="1" x14ac:dyDescent="0.15">
      <c r="A35" s="181" t="s">
        <v>224</v>
      </c>
      <c r="B35" s="146">
        <v>0</v>
      </c>
      <c r="C35" s="146">
        <v>0</v>
      </c>
      <c r="D35" s="146">
        <v>0</v>
      </c>
      <c r="E35" s="146">
        <v>0</v>
      </c>
      <c r="F35" s="146">
        <v>0</v>
      </c>
      <c r="G35" s="146">
        <v>0</v>
      </c>
      <c r="H35" s="146">
        <v>0</v>
      </c>
      <c r="I35" s="146">
        <v>0</v>
      </c>
      <c r="J35" s="146">
        <v>0</v>
      </c>
      <c r="K35" s="146">
        <v>0</v>
      </c>
      <c r="L35" s="146">
        <v>0</v>
      </c>
      <c r="M35" s="146">
        <v>0</v>
      </c>
      <c r="N35" s="146">
        <v>0</v>
      </c>
      <c r="O35" s="146">
        <v>0</v>
      </c>
      <c r="P35" s="146">
        <v>0</v>
      </c>
      <c r="Q35" s="146">
        <v>0</v>
      </c>
      <c r="R35" s="146">
        <v>0</v>
      </c>
      <c r="S35" s="146">
        <v>0</v>
      </c>
      <c r="T35" s="146">
        <v>0</v>
      </c>
      <c r="U35" s="146">
        <v>0</v>
      </c>
      <c r="V35" s="146">
        <v>0</v>
      </c>
      <c r="W35" s="146">
        <v>0</v>
      </c>
      <c r="X35" s="146">
        <v>0</v>
      </c>
      <c r="Y35" s="146">
        <v>0</v>
      </c>
      <c r="Z35" s="146">
        <v>0</v>
      </c>
      <c r="AA35" s="146">
        <v>0</v>
      </c>
      <c r="AB35" s="146">
        <v>0</v>
      </c>
      <c r="AC35" s="146">
        <v>0</v>
      </c>
      <c r="AD35" s="146">
        <v>0</v>
      </c>
      <c r="AE35" s="146">
        <v>0</v>
      </c>
      <c r="AF35" s="146">
        <v>1.1085880581169706E-4</v>
      </c>
      <c r="AG35" s="146">
        <v>0</v>
      </c>
      <c r="AH35" s="146">
        <v>0</v>
      </c>
      <c r="AI35" s="146">
        <v>0</v>
      </c>
      <c r="AJ35" s="146">
        <v>0</v>
      </c>
      <c r="AK35" s="146">
        <v>0</v>
      </c>
      <c r="AL35" s="146">
        <v>0</v>
      </c>
      <c r="AM35" s="146">
        <v>0</v>
      </c>
      <c r="AN35" s="146">
        <v>0</v>
      </c>
    </row>
    <row r="36" spans="1:40" customFormat="1" x14ac:dyDescent="0.15">
      <c r="A36" s="181" t="s">
        <v>225</v>
      </c>
      <c r="B36" s="146">
        <v>0</v>
      </c>
      <c r="C36" s="146">
        <v>0</v>
      </c>
      <c r="D36" s="146">
        <v>0</v>
      </c>
      <c r="E36" s="146">
        <v>0</v>
      </c>
      <c r="F36" s="146">
        <v>0</v>
      </c>
      <c r="G36" s="146">
        <v>0</v>
      </c>
      <c r="H36" s="146">
        <v>0</v>
      </c>
      <c r="I36" s="146">
        <v>0</v>
      </c>
      <c r="J36" s="146">
        <v>0</v>
      </c>
      <c r="K36" s="146">
        <v>0</v>
      </c>
      <c r="L36" s="146">
        <v>0</v>
      </c>
      <c r="M36" s="146">
        <v>0</v>
      </c>
      <c r="N36" s="146">
        <v>0</v>
      </c>
      <c r="O36" s="146">
        <v>0</v>
      </c>
      <c r="P36" s="146">
        <v>0</v>
      </c>
      <c r="Q36" s="146">
        <v>0</v>
      </c>
      <c r="R36" s="146">
        <v>0</v>
      </c>
      <c r="S36" s="146">
        <v>0</v>
      </c>
      <c r="T36" s="146">
        <v>0</v>
      </c>
      <c r="U36" s="146">
        <v>0</v>
      </c>
      <c r="V36" s="146">
        <v>0</v>
      </c>
      <c r="W36" s="146">
        <v>0</v>
      </c>
      <c r="X36" s="146">
        <v>0</v>
      </c>
      <c r="Y36" s="146">
        <v>0</v>
      </c>
      <c r="Z36" s="146">
        <v>0</v>
      </c>
      <c r="AA36" s="146">
        <v>0</v>
      </c>
      <c r="AB36" s="146">
        <v>0</v>
      </c>
      <c r="AC36" s="146">
        <v>0</v>
      </c>
      <c r="AD36" s="146">
        <v>0</v>
      </c>
      <c r="AE36" s="146">
        <v>0</v>
      </c>
      <c r="AF36" s="146">
        <v>0</v>
      </c>
      <c r="AG36" s="146">
        <v>1.1095394399156622E-4</v>
      </c>
      <c r="AH36" s="146">
        <v>0</v>
      </c>
      <c r="AI36" s="146">
        <v>0</v>
      </c>
      <c r="AJ36" s="146">
        <v>0</v>
      </c>
      <c r="AK36" s="146">
        <v>0</v>
      </c>
      <c r="AL36" s="146">
        <v>0</v>
      </c>
      <c r="AM36" s="146">
        <v>0</v>
      </c>
      <c r="AN36" s="146">
        <v>0</v>
      </c>
    </row>
    <row r="37" spans="1:40" customFormat="1" x14ac:dyDescent="0.15">
      <c r="A37" s="181" t="s">
        <v>226</v>
      </c>
      <c r="B37" s="146">
        <v>0</v>
      </c>
      <c r="C37" s="146">
        <v>0</v>
      </c>
      <c r="D37" s="146">
        <v>0</v>
      </c>
      <c r="E37" s="146">
        <v>0</v>
      </c>
      <c r="F37" s="146">
        <v>0</v>
      </c>
      <c r="G37" s="146">
        <v>0</v>
      </c>
      <c r="H37" s="146">
        <v>0</v>
      </c>
      <c r="I37" s="146">
        <v>0</v>
      </c>
      <c r="J37" s="146">
        <v>0</v>
      </c>
      <c r="K37" s="146">
        <v>0</v>
      </c>
      <c r="L37" s="146">
        <v>0</v>
      </c>
      <c r="M37" s="146">
        <v>0</v>
      </c>
      <c r="N37" s="146">
        <v>0</v>
      </c>
      <c r="O37" s="146">
        <v>0</v>
      </c>
      <c r="P37" s="146">
        <v>0</v>
      </c>
      <c r="Q37" s="146">
        <v>0</v>
      </c>
      <c r="R37" s="146">
        <v>0</v>
      </c>
      <c r="S37" s="146">
        <v>0</v>
      </c>
      <c r="T37" s="146">
        <v>0</v>
      </c>
      <c r="U37" s="146">
        <v>0</v>
      </c>
      <c r="V37" s="146">
        <v>0</v>
      </c>
      <c r="W37" s="146">
        <v>0</v>
      </c>
      <c r="X37" s="146">
        <v>0</v>
      </c>
      <c r="Y37" s="146">
        <v>0</v>
      </c>
      <c r="Z37" s="146">
        <v>0</v>
      </c>
      <c r="AA37" s="146">
        <v>0</v>
      </c>
      <c r="AB37" s="146">
        <v>0</v>
      </c>
      <c r="AC37" s="146">
        <v>0</v>
      </c>
      <c r="AD37" s="146">
        <v>0</v>
      </c>
      <c r="AE37" s="146">
        <v>0</v>
      </c>
      <c r="AF37" s="146">
        <v>0</v>
      </c>
      <c r="AG37" s="146">
        <v>9.9990002782921568E-5</v>
      </c>
      <c r="AH37" s="146">
        <v>0</v>
      </c>
      <c r="AI37" s="146">
        <v>0</v>
      </c>
      <c r="AJ37" s="146">
        <v>0</v>
      </c>
      <c r="AK37" s="146">
        <v>0</v>
      </c>
      <c r="AL37" s="146">
        <v>1.0008991277548655E-4</v>
      </c>
      <c r="AM37" s="146">
        <v>0</v>
      </c>
      <c r="AN37" s="146">
        <v>0</v>
      </c>
    </row>
    <row r="38" spans="1:40" customFormat="1" x14ac:dyDescent="0.15">
      <c r="A38" s="181" t="s">
        <v>227</v>
      </c>
      <c r="B38" s="146">
        <v>0</v>
      </c>
      <c r="C38" s="146">
        <v>0</v>
      </c>
      <c r="D38" s="146">
        <v>0</v>
      </c>
      <c r="E38" s="146">
        <v>0</v>
      </c>
      <c r="F38" s="146">
        <v>0</v>
      </c>
      <c r="G38" s="146">
        <v>0</v>
      </c>
      <c r="H38" s="146">
        <v>0</v>
      </c>
      <c r="I38" s="146">
        <v>0</v>
      </c>
      <c r="J38" s="146">
        <v>0</v>
      </c>
      <c r="K38" s="146">
        <v>0</v>
      </c>
      <c r="L38" s="146">
        <v>0</v>
      </c>
      <c r="M38" s="146">
        <v>0</v>
      </c>
      <c r="N38" s="146">
        <v>0</v>
      </c>
      <c r="O38" s="146">
        <v>0</v>
      </c>
      <c r="P38" s="146">
        <v>0</v>
      </c>
      <c r="Q38" s="146">
        <v>0</v>
      </c>
      <c r="R38" s="146">
        <v>0</v>
      </c>
      <c r="S38" s="146">
        <v>0</v>
      </c>
      <c r="T38" s="146">
        <v>0</v>
      </c>
      <c r="U38" s="146">
        <v>0</v>
      </c>
      <c r="V38" s="146">
        <v>0</v>
      </c>
      <c r="W38" s="146">
        <v>0</v>
      </c>
      <c r="X38" s="146">
        <v>0</v>
      </c>
      <c r="Y38" s="146">
        <v>0</v>
      </c>
      <c r="Z38" s="146">
        <v>0</v>
      </c>
      <c r="AA38" s="146">
        <v>0</v>
      </c>
      <c r="AB38" s="146">
        <v>0</v>
      </c>
      <c r="AC38" s="146">
        <v>0</v>
      </c>
      <c r="AD38" s="146">
        <v>0</v>
      </c>
      <c r="AE38" s="146">
        <v>0</v>
      </c>
      <c r="AF38" s="146">
        <v>2.1432539996935702E-4</v>
      </c>
      <c r="AG38" s="146">
        <v>1.9998438556552702E-4</v>
      </c>
      <c r="AH38" s="146">
        <v>0</v>
      </c>
      <c r="AI38" s="146">
        <v>0</v>
      </c>
      <c r="AJ38" s="146">
        <v>0</v>
      </c>
      <c r="AK38" s="146">
        <v>0</v>
      </c>
      <c r="AL38" s="146">
        <v>9.9910056763311385E-4</v>
      </c>
      <c r="AM38" s="146">
        <v>0</v>
      </c>
      <c r="AN38" s="146">
        <v>0</v>
      </c>
    </row>
    <row r="39" spans="1:40" x14ac:dyDescent="0.15">
      <c r="A39" s="181" t="s">
        <v>228</v>
      </c>
      <c r="B39" s="146">
        <v>0</v>
      </c>
      <c r="C39" s="146">
        <v>0</v>
      </c>
      <c r="D39" s="146">
        <v>0.26107560555697579</v>
      </c>
      <c r="E39" s="146">
        <v>1</v>
      </c>
      <c r="F39" s="146">
        <v>1</v>
      </c>
      <c r="G39" s="146">
        <v>0.2</v>
      </c>
      <c r="H39" s="146">
        <v>0.52701336097993079</v>
      </c>
      <c r="I39" s="146">
        <v>0.35000040056000059</v>
      </c>
      <c r="J39" s="146">
        <v>0</v>
      </c>
      <c r="K39" s="146">
        <v>0.37051893940195496</v>
      </c>
      <c r="L39" s="146">
        <v>0</v>
      </c>
      <c r="M39" s="146">
        <v>0</v>
      </c>
      <c r="N39" s="146">
        <v>0</v>
      </c>
      <c r="O39" s="146">
        <v>0.16171657591180494</v>
      </c>
      <c r="P39" s="146">
        <v>2.816136696577053E-2</v>
      </c>
      <c r="Q39" s="146">
        <v>2.1159729088151436E-2</v>
      </c>
      <c r="R39" s="146">
        <v>0</v>
      </c>
      <c r="S39" s="146">
        <v>6.2682145873007508E-3</v>
      </c>
      <c r="T39" s="146">
        <v>0</v>
      </c>
      <c r="U39" s="146">
        <v>0</v>
      </c>
      <c r="V39" s="146">
        <v>0</v>
      </c>
      <c r="W39" s="146">
        <v>0</v>
      </c>
      <c r="X39" s="146">
        <v>0</v>
      </c>
      <c r="Y39" s="146">
        <v>0</v>
      </c>
      <c r="Z39" s="146">
        <v>0</v>
      </c>
      <c r="AA39" s="146">
        <v>0</v>
      </c>
      <c r="AB39" s="146">
        <v>0</v>
      </c>
      <c r="AC39" s="146">
        <v>4.9999000440039174E-2</v>
      </c>
      <c r="AD39" s="146">
        <v>0</v>
      </c>
      <c r="AE39" s="146">
        <v>0</v>
      </c>
      <c r="AF39" s="146">
        <v>6.0759169956410104E-3</v>
      </c>
      <c r="AG39" s="146">
        <v>0</v>
      </c>
      <c r="AH39" s="146">
        <v>0</v>
      </c>
      <c r="AI39" s="146">
        <v>0</v>
      </c>
      <c r="AJ39" s="146">
        <v>0</v>
      </c>
      <c r="AK39" s="146">
        <v>0</v>
      </c>
      <c r="AL39" s="146">
        <v>0</v>
      </c>
      <c r="AM39" s="146">
        <v>0</v>
      </c>
      <c r="AN39" s="146">
        <v>0</v>
      </c>
    </row>
    <row r="40" spans="1:40" x14ac:dyDescent="0.15">
      <c r="A40" s="181" t="s">
        <v>229</v>
      </c>
      <c r="B40" s="146">
        <v>0</v>
      </c>
      <c r="C40" s="146">
        <v>0</v>
      </c>
      <c r="D40" s="146">
        <v>0</v>
      </c>
      <c r="E40" s="146">
        <v>0</v>
      </c>
      <c r="F40" s="146">
        <v>0</v>
      </c>
      <c r="G40" s="146">
        <v>0</v>
      </c>
      <c r="H40" s="146">
        <v>0</v>
      </c>
      <c r="I40" s="146">
        <v>0</v>
      </c>
      <c r="J40" s="146">
        <v>0</v>
      </c>
      <c r="K40" s="146">
        <v>0</v>
      </c>
      <c r="L40" s="146">
        <v>0</v>
      </c>
      <c r="M40" s="146">
        <v>0</v>
      </c>
      <c r="N40" s="146">
        <v>0</v>
      </c>
      <c r="O40" s="146">
        <v>0</v>
      </c>
      <c r="P40" s="146">
        <v>0</v>
      </c>
      <c r="Q40" s="146">
        <v>0</v>
      </c>
      <c r="R40" s="146">
        <v>0</v>
      </c>
      <c r="S40" s="146">
        <v>0</v>
      </c>
      <c r="T40" s="146">
        <v>0</v>
      </c>
      <c r="U40" s="146">
        <v>0</v>
      </c>
      <c r="V40" s="146">
        <v>0</v>
      </c>
      <c r="W40" s="146">
        <v>0</v>
      </c>
      <c r="X40" s="146">
        <v>0</v>
      </c>
      <c r="Y40" s="146">
        <v>0</v>
      </c>
      <c r="Z40" s="146">
        <v>0</v>
      </c>
      <c r="AA40" s="146">
        <v>0</v>
      </c>
      <c r="AB40" s="146">
        <v>0</v>
      </c>
      <c r="AC40" s="146">
        <v>0</v>
      </c>
      <c r="AD40" s="146">
        <v>0</v>
      </c>
      <c r="AE40" s="146">
        <v>0</v>
      </c>
      <c r="AF40" s="146">
        <v>0</v>
      </c>
      <c r="AG40" s="146">
        <v>0</v>
      </c>
      <c r="AH40" s="146">
        <v>0</v>
      </c>
      <c r="AI40" s="146">
        <v>0</v>
      </c>
      <c r="AJ40" s="146">
        <v>0</v>
      </c>
      <c r="AK40" s="146">
        <v>0</v>
      </c>
      <c r="AL40" s="146">
        <v>0</v>
      </c>
      <c r="AM40" s="146">
        <v>0</v>
      </c>
      <c r="AN40" s="146">
        <v>0</v>
      </c>
    </row>
    <row r="41" spans="1:40" x14ac:dyDescent="0.15">
      <c r="A41" s="181" t="s">
        <v>234</v>
      </c>
      <c r="B41" s="146">
        <v>0</v>
      </c>
      <c r="C41" s="146">
        <v>0</v>
      </c>
      <c r="D41" s="146">
        <v>0</v>
      </c>
      <c r="E41" s="146">
        <v>0</v>
      </c>
      <c r="F41" s="146">
        <v>0</v>
      </c>
      <c r="G41" s="146">
        <v>0</v>
      </c>
      <c r="H41" s="146">
        <v>0</v>
      </c>
      <c r="I41" s="146">
        <v>0</v>
      </c>
      <c r="J41" s="146">
        <v>0</v>
      </c>
      <c r="K41" s="146">
        <v>0.12785158630784677</v>
      </c>
      <c r="L41" s="146">
        <v>0</v>
      </c>
      <c r="M41" s="146">
        <v>0</v>
      </c>
      <c r="N41" s="146">
        <v>0</v>
      </c>
      <c r="O41" s="146">
        <v>0.15694014303255316</v>
      </c>
      <c r="P41" s="146">
        <v>3.7167294543655333E-2</v>
      </c>
      <c r="Q41" s="146">
        <v>0</v>
      </c>
      <c r="R41" s="146">
        <v>0</v>
      </c>
      <c r="S41" s="146">
        <v>1.4511003144595552E-2</v>
      </c>
      <c r="T41" s="146">
        <v>0</v>
      </c>
      <c r="U41" s="146">
        <v>0</v>
      </c>
      <c r="V41" s="146">
        <v>0</v>
      </c>
      <c r="W41" s="146">
        <v>0</v>
      </c>
      <c r="X41" s="146">
        <v>0</v>
      </c>
      <c r="Y41" s="146">
        <v>0</v>
      </c>
      <c r="Z41" s="146">
        <v>0</v>
      </c>
      <c r="AA41" s="146">
        <v>3.6745712892656685E-2</v>
      </c>
      <c r="AB41" s="146">
        <v>0</v>
      </c>
      <c r="AC41" s="146">
        <v>0</v>
      </c>
      <c r="AD41" s="146">
        <v>0</v>
      </c>
      <c r="AE41" s="146">
        <v>0</v>
      </c>
      <c r="AF41" s="146">
        <v>1.0321147916959961E-3</v>
      </c>
      <c r="AG41" s="146">
        <v>0</v>
      </c>
      <c r="AH41" s="146">
        <v>0</v>
      </c>
      <c r="AI41" s="146">
        <v>0</v>
      </c>
      <c r="AJ41" s="146">
        <v>0</v>
      </c>
      <c r="AK41" s="146">
        <v>0</v>
      </c>
      <c r="AL41" s="146">
        <v>0</v>
      </c>
      <c r="AM41" s="146">
        <v>0</v>
      </c>
      <c r="AN41" s="146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7" activePane="bottomRight" state="frozen"/>
      <selection pane="topRight" activeCell="C1" sqref="C1"/>
      <selection pane="bottomLeft" activeCell="A2" sqref="A2"/>
      <selection pane="bottomRight" activeCell="G49" sqref="G49"/>
    </sheetView>
  </sheetViews>
  <sheetFormatPr baseColWidth="10" defaultColWidth="8.83203125" defaultRowHeight="13" x14ac:dyDescent="0.15"/>
  <cols>
    <col min="1" max="1" width="3.33203125" customWidth="1"/>
    <col min="2" max="2" width="23.1640625" customWidth="1"/>
    <col min="3" max="4" width="10.83203125" style="115" customWidth="1"/>
    <col min="5" max="6" width="10.83203125" style="114" customWidth="1"/>
    <col min="7" max="8" width="8.83203125" style="115"/>
  </cols>
  <sheetData>
    <row r="1" spans="1:8" ht="70" x14ac:dyDescent="0.15">
      <c r="A1" s="5" t="s">
        <v>20</v>
      </c>
      <c r="B1" s="1" t="s">
        <v>0</v>
      </c>
      <c r="C1" s="184" t="s">
        <v>228</v>
      </c>
      <c r="D1" s="184" t="s">
        <v>229</v>
      </c>
      <c r="E1" s="184" t="s">
        <v>235</v>
      </c>
      <c r="F1" s="184" t="s">
        <v>236</v>
      </c>
      <c r="G1"/>
      <c r="H1"/>
    </row>
    <row r="2" spans="1:8" x14ac:dyDescent="0.15">
      <c r="A2">
        <v>1</v>
      </c>
      <c r="B2" s="183" t="s">
        <v>191</v>
      </c>
      <c r="C2" s="115">
        <v>1</v>
      </c>
      <c r="D2" s="115">
        <v>0</v>
      </c>
      <c r="E2" s="114">
        <v>0</v>
      </c>
      <c r="F2" s="114">
        <v>1</v>
      </c>
      <c r="G2"/>
      <c r="H2"/>
    </row>
    <row r="3" spans="1:8" x14ac:dyDescent="0.15">
      <c r="A3">
        <v>2</v>
      </c>
      <c r="B3" s="183" t="s">
        <v>192</v>
      </c>
      <c r="C3" s="115">
        <v>1</v>
      </c>
      <c r="D3" s="115">
        <v>0</v>
      </c>
      <c r="E3" s="114">
        <v>0</v>
      </c>
      <c r="F3" s="114">
        <v>1</v>
      </c>
      <c r="G3"/>
      <c r="H3"/>
    </row>
    <row r="4" spans="1:8" x14ac:dyDescent="0.15">
      <c r="A4">
        <v>3</v>
      </c>
      <c r="B4" s="183" t="s">
        <v>193</v>
      </c>
      <c r="C4" s="115">
        <v>1</v>
      </c>
      <c r="D4" s="115">
        <v>0</v>
      </c>
      <c r="E4" s="114">
        <v>0</v>
      </c>
      <c r="F4" s="114">
        <v>1</v>
      </c>
      <c r="G4"/>
      <c r="H4"/>
    </row>
    <row r="5" spans="1:8" x14ac:dyDescent="0.15">
      <c r="A5">
        <v>4</v>
      </c>
      <c r="B5" s="183" t="s">
        <v>194</v>
      </c>
      <c r="C5" s="115">
        <v>0</v>
      </c>
      <c r="D5" s="115">
        <v>0</v>
      </c>
      <c r="E5" s="114">
        <v>1</v>
      </c>
      <c r="F5" s="114">
        <v>1</v>
      </c>
      <c r="G5"/>
      <c r="H5"/>
    </row>
    <row r="6" spans="1:8" x14ac:dyDescent="0.15">
      <c r="A6">
        <v>5</v>
      </c>
      <c r="B6" s="183" t="s">
        <v>195</v>
      </c>
      <c r="C6" s="115">
        <v>0</v>
      </c>
      <c r="D6" s="115">
        <v>0</v>
      </c>
      <c r="E6" s="114">
        <v>1</v>
      </c>
      <c r="F6" s="114">
        <v>1</v>
      </c>
      <c r="G6"/>
      <c r="H6"/>
    </row>
    <row r="7" spans="1:8" x14ac:dyDescent="0.15">
      <c r="A7">
        <v>6</v>
      </c>
      <c r="B7" s="183" t="s">
        <v>196</v>
      </c>
      <c r="C7" s="115">
        <v>0</v>
      </c>
      <c r="D7" s="115">
        <v>0</v>
      </c>
      <c r="E7" s="114">
        <v>1</v>
      </c>
      <c r="F7" s="114">
        <v>1</v>
      </c>
      <c r="G7"/>
      <c r="H7"/>
    </row>
    <row r="8" spans="1:8" x14ac:dyDescent="0.15">
      <c r="A8">
        <v>7</v>
      </c>
      <c r="B8" s="183" t="s">
        <v>197</v>
      </c>
      <c r="C8" s="115">
        <v>1</v>
      </c>
      <c r="D8" s="115">
        <v>0</v>
      </c>
      <c r="E8" s="114">
        <v>0</v>
      </c>
      <c r="F8" s="114">
        <v>1</v>
      </c>
      <c r="G8"/>
      <c r="H8"/>
    </row>
    <row r="9" spans="1:8" x14ac:dyDescent="0.15">
      <c r="A9">
        <v>8</v>
      </c>
      <c r="B9" s="183" t="s">
        <v>198</v>
      </c>
      <c r="C9" s="115">
        <v>1</v>
      </c>
      <c r="D9" s="115">
        <v>0</v>
      </c>
      <c r="E9" s="114">
        <v>0</v>
      </c>
      <c r="F9" s="114">
        <v>1</v>
      </c>
      <c r="G9"/>
      <c r="H9"/>
    </row>
    <row r="10" spans="1:8" x14ac:dyDescent="0.15">
      <c r="A10">
        <v>9</v>
      </c>
      <c r="B10" s="183" t="s">
        <v>199</v>
      </c>
      <c r="C10" s="115">
        <v>1</v>
      </c>
      <c r="D10" s="115">
        <v>0</v>
      </c>
      <c r="E10" s="114">
        <v>0</v>
      </c>
      <c r="F10" s="114">
        <v>1</v>
      </c>
      <c r="G10"/>
      <c r="H10"/>
    </row>
    <row r="11" spans="1:8" x14ac:dyDescent="0.15">
      <c r="A11">
        <v>10</v>
      </c>
      <c r="B11" s="183" t="s">
        <v>200</v>
      </c>
      <c r="C11" s="115">
        <v>1</v>
      </c>
      <c r="D11" s="115">
        <v>0</v>
      </c>
      <c r="E11" s="114">
        <v>0</v>
      </c>
      <c r="F11" s="114">
        <v>1</v>
      </c>
      <c r="G11"/>
      <c r="H11"/>
    </row>
    <row r="12" spans="1:8" x14ac:dyDescent="0.15">
      <c r="A12">
        <v>11</v>
      </c>
      <c r="B12" s="183" t="s">
        <v>201</v>
      </c>
      <c r="C12" s="115">
        <v>1</v>
      </c>
      <c r="D12" s="115">
        <v>0</v>
      </c>
      <c r="E12" s="114">
        <v>0</v>
      </c>
      <c r="F12" s="114">
        <v>1</v>
      </c>
      <c r="G12"/>
      <c r="H12"/>
    </row>
    <row r="13" spans="1:8" x14ac:dyDescent="0.15">
      <c r="A13">
        <v>12</v>
      </c>
      <c r="B13" s="183" t="s">
        <v>202</v>
      </c>
      <c r="C13" s="115">
        <v>1</v>
      </c>
      <c r="D13" s="115">
        <v>0</v>
      </c>
      <c r="E13" s="114">
        <v>0</v>
      </c>
      <c r="F13" s="114">
        <v>1</v>
      </c>
      <c r="G13"/>
      <c r="H13"/>
    </row>
    <row r="14" spans="1:8" x14ac:dyDescent="0.15">
      <c r="A14">
        <v>13</v>
      </c>
      <c r="B14" s="183" t="s">
        <v>203</v>
      </c>
      <c r="C14" s="115">
        <v>1</v>
      </c>
      <c r="D14" s="115">
        <v>0</v>
      </c>
      <c r="E14" s="114">
        <v>0</v>
      </c>
      <c r="F14" s="114">
        <v>1</v>
      </c>
      <c r="G14"/>
      <c r="H14"/>
    </row>
    <row r="15" spans="1:8" x14ac:dyDescent="0.15">
      <c r="A15">
        <v>14</v>
      </c>
      <c r="B15" s="183" t="s">
        <v>204</v>
      </c>
      <c r="C15" s="115">
        <v>1</v>
      </c>
      <c r="D15" s="115">
        <v>0</v>
      </c>
      <c r="E15" s="114">
        <v>0</v>
      </c>
      <c r="F15" s="114">
        <v>1</v>
      </c>
      <c r="G15"/>
      <c r="H15"/>
    </row>
    <row r="16" spans="1:8" x14ac:dyDescent="0.15">
      <c r="A16">
        <v>15</v>
      </c>
      <c r="B16" s="183" t="s">
        <v>205</v>
      </c>
      <c r="C16" s="115">
        <v>1</v>
      </c>
      <c r="D16" s="115">
        <v>0</v>
      </c>
      <c r="E16" s="114">
        <v>0</v>
      </c>
      <c r="F16" s="114">
        <v>1</v>
      </c>
      <c r="G16"/>
      <c r="H16"/>
    </row>
    <row r="17" spans="1:8" ht="15" customHeight="1" x14ac:dyDescent="0.15">
      <c r="A17">
        <v>16</v>
      </c>
      <c r="B17" s="183" t="s">
        <v>206</v>
      </c>
      <c r="C17" s="115">
        <v>1</v>
      </c>
      <c r="D17" s="115">
        <v>0</v>
      </c>
      <c r="E17" s="114">
        <v>0</v>
      </c>
      <c r="F17" s="114">
        <v>1</v>
      </c>
      <c r="G17"/>
      <c r="H17"/>
    </row>
    <row r="18" spans="1:8" ht="15" customHeight="1" x14ac:dyDescent="0.15">
      <c r="A18">
        <v>17</v>
      </c>
      <c r="B18" s="183" t="s">
        <v>207</v>
      </c>
      <c r="C18" s="115">
        <v>1</v>
      </c>
      <c r="D18" s="115">
        <v>0</v>
      </c>
      <c r="E18" s="114">
        <v>0</v>
      </c>
      <c r="F18" s="114">
        <v>1</v>
      </c>
      <c r="G18"/>
      <c r="H18"/>
    </row>
    <row r="19" spans="1:8" ht="15" customHeight="1" x14ac:dyDescent="0.15">
      <c r="A19">
        <v>18</v>
      </c>
      <c r="B19" s="183" t="s">
        <v>208</v>
      </c>
      <c r="C19" s="115">
        <v>1</v>
      </c>
      <c r="D19" s="115">
        <v>0</v>
      </c>
      <c r="E19" s="114">
        <v>0</v>
      </c>
      <c r="F19" s="114">
        <v>1</v>
      </c>
      <c r="G19"/>
      <c r="H19"/>
    </row>
    <row r="20" spans="1:8" ht="15" customHeight="1" x14ac:dyDescent="0.15">
      <c r="A20">
        <v>19</v>
      </c>
      <c r="B20" s="183" t="s">
        <v>209</v>
      </c>
      <c r="C20" s="115">
        <v>1</v>
      </c>
      <c r="D20" s="115">
        <v>0</v>
      </c>
      <c r="E20" s="114">
        <v>0</v>
      </c>
      <c r="F20" s="114">
        <v>1</v>
      </c>
      <c r="G20"/>
      <c r="H20"/>
    </row>
    <row r="21" spans="1:8" ht="15" customHeight="1" x14ac:dyDescent="0.15">
      <c r="A21">
        <v>20</v>
      </c>
      <c r="B21" s="183" t="s">
        <v>210</v>
      </c>
      <c r="C21" s="115">
        <v>1</v>
      </c>
      <c r="D21" s="115">
        <v>0</v>
      </c>
      <c r="E21" s="114">
        <v>0</v>
      </c>
      <c r="F21" s="114">
        <v>1</v>
      </c>
      <c r="G21"/>
      <c r="H21"/>
    </row>
    <row r="22" spans="1:8" ht="15" customHeight="1" x14ac:dyDescent="0.15">
      <c r="A22">
        <v>21</v>
      </c>
      <c r="B22" s="183" t="s">
        <v>211</v>
      </c>
      <c r="C22" s="115">
        <v>1</v>
      </c>
      <c r="D22" s="115">
        <v>0</v>
      </c>
      <c r="E22" s="114">
        <v>0</v>
      </c>
      <c r="F22" s="114">
        <v>1</v>
      </c>
      <c r="G22"/>
      <c r="H22"/>
    </row>
    <row r="23" spans="1:8" ht="15" customHeight="1" x14ac:dyDescent="0.15">
      <c r="A23">
        <v>22</v>
      </c>
      <c r="B23" s="183" t="s">
        <v>212</v>
      </c>
      <c r="C23" s="115">
        <v>1</v>
      </c>
      <c r="D23" s="115">
        <v>0</v>
      </c>
      <c r="E23" s="114">
        <v>0</v>
      </c>
      <c r="F23" s="114">
        <v>1</v>
      </c>
      <c r="G23"/>
      <c r="H23"/>
    </row>
    <row r="24" spans="1:8" ht="15" customHeight="1" x14ac:dyDescent="0.15">
      <c r="A24">
        <v>23</v>
      </c>
      <c r="B24" s="183" t="s">
        <v>213</v>
      </c>
      <c r="C24" s="115">
        <v>1</v>
      </c>
      <c r="D24" s="115">
        <v>0</v>
      </c>
      <c r="E24" s="114">
        <v>0</v>
      </c>
      <c r="F24" s="114">
        <v>1</v>
      </c>
      <c r="G24"/>
      <c r="H24"/>
    </row>
    <row r="25" spans="1:8" ht="15" customHeight="1" x14ac:dyDescent="0.15">
      <c r="A25">
        <v>24</v>
      </c>
      <c r="B25" s="183" t="s">
        <v>214</v>
      </c>
      <c r="C25" s="115">
        <v>1</v>
      </c>
      <c r="D25" s="115">
        <v>0</v>
      </c>
      <c r="E25" s="114">
        <v>0</v>
      </c>
      <c r="F25" s="114">
        <v>1</v>
      </c>
      <c r="G25"/>
      <c r="H25"/>
    </row>
    <row r="26" spans="1:8" ht="15" customHeight="1" x14ac:dyDescent="0.15">
      <c r="A26">
        <v>25</v>
      </c>
      <c r="B26" s="183" t="s">
        <v>215</v>
      </c>
      <c r="C26" s="115">
        <v>1</v>
      </c>
      <c r="D26" s="115">
        <v>0</v>
      </c>
      <c r="E26" s="114">
        <v>0</v>
      </c>
      <c r="F26" s="114">
        <v>1</v>
      </c>
      <c r="G26"/>
      <c r="H26"/>
    </row>
    <row r="27" spans="1:8" ht="15" customHeight="1" x14ac:dyDescent="0.15">
      <c r="A27">
        <v>26</v>
      </c>
      <c r="B27" s="183" t="s">
        <v>216</v>
      </c>
      <c r="C27" s="115">
        <v>1</v>
      </c>
      <c r="D27" s="115">
        <v>0</v>
      </c>
      <c r="E27" s="114">
        <v>0</v>
      </c>
      <c r="F27" s="114">
        <v>1</v>
      </c>
      <c r="G27"/>
      <c r="H27"/>
    </row>
    <row r="28" spans="1:8" ht="15" customHeight="1" x14ac:dyDescent="0.15">
      <c r="A28">
        <v>27</v>
      </c>
      <c r="B28" s="183" t="s">
        <v>217</v>
      </c>
      <c r="C28" s="115">
        <v>1</v>
      </c>
      <c r="D28" s="115">
        <v>0</v>
      </c>
      <c r="E28" s="114">
        <v>0</v>
      </c>
      <c r="F28" s="114">
        <v>1</v>
      </c>
      <c r="G28"/>
      <c r="H28"/>
    </row>
    <row r="29" spans="1:8" ht="15" customHeight="1" x14ac:dyDescent="0.15">
      <c r="A29">
        <v>28</v>
      </c>
      <c r="B29" s="183" t="s">
        <v>218</v>
      </c>
      <c r="C29" s="115">
        <v>1</v>
      </c>
      <c r="D29" s="115">
        <v>0</v>
      </c>
      <c r="E29" s="114">
        <v>0</v>
      </c>
      <c r="F29" s="114">
        <v>1</v>
      </c>
      <c r="G29"/>
      <c r="H29"/>
    </row>
    <row r="30" spans="1:8" ht="15" customHeight="1" x14ac:dyDescent="0.15">
      <c r="A30">
        <v>29</v>
      </c>
      <c r="B30" s="183" t="s">
        <v>219</v>
      </c>
      <c r="C30" s="115">
        <v>1</v>
      </c>
      <c r="D30" s="115">
        <v>0</v>
      </c>
      <c r="E30" s="114">
        <v>0</v>
      </c>
      <c r="F30" s="114">
        <v>1</v>
      </c>
      <c r="G30"/>
      <c r="H30"/>
    </row>
    <row r="31" spans="1:8" ht="15" customHeight="1" x14ac:dyDescent="0.15">
      <c r="A31">
        <v>30</v>
      </c>
      <c r="B31" s="183" t="s">
        <v>220</v>
      </c>
      <c r="C31" s="115">
        <v>1</v>
      </c>
      <c r="D31" s="115">
        <v>0</v>
      </c>
      <c r="E31" s="114">
        <v>0</v>
      </c>
      <c r="F31" s="114">
        <v>1</v>
      </c>
      <c r="G31"/>
      <c r="H31"/>
    </row>
    <row r="32" spans="1:8" ht="15" customHeight="1" x14ac:dyDescent="0.15">
      <c r="A32">
        <v>31</v>
      </c>
      <c r="B32" s="183" t="s">
        <v>221</v>
      </c>
      <c r="C32" s="115">
        <v>1</v>
      </c>
      <c r="D32" s="115">
        <v>0</v>
      </c>
      <c r="E32" s="114">
        <v>0</v>
      </c>
      <c r="F32" s="114">
        <v>1</v>
      </c>
    </row>
    <row r="33" spans="1:8" ht="15" customHeight="1" x14ac:dyDescent="0.15">
      <c r="A33">
        <v>32</v>
      </c>
      <c r="B33" s="183" t="s">
        <v>222</v>
      </c>
      <c r="C33" s="115">
        <v>1</v>
      </c>
      <c r="D33" s="115">
        <v>0</v>
      </c>
      <c r="E33" s="114">
        <v>0</v>
      </c>
      <c r="F33" s="114">
        <v>1</v>
      </c>
    </row>
    <row r="34" spans="1:8" ht="15" customHeight="1" x14ac:dyDescent="0.15">
      <c r="A34">
        <v>33</v>
      </c>
      <c r="B34" s="183" t="s">
        <v>223</v>
      </c>
      <c r="C34" s="115">
        <v>1</v>
      </c>
      <c r="D34" s="115">
        <v>0</v>
      </c>
      <c r="E34" s="114">
        <v>0</v>
      </c>
      <c r="F34" s="114">
        <v>1</v>
      </c>
    </row>
    <row r="35" spans="1:8" ht="15" customHeight="1" x14ac:dyDescent="0.15">
      <c r="A35">
        <v>34</v>
      </c>
      <c r="B35" s="183" t="s">
        <v>224</v>
      </c>
      <c r="C35" s="115">
        <v>1</v>
      </c>
      <c r="D35" s="115">
        <v>0</v>
      </c>
      <c r="E35" s="114">
        <v>0</v>
      </c>
      <c r="F35" s="114">
        <v>1</v>
      </c>
    </row>
    <row r="36" spans="1:8" ht="15" customHeight="1" x14ac:dyDescent="0.15">
      <c r="A36">
        <v>35</v>
      </c>
      <c r="B36" s="183" t="s">
        <v>225</v>
      </c>
      <c r="C36" s="115">
        <v>1</v>
      </c>
      <c r="D36" s="115">
        <v>0</v>
      </c>
      <c r="E36" s="115">
        <v>0</v>
      </c>
      <c r="F36" s="115">
        <v>1</v>
      </c>
      <c r="G36"/>
      <c r="H36"/>
    </row>
    <row r="37" spans="1:8" ht="15" customHeight="1" x14ac:dyDescent="0.15">
      <c r="A37">
        <v>36</v>
      </c>
      <c r="B37" s="183" t="s">
        <v>226</v>
      </c>
      <c r="C37" s="115">
        <v>0</v>
      </c>
      <c r="D37" s="115">
        <v>0</v>
      </c>
      <c r="E37" s="115">
        <v>1</v>
      </c>
      <c r="F37" s="115">
        <v>1</v>
      </c>
      <c r="G37"/>
      <c r="H37"/>
    </row>
    <row r="38" spans="1:8" ht="15" customHeight="1" x14ac:dyDescent="0.15">
      <c r="A38">
        <v>37</v>
      </c>
      <c r="B38" s="183" t="s">
        <v>227</v>
      </c>
      <c r="C38" s="115">
        <v>1</v>
      </c>
      <c r="D38" s="115">
        <v>0</v>
      </c>
      <c r="E38" s="115">
        <v>0</v>
      </c>
      <c r="F38" s="115">
        <v>1</v>
      </c>
      <c r="G38"/>
      <c r="H38"/>
    </row>
    <row r="39" spans="1:8" ht="15" customHeight="1" x14ac:dyDescent="0.15">
      <c r="A39">
        <v>38</v>
      </c>
      <c r="B39" s="183" t="s">
        <v>228</v>
      </c>
      <c r="C39" s="115">
        <v>0</v>
      </c>
      <c r="D39" s="115">
        <v>1</v>
      </c>
      <c r="E39" s="115">
        <v>0</v>
      </c>
      <c r="F39" s="115">
        <v>1</v>
      </c>
      <c r="G39"/>
      <c r="H39"/>
    </row>
    <row r="40" spans="1:8" ht="15" customHeight="1" x14ac:dyDescent="0.15">
      <c r="A40">
        <v>39</v>
      </c>
      <c r="B40" s="183" t="s">
        <v>229</v>
      </c>
      <c r="C40" s="115">
        <v>0</v>
      </c>
      <c r="D40" s="115">
        <v>0</v>
      </c>
      <c r="E40" s="115">
        <v>1</v>
      </c>
      <c r="F40" s="115">
        <v>1</v>
      </c>
      <c r="G40"/>
      <c r="H40"/>
    </row>
    <row r="41" spans="1:8" ht="15" customHeight="1" x14ac:dyDescent="0.15">
      <c r="A41">
        <v>40</v>
      </c>
      <c r="B41" s="183" t="s">
        <v>230</v>
      </c>
      <c r="C41" s="115">
        <v>0</v>
      </c>
      <c r="D41" s="115">
        <v>1</v>
      </c>
      <c r="E41" s="115">
        <v>0</v>
      </c>
      <c r="F41" s="115">
        <v>1</v>
      </c>
      <c r="G41"/>
      <c r="H41"/>
    </row>
    <row r="42" spans="1:8" ht="15" customHeight="1" x14ac:dyDescent="0.15">
      <c r="A42">
        <v>41</v>
      </c>
      <c r="B42" s="183" t="s">
        <v>231</v>
      </c>
      <c r="C42" s="115">
        <v>0</v>
      </c>
      <c r="D42" s="115">
        <v>1</v>
      </c>
      <c r="E42" s="115">
        <v>0</v>
      </c>
      <c r="F42" s="115">
        <v>1</v>
      </c>
      <c r="G42"/>
      <c r="H42"/>
    </row>
    <row r="43" spans="1:8" ht="15" customHeight="1" x14ac:dyDescent="0.15">
      <c r="A43">
        <v>42</v>
      </c>
      <c r="B43" s="183" t="s">
        <v>232</v>
      </c>
      <c r="C43" s="115">
        <v>0</v>
      </c>
      <c r="D43" s="115">
        <v>1</v>
      </c>
      <c r="E43" s="115">
        <v>0</v>
      </c>
      <c r="F43" s="115">
        <v>1</v>
      </c>
      <c r="G43"/>
      <c r="H43"/>
    </row>
    <row r="44" spans="1:8" ht="15" customHeight="1" x14ac:dyDescent="0.15">
      <c r="A44">
        <v>43</v>
      </c>
      <c r="B44" s="183" t="s">
        <v>233</v>
      </c>
      <c r="C44" s="115">
        <v>0</v>
      </c>
      <c r="D44" s="115">
        <v>1</v>
      </c>
      <c r="E44" s="114">
        <v>0</v>
      </c>
      <c r="F44" s="114">
        <v>1</v>
      </c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5"/>
      <c r="F46" s="115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G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3.1640625" bestFit="1" customWidth="1"/>
    <col min="3" max="4" width="12.83203125" bestFit="1" customWidth="1"/>
    <col min="5" max="5" width="11.83203125" bestFit="1" customWidth="1"/>
    <col min="6" max="6" width="12.83203125" customWidth="1"/>
    <col min="7" max="7" width="13.83203125" customWidth="1"/>
  </cols>
  <sheetData>
    <row r="1" spans="1:7" s="116" customFormat="1" ht="112" x14ac:dyDescent="0.15">
      <c r="A1" s="5" t="s">
        <v>21</v>
      </c>
      <c r="B1" s="3" t="s">
        <v>0</v>
      </c>
      <c r="C1" s="186" t="s">
        <v>230</v>
      </c>
      <c r="D1" s="186" t="s">
        <v>231</v>
      </c>
      <c r="E1" s="186" t="s">
        <v>232</v>
      </c>
      <c r="F1" s="186" t="s">
        <v>233</v>
      </c>
      <c r="G1" s="186" t="s">
        <v>237</v>
      </c>
    </row>
    <row r="2" spans="1:7" ht="15" customHeight="1" x14ac:dyDescent="0.15">
      <c r="A2">
        <v>1</v>
      </c>
      <c r="B2" s="185" t="s">
        <v>191</v>
      </c>
      <c r="C2">
        <v>0</v>
      </c>
      <c r="D2">
        <v>0</v>
      </c>
      <c r="E2">
        <v>8.8430539999999995E-3</v>
      </c>
      <c r="F2">
        <v>0</v>
      </c>
      <c r="G2">
        <v>8.8430539999999995E-3</v>
      </c>
    </row>
    <row r="3" spans="1:7" ht="15" customHeight="1" x14ac:dyDescent="0.15">
      <c r="A3">
        <v>2</v>
      </c>
      <c r="B3" s="185" t="s">
        <v>192</v>
      </c>
      <c r="C3">
        <v>0</v>
      </c>
      <c r="D3">
        <v>0</v>
      </c>
      <c r="E3">
        <v>0</v>
      </c>
      <c r="F3">
        <v>0</v>
      </c>
      <c r="G3">
        <v>0</v>
      </c>
    </row>
    <row r="4" spans="1:7" ht="15" customHeight="1" x14ac:dyDescent="0.15">
      <c r="A4">
        <v>3</v>
      </c>
      <c r="B4" s="185" t="s">
        <v>193</v>
      </c>
      <c r="C4">
        <v>0</v>
      </c>
      <c r="D4">
        <v>0</v>
      </c>
      <c r="E4">
        <v>0</v>
      </c>
      <c r="F4">
        <v>0</v>
      </c>
      <c r="G4">
        <v>0</v>
      </c>
    </row>
    <row r="5" spans="1:7" ht="15" customHeight="1" x14ac:dyDescent="0.15">
      <c r="A5">
        <v>4</v>
      </c>
      <c r="B5" s="185" t="s">
        <v>194</v>
      </c>
      <c r="C5">
        <v>0</v>
      </c>
      <c r="D5">
        <v>0</v>
      </c>
      <c r="E5">
        <v>0</v>
      </c>
      <c r="F5">
        <v>0</v>
      </c>
      <c r="G5">
        <v>0</v>
      </c>
    </row>
    <row r="6" spans="1:7" ht="15" customHeight="1" x14ac:dyDescent="0.15">
      <c r="A6">
        <v>5</v>
      </c>
      <c r="B6" s="185" t="s">
        <v>195</v>
      </c>
      <c r="C6">
        <v>0</v>
      </c>
      <c r="D6">
        <v>0</v>
      </c>
      <c r="E6">
        <v>5.3107399999999999E-5</v>
      </c>
      <c r="F6">
        <v>2.3596899999999999E-4</v>
      </c>
      <c r="G6">
        <v>2.8907640000000001E-4</v>
      </c>
    </row>
    <row r="7" spans="1:7" ht="15" customHeight="1" x14ac:dyDescent="0.15">
      <c r="A7">
        <v>6</v>
      </c>
      <c r="B7" s="185" t="s">
        <v>196</v>
      </c>
      <c r="C7">
        <v>0</v>
      </c>
      <c r="D7">
        <v>0</v>
      </c>
      <c r="E7">
        <v>0</v>
      </c>
      <c r="F7">
        <v>0</v>
      </c>
      <c r="G7">
        <v>0</v>
      </c>
    </row>
    <row r="8" spans="1:7" ht="15" customHeight="1" x14ac:dyDescent="0.15">
      <c r="A8">
        <v>7</v>
      </c>
      <c r="B8" s="185" t="s">
        <v>197</v>
      </c>
      <c r="C8">
        <v>0</v>
      </c>
      <c r="D8">
        <v>2.65537E-5</v>
      </c>
      <c r="E8">
        <v>0</v>
      </c>
      <c r="F8">
        <v>1.9478900000000001E-4</v>
      </c>
      <c r="G8">
        <v>2.2134270000000002E-4</v>
      </c>
    </row>
    <row r="9" spans="1:7" ht="15" customHeight="1" x14ac:dyDescent="0.15">
      <c r="A9">
        <v>8</v>
      </c>
      <c r="B9" s="185" t="s">
        <v>198</v>
      </c>
      <c r="C9">
        <v>0</v>
      </c>
      <c r="D9">
        <v>3.044827E-3</v>
      </c>
      <c r="E9">
        <v>2.2658740000000002E-3</v>
      </c>
      <c r="F9">
        <v>2.3753808800000002E-2</v>
      </c>
      <c r="G9">
        <v>2.9064509800000003E-2</v>
      </c>
    </row>
    <row r="10" spans="1:7" ht="15" customHeight="1" x14ac:dyDescent="0.15">
      <c r="A10">
        <v>9</v>
      </c>
      <c r="B10" s="185" t="s">
        <v>199</v>
      </c>
      <c r="C10">
        <v>0</v>
      </c>
      <c r="D10">
        <v>2.34558E-4</v>
      </c>
      <c r="E10">
        <v>2.2658740000000002E-3</v>
      </c>
      <c r="F10">
        <v>2.5569360000000001E-3</v>
      </c>
      <c r="G10">
        <v>5.0573680000000005E-3</v>
      </c>
    </row>
    <row r="11" spans="1:7" ht="15" customHeight="1" x14ac:dyDescent="0.15">
      <c r="A11">
        <v>10</v>
      </c>
      <c r="B11" s="185" t="s">
        <v>200</v>
      </c>
      <c r="C11">
        <v>0</v>
      </c>
      <c r="D11">
        <v>5.6260700000000002E-4</v>
      </c>
      <c r="E11">
        <v>0</v>
      </c>
      <c r="F11">
        <v>1.5914449999999999E-3</v>
      </c>
      <c r="G11">
        <v>2.1540520000000001E-3</v>
      </c>
    </row>
    <row r="12" spans="1:7" ht="15" customHeight="1" x14ac:dyDescent="0.15">
      <c r="A12">
        <v>11</v>
      </c>
      <c r="B12" s="185" t="s">
        <v>201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ht="15" customHeight="1" x14ac:dyDescent="0.15">
      <c r="A13">
        <v>12</v>
      </c>
      <c r="B13" s="185" t="s">
        <v>202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ht="15" customHeight="1" x14ac:dyDescent="0.15">
      <c r="A14">
        <v>13</v>
      </c>
      <c r="B14" s="185" t="s">
        <v>203</v>
      </c>
      <c r="C14">
        <v>0</v>
      </c>
      <c r="D14">
        <v>5.6681409999999998E-3</v>
      </c>
      <c r="E14">
        <v>6.4879599999999999E-4</v>
      </c>
      <c r="F14">
        <v>1.8808220000000001E-3</v>
      </c>
      <c r="G14">
        <v>8.1977590000000006E-3</v>
      </c>
    </row>
    <row r="15" spans="1:7" ht="15" customHeight="1" x14ac:dyDescent="0.15">
      <c r="A15">
        <v>14</v>
      </c>
      <c r="B15" s="185" t="s">
        <v>204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ht="15" customHeight="1" x14ac:dyDescent="0.15">
      <c r="A16">
        <v>15</v>
      </c>
      <c r="B16" s="185" t="s">
        <v>205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ht="15" customHeight="1" x14ac:dyDescent="0.15">
      <c r="A17">
        <v>16</v>
      </c>
      <c r="B17" s="185" t="s">
        <v>206</v>
      </c>
      <c r="C17">
        <v>1.6223132599999999E-2</v>
      </c>
      <c r="D17">
        <v>4.512008E-2</v>
      </c>
      <c r="E17">
        <v>2.7950639999999999E-3</v>
      </c>
      <c r="F17">
        <v>1.0508050900000001</v>
      </c>
      <c r="G17">
        <v>1.1149433666000002</v>
      </c>
    </row>
    <row r="18" spans="1:7" ht="15" customHeight="1" x14ac:dyDescent="0.15">
      <c r="A18">
        <v>17</v>
      </c>
      <c r="B18" s="185" t="s">
        <v>207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ht="15" customHeight="1" x14ac:dyDescent="0.15">
      <c r="A19">
        <v>18</v>
      </c>
      <c r="B19" s="185" t="s">
        <v>208</v>
      </c>
      <c r="C19">
        <v>0</v>
      </c>
      <c r="D19">
        <v>1.7561808200000001E-2</v>
      </c>
      <c r="E19">
        <v>3.9995040000000001E-3</v>
      </c>
      <c r="F19">
        <v>0.87362545700000005</v>
      </c>
      <c r="G19">
        <v>0.89518676920000007</v>
      </c>
    </row>
    <row r="20" spans="1:7" ht="15" customHeight="1" x14ac:dyDescent="0.15">
      <c r="A20">
        <v>19</v>
      </c>
      <c r="B20" s="185" t="s">
        <v>209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ht="15" customHeight="1" x14ac:dyDescent="0.15">
      <c r="A21">
        <v>20</v>
      </c>
      <c r="B21" s="185" t="s">
        <v>210</v>
      </c>
      <c r="C21">
        <v>1.6463184700000001E-2</v>
      </c>
      <c r="D21">
        <v>6.2959000000000001E-3</v>
      </c>
      <c r="E21">
        <v>2.4032889999999999E-3</v>
      </c>
      <c r="F21">
        <v>0.1323056</v>
      </c>
      <c r="G21">
        <v>0.15746797369999999</v>
      </c>
    </row>
    <row r="22" spans="1:7" ht="15" customHeight="1" x14ac:dyDescent="0.15">
      <c r="A22">
        <v>21</v>
      </c>
      <c r="B22" s="185" t="s">
        <v>211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ht="15" customHeight="1" x14ac:dyDescent="0.15">
      <c r="A23">
        <v>22</v>
      </c>
      <c r="B23" s="185" t="s">
        <v>212</v>
      </c>
      <c r="C23">
        <v>0</v>
      </c>
      <c r="D23">
        <v>0</v>
      </c>
      <c r="E23">
        <v>0</v>
      </c>
      <c r="F23">
        <v>6.8824299999999995E-4</v>
      </c>
      <c r="G23">
        <v>6.8824299999999995E-4</v>
      </c>
    </row>
    <row r="24" spans="1:7" ht="15" customHeight="1" x14ac:dyDescent="0.15">
      <c r="A24">
        <v>23</v>
      </c>
      <c r="B24" s="185" t="s">
        <v>213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ht="15" customHeight="1" x14ac:dyDescent="0.15">
      <c r="A25">
        <v>24</v>
      </c>
      <c r="B25" s="185" t="s">
        <v>214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ht="15" customHeight="1" x14ac:dyDescent="0.15">
      <c r="A26">
        <v>25</v>
      </c>
      <c r="B26" s="185" t="s">
        <v>215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ht="15" customHeight="1" x14ac:dyDescent="0.15">
      <c r="A27">
        <v>26</v>
      </c>
      <c r="B27" s="185" t="s">
        <v>216</v>
      </c>
      <c r="C27">
        <v>0</v>
      </c>
      <c r="D27">
        <v>0.35667437299999999</v>
      </c>
      <c r="E27">
        <v>4.4477500000000002E-5</v>
      </c>
      <c r="F27">
        <v>0.89393270000000002</v>
      </c>
      <c r="G27">
        <v>1.2506515505</v>
      </c>
    </row>
    <row r="28" spans="1:7" ht="15" customHeight="1" x14ac:dyDescent="0.15">
      <c r="A28">
        <v>27</v>
      </c>
      <c r="B28" s="185" t="s">
        <v>217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ht="15" customHeight="1" x14ac:dyDescent="0.15">
      <c r="A29">
        <v>28</v>
      </c>
      <c r="B29" s="185" t="s">
        <v>218</v>
      </c>
      <c r="C29">
        <v>1.8646059999999999E-2</v>
      </c>
      <c r="D29">
        <v>0.42227779999999998</v>
      </c>
      <c r="E29">
        <v>0</v>
      </c>
      <c r="F29">
        <v>1.46825206</v>
      </c>
      <c r="G29">
        <v>1.90917592</v>
      </c>
    </row>
    <row r="30" spans="1:7" ht="15" customHeight="1" x14ac:dyDescent="0.15">
      <c r="A30">
        <v>29</v>
      </c>
      <c r="B30" s="185" t="s">
        <v>219</v>
      </c>
      <c r="C30">
        <v>0</v>
      </c>
      <c r="D30">
        <v>6.2618969999999998E-3</v>
      </c>
      <c r="E30">
        <v>1.8808899999999999E-5</v>
      </c>
      <c r="F30">
        <v>0</v>
      </c>
      <c r="G30">
        <v>6.2807059E-3</v>
      </c>
    </row>
    <row r="31" spans="1:7" ht="15" customHeight="1" x14ac:dyDescent="0.15">
      <c r="A31">
        <v>30</v>
      </c>
      <c r="B31" s="185" t="s">
        <v>220</v>
      </c>
      <c r="C31">
        <v>0</v>
      </c>
      <c r="D31">
        <v>4.3149879999999996E-3</v>
      </c>
      <c r="E31">
        <v>2.9917199999999999E-5</v>
      </c>
      <c r="F31">
        <v>8.3626930000000002E-2</v>
      </c>
      <c r="G31">
        <v>8.7971835200000001E-2</v>
      </c>
    </row>
    <row r="32" spans="1:7" ht="15" customHeight="1" x14ac:dyDescent="0.15">
      <c r="A32">
        <v>31</v>
      </c>
      <c r="B32" s="185" t="s">
        <v>221</v>
      </c>
      <c r="C32">
        <v>0</v>
      </c>
      <c r="D32">
        <v>1.8233600000000001E-4</v>
      </c>
      <c r="E32">
        <v>3.7396499999999998E-6</v>
      </c>
      <c r="F32">
        <v>1.04533657E-2</v>
      </c>
      <c r="G32">
        <v>1.0639441350000001E-2</v>
      </c>
    </row>
    <row r="33" spans="1:7" ht="15" customHeight="1" x14ac:dyDescent="0.15">
      <c r="A33">
        <v>32</v>
      </c>
      <c r="B33" s="185" t="s">
        <v>222</v>
      </c>
      <c r="C33">
        <v>0</v>
      </c>
      <c r="D33">
        <v>1.8200000000000001E-4</v>
      </c>
      <c r="E33">
        <v>7.4792999999999997E-6</v>
      </c>
      <c r="F33">
        <v>1.0453E-2</v>
      </c>
      <c r="G33">
        <v>1.06424793E-2</v>
      </c>
    </row>
    <row r="34" spans="1:7" ht="15" customHeight="1" x14ac:dyDescent="0.15">
      <c r="A34">
        <v>33</v>
      </c>
      <c r="B34" s="185" t="s">
        <v>223</v>
      </c>
      <c r="C34">
        <v>0.14693094800000001</v>
      </c>
      <c r="D34">
        <v>7.3376789999999997E-3</v>
      </c>
      <c r="E34">
        <v>0.15462605700000001</v>
      </c>
      <c r="F34">
        <v>1.60838328E-2</v>
      </c>
      <c r="G34">
        <v>0.32497851679999995</v>
      </c>
    </row>
    <row r="35" spans="1:7" ht="15" customHeight="1" x14ac:dyDescent="0.15">
      <c r="A35">
        <v>34</v>
      </c>
      <c r="B35" s="185" t="s">
        <v>224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ht="15" customHeight="1" x14ac:dyDescent="0.15">
      <c r="A36">
        <v>35</v>
      </c>
      <c r="B36" s="185" t="s">
        <v>225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ht="15" customHeight="1" x14ac:dyDescent="0.15">
      <c r="A37">
        <v>36</v>
      </c>
      <c r="B37" s="185" t="s">
        <v>226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ht="15" customHeight="1" x14ac:dyDescent="0.15">
      <c r="A38">
        <v>37</v>
      </c>
      <c r="B38" s="185" t="s">
        <v>227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ht="15" customHeight="1" x14ac:dyDescent="0.15">
      <c r="A39">
        <v>38</v>
      </c>
      <c r="B39" s="185" t="s">
        <v>228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ht="15" customHeight="1" x14ac:dyDescent="0.15">
      <c r="A40">
        <v>39</v>
      </c>
      <c r="B40" s="185" t="s">
        <v>229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ht="15" customHeight="1" x14ac:dyDescent="0.15"/>
    <row r="42" spans="1:7" ht="15" customHeight="1" x14ac:dyDescent="0.15"/>
    <row r="43" spans="1:7" ht="15" customHeight="1" x14ac:dyDescent="0.15"/>
    <row r="44" spans="1:7" ht="15" customHeight="1" x14ac:dyDescent="0.15"/>
    <row r="45" spans="1:7" ht="15" customHeight="1" x14ac:dyDescent="0.15"/>
    <row r="46" spans="1:7" ht="15" customHeight="1" x14ac:dyDescent="0.15"/>
    <row r="47" spans="1:7" ht="15" customHeight="1" x14ac:dyDescent="0.15"/>
    <row r="48" spans="1:7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G4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3.1640625" bestFit="1" customWidth="1"/>
    <col min="3" max="3" width="12.83203125" bestFit="1" customWidth="1"/>
    <col min="4" max="4" width="11.83203125" bestFit="1" customWidth="1"/>
    <col min="5" max="5" width="2.33203125" bestFit="1" customWidth="1"/>
    <col min="6" max="6" width="11.83203125" customWidth="1"/>
    <col min="7" max="7" width="12.83203125" customWidth="1"/>
  </cols>
  <sheetData>
    <row r="1" spans="1:7" s="116" customFormat="1" ht="112" x14ac:dyDescent="0.15">
      <c r="A1" s="5" t="s">
        <v>22</v>
      </c>
      <c r="B1" s="3" t="s">
        <v>0</v>
      </c>
      <c r="C1" s="188" t="s">
        <v>230</v>
      </c>
      <c r="D1" s="188" t="s">
        <v>231</v>
      </c>
      <c r="E1" s="188" t="s">
        <v>232</v>
      </c>
      <c r="F1" s="188" t="s">
        <v>233</v>
      </c>
      <c r="G1" s="188" t="s">
        <v>237</v>
      </c>
    </row>
    <row r="2" spans="1:7" x14ac:dyDescent="0.15">
      <c r="A2">
        <v>1</v>
      </c>
      <c r="B2" s="187" t="s">
        <v>191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15">
      <c r="A3">
        <v>2</v>
      </c>
      <c r="B3" s="187" t="s">
        <v>192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15">
      <c r="A4">
        <v>3</v>
      </c>
      <c r="B4" s="187" t="s">
        <v>193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15">
      <c r="A5">
        <v>4</v>
      </c>
      <c r="B5" s="187" t="s">
        <v>194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15">
      <c r="A6">
        <v>5</v>
      </c>
      <c r="B6" s="187" t="s">
        <v>195</v>
      </c>
      <c r="C6">
        <v>3.4990379999999999E-3</v>
      </c>
      <c r="D6">
        <v>5.6114800000000003E-4</v>
      </c>
      <c r="E6">
        <v>0</v>
      </c>
      <c r="F6">
        <v>3.6399819999999999E-2</v>
      </c>
      <c r="G6">
        <v>4.0460006E-2</v>
      </c>
    </row>
    <row r="7" spans="1:7" x14ac:dyDescent="0.15">
      <c r="A7">
        <v>6</v>
      </c>
      <c r="B7" s="187" t="s">
        <v>196</v>
      </c>
      <c r="C7">
        <v>3.4990379999999999E-3</v>
      </c>
      <c r="D7">
        <v>5.6114800000000003E-4</v>
      </c>
      <c r="E7">
        <v>0</v>
      </c>
      <c r="F7">
        <v>3.6399819999999999E-2</v>
      </c>
      <c r="G7">
        <v>4.0460006E-2</v>
      </c>
    </row>
    <row r="8" spans="1:7" x14ac:dyDescent="0.15">
      <c r="A8">
        <v>7</v>
      </c>
      <c r="B8" s="187" t="s">
        <v>197</v>
      </c>
      <c r="C8">
        <v>0</v>
      </c>
      <c r="D8">
        <v>1.8104799999999999E-6</v>
      </c>
      <c r="E8">
        <v>0</v>
      </c>
      <c r="F8">
        <v>4.1740599999999998E-5</v>
      </c>
      <c r="G8">
        <v>4.3551079999999996E-5</v>
      </c>
    </row>
    <row r="9" spans="1:7" x14ac:dyDescent="0.15">
      <c r="A9">
        <v>8</v>
      </c>
      <c r="B9" s="187" t="s">
        <v>198</v>
      </c>
      <c r="C9">
        <v>0</v>
      </c>
      <c r="D9">
        <v>2.0760200000000001E-4</v>
      </c>
      <c r="E9">
        <v>0</v>
      </c>
      <c r="F9">
        <v>5.090102E-3</v>
      </c>
      <c r="G9">
        <v>5.2977040000000003E-3</v>
      </c>
    </row>
    <row r="10" spans="1:7" x14ac:dyDescent="0.15">
      <c r="A10">
        <v>9</v>
      </c>
      <c r="B10" s="187" t="s">
        <v>199</v>
      </c>
      <c r="C10">
        <v>0</v>
      </c>
      <c r="D10">
        <v>1.59926E-5</v>
      </c>
      <c r="E10">
        <v>0</v>
      </c>
      <c r="F10">
        <v>5.4791499999999995E-4</v>
      </c>
      <c r="G10">
        <v>5.6390759999999998E-4</v>
      </c>
    </row>
    <row r="11" spans="1:7" x14ac:dyDescent="0.15">
      <c r="A11">
        <v>10</v>
      </c>
      <c r="B11" s="187" t="s">
        <v>200</v>
      </c>
      <c r="C11">
        <v>0</v>
      </c>
      <c r="D11">
        <v>3.8359599999999998E-5</v>
      </c>
      <c r="E11">
        <v>0</v>
      </c>
      <c r="F11">
        <v>3.4102399999999999E-4</v>
      </c>
      <c r="G11">
        <v>3.793836E-4</v>
      </c>
    </row>
    <row r="12" spans="1:7" x14ac:dyDescent="0.15">
      <c r="A12">
        <v>11</v>
      </c>
      <c r="B12" s="187" t="s">
        <v>201</v>
      </c>
      <c r="C12">
        <v>3.4990379999999999E-3</v>
      </c>
      <c r="D12">
        <v>5.6114800000000003E-4</v>
      </c>
      <c r="E12">
        <v>0</v>
      </c>
      <c r="F12">
        <v>3.6399819999999999E-2</v>
      </c>
      <c r="G12">
        <v>4.0460006E-2</v>
      </c>
    </row>
    <row r="13" spans="1:7" x14ac:dyDescent="0.15">
      <c r="A13">
        <v>12</v>
      </c>
      <c r="B13" s="187" t="s">
        <v>202</v>
      </c>
      <c r="C13">
        <v>3.4990379999999999E-3</v>
      </c>
      <c r="D13">
        <v>5.6114800000000003E-4</v>
      </c>
      <c r="E13">
        <v>0</v>
      </c>
      <c r="F13">
        <v>3.6399819999999999E-2</v>
      </c>
      <c r="G13">
        <v>4.0460006E-2</v>
      </c>
    </row>
    <row r="14" spans="1:7" x14ac:dyDescent="0.15">
      <c r="A14">
        <v>13</v>
      </c>
      <c r="B14" s="187" t="s">
        <v>203</v>
      </c>
      <c r="C14">
        <v>0</v>
      </c>
      <c r="D14">
        <v>3.8646399999999999E-4</v>
      </c>
      <c r="E14">
        <v>0</v>
      </c>
      <c r="F14">
        <v>4.0303300000000002E-4</v>
      </c>
      <c r="G14">
        <v>7.8949700000000001E-4</v>
      </c>
    </row>
    <row r="15" spans="1:7" x14ac:dyDescent="0.15">
      <c r="A15">
        <v>14</v>
      </c>
      <c r="B15" s="187" t="s">
        <v>204</v>
      </c>
      <c r="C15">
        <v>3.4990379999999999E-3</v>
      </c>
      <c r="D15">
        <v>5.6114800000000003E-4</v>
      </c>
      <c r="E15">
        <v>0</v>
      </c>
      <c r="F15">
        <v>3.6399819999999999E-2</v>
      </c>
      <c r="G15">
        <v>4.0460006E-2</v>
      </c>
    </row>
    <row r="16" spans="1:7" x14ac:dyDescent="0.15">
      <c r="A16">
        <v>15</v>
      </c>
      <c r="B16" s="187" t="s">
        <v>205</v>
      </c>
      <c r="C16">
        <v>3.4990379999999999E-3</v>
      </c>
      <c r="D16">
        <v>5.6114800000000003E-4</v>
      </c>
      <c r="E16">
        <v>0</v>
      </c>
      <c r="F16">
        <v>3.6399819999999999E-2</v>
      </c>
      <c r="G16">
        <v>4.0460006E-2</v>
      </c>
    </row>
    <row r="17" spans="1:7" x14ac:dyDescent="0.15">
      <c r="A17">
        <v>16</v>
      </c>
      <c r="B17" s="187" t="s">
        <v>206</v>
      </c>
      <c r="C17">
        <v>3.4763849999999998E-3</v>
      </c>
      <c r="D17">
        <v>3.0763689999999998E-3</v>
      </c>
      <c r="E17">
        <v>0</v>
      </c>
      <c r="F17">
        <v>0.2251725</v>
      </c>
      <c r="G17">
        <v>0.23172525399999999</v>
      </c>
    </row>
    <row r="18" spans="1:7" x14ac:dyDescent="0.15">
      <c r="A18">
        <v>17</v>
      </c>
      <c r="B18" s="187" t="s">
        <v>207</v>
      </c>
      <c r="C18">
        <v>3.4990379999999999E-3</v>
      </c>
      <c r="D18">
        <v>5.6114800000000003E-4</v>
      </c>
      <c r="E18">
        <v>0</v>
      </c>
      <c r="F18">
        <v>3.6399819999999999E-2</v>
      </c>
      <c r="G18">
        <v>4.0460006E-2</v>
      </c>
    </row>
    <row r="19" spans="1:7" x14ac:dyDescent="0.15">
      <c r="A19">
        <v>18</v>
      </c>
      <c r="B19" s="187" t="s">
        <v>208</v>
      </c>
      <c r="C19">
        <v>0</v>
      </c>
      <c r="D19">
        <v>1.1973960000000001E-3</v>
      </c>
      <c r="E19">
        <v>0</v>
      </c>
      <c r="F19">
        <v>0.187205449</v>
      </c>
      <c r="G19">
        <v>0.18840284499999999</v>
      </c>
    </row>
    <row r="20" spans="1:7" x14ac:dyDescent="0.15">
      <c r="A20">
        <v>19</v>
      </c>
      <c r="B20" s="187" t="s">
        <v>209</v>
      </c>
      <c r="C20">
        <v>3.4990379999999999E-3</v>
      </c>
      <c r="D20">
        <v>5.6114800000000003E-4</v>
      </c>
      <c r="E20">
        <v>0</v>
      </c>
      <c r="F20">
        <v>3.6399819999999999E-2</v>
      </c>
      <c r="G20">
        <v>4.0460006E-2</v>
      </c>
    </row>
    <row r="21" spans="1:7" x14ac:dyDescent="0.15">
      <c r="A21">
        <v>20</v>
      </c>
      <c r="B21" s="187" t="s">
        <v>210</v>
      </c>
      <c r="C21">
        <v>3.5278250000000001E-3</v>
      </c>
      <c r="D21">
        <v>4.2926599999999998E-4</v>
      </c>
      <c r="E21">
        <v>0</v>
      </c>
      <c r="F21">
        <v>2.83512E-2</v>
      </c>
      <c r="G21">
        <v>3.2308291000000003E-2</v>
      </c>
    </row>
    <row r="22" spans="1:7" x14ac:dyDescent="0.15">
      <c r="A22">
        <v>21</v>
      </c>
      <c r="B22" s="187" t="s">
        <v>211</v>
      </c>
      <c r="C22">
        <v>0</v>
      </c>
      <c r="D22">
        <v>0</v>
      </c>
      <c r="E22">
        <v>0</v>
      </c>
      <c r="F22">
        <v>3.6399819999999999E-2</v>
      </c>
      <c r="G22">
        <v>3.6399819999999999E-2</v>
      </c>
    </row>
    <row r="23" spans="1:7" x14ac:dyDescent="0.15">
      <c r="A23">
        <v>22</v>
      </c>
      <c r="B23" s="187" t="s">
        <v>212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15">
      <c r="A24">
        <v>23</v>
      </c>
      <c r="B24" s="187" t="s">
        <v>213</v>
      </c>
      <c r="C24">
        <v>0</v>
      </c>
      <c r="D24">
        <v>0</v>
      </c>
      <c r="E24">
        <v>0</v>
      </c>
      <c r="F24">
        <v>3.6399819999999999E-2</v>
      </c>
      <c r="G24">
        <v>3.6399819999999999E-2</v>
      </c>
    </row>
    <row r="25" spans="1:7" x14ac:dyDescent="0.15">
      <c r="A25">
        <v>24</v>
      </c>
      <c r="B25" s="187" t="s">
        <v>214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15">
      <c r="A26">
        <v>25</v>
      </c>
      <c r="B26" s="187" t="s">
        <v>215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15">
      <c r="A27">
        <v>26</v>
      </c>
      <c r="B27" s="187" t="s">
        <v>216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15">
      <c r="A28">
        <v>27</v>
      </c>
      <c r="B28" s="187" t="s">
        <v>217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15">
      <c r="A29">
        <v>28</v>
      </c>
      <c r="B29" s="187" t="s">
        <v>218</v>
      </c>
      <c r="C29">
        <v>0</v>
      </c>
      <c r="D29">
        <v>1.7594909999999998E-2</v>
      </c>
      <c r="E29">
        <v>0</v>
      </c>
      <c r="F29">
        <v>0</v>
      </c>
      <c r="G29">
        <v>1.7594909999999998E-2</v>
      </c>
    </row>
    <row r="30" spans="1:7" x14ac:dyDescent="0.15">
      <c r="A30">
        <v>29</v>
      </c>
      <c r="B30" s="187" t="s">
        <v>219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15">
      <c r="A31">
        <v>30</v>
      </c>
      <c r="B31" s="187" t="s">
        <v>220</v>
      </c>
      <c r="C31">
        <v>3.4990379999999999E-3</v>
      </c>
      <c r="D31">
        <v>5.6114800000000003E-4</v>
      </c>
      <c r="E31">
        <v>0</v>
      </c>
      <c r="F31">
        <v>3.6399819999999999E-2</v>
      </c>
      <c r="G31">
        <v>4.0460006E-2</v>
      </c>
    </row>
    <row r="32" spans="1:7" x14ac:dyDescent="0.15">
      <c r="A32">
        <v>31</v>
      </c>
      <c r="B32" s="187" t="s">
        <v>221</v>
      </c>
      <c r="C32">
        <v>3.4990379999999999E-3</v>
      </c>
      <c r="D32">
        <v>5.6114800000000003E-4</v>
      </c>
      <c r="E32">
        <v>0</v>
      </c>
      <c r="F32">
        <v>3.6399819999999999E-2</v>
      </c>
      <c r="G32">
        <v>4.0460006E-2</v>
      </c>
    </row>
    <row r="33" spans="1:7" x14ac:dyDescent="0.15">
      <c r="A33">
        <v>32</v>
      </c>
      <c r="B33" s="187" t="s">
        <v>222</v>
      </c>
      <c r="C33">
        <v>3.4990379999999999E-3</v>
      </c>
      <c r="D33">
        <v>5.6114800000000003E-4</v>
      </c>
      <c r="E33">
        <v>0</v>
      </c>
      <c r="F33">
        <v>3.6399819999999999E-2</v>
      </c>
      <c r="G33">
        <v>4.0460006E-2</v>
      </c>
    </row>
    <row r="34" spans="1:7" x14ac:dyDescent="0.15">
      <c r="A34">
        <v>33</v>
      </c>
      <c r="B34" s="187" t="s">
        <v>223</v>
      </c>
      <c r="C34">
        <v>3.1485203699999999E-2</v>
      </c>
      <c r="D34">
        <v>5.0029600000000001E-4</v>
      </c>
      <c r="E34">
        <v>0</v>
      </c>
      <c r="F34">
        <v>3.446536E-3</v>
      </c>
      <c r="G34">
        <v>3.5432035699999996E-2</v>
      </c>
    </row>
    <row r="35" spans="1:7" x14ac:dyDescent="0.15">
      <c r="A35">
        <v>34</v>
      </c>
      <c r="B35" s="187" t="s">
        <v>224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15">
      <c r="A36">
        <v>35</v>
      </c>
      <c r="B36" s="187" t="s">
        <v>225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15">
      <c r="A37">
        <v>36</v>
      </c>
      <c r="B37" s="187" t="s">
        <v>226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15">
      <c r="A38">
        <v>37</v>
      </c>
      <c r="B38" s="187" t="s">
        <v>227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15">
      <c r="A39">
        <v>38</v>
      </c>
      <c r="B39" s="187" t="s">
        <v>228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15">
      <c r="A40">
        <v>39</v>
      </c>
      <c r="B40" s="187" t="s">
        <v>229</v>
      </c>
      <c r="C40">
        <v>0</v>
      </c>
      <c r="D40">
        <v>0</v>
      </c>
      <c r="E40">
        <v>0</v>
      </c>
      <c r="F40">
        <v>0</v>
      </c>
      <c r="G40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3.1640625" bestFit="1" customWidth="1"/>
    <col min="6" max="6" width="4.83203125" bestFit="1" customWidth="1"/>
    <col min="7" max="9" width="3.83203125" bestFit="1" customWidth="1"/>
    <col min="10" max="11" width="4.83203125" style="11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7" customFormat="1" ht="14" thickBot="1" x14ac:dyDescent="0.2">
      <c r="D1" s="118" t="s">
        <v>8</v>
      </c>
      <c r="E1" s="118" t="s">
        <v>0</v>
      </c>
      <c r="F1" s="119" t="s">
        <v>99</v>
      </c>
      <c r="G1" s="120" t="s">
        <v>84</v>
      </c>
      <c r="H1" s="120" t="s">
        <v>85</v>
      </c>
      <c r="I1" s="120" t="s">
        <v>86</v>
      </c>
      <c r="J1" s="120" t="s">
        <v>87</v>
      </c>
      <c r="K1" s="120" t="s">
        <v>88</v>
      </c>
      <c r="L1" s="121" t="s">
        <v>89</v>
      </c>
      <c r="M1" s="121" t="s">
        <v>93</v>
      </c>
      <c r="N1" s="121" t="s">
        <v>92</v>
      </c>
      <c r="O1" s="121" t="s">
        <v>90</v>
      </c>
      <c r="P1" s="121" t="s">
        <v>91</v>
      </c>
      <c r="Q1" s="122" t="s">
        <v>94</v>
      </c>
      <c r="R1" s="122" t="s">
        <v>95</v>
      </c>
      <c r="S1" s="122" t="s">
        <v>96</v>
      </c>
      <c r="T1" s="122" t="s">
        <v>97</v>
      </c>
      <c r="U1" s="122" t="s">
        <v>98</v>
      </c>
      <c r="V1" s="120" t="s">
        <v>100</v>
      </c>
      <c r="W1" s="120" t="s">
        <v>101</v>
      </c>
      <c r="X1" s="120" t="s">
        <v>102</v>
      </c>
      <c r="Y1" s="120" t="s">
        <v>134</v>
      </c>
      <c r="Z1" s="121" t="s">
        <v>103</v>
      </c>
      <c r="AA1" s="121" t="s">
        <v>104</v>
      </c>
      <c r="AB1" s="121" t="s">
        <v>105</v>
      </c>
      <c r="AC1" s="123" t="s">
        <v>135</v>
      </c>
      <c r="AD1" s="122" t="s">
        <v>106</v>
      </c>
      <c r="AE1" s="122" t="s">
        <v>107</v>
      </c>
      <c r="AF1" s="122" t="s">
        <v>108</v>
      </c>
      <c r="AG1" s="122" t="s">
        <v>136</v>
      </c>
      <c r="AH1" s="120" t="s">
        <v>109</v>
      </c>
      <c r="AI1" s="120" t="s">
        <v>111</v>
      </c>
      <c r="AJ1" s="120" t="s">
        <v>110</v>
      </c>
      <c r="AK1" s="121" t="s">
        <v>115</v>
      </c>
      <c r="AL1" s="121" t="s">
        <v>116</v>
      </c>
      <c r="AM1" s="121" t="s">
        <v>117</v>
      </c>
      <c r="AN1" s="122" t="s">
        <v>112</v>
      </c>
      <c r="AO1" s="122" t="s">
        <v>113</v>
      </c>
      <c r="AP1" s="122" t="s">
        <v>114</v>
      </c>
    </row>
    <row r="2" spans="1:42" x14ac:dyDescent="0.15">
      <c r="A2" s="124" t="s">
        <v>74</v>
      </c>
      <c r="B2" s="125">
        <v>1</v>
      </c>
      <c r="D2">
        <v>1</v>
      </c>
      <c r="E2" s="189" t="s">
        <v>191</v>
      </c>
      <c r="F2">
        <v>0.98</v>
      </c>
      <c r="G2">
        <v>0.8</v>
      </c>
      <c r="H2">
        <v>0.8</v>
      </c>
      <c r="I2">
        <v>0</v>
      </c>
      <c r="J2" s="115">
        <v>0</v>
      </c>
      <c r="K2" s="115">
        <v>0</v>
      </c>
    </row>
    <row r="3" spans="1:42" x14ac:dyDescent="0.15">
      <c r="A3" s="124" t="s">
        <v>75</v>
      </c>
      <c r="B3" s="126">
        <v>1</v>
      </c>
      <c r="D3">
        <v>2</v>
      </c>
      <c r="E3" s="189" t="s">
        <v>192</v>
      </c>
      <c r="F3">
        <v>0.98</v>
      </c>
      <c r="G3">
        <v>0.8</v>
      </c>
      <c r="H3">
        <v>0.8</v>
      </c>
      <c r="I3">
        <v>0.8</v>
      </c>
      <c r="J3" s="115">
        <v>0.25</v>
      </c>
      <c r="K3" s="115">
        <v>0.05</v>
      </c>
    </row>
    <row r="4" spans="1:42" x14ac:dyDescent="0.15">
      <c r="A4" s="124" t="s">
        <v>76</v>
      </c>
      <c r="B4" s="126">
        <v>1</v>
      </c>
      <c r="D4">
        <v>3</v>
      </c>
      <c r="E4" s="189" t="s">
        <v>193</v>
      </c>
      <c r="F4">
        <v>0.98</v>
      </c>
      <c r="G4">
        <v>0.8</v>
      </c>
      <c r="H4">
        <v>0.8</v>
      </c>
      <c r="I4">
        <v>0.8</v>
      </c>
      <c r="J4" s="115">
        <v>0.25</v>
      </c>
      <c r="K4" s="115">
        <v>0.05</v>
      </c>
    </row>
    <row r="5" spans="1:42" x14ac:dyDescent="0.15">
      <c r="A5" s="124" t="s">
        <v>77</v>
      </c>
      <c r="B5" s="126">
        <v>1</v>
      </c>
      <c r="D5">
        <v>4</v>
      </c>
      <c r="E5" s="189" t="s">
        <v>194</v>
      </c>
      <c r="F5">
        <v>0.98</v>
      </c>
      <c r="G5">
        <v>0.8</v>
      </c>
      <c r="H5">
        <v>0.8</v>
      </c>
      <c r="I5">
        <v>0.8</v>
      </c>
      <c r="J5" s="115">
        <v>0.25</v>
      </c>
      <c r="K5" s="115">
        <v>0.05</v>
      </c>
    </row>
    <row r="6" spans="1:42" x14ac:dyDescent="0.15">
      <c r="A6" s="124" t="s">
        <v>78</v>
      </c>
      <c r="B6" s="126">
        <v>1</v>
      </c>
      <c r="D6">
        <v>5</v>
      </c>
      <c r="E6" s="189" t="s">
        <v>195</v>
      </c>
      <c r="F6">
        <v>0.98</v>
      </c>
      <c r="G6">
        <v>0.8</v>
      </c>
      <c r="H6">
        <v>0.8</v>
      </c>
      <c r="I6">
        <v>0.8</v>
      </c>
      <c r="J6" s="115">
        <v>0.25</v>
      </c>
      <c r="K6" s="115">
        <v>0.05</v>
      </c>
    </row>
    <row r="7" spans="1:42" x14ac:dyDescent="0.15">
      <c r="A7" s="124" t="s">
        <v>79</v>
      </c>
      <c r="B7" s="126">
        <v>1</v>
      </c>
      <c r="D7">
        <v>6</v>
      </c>
      <c r="E7" s="189" t="s">
        <v>196</v>
      </c>
      <c r="F7">
        <v>0.98</v>
      </c>
      <c r="G7">
        <v>0.8</v>
      </c>
      <c r="H7">
        <v>0.8</v>
      </c>
      <c r="I7">
        <v>0.8</v>
      </c>
      <c r="J7" s="115">
        <v>0.25</v>
      </c>
      <c r="K7" s="115">
        <v>0.05</v>
      </c>
    </row>
    <row r="8" spans="1:42" x14ac:dyDescent="0.15">
      <c r="A8" s="124" t="s">
        <v>80</v>
      </c>
      <c r="B8" s="126">
        <v>1</v>
      </c>
      <c r="D8">
        <v>7</v>
      </c>
      <c r="E8" s="189" t="s">
        <v>197</v>
      </c>
      <c r="F8">
        <v>0.98</v>
      </c>
      <c r="G8">
        <v>0.8</v>
      </c>
      <c r="H8">
        <v>0.8</v>
      </c>
      <c r="I8">
        <v>0.8</v>
      </c>
      <c r="J8" s="115">
        <v>0.25</v>
      </c>
      <c r="K8" s="115">
        <v>0.05</v>
      </c>
    </row>
    <row r="9" spans="1:42" x14ac:dyDescent="0.15">
      <c r="A9" s="124" t="s">
        <v>81</v>
      </c>
      <c r="B9" s="126">
        <v>0.1</v>
      </c>
      <c r="C9" s="61" t="s">
        <v>150</v>
      </c>
      <c r="D9">
        <v>8</v>
      </c>
      <c r="E9" s="189" t="s">
        <v>198</v>
      </c>
      <c r="F9">
        <v>0.98</v>
      </c>
      <c r="G9">
        <v>0.8</v>
      </c>
      <c r="H9">
        <v>0.8</v>
      </c>
      <c r="I9">
        <v>0.8</v>
      </c>
      <c r="J9" s="115">
        <v>0.25</v>
      </c>
      <c r="K9" s="115">
        <v>0.05</v>
      </c>
    </row>
    <row r="10" spans="1:42" ht="14" thickBot="1" x14ac:dyDescent="0.2">
      <c r="A10" s="124" t="s">
        <v>149</v>
      </c>
      <c r="B10" s="127">
        <f>1/3</f>
        <v>0.33333333333333331</v>
      </c>
      <c r="C10" s="61" t="s">
        <v>150</v>
      </c>
      <c r="D10">
        <v>9</v>
      </c>
      <c r="E10" s="189" t="s">
        <v>199</v>
      </c>
      <c r="F10">
        <v>0.98</v>
      </c>
      <c r="G10">
        <v>0.8</v>
      </c>
      <c r="H10">
        <v>0.8</v>
      </c>
      <c r="I10">
        <v>0.8</v>
      </c>
      <c r="J10" s="115">
        <v>0.25</v>
      </c>
      <c r="K10" s="115">
        <v>0.05</v>
      </c>
    </row>
    <row r="11" spans="1:42" x14ac:dyDescent="0.15">
      <c r="D11">
        <v>10</v>
      </c>
      <c r="E11" s="189" t="s">
        <v>200</v>
      </c>
      <c r="F11">
        <v>0.98</v>
      </c>
      <c r="G11">
        <v>0.8</v>
      </c>
      <c r="H11">
        <v>0.8</v>
      </c>
      <c r="I11">
        <v>0.8</v>
      </c>
      <c r="J11" s="115">
        <v>0.25</v>
      </c>
      <c r="K11" s="115">
        <v>0.05</v>
      </c>
    </row>
    <row r="12" spans="1:42" x14ac:dyDescent="0.15">
      <c r="D12">
        <v>11</v>
      </c>
      <c r="E12" s="189" t="s">
        <v>201</v>
      </c>
      <c r="F12">
        <v>0.98</v>
      </c>
      <c r="G12">
        <v>0.8</v>
      </c>
      <c r="H12">
        <v>0.8</v>
      </c>
      <c r="I12">
        <v>0.8</v>
      </c>
      <c r="J12" s="115">
        <v>0.25</v>
      </c>
      <c r="K12" s="115">
        <v>0.05</v>
      </c>
    </row>
    <row r="13" spans="1:42" x14ac:dyDescent="0.15">
      <c r="D13">
        <v>12</v>
      </c>
      <c r="E13" s="189" t="s">
        <v>202</v>
      </c>
      <c r="F13">
        <v>0.98</v>
      </c>
      <c r="G13">
        <v>0.8</v>
      </c>
      <c r="H13">
        <v>0.8</v>
      </c>
      <c r="I13">
        <v>0.8</v>
      </c>
      <c r="J13" s="115">
        <v>0.25</v>
      </c>
      <c r="K13" s="115">
        <v>0.05</v>
      </c>
    </row>
    <row r="14" spans="1:42" x14ac:dyDescent="0.15">
      <c r="D14">
        <v>13</v>
      </c>
      <c r="E14" s="189" t="s">
        <v>203</v>
      </c>
      <c r="F14">
        <v>0.98</v>
      </c>
      <c r="G14">
        <v>0.8</v>
      </c>
      <c r="H14">
        <v>0.8</v>
      </c>
      <c r="I14">
        <v>0.8</v>
      </c>
      <c r="J14" s="115">
        <v>0.25</v>
      </c>
      <c r="K14" s="115">
        <v>0.05</v>
      </c>
    </row>
    <row r="15" spans="1:42" x14ac:dyDescent="0.15">
      <c r="D15">
        <v>14</v>
      </c>
      <c r="E15" s="189" t="s">
        <v>204</v>
      </c>
      <c r="F15">
        <v>0.98</v>
      </c>
      <c r="G15">
        <v>0.8</v>
      </c>
      <c r="H15">
        <v>0.8</v>
      </c>
      <c r="I15">
        <v>0.8</v>
      </c>
      <c r="J15" s="115">
        <v>0.25</v>
      </c>
      <c r="K15" s="115">
        <v>0.05</v>
      </c>
    </row>
    <row r="16" spans="1:42" x14ac:dyDescent="0.15">
      <c r="D16">
        <v>15</v>
      </c>
      <c r="E16" s="189" t="s">
        <v>205</v>
      </c>
      <c r="F16">
        <v>0.98</v>
      </c>
      <c r="G16">
        <v>0.8</v>
      </c>
      <c r="H16">
        <v>0.8</v>
      </c>
      <c r="I16">
        <v>0.8</v>
      </c>
      <c r="J16" s="115">
        <v>0.25</v>
      </c>
      <c r="K16" s="115">
        <v>0.05</v>
      </c>
    </row>
    <row r="17" spans="4:33" ht="15" customHeight="1" x14ac:dyDescent="0.15">
      <c r="D17">
        <v>16</v>
      </c>
      <c r="E17" s="189" t="s">
        <v>206</v>
      </c>
      <c r="F17">
        <v>0.98</v>
      </c>
      <c r="G17">
        <v>0.8</v>
      </c>
      <c r="H17">
        <v>0.8</v>
      </c>
      <c r="I17">
        <v>0.8</v>
      </c>
      <c r="J17" s="115">
        <v>0.25</v>
      </c>
      <c r="K17" s="115">
        <v>0.05</v>
      </c>
    </row>
    <row r="18" spans="4:33" ht="15" customHeight="1" x14ac:dyDescent="0.15">
      <c r="D18">
        <v>17</v>
      </c>
      <c r="E18" s="189" t="s">
        <v>207</v>
      </c>
      <c r="F18">
        <v>0.98</v>
      </c>
      <c r="G18">
        <v>0.8</v>
      </c>
      <c r="H18">
        <v>0.8</v>
      </c>
      <c r="I18">
        <v>0.8</v>
      </c>
      <c r="J18" s="115">
        <v>0.25</v>
      </c>
      <c r="K18" s="115">
        <v>0.05</v>
      </c>
    </row>
    <row r="19" spans="4:33" ht="15" customHeight="1" x14ac:dyDescent="0.15">
      <c r="D19">
        <v>18</v>
      </c>
      <c r="E19" s="189" t="s">
        <v>208</v>
      </c>
      <c r="F19">
        <v>0.98</v>
      </c>
      <c r="G19">
        <v>0.8</v>
      </c>
      <c r="H19">
        <v>0.8</v>
      </c>
      <c r="I19">
        <v>0.8</v>
      </c>
      <c r="J19" s="115">
        <v>0.25</v>
      </c>
      <c r="K19" s="115">
        <v>0.05</v>
      </c>
    </row>
    <row r="20" spans="4:33" ht="15" customHeight="1" x14ac:dyDescent="0.15">
      <c r="D20">
        <v>19</v>
      </c>
      <c r="E20" s="189" t="s">
        <v>209</v>
      </c>
      <c r="F20">
        <v>0.98</v>
      </c>
      <c r="G20">
        <v>0.8</v>
      </c>
      <c r="H20">
        <v>0.8</v>
      </c>
      <c r="I20">
        <v>0.8</v>
      </c>
      <c r="J20" s="115">
        <v>0.25</v>
      </c>
      <c r="K20" s="115">
        <v>0.05</v>
      </c>
    </row>
    <row r="21" spans="4:33" ht="15" customHeight="1" x14ac:dyDescent="0.15">
      <c r="D21">
        <v>20</v>
      </c>
      <c r="E21" s="189" t="s">
        <v>210</v>
      </c>
      <c r="F21">
        <v>0.98</v>
      </c>
      <c r="G21">
        <v>0.8</v>
      </c>
      <c r="H21">
        <v>0.8</v>
      </c>
      <c r="I21">
        <v>0.8</v>
      </c>
      <c r="J21" s="115">
        <v>0.25</v>
      </c>
      <c r="K21" s="115">
        <v>0.05</v>
      </c>
    </row>
    <row r="22" spans="4:33" ht="15" customHeight="1" x14ac:dyDescent="0.15">
      <c r="D22">
        <v>21</v>
      </c>
      <c r="E22" s="189" t="s">
        <v>211</v>
      </c>
      <c r="F22">
        <v>0.98</v>
      </c>
      <c r="G22">
        <v>0.8</v>
      </c>
      <c r="H22">
        <v>0.8</v>
      </c>
      <c r="I22">
        <v>0.8</v>
      </c>
      <c r="J22" s="115">
        <v>0.25</v>
      </c>
      <c r="K22" s="115">
        <v>0.05</v>
      </c>
    </row>
    <row r="23" spans="4:33" ht="15" customHeight="1" x14ac:dyDescent="0.15">
      <c r="D23">
        <v>22</v>
      </c>
      <c r="E23" s="189" t="s">
        <v>212</v>
      </c>
      <c r="F23">
        <v>0.98</v>
      </c>
      <c r="G23">
        <v>0.8</v>
      </c>
      <c r="H23">
        <v>0.8</v>
      </c>
      <c r="I23">
        <v>0.8</v>
      </c>
      <c r="J23" s="115">
        <v>0.25</v>
      </c>
      <c r="K23" s="115">
        <v>0.05</v>
      </c>
    </row>
    <row r="24" spans="4:33" ht="15" customHeight="1" x14ac:dyDescent="0.15">
      <c r="D24">
        <v>23</v>
      </c>
      <c r="E24" s="189" t="s">
        <v>213</v>
      </c>
      <c r="F24">
        <v>0.98</v>
      </c>
      <c r="G24">
        <v>0.8</v>
      </c>
      <c r="H24">
        <v>0.8</v>
      </c>
      <c r="I24">
        <v>0.8</v>
      </c>
      <c r="J24" s="115">
        <v>0.25</v>
      </c>
      <c r="K24" s="115">
        <v>0.05</v>
      </c>
    </row>
    <row r="25" spans="4:33" ht="15" customHeight="1" x14ac:dyDescent="0.15">
      <c r="D25">
        <v>24</v>
      </c>
      <c r="E25" s="189" t="s">
        <v>214</v>
      </c>
      <c r="F25">
        <v>0.98</v>
      </c>
      <c r="G25">
        <v>0.8</v>
      </c>
      <c r="H25">
        <v>0.8</v>
      </c>
      <c r="I25">
        <v>0.8</v>
      </c>
      <c r="J25" s="115">
        <v>0.25</v>
      </c>
      <c r="K25" s="115">
        <v>0.05</v>
      </c>
    </row>
    <row r="26" spans="4:33" ht="15" customHeight="1" x14ac:dyDescent="0.15">
      <c r="D26">
        <v>25</v>
      </c>
      <c r="E26" s="189" t="s">
        <v>215</v>
      </c>
      <c r="F26">
        <v>0.98</v>
      </c>
      <c r="G26">
        <v>0.8</v>
      </c>
      <c r="H26">
        <v>0.8</v>
      </c>
      <c r="I26">
        <v>0.8</v>
      </c>
      <c r="J26" s="115">
        <v>0.25</v>
      </c>
      <c r="K26" s="115">
        <v>0.05</v>
      </c>
    </row>
    <row r="27" spans="4:33" ht="15" customHeight="1" x14ac:dyDescent="0.15">
      <c r="D27">
        <v>26</v>
      </c>
      <c r="E27" s="189" t="s">
        <v>216</v>
      </c>
      <c r="F27">
        <v>0.98</v>
      </c>
      <c r="G27">
        <v>0.8</v>
      </c>
      <c r="H27">
        <v>0.8</v>
      </c>
      <c r="I27">
        <v>0.8</v>
      </c>
      <c r="J27" s="115">
        <v>0.25</v>
      </c>
      <c r="K27" s="115">
        <v>0.05</v>
      </c>
    </row>
    <row r="28" spans="4:33" ht="15" customHeight="1" x14ac:dyDescent="0.15">
      <c r="D28">
        <v>27</v>
      </c>
      <c r="E28" s="189" t="s">
        <v>217</v>
      </c>
      <c r="F28">
        <v>0.98</v>
      </c>
      <c r="G28">
        <v>0.8</v>
      </c>
      <c r="H28">
        <v>0.8</v>
      </c>
      <c r="I28">
        <v>0.8</v>
      </c>
      <c r="J28" s="115">
        <v>0.25</v>
      </c>
      <c r="K28" s="115">
        <v>0.05</v>
      </c>
    </row>
    <row r="29" spans="4:33" ht="15" customHeight="1" x14ac:dyDescent="0.15">
      <c r="D29">
        <v>28</v>
      </c>
      <c r="E29" s="189" t="s">
        <v>218</v>
      </c>
      <c r="F29">
        <v>0.98</v>
      </c>
      <c r="G29">
        <v>0.8</v>
      </c>
      <c r="H29">
        <v>0.8</v>
      </c>
      <c r="I29">
        <v>0.8</v>
      </c>
      <c r="J29" s="115">
        <v>0.25</v>
      </c>
      <c r="K29" s="115">
        <v>0.05</v>
      </c>
      <c r="Y29"/>
      <c r="AC29"/>
      <c r="AG29"/>
    </row>
    <row r="30" spans="4:33" ht="15" customHeight="1" x14ac:dyDescent="0.15">
      <c r="D30">
        <v>29</v>
      </c>
      <c r="E30" s="189" t="s">
        <v>219</v>
      </c>
      <c r="F30">
        <v>0.98</v>
      </c>
      <c r="G30">
        <v>0.8</v>
      </c>
      <c r="H30">
        <v>0.8</v>
      </c>
      <c r="I30">
        <v>0.8</v>
      </c>
      <c r="J30" s="115">
        <v>0.25</v>
      </c>
      <c r="K30" s="115">
        <v>0.05</v>
      </c>
      <c r="Y30"/>
      <c r="AC30"/>
      <c r="AG30"/>
    </row>
    <row r="31" spans="4:33" ht="15" customHeight="1" x14ac:dyDescent="0.15">
      <c r="D31">
        <v>30</v>
      </c>
      <c r="E31" s="189" t="s">
        <v>220</v>
      </c>
      <c r="F31">
        <v>0.98</v>
      </c>
      <c r="G31">
        <v>0.8</v>
      </c>
      <c r="H31">
        <v>0.8</v>
      </c>
      <c r="I31">
        <v>0.8</v>
      </c>
      <c r="J31" s="115">
        <v>0.25</v>
      </c>
      <c r="K31" s="115">
        <v>0.05</v>
      </c>
      <c r="Y31"/>
      <c r="AC31"/>
      <c r="AG31"/>
    </row>
    <row r="32" spans="4:33" ht="15" customHeight="1" x14ac:dyDescent="0.15">
      <c r="D32">
        <v>31</v>
      </c>
      <c r="E32" s="189" t="s">
        <v>221</v>
      </c>
      <c r="F32">
        <v>0.98</v>
      </c>
      <c r="G32">
        <v>0.8</v>
      </c>
      <c r="H32">
        <v>0.8</v>
      </c>
      <c r="I32">
        <v>0.8</v>
      </c>
      <c r="J32" s="115">
        <v>0.25</v>
      </c>
      <c r="K32" s="115">
        <v>0.05</v>
      </c>
      <c r="Y32"/>
      <c r="AC32"/>
      <c r="AG32"/>
    </row>
    <row r="33" spans="4:33" ht="15" customHeight="1" x14ac:dyDescent="0.15">
      <c r="D33">
        <v>32</v>
      </c>
      <c r="E33" s="189" t="s">
        <v>222</v>
      </c>
      <c r="F33">
        <v>0.98</v>
      </c>
      <c r="G33">
        <v>0.8</v>
      </c>
      <c r="H33">
        <v>0.8</v>
      </c>
      <c r="I33">
        <v>0.8</v>
      </c>
      <c r="J33" s="115">
        <v>0.25</v>
      </c>
      <c r="K33" s="115">
        <v>0.05</v>
      </c>
      <c r="Y33"/>
      <c r="AC33"/>
      <c r="AG33"/>
    </row>
    <row r="34" spans="4:33" ht="15" customHeight="1" x14ac:dyDescent="0.15">
      <c r="D34">
        <v>33</v>
      </c>
      <c r="E34" s="189" t="s">
        <v>223</v>
      </c>
      <c r="F34">
        <v>0.98</v>
      </c>
      <c r="G34">
        <v>0.8</v>
      </c>
      <c r="H34">
        <v>0.8</v>
      </c>
      <c r="I34">
        <v>0.8</v>
      </c>
      <c r="J34" s="115">
        <v>0.25</v>
      </c>
      <c r="K34" s="115">
        <v>0.05</v>
      </c>
      <c r="Y34"/>
      <c r="AC34"/>
      <c r="AG34"/>
    </row>
    <row r="35" spans="4:33" ht="15" customHeight="1" x14ac:dyDescent="0.15">
      <c r="D35">
        <v>34</v>
      </c>
      <c r="E35" s="189" t="s">
        <v>224</v>
      </c>
      <c r="F35">
        <v>0.98</v>
      </c>
      <c r="G35">
        <v>0.8</v>
      </c>
      <c r="H35">
        <v>0.8</v>
      </c>
      <c r="I35">
        <v>0.8</v>
      </c>
      <c r="J35" s="115">
        <v>0.25</v>
      </c>
      <c r="K35" s="115">
        <v>0.05</v>
      </c>
      <c r="Y35"/>
      <c r="AC35"/>
      <c r="AG35"/>
    </row>
    <row r="36" spans="4:33" ht="15" customHeight="1" x14ac:dyDescent="0.15">
      <c r="D36">
        <v>35</v>
      </c>
      <c r="E36" s="189" t="s">
        <v>225</v>
      </c>
      <c r="F36">
        <v>0.98</v>
      </c>
      <c r="G36">
        <v>0.8</v>
      </c>
      <c r="H36">
        <v>0.8</v>
      </c>
      <c r="I36">
        <v>0.8</v>
      </c>
      <c r="J36" s="115">
        <v>0.25</v>
      </c>
      <c r="K36" s="115">
        <v>0.05</v>
      </c>
      <c r="Y36"/>
      <c r="AC36"/>
      <c r="AG36"/>
    </row>
    <row r="37" spans="4:33" ht="15" customHeight="1" x14ac:dyDescent="0.15">
      <c r="D37">
        <v>36</v>
      </c>
      <c r="E37" s="189" t="s">
        <v>226</v>
      </c>
      <c r="F37">
        <v>0.98</v>
      </c>
      <c r="G37">
        <v>0.8</v>
      </c>
      <c r="H37">
        <v>0.8</v>
      </c>
      <c r="I37">
        <v>0.8</v>
      </c>
      <c r="J37" s="115">
        <v>0.25</v>
      </c>
      <c r="K37" s="115">
        <v>0.05</v>
      </c>
      <c r="Y37"/>
      <c r="AC37"/>
      <c r="AG37"/>
    </row>
    <row r="38" spans="4:33" ht="15" customHeight="1" x14ac:dyDescent="0.15">
      <c r="D38">
        <v>37</v>
      </c>
      <c r="E38" s="189" t="s">
        <v>227</v>
      </c>
      <c r="F38">
        <v>0.98</v>
      </c>
      <c r="G38">
        <v>0.8</v>
      </c>
      <c r="H38">
        <v>0.8</v>
      </c>
      <c r="I38">
        <v>0.8</v>
      </c>
      <c r="J38" s="115">
        <v>0.25</v>
      </c>
      <c r="K38" s="115">
        <v>0.05</v>
      </c>
      <c r="Y38"/>
      <c r="AC38"/>
      <c r="AG38"/>
    </row>
    <row r="39" spans="4:33" ht="15" customHeight="1" x14ac:dyDescent="0.15">
      <c r="D39">
        <v>38</v>
      </c>
      <c r="E39" s="189" t="s">
        <v>228</v>
      </c>
      <c r="F39">
        <v>0.98</v>
      </c>
      <c r="G39">
        <v>0.8</v>
      </c>
      <c r="H39">
        <v>0</v>
      </c>
      <c r="I39">
        <v>0</v>
      </c>
      <c r="J39" s="115">
        <v>0</v>
      </c>
      <c r="K39" s="115">
        <v>0</v>
      </c>
    </row>
    <row r="40" spans="4:33" ht="15" customHeight="1" x14ac:dyDescent="0.15">
      <c r="D40">
        <v>39</v>
      </c>
      <c r="E40" s="189" t="s">
        <v>229</v>
      </c>
      <c r="F40">
        <v>0.98</v>
      </c>
      <c r="G40">
        <v>0.8</v>
      </c>
      <c r="H40">
        <v>0</v>
      </c>
      <c r="I40">
        <v>0</v>
      </c>
      <c r="J40" s="115">
        <v>0</v>
      </c>
      <c r="K40" s="115">
        <v>0</v>
      </c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N41"/>
  <sheetViews>
    <sheetView workbookViewId="0">
      <selection activeCell="A3" sqref="A3"/>
    </sheetView>
  </sheetViews>
  <sheetFormatPr baseColWidth="10" defaultRowHeight="13" x14ac:dyDescent="0.15"/>
  <cols>
    <col min="1" max="1" width="23.1640625" style="112" bestFit="1" customWidth="1"/>
    <col min="2" max="2" width="2.33203125" style="112" customWidth="1"/>
    <col min="3" max="38" width="3.83203125" style="112" customWidth="1"/>
    <col min="39" max="40" width="2.33203125" style="112" customWidth="1"/>
    <col min="41" max="16384" width="10.83203125" style="112"/>
  </cols>
  <sheetData>
    <row r="1" spans="1:40" x14ac:dyDescent="0.15">
      <c r="A1" s="63" t="s">
        <v>118</v>
      </c>
      <c r="B1" s="191" t="s">
        <v>191</v>
      </c>
      <c r="C1" s="191" t="s">
        <v>192</v>
      </c>
      <c r="D1" s="191" t="s">
        <v>193</v>
      </c>
      <c r="E1" s="191" t="s">
        <v>194</v>
      </c>
      <c r="F1" s="191" t="s">
        <v>195</v>
      </c>
      <c r="G1" s="191" t="s">
        <v>196</v>
      </c>
      <c r="H1" s="191" t="s">
        <v>197</v>
      </c>
      <c r="I1" s="191" t="s">
        <v>198</v>
      </c>
      <c r="J1" s="191" t="s">
        <v>199</v>
      </c>
      <c r="K1" s="191" t="s">
        <v>200</v>
      </c>
      <c r="L1" s="191" t="s">
        <v>201</v>
      </c>
      <c r="M1" s="191" t="s">
        <v>202</v>
      </c>
      <c r="N1" s="191" t="s">
        <v>203</v>
      </c>
      <c r="O1" s="191" t="s">
        <v>204</v>
      </c>
      <c r="P1" s="191" t="s">
        <v>205</v>
      </c>
      <c r="Q1" s="191" t="s">
        <v>206</v>
      </c>
      <c r="R1" s="191" t="s">
        <v>207</v>
      </c>
      <c r="S1" s="191" t="s">
        <v>208</v>
      </c>
      <c r="T1" s="191" t="s">
        <v>209</v>
      </c>
      <c r="U1" s="191" t="s">
        <v>210</v>
      </c>
      <c r="V1" s="191" t="s">
        <v>211</v>
      </c>
      <c r="W1" s="191" t="s">
        <v>212</v>
      </c>
      <c r="X1" s="191" t="s">
        <v>213</v>
      </c>
      <c r="Y1" s="191" t="s">
        <v>214</v>
      </c>
      <c r="Z1" s="191" t="s">
        <v>215</v>
      </c>
      <c r="AA1" s="191" t="s">
        <v>216</v>
      </c>
      <c r="AB1" s="191" t="s">
        <v>217</v>
      </c>
      <c r="AC1" s="191" t="s">
        <v>218</v>
      </c>
      <c r="AD1" s="191" t="s">
        <v>219</v>
      </c>
      <c r="AE1" s="191" t="s">
        <v>220</v>
      </c>
      <c r="AF1" s="191" t="s">
        <v>221</v>
      </c>
      <c r="AG1" s="191" t="s">
        <v>222</v>
      </c>
      <c r="AH1" s="191" t="s">
        <v>223</v>
      </c>
      <c r="AI1" s="191" t="s">
        <v>224</v>
      </c>
      <c r="AJ1" s="191" t="s">
        <v>225</v>
      </c>
      <c r="AK1" s="191" t="s">
        <v>226</v>
      </c>
      <c r="AL1" s="191" t="s">
        <v>227</v>
      </c>
      <c r="AM1" s="191" t="s">
        <v>228</v>
      </c>
      <c r="AN1" s="191" t="s">
        <v>229</v>
      </c>
    </row>
    <row r="2" spans="1:40" customFormat="1" x14ac:dyDescent="0.15">
      <c r="A2" s="190" t="s">
        <v>191</v>
      </c>
      <c r="B2" s="112">
        <v>0</v>
      </c>
      <c r="C2" s="112">
        <v>0.8</v>
      </c>
      <c r="D2" s="112">
        <v>0.8</v>
      </c>
      <c r="E2" s="112">
        <v>0</v>
      </c>
      <c r="F2" s="112">
        <v>0</v>
      </c>
      <c r="G2" s="112">
        <v>0</v>
      </c>
      <c r="H2" s="112">
        <v>0.8</v>
      </c>
      <c r="I2" s="112">
        <v>0.8</v>
      </c>
      <c r="J2" s="112">
        <v>0</v>
      </c>
      <c r="K2" s="112">
        <v>0.8</v>
      </c>
      <c r="L2" s="112">
        <v>0</v>
      </c>
      <c r="M2" s="112">
        <v>0</v>
      </c>
      <c r="N2" s="112">
        <v>0</v>
      </c>
      <c r="O2" s="112">
        <v>0.8</v>
      </c>
      <c r="P2" s="112">
        <v>0.8</v>
      </c>
      <c r="Q2" s="112">
        <v>0.8</v>
      </c>
      <c r="R2" s="112">
        <v>0</v>
      </c>
      <c r="S2" s="112">
        <v>0.8</v>
      </c>
      <c r="T2" s="112">
        <v>0</v>
      </c>
      <c r="U2" s="112">
        <v>0</v>
      </c>
      <c r="V2" s="112">
        <v>0.8</v>
      </c>
      <c r="W2" s="112">
        <v>0</v>
      </c>
      <c r="X2" s="112">
        <v>0</v>
      </c>
      <c r="Y2" s="112">
        <v>0</v>
      </c>
      <c r="Z2" s="112">
        <v>0</v>
      </c>
      <c r="AA2" s="112">
        <v>0.8</v>
      </c>
      <c r="AB2" s="112">
        <v>0</v>
      </c>
      <c r="AC2" s="112">
        <v>0.8</v>
      </c>
      <c r="AD2" s="112">
        <v>0</v>
      </c>
      <c r="AE2" s="112">
        <v>0</v>
      </c>
      <c r="AF2" s="112">
        <v>0.8</v>
      </c>
      <c r="AG2" s="112">
        <v>0.8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</row>
    <row r="3" spans="1:40" customFormat="1" x14ac:dyDescent="0.15">
      <c r="A3" s="190" t="s">
        <v>192</v>
      </c>
      <c r="B3" s="112">
        <v>0</v>
      </c>
      <c r="C3" s="112">
        <v>0</v>
      </c>
      <c r="D3" s="112">
        <v>0.8</v>
      </c>
      <c r="E3" s="112">
        <v>0</v>
      </c>
      <c r="F3" s="112">
        <v>0</v>
      </c>
      <c r="G3" s="112">
        <v>0</v>
      </c>
      <c r="H3" s="112">
        <v>0.8</v>
      </c>
      <c r="I3" s="112">
        <v>0.8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0.8</v>
      </c>
      <c r="P3" s="112">
        <v>0.8</v>
      </c>
      <c r="Q3" s="112">
        <v>0</v>
      </c>
      <c r="R3" s="112">
        <v>0</v>
      </c>
      <c r="S3" s="112">
        <v>0.8</v>
      </c>
      <c r="T3" s="112">
        <v>0</v>
      </c>
      <c r="U3" s="112">
        <v>0</v>
      </c>
      <c r="V3" s="112">
        <v>0.8</v>
      </c>
      <c r="W3" s="112">
        <v>0</v>
      </c>
      <c r="X3" s="112">
        <v>0</v>
      </c>
      <c r="Y3" s="112">
        <v>0.8</v>
      </c>
      <c r="Z3" s="112">
        <v>0.8</v>
      </c>
      <c r="AA3" s="112">
        <v>0.8</v>
      </c>
      <c r="AB3" s="112">
        <v>0.8</v>
      </c>
      <c r="AC3" s="112">
        <v>0.8</v>
      </c>
      <c r="AD3" s="112">
        <v>0.8</v>
      </c>
      <c r="AE3" s="112">
        <v>0</v>
      </c>
      <c r="AF3" s="112">
        <v>0</v>
      </c>
      <c r="AG3" s="112">
        <v>0.8</v>
      </c>
      <c r="AH3" s="112">
        <v>0.8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</row>
    <row r="4" spans="1:40" customFormat="1" x14ac:dyDescent="0.15">
      <c r="A4" s="190" t="s">
        <v>193</v>
      </c>
      <c r="B4" s="112">
        <v>0</v>
      </c>
      <c r="C4" s="112">
        <v>0</v>
      </c>
      <c r="D4" s="112">
        <v>0.8</v>
      </c>
      <c r="E4" s="112">
        <v>0</v>
      </c>
      <c r="F4" s="112">
        <v>0</v>
      </c>
      <c r="G4" s="112">
        <v>0</v>
      </c>
      <c r="H4" s="112">
        <v>0</v>
      </c>
      <c r="I4" s="112">
        <v>0.8</v>
      </c>
      <c r="J4" s="112">
        <v>0.8</v>
      </c>
      <c r="K4" s="112">
        <v>0</v>
      </c>
      <c r="L4" s="112">
        <v>0.8</v>
      </c>
      <c r="M4" s="112">
        <v>0.8</v>
      </c>
      <c r="N4" s="112">
        <v>0.8</v>
      </c>
      <c r="O4" s="112">
        <v>0.8</v>
      </c>
      <c r="P4" s="112">
        <v>0.8</v>
      </c>
      <c r="Q4" s="112">
        <v>0.8</v>
      </c>
      <c r="R4" s="112">
        <v>0.8</v>
      </c>
      <c r="S4" s="112">
        <v>0.8</v>
      </c>
      <c r="T4" s="112">
        <v>0</v>
      </c>
      <c r="U4" s="112">
        <v>0.8</v>
      </c>
      <c r="V4" s="112">
        <v>0.8</v>
      </c>
      <c r="W4" s="112">
        <v>0.8</v>
      </c>
      <c r="X4" s="112">
        <v>0</v>
      </c>
      <c r="Y4" s="112">
        <v>0.8</v>
      </c>
      <c r="Z4" s="112">
        <v>0.8</v>
      </c>
      <c r="AA4" s="112">
        <v>0.8</v>
      </c>
      <c r="AB4" s="112">
        <v>0</v>
      </c>
      <c r="AC4" s="112">
        <v>0.8</v>
      </c>
      <c r="AD4" s="112">
        <v>0.8</v>
      </c>
      <c r="AE4" s="112">
        <v>0.8</v>
      </c>
      <c r="AF4" s="112">
        <v>0.8</v>
      </c>
      <c r="AG4" s="112">
        <v>0.8</v>
      </c>
      <c r="AH4" s="112">
        <v>0.8</v>
      </c>
      <c r="AI4" s="112">
        <v>0.8</v>
      </c>
      <c r="AJ4" s="112">
        <v>0.8</v>
      </c>
      <c r="AK4" s="112">
        <v>0.8</v>
      </c>
      <c r="AL4" s="112">
        <v>0</v>
      </c>
      <c r="AM4" s="112">
        <v>0</v>
      </c>
      <c r="AN4" s="112">
        <v>0</v>
      </c>
    </row>
    <row r="5" spans="1:40" customFormat="1" x14ac:dyDescent="0.15">
      <c r="A5" s="190" t="s">
        <v>194</v>
      </c>
      <c r="B5" s="112">
        <v>0</v>
      </c>
      <c r="C5" s="112">
        <v>0</v>
      </c>
      <c r="D5" s="112">
        <v>0</v>
      </c>
      <c r="E5" s="112">
        <v>0</v>
      </c>
      <c r="F5" s="112">
        <v>0</v>
      </c>
      <c r="G5" s="112">
        <v>0</v>
      </c>
      <c r="H5" s="112">
        <v>0.8</v>
      </c>
      <c r="I5" s="112">
        <v>0.8</v>
      </c>
      <c r="J5" s="112">
        <v>0</v>
      </c>
      <c r="K5" s="112">
        <v>0.8</v>
      </c>
      <c r="L5" s="112">
        <v>0.8</v>
      </c>
      <c r="M5" s="112">
        <v>0.8</v>
      </c>
      <c r="N5" s="112">
        <v>0</v>
      </c>
      <c r="O5" s="112">
        <v>0.8</v>
      </c>
      <c r="P5" s="112">
        <v>0.8</v>
      </c>
      <c r="Q5" s="112">
        <v>0.8</v>
      </c>
      <c r="R5" s="112">
        <v>0.8</v>
      </c>
      <c r="S5" s="112">
        <v>0.8</v>
      </c>
      <c r="T5" s="112">
        <v>0</v>
      </c>
      <c r="U5" s="112">
        <v>0</v>
      </c>
      <c r="V5" s="112">
        <v>0.8</v>
      </c>
      <c r="W5" s="112">
        <v>0.8</v>
      </c>
      <c r="X5" s="112">
        <v>0.8</v>
      </c>
      <c r="Y5" s="112">
        <v>0.8</v>
      </c>
      <c r="Z5" s="112">
        <v>0</v>
      </c>
      <c r="AA5" s="112">
        <v>0.8</v>
      </c>
      <c r="AB5" s="112">
        <v>0</v>
      </c>
      <c r="AC5" s="112">
        <v>0</v>
      </c>
      <c r="AD5" s="112">
        <v>0.8</v>
      </c>
      <c r="AE5" s="112">
        <v>0.8</v>
      </c>
      <c r="AF5" s="112">
        <v>0.8</v>
      </c>
      <c r="AG5" s="112">
        <v>0</v>
      </c>
      <c r="AH5" s="112">
        <v>0.8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</row>
    <row r="6" spans="1:40" customFormat="1" x14ac:dyDescent="0.15">
      <c r="A6" s="190" t="s">
        <v>195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0.8</v>
      </c>
      <c r="H6" s="112">
        <v>0.8</v>
      </c>
      <c r="I6" s="112">
        <v>0.8</v>
      </c>
      <c r="J6" s="112">
        <v>0.8</v>
      </c>
      <c r="K6" s="112">
        <v>0.8</v>
      </c>
      <c r="L6" s="112">
        <v>0.8</v>
      </c>
      <c r="M6" s="112">
        <v>0.8</v>
      </c>
      <c r="N6" s="112">
        <v>0.8</v>
      </c>
      <c r="O6" s="112">
        <v>0.8</v>
      </c>
      <c r="P6" s="112">
        <v>0.8</v>
      </c>
      <c r="Q6" s="112">
        <v>0.8</v>
      </c>
      <c r="R6" s="112">
        <v>0.8</v>
      </c>
      <c r="S6" s="112">
        <v>0.8</v>
      </c>
      <c r="T6" s="112">
        <v>0.8</v>
      </c>
      <c r="U6" s="112">
        <v>0.8</v>
      </c>
      <c r="V6" s="112">
        <v>0.8</v>
      </c>
      <c r="W6" s="112">
        <v>0.8</v>
      </c>
      <c r="X6" s="112">
        <v>0.8</v>
      </c>
      <c r="Y6" s="112">
        <v>0.8</v>
      </c>
      <c r="Z6" s="112">
        <v>0</v>
      </c>
      <c r="AA6" s="112">
        <v>0</v>
      </c>
      <c r="AB6" s="112">
        <v>0</v>
      </c>
      <c r="AC6" s="112">
        <v>0.8</v>
      </c>
      <c r="AD6" s="112">
        <v>0.8</v>
      </c>
      <c r="AE6" s="112">
        <v>0.8</v>
      </c>
      <c r="AF6" s="112">
        <v>0.8</v>
      </c>
      <c r="AG6" s="112">
        <v>0.8</v>
      </c>
      <c r="AH6" s="112">
        <v>0.8</v>
      </c>
      <c r="AI6" s="112">
        <v>0</v>
      </c>
      <c r="AJ6" s="112">
        <v>0.8</v>
      </c>
      <c r="AK6" s="112">
        <v>0</v>
      </c>
      <c r="AL6" s="112">
        <v>0.8</v>
      </c>
      <c r="AM6" s="112">
        <v>0</v>
      </c>
      <c r="AN6" s="112">
        <v>0</v>
      </c>
    </row>
    <row r="7" spans="1:40" customFormat="1" x14ac:dyDescent="0.15">
      <c r="A7" s="190" t="s">
        <v>196</v>
      </c>
      <c r="B7" s="112">
        <v>0</v>
      </c>
      <c r="C7" s="112">
        <v>0</v>
      </c>
      <c r="D7" s="112">
        <v>0</v>
      </c>
      <c r="E7" s="112">
        <v>0</v>
      </c>
      <c r="F7" s="112">
        <v>0</v>
      </c>
      <c r="G7" s="112">
        <v>0</v>
      </c>
      <c r="H7" s="112">
        <v>0.8</v>
      </c>
      <c r="I7" s="112">
        <v>0</v>
      </c>
      <c r="J7" s="112">
        <v>0</v>
      </c>
      <c r="K7" s="112">
        <v>0</v>
      </c>
      <c r="L7" s="112">
        <v>0</v>
      </c>
      <c r="M7" s="112">
        <v>0.8</v>
      </c>
      <c r="N7" s="112">
        <v>0</v>
      </c>
      <c r="O7" s="112">
        <v>0</v>
      </c>
      <c r="P7" s="112">
        <v>0.8</v>
      </c>
      <c r="Q7" s="112">
        <v>0.8</v>
      </c>
      <c r="R7" s="112">
        <v>0</v>
      </c>
      <c r="S7" s="112">
        <v>0.8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</row>
    <row r="8" spans="1:40" customFormat="1" x14ac:dyDescent="0.15">
      <c r="A8" s="190" t="s">
        <v>197</v>
      </c>
      <c r="B8" s="112">
        <v>0</v>
      </c>
      <c r="C8" s="112">
        <v>0</v>
      </c>
      <c r="D8" s="112">
        <v>0</v>
      </c>
      <c r="E8" s="112">
        <v>0</v>
      </c>
      <c r="F8" s="112">
        <v>0</v>
      </c>
      <c r="G8" s="112">
        <v>0</v>
      </c>
      <c r="H8" s="112">
        <v>0.8</v>
      </c>
      <c r="I8" s="112">
        <v>0</v>
      </c>
      <c r="J8" s="112">
        <v>0</v>
      </c>
      <c r="K8" s="112">
        <v>0</v>
      </c>
      <c r="L8" s="112">
        <v>0.8</v>
      </c>
      <c r="M8" s="112">
        <v>0.8</v>
      </c>
      <c r="N8" s="112">
        <v>0.8</v>
      </c>
      <c r="O8" s="112">
        <v>0.8</v>
      </c>
      <c r="P8" s="112">
        <v>0.8</v>
      </c>
      <c r="Q8" s="112">
        <v>0.8</v>
      </c>
      <c r="R8" s="112">
        <v>0.8</v>
      </c>
      <c r="S8" s="112">
        <v>0.8</v>
      </c>
      <c r="T8" s="112">
        <v>0</v>
      </c>
      <c r="U8" s="112">
        <v>0.8</v>
      </c>
      <c r="V8" s="112">
        <v>0</v>
      </c>
      <c r="W8" s="112">
        <v>0</v>
      </c>
      <c r="X8" s="112">
        <v>0</v>
      </c>
      <c r="Y8" s="112">
        <v>0</v>
      </c>
      <c r="Z8" s="112">
        <v>0.8</v>
      </c>
      <c r="AA8" s="112">
        <v>0</v>
      </c>
      <c r="AB8" s="112">
        <v>0</v>
      </c>
      <c r="AC8" s="112">
        <v>0</v>
      </c>
      <c r="AD8" s="112">
        <v>0.8</v>
      </c>
      <c r="AE8" s="112">
        <v>0.8</v>
      </c>
      <c r="AF8" s="112">
        <v>0.8</v>
      </c>
      <c r="AG8" s="112">
        <v>0</v>
      </c>
      <c r="AH8" s="112">
        <v>0.8</v>
      </c>
      <c r="AI8" s="112">
        <v>0</v>
      </c>
      <c r="AJ8" s="112">
        <v>0</v>
      </c>
      <c r="AK8" s="112">
        <v>0</v>
      </c>
      <c r="AL8" s="112">
        <v>0.8</v>
      </c>
      <c r="AM8" s="112">
        <v>0</v>
      </c>
      <c r="AN8" s="112">
        <v>0</v>
      </c>
    </row>
    <row r="9" spans="1:40" customFormat="1" x14ac:dyDescent="0.15">
      <c r="A9" s="190" t="s">
        <v>198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0.8</v>
      </c>
      <c r="I9" s="112">
        <v>0.8</v>
      </c>
      <c r="J9" s="112">
        <v>0</v>
      </c>
      <c r="K9" s="112">
        <v>0</v>
      </c>
      <c r="L9" s="112">
        <v>0.8</v>
      </c>
      <c r="M9" s="112">
        <v>0.8</v>
      </c>
      <c r="N9" s="112">
        <v>0.8</v>
      </c>
      <c r="O9" s="112">
        <v>0.8</v>
      </c>
      <c r="P9" s="112">
        <v>0.8</v>
      </c>
      <c r="Q9" s="112">
        <v>0.8</v>
      </c>
      <c r="R9" s="112">
        <v>0.8</v>
      </c>
      <c r="S9" s="112">
        <v>0.8</v>
      </c>
      <c r="T9" s="112">
        <v>0</v>
      </c>
      <c r="U9" s="112">
        <v>0.8</v>
      </c>
      <c r="V9" s="112">
        <v>0</v>
      </c>
      <c r="W9" s="112">
        <v>0.8</v>
      </c>
      <c r="X9" s="112">
        <v>0</v>
      </c>
      <c r="Y9" s="112">
        <v>0</v>
      </c>
      <c r="Z9" s="112">
        <v>0.8</v>
      </c>
      <c r="AA9" s="112">
        <v>0.8</v>
      </c>
      <c r="AB9" s="112">
        <v>0</v>
      </c>
      <c r="AC9" s="112">
        <v>0.8</v>
      </c>
      <c r="AD9" s="112">
        <v>0.8</v>
      </c>
      <c r="AE9" s="112">
        <v>0.8</v>
      </c>
      <c r="AF9" s="112">
        <v>0.8</v>
      </c>
      <c r="AG9" s="112">
        <v>0</v>
      </c>
      <c r="AH9" s="112">
        <v>0.8</v>
      </c>
      <c r="AI9" s="112">
        <v>0</v>
      </c>
      <c r="AJ9" s="112">
        <v>0</v>
      </c>
      <c r="AK9" s="112">
        <v>0</v>
      </c>
      <c r="AL9" s="112">
        <v>0.8</v>
      </c>
      <c r="AM9" s="112">
        <v>0</v>
      </c>
      <c r="AN9" s="112">
        <v>0</v>
      </c>
    </row>
    <row r="10" spans="1:40" customFormat="1" x14ac:dyDescent="0.15">
      <c r="A10" s="190" t="s">
        <v>199</v>
      </c>
      <c r="B10" s="112">
        <v>0</v>
      </c>
      <c r="C10" s="112">
        <v>0</v>
      </c>
      <c r="D10" s="112">
        <v>0</v>
      </c>
      <c r="E10" s="112">
        <v>0</v>
      </c>
      <c r="F10" s="112">
        <v>0</v>
      </c>
      <c r="G10" s="112">
        <v>0</v>
      </c>
      <c r="H10" s="112">
        <v>0</v>
      </c>
      <c r="I10" s="112">
        <v>0</v>
      </c>
      <c r="J10" s="112">
        <v>0</v>
      </c>
      <c r="K10" s="112">
        <v>0</v>
      </c>
      <c r="L10" s="112">
        <v>0.8</v>
      </c>
      <c r="M10" s="112">
        <v>0</v>
      </c>
      <c r="N10" s="112">
        <v>0</v>
      </c>
      <c r="O10" s="112">
        <v>0</v>
      </c>
      <c r="P10" s="112">
        <v>0.8</v>
      </c>
      <c r="Q10" s="112">
        <v>0.8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</row>
    <row r="11" spans="1:40" customFormat="1" x14ac:dyDescent="0.15">
      <c r="A11" s="190" t="s">
        <v>200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112">
        <v>0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0.8</v>
      </c>
      <c r="AH11" s="112">
        <v>0.8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</row>
    <row r="12" spans="1:40" customFormat="1" x14ac:dyDescent="0.15">
      <c r="A12" s="190" t="s">
        <v>201</v>
      </c>
      <c r="B12" s="112">
        <v>0</v>
      </c>
      <c r="C12" s="112">
        <v>0</v>
      </c>
      <c r="D12" s="112">
        <v>0</v>
      </c>
      <c r="E12" s="112">
        <v>0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0.8</v>
      </c>
      <c r="O12" s="112">
        <v>0</v>
      </c>
      <c r="P12" s="112">
        <v>0</v>
      </c>
      <c r="Q12" s="112">
        <v>0.8</v>
      </c>
      <c r="R12" s="112">
        <v>0</v>
      </c>
      <c r="S12" s="112">
        <v>0.8</v>
      </c>
      <c r="T12" s="112">
        <v>0</v>
      </c>
      <c r="U12" s="112">
        <v>0.8</v>
      </c>
      <c r="V12" s="112">
        <v>0.8</v>
      </c>
      <c r="W12" s="112">
        <v>0</v>
      </c>
      <c r="X12" s="112">
        <v>0</v>
      </c>
      <c r="Y12" s="112">
        <v>0</v>
      </c>
      <c r="Z12" s="112">
        <v>0</v>
      </c>
      <c r="AA12" s="112">
        <v>0.8</v>
      </c>
      <c r="AB12" s="112">
        <v>0</v>
      </c>
      <c r="AC12" s="112">
        <v>0</v>
      </c>
      <c r="AD12" s="112">
        <v>0.8</v>
      </c>
      <c r="AE12" s="112">
        <v>0.8</v>
      </c>
      <c r="AF12" s="112">
        <v>0</v>
      </c>
      <c r="AG12" s="112">
        <v>0.8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</row>
    <row r="13" spans="1:40" customFormat="1" x14ac:dyDescent="0.15">
      <c r="A13" s="190" t="s">
        <v>202</v>
      </c>
      <c r="B13" s="112">
        <v>0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0.8</v>
      </c>
      <c r="AG13" s="112">
        <v>0.8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</row>
    <row r="14" spans="1:40" customFormat="1" x14ac:dyDescent="0.15">
      <c r="A14" s="190" t="s">
        <v>203</v>
      </c>
      <c r="B14" s="112">
        <v>0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0.8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</row>
    <row r="15" spans="1:40" customFormat="1" x14ac:dyDescent="0.15">
      <c r="A15" s="190" t="s">
        <v>204</v>
      </c>
      <c r="B15" s="112">
        <v>0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0.8</v>
      </c>
      <c r="I15" s="112">
        <v>0</v>
      </c>
      <c r="J15" s="112">
        <v>0.8</v>
      </c>
      <c r="K15" s="112">
        <v>0</v>
      </c>
      <c r="L15" s="112">
        <v>0.8</v>
      </c>
      <c r="M15" s="112">
        <v>0</v>
      </c>
      <c r="N15" s="112">
        <v>0.8</v>
      </c>
      <c r="O15" s="112">
        <v>0.8</v>
      </c>
      <c r="P15" s="112">
        <v>0.8</v>
      </c>
      <c r="Q15" s="112">
        <v>0.8</v>
      </c>
      <c r="R15" s="112">
        <v>0.8</v>
      </c>
      <c r="S15" s="112">
        <v>0.8</v>
      </c>
      <c r="T15" s="112">
        <v>0.8</v>
      </c>
      <c r="U15" s="112">
        <v>0.8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0.8</v>
      </c>
      <c r="AC15" s="112">
        <v>0</v>
      </c>
      <c r="AD15" s="112">
        <v>0.8</v>
      </c>
      <c r="AE15" s="112">
        <v>0.8</v>
      </c>
      <c r="AF15" s="112">
        <v>0</v>
      </c>
      <c r="AG15" s="112">
        <v>0.8</v>
      </c>
      <c r="AH15" s="112">
        <v>0.8</v>
      </c>
      <c r="AI15" s="112">
        <v>0</v>
      </c>
      <c r="AJ15" s="112">
        <v>0.8</v>
      </c>
      <c r="AK15" s="112">
        <v>0.8</v>
      </c>
      <c r="AL15" s="112">
        <v>0.8</v>
      </c>
      <c r="AM15" s="112">
        <v>0</v>
      </c>
      <c r="AN15" s="112">
        <v>0</v>
      </c>
    </row>
    <row r="16" spans="1:40" customFormat="1" x14ac:dyDescent="0.15">
      <c r="A16" s="190" t="s">
        <v>205</v>
      </c>
      <c r="B16" s="112">
        <v>0</v>
      </c>
      <c r="C16" s="112">
        <v>0</v>
      </c>
      <c r="D16" s="112">
        <v>0</v>
      </c>
      <c r="E16" s="112">
        <v>0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0.8</v>
      </c>
      <c r="M16" s="112">
        <v>0</v>
      </c>
      <c r="N16" s="112">
        <v>0.8</v>
      </c>
      <c r="O16" s="112">
        <v>0</v>
      </c>
      <c r="P16" s="112">
        <v>0</v>
      </c>
      <c r="Q16" s="112">
        <v>0.8</v>
      </c>
      <c r="R16" s="112">
        <v>0</v>
      </c>
      <c r="S16" s="112">
        <v>0.8</v>
      </c>
      <c r="T16" s="112">
        <v>0.8</v>
      </c>
      <c r="U16" s="112">
        <v>0.8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0.8</v>
      </c>
      <c r="AB16" s="112">
        <v>0.8</v>
      </c>
      <c r="AC16" s="112">
        <v>0</v>
      </c>
      <c r="AD16" s="112">
        <v>0.8</v>
      </c>
      <c r="AE16" s="112">
        <v>0.8</v>
      </c>
      <c r="AF16" s="112">
        <v>0.8</v>
      </c>
      <c r="AG16" s="112">
        <v>0.8</v>
      </c>
      <c r="AH16" s="112">
        <v>0</v>
      </c>
      <c r="AI16" s="112">
        <v>0</v>
      </c>
      <c r="AJ16" s="112">
        <v>0</v>
      </c>
      <c r="AK16" s="112">
        <v>0.8</v>
      </c>
      <c r="AL16" s="112">
        <v>0.8</v>
      </c>
      <c r="AM16" s="112">
        <v>0</v>
      </c>
      <c r="AN16" s="112">
        <v>0</v>
      </c>
    </row>
    <row r="17" spans="1:40" customFormat="1" x14ac:dyDescent="0.15">
      <c r="A17" s="190" t="s">
        <v>206</v>
      </c>
      <c r="B17" s="112">
        <v>0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0.8</v>
      </c>
      <c r="N17" s="112">
        <v>0.8</v>
      </c>
      <c r="O17" s="112">
        <v>0</v>
      </c>
      <c r="P17" s="112">
        <v>0</v>
      </c>
      <c r="Q17" s="112">
        <v>0.8</v>
      </c>
      <c r="R17" s="112">
        <v>0.8</v>
      </c>
      <c r="S17" s="112">
        <v>0.8</v>
      </c>
      <c r="T17" s="112">
        <v>0.8</v>
      </c>
      <c r="U17" s="112">
        <v>0.8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0.8</v>
      </c>
      <c r="AE17" s="112">
        <v>0.8</v>
      </c>
      <c r="AF17" s="112">
        <v>0.8</v>
      </c>
      <c r="AG17" s="112">
        <v>0.8</v>
      </c>
      <c r="AH17" s="112">
        <v>0</v>
      </c>
      <c r="AI17" s="112">
        <v>0</v>
      </c>
      <c r="AJ17" s="112">
        <v>0.8</v>
      </c>
      <c r="AK17" s="112">
        <v>0.8</v>
      </c>
      <c r="AL17" s="112">
        <v>0.8</v>
      </c>
      <c r="AM17" s="112">
        <v>0</v>
      </c>
      <c r="AN17" s="112">
        <v>0</v>
      </c>
    </row>
    <row r="18" spans="1:40" customFormat="1" x14ac:dyDescent="0.15">
      <c r="A18" s="190" t="s">
        <v>207</v>
      </c>
      <c r="B18" s="112">
        <v>0</v>
      </c>
      <c r="C18" s="112">
        <v>0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0.8</v>
      </c>
      <c r="O18" s="112">
        <v>0</v>
      </c>
      <c r="P18" s="112">
        <v>0</v>
      </c>
      <c r="Q18" s="112">
        <v>0.8</v>
      </c>
      <c r="R18" s="112">
        <v>0.8</v>
      </c>
      <c r="S18" s="112">
        <v>0</v>
      </c>
      <c r="T18" s="112">
        <v>0</v>
      </c>
      <c r="U18" s="112">
        <v>0.8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0.8</v>
      </c>
      <c r="AF18" s="112">
        <v>0.8</v>
      </c>
      <c r="AG18" s="112">
        <v>0.8</v>
      </c>
      <c r="AH18" s="112">
        <v>0</v>
      </c>
      <c r="AI18" s="112">
        <v>0</v>
      </c>
      <c r="AJ18" s="112">
        <v>0</v>
      </c>
      <c r="AK18" s="112">
        <v>0</v>
      </c>
      <c r="AL18" s="112">
        <v>0.8</v>
      </c>
      <c r="AM18" s="112">
        <v>0</v>
      </c>
      <c r="AN18" s="112">
        <v>0</v>
      </c>
    </row>
    <row r="19" spans="1:40" customFormat="1" x14ac:dyDescent="0.15">
      <c r="A19" s="190" t="s">
        <v>208</v>
      </c>
      <c r="B19" s="112">
        <v>0</v>
      </c>
      <c r="C19" s="112">
        <v>0</v>
      </c>
      <c r="D19" s="112">
        <v>0</v>
      </c>
      <c r="E19" s="112">
        <v>0</v>
      </c>
      <c r="F19" s="112">
        <v>0</v>
      </c>
      <c r="G19" s="112">
        <v>0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0.8</v>
      </c>
      <c r="AF19" s="112">
        <v>0.8</v>
      </c>
      <c r="AG19" s="112">
        <v>0.8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</row>
    <row r="20" spans="1:40" customFormat="1" x14ac:dyDescent="0.15">
      <c r="A20" s="190" t="s">
        <v>209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0.8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</row>
    <row r="21" spans="1:40" customFormat="1" x14ac:dyDescent="0.15">
      <c r="A21" s="190" t="s">
        <v>210</v>
      </c>
      <c r="B21" s="112">
        <v>0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0.8</v>
      </c>
      <c r="O21" s="112">
        <v>0</v>
      </c>
      <c r="P21" s="112">
        <v>0</v>
      </c>
      <c r="Q21" s="112">
        <v>0</v>
      </c>
      <c r="R21" s="112">
        <v>0.8</v>
      </c>
      <c r="S21" s="112">
        <v>0</v>
      </c>
      <c r="T21" s="112">
        <v>0</v>
      </c>
      <c r="U21" s="112">
        <v>0.8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0.8</v>
      </c>
      <c r="AE21" s="112">
        <v>0.8</v>
      </c>
      <c r="AF21" s="112">
        <v>0.8</v>
      </c>
      <c r="AG21" s="112">
        <v>0.8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</row>
    <row r="22" spans="1:40" customFormat="1" x14ac:dyDescent="0.15">
      <c r="A22" s="190" t="s">
        <v>211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0.8</v>
      </c>
      <c r="R22" s="112">
        <v>0.8</v>
      </c>
      <c r="S22" s="112">
        <v>0</v>
      </c>
      <c r="T22" s="112">
        <v>0</v>
      </c>
      <c r="U22" s="112">
        <v>0</v>
      </c>
      <c r="V22" s="112">
        <v>0.8</v>
      </c>
      <c r="W22" s="112">
        <v>0.8</v>
      </c>
      <c r="X22" s="112">
        <v>0.8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0.8</v>
      </c>
      <c r="AE22" s="112">
        <v>0.8</v>
      </c>
      <c r="AF22" s="112">
        <v>0.8</v>
      </c>
      <c r="AG22" s="112">
        <v>0</v>
      </c>
      <c r="AH22" s="112">
        <v>0.8</v>
      </c>
      <c r="AI22" s="112">
        <v>0</v>
      </c>
      <c r="AJ22" s="112">
        <v>0</v>
      </c>
      <c r="AK22" s="112">
        <v>0.8</v>
      </c>
      <c r="AL22" s="112">
        <v>0.8</v>
      </c>
      <c r="AM22" s="112">
        <v>0</v>
      </c>
      <c r="AN22" s="112">
        <v>0</v>
      </c>
    </row>
    <row r="23" spans="1:40" customFormat="1" x14ac:dyDescent="0.15">
      <c r="A23" s="190" t="s">
        <v>212</v>
      </c>
      <c r="B23" s="112">
        <v>0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0.8</v>
      </c>
      <c r="AE23" s="112">
        <v>0.8</v>
      </c>
      <c r="AF23" s="112">
        <v>0.8</v>
      </c>
      <c r="AG23" s="112">
        <v>0</v>
      </c>
      <c r="AH23" s="112">
        <v>0.8</v>
      </c>
      <c r="AI23" s="112">
        <v>0</v>
      </c>
      <c r="AJ23" s="112">
        <v>0</v>
      </c>
      <c r="AK23" s="112">
        <v>0</v>
      </c>
      <c r="AL23" s="112">
        <v>0.8</v>
      </c>
      <c r="AM23" s="112">
        <v>0</v>
      </c>
      <c r="AN23" s="112">
        <v>0</v>
      </c>
    </row>
    <row r="24" spans="1:40" customFormat="1" x14ac:dyDescent="0.15">
      <c r="A24" s="190" t="s">
        <v>213</v>
      </c>
      <c r="B24" s="112">
        <v>0</v>
      </c>
      <c r="C24" s="112">
        <v>0</v>
      </c>
      <c r="D24" s="112">
        <v>0</v>
      </c>
      <c r="E24" s="112">
        <v>0</v>
      </c>
      <c r="F24" s="112">
        <v>0</v>
      </c>
      <c r="G24" s="112">
        <v>0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0.8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0.8</v>
      </c>
      <c r="AE24" s="112">
        <v>0.8</v>
      </c>
      <c r="AF24" s="112">
        <v>0</v>
      </c>
      <c r="AG24" s="112">
        <v>0</v>
      </c>
      <c r="AH24" s="112">
        <v>0.8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</row>
    <row r="25" spans="1:40" customFormat="1" x14ac:dyDescent="0.15">
      <c r="A25" s="190" t="s">
        <v>214</v>
      </c>
      <c r="B25" s="112">
        <v>0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0.8</v>
      </c>
      <c r="O25" s="112">
        <v>0</v>
      </c>
      <c r="P25" s="112">
        <v>0.8</v>
      </c>
      <c r="Q25" s="112">
        <v>0.8</v>
      </c>
      <c r="R25" s="112">
        <v>0</v>
      </c>
      <c r="S25" s="112">
        <v>0</v>
      </c>
      <c r="T25" s="112">
        <v>0</v>
      </c>
      <c r="U25" s="112">
        <v>0</v>
      </c>
      <c r="V25" s="112">
        <v>0.8</v>
      </c>
      <c r="W25" s="112">
        <v>0</v>
      </c>
      <c r="X25" s="112">
        <v>0</v>
      </c>
      <c r="Y25" s="112">
        <v>0</v>
      </c>
      <c r="Z25" s="112">
        <v>0.8</v>
      </c>
      <c r="AA25" s="112">
        <v>0.8</v>
      </c>
      <c r="AB25" s="112">
        <v>0</v>
      </c>
      <c r="AC25" s="112">
        <v>0</v>
      </c>
      <c r="AD25" s="112">
        <v>0.8</v>
      </c>
      <c r="AE25" s="112">
        <v>0.8</v>
      </c>
      <c r="AF25" s="112">
        <v>0</v>
      </c>
      <c r="AG25" s="112">
        <v>0</v>
      </c>
      <c r="AH25" s="112">
        <v>0.8</v>
      </c>
      <c r="AI25" s="112">
        <v>0</v>
      </c>
      <c r="AJ25" s="112">
        <v>0.8</v>
      </c>
      <c r="AK25" s="112">
        <v>0.8</v>
      </c>
      <c r="AL25" s="112">
        <v>0.8</v>
      </c>
      <c r="AM25" s="112">
        <v>0</v>
      </c>
      <c r="AN25" s="112">
        <v>0</v>
      </c>
    </row>
    <row r="26" spans="1:40" customFormat="1" x14ac:dyDescent="0.15">
      <c r="A26" s="190" t="s">
        <v>215</v>
      </c>
      <c r="B26" s="112">
        <v>0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12">
        <v>0</v>
      </c>
      <c r="Q26" s="112">
        <v>0</v>
      </c>
      <c r="R26" s="112">
        <v>0</v>
      </c>
      <c r="S26" s="112">
        <v>0</v>
      </c>
      <c r="T26" s="112">
        <v>0</v>
      </c>
      <c r="U26" s="112">
        <v>0.8</v>
      </c>
      <c r="V26" s="112">
        <v>0</v>
      </c>
      <c r="W26" s="112">
        <v>0</v>
      </c>
      <c r="X26" s="112">
        <v>0</v>
      </c>
      <c r="Y26" s="112">
        <v>0</v>
      </c>
      <c r="Z26" s="112">
        <v>0</v>
      </c>
      <c r="AA26" s="112">
        <v>0</v>
      </c>
      <c r="AB26" s="112">
        <v>0.8</v>
      </c>
      <c r="AC26" s="112">
        <v>0</v>
      </c>
      <c r="AD26" s="112">
        <v>0.8</v>
      </c>
      <c r="AE26" s="112">
        <v>0</v>
      </c>
      <c r="AF26" s="112">
        <v>0.8</v>
      </c>
      <c r="AG26" s="112">
        <v>0</v>
      </c>
      <c r="AH26" s="112">
        <v>0</v>
      </c>
      <c r="AI26" s="112">
        <v>0</v>
      </c>
      <c r="AJ26" s="112">
        <v>0</v>
      </c>
      <c r="AK26" s="112">
        <v>0.8</v>
      </c>
      <c r="AL26" s="112">
        <v>0.8</v>
      </c>
      <c r="AM26" s="112">
        <v>0</v>
      </c>
      <c r="AN26" s="112">
        <v>0</v>
      </c>
    </row>
    <row r="27" spans="1:40" customFormat="1" x14ac:dyDescent="0.15">
      <c r="A27" s="190" t="s">
        <v>216</v>
      </c>
      <c r="B27" s="112">
        <v>0</v>
      </c>
      <c r="C27" s="112">
        <v>0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</v>
      </c>
      <c r="N27" s="112">
        <v>0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112">
        <v>0.8</v>
      </c>
      <c r="V27" s="112">
        <v>0</v>
      </c>
      <c r="W27" s="112">
        <v>0</v>
      </c>
      <c r="X27" s="112">
        <v>0.8</v>
      </c>
      <c r="Y27" s="112">
        <v>0</v>
      </c>
      <c r="Z27" s="112">
        <v>0</v>
      </c>
      <c r="AA27" s="112">
        <v>0</v>
      </c>
      <c r="AB27" s="112">
        <v>0.8</v>
      </c>
      <c r="AC27" s="112">
        <v>0</v>
      </c>
      <c r="AD27" s="112">
        <v>0.8</v>
      </c>
      <c r="AE27" s="112">
        <v>0</v>
      </c>
      <c r="AF27" s="112">
        <v>0.8</v>
      </c>
      <c r="AG27" s="112">
        <v>0.8</v>
      </c>
      <c r="AH27" s="112">
        <v>0.8</v>
      </c>
      <c r="AI27" s="112">
        <v>0</v>
      </c>
      <c r="AJ27" s="112">
        <v>0</v>
      </c>
      <c r="AK27" s="112">
        <v>0.8</v>
      </c>
      <c r="AL27" s="112">
        <v>0.8</v>
      </c>
      <c r="AM27" s="112">
        <v>0</v>
      </c>
      <c r="AN27" s="112">
        <v>0</v>
      </c>
    </row>
    <row r="28" spans="1:40" customFormat="1" x14ac:dyDescent="0.15">
      <c r="A28" s="190" t="s">
        <v>217</v>
      </c>
      <c r="B28" s="112">
        <v>0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2">
        <v>0</v>
      </c>
      <c r="Q28" s="112">
        <v>0</v>
      </c>
      <c r="R28" s="112">
        <v>0</v>
      </c>
      <c r="S28" s="112">
        <v>0</v>
      </c>
      <c r="T28" s="112">
        <v>0</v>
      </c>
      <c r="U28" s="112">
        <v>0.8</v>
      </c>
      <c r="V28" s="112">
        <v>0</v>
      </c>
      <c r="W28" s="112">
        <v>0</v>
      </c>
      <c r="X28" s="112">
        <v>0.8</v>
      </c>
      <c r="Y28" s="112">
        <v>0</v>
      </c>
      <c r="Z28" s="112">
        <v>0</v>
      </c>
      <c r="AA28" s="112">
        <v>0.8</v>
      </c>
      <c r="AB28" s="112">
        <v>0.8</v>
      </c>
      <c r="AC28" s="112">
        <v>0</v>
      </c>
      <c r="AD28" s="112">
        <v>0.8</v>
      </c>
      <c r="AE28" s="112">
        <v>0</v>
      </c>
      <c r="AF28" s="112">
        <v>0</v>
      </c>
      <c r="AG28" s="112">
        <v>0</v>
      </c>
      <c r="AH28" s="112">
        <v>0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  <c r="AN28" s="112">
        <v>0</v>
      </c>
    </row>
    <row r="29" spans="1:40" customFormat="1" x14ac:dyDescent="0.15">
      <c r="A29" s="190" t="s">
        <v>218</v>
      </c>
      <c r="B29" s="112">
        <v>0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0.8</v>
      </c>
      <c r="M29" s="112">
        <v>0</v>
      </c>
      <c r="N29" s="112">
        <v>0</v>
      </c>
      <c r="O29" s="112">
        <v>0</v>
      </c>
      <c r="P29" s="112">
        <v>0</v>
      </c>
      <c r="Q29" s="112">
        <v>0.8</v>
      </c>
      <c r="R29" s="112">
        <v>0.8</v>
      </c>
      <c r="S29" s="112">
        <v>0.8</v>
      </c>
      <c r="T29" s="112">
        <v>0</v>
      </c>
      <c r="U29" s="112">
        <v>0.8</v>
      </c>
      <c r="V29" s="112">
        <v>0</v>
      </c>
      <c r="W29" s="112">
        <v>0.8</v>
      </c>
      <c r="X29" s="112">
        <v>0</v>
      </c>
      <c r="Y29" s="112">
        <v>0</v>
      </c>
      <c r="Z29" s="112">
        <v>0</v>
      </c>
      <c r="AA29" s="112">
        <v>0.8</v>
      </c>
      <c r="AB29" s="112">
        <v>0.8</v>
      </c>
      <c r="AC29" s="112">
        <v>0</v>
      </c>
      <c r="AD29" s="112">
        <v>0.8</v>
      </c>
      <c r="AE29" s="112">
        <v>0.8</v>
      </c>
      <c r="AF29" s="112">
        <v>0.8</v>
      </c>
      <c r="AG29" s="112">
        <v>0.8</v>
      </c>
      <c r="AH29" s="112">
        <v>0.8</v>
      </c>
      <c r="AI29" s="112">
        <v>0</v>
      </c>
      <c r="AJ29" s="112">
        <v>0.8</v>
      </c>
      <c r="AK29" s="112">
        <v>0.8</v>
      </c>
      <c r="AL29" s="112">
        <v>0.8</v>
      </c>
      <c r="AM29" s="112">
        <v>0</v>
      </c>
      <c r="AN29" s="112">
        <v>0</v>
      </c>
    </row>
    <row r="30" spans="1:40" customFormat="1" x14ac:dyDescent="0.15">
      <c r="A30" s="190" t="s">
        <v>219</v>
      </c>
      <c r="B30" s="112">
        <v>0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2">
        <v>0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112">
        <v>0</v>
      </c>
      <c r="X30" s="112">
        <v>0</v>
      </c>
      <c r="Y30" s="112">
        <v>0</v>
      </c>
      <c r="Z30" s="112">
        <v>0</v>
      </c>
      <c r="AA30" s="112">
        <v>0</v>
      </c>
      <c r="AB30" s="112">
        <v>0.8</v>
      </c>
      <c r="AC30" s="112">
        <v>0</v>
      </c>
      <c r="AD30" s="112">
        <v>0.8</v>
      </c>
      <c r="AE30" s="112">
        <v>0.8</v>
      </c>
      <c r="AF30" s="112">
        <v>0.8</v>
      </c>
      <c r="AG30" s="112">
        <v>0.8</v>
      </c>
      <c r="AH30" s="112">
        <v>0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</row>
    <row r="31" spans="1:40" customFormat="1" x14ac:dyDescent="0.15">
      <c r="A31" s="190" t="s">
        <v>220</v>
      </c>
      <c r="B31" s="112">
        <v>0</v>
      </c>
      <c r="C31" s="112">
        <v>0</v>
      </c>
      <c r="D31" s="112">
        <v>0</v>
      </c>
      <c r="E31" s="112">
        <v>0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0</v>
      </c>
      <c r="Q31" s="112">
        <v>0</v>
      </c>
      <c r="R31" s="112">
        <v>0</v>
      </c>
      <c r="S31" s="112">
        <v>0.8</v>
      </c>
      <c r="T31" s="112">
        <v>0</v>
      </c>
      <c r="U31" s="112">
        <v>0.8</v>
      </c>
      <c r="V31" s="112">
        <v>0</v>
      </c>
      <c r="W31" s="112">
        <v>0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0.8</v>
      </c>
      <c r="AG31" s="112">
        <v>0.8</v>
      </c>
      <c r="AH31" s="112">
        <v>0</v>
      </c>
      <c r="AI31" s="112">
        <v>0</v>
      </c>
      <c r="AJ31" s="112">
        <v>0</v>
      </c>
      <c r="AK31" s="112">
        <v>0</v>
      </c>
      <c r="AL31" s="112">
        <v>0</v>
      </c>
      <c r="AM31" s="112">
        <v>0</v>
      </c>
      <c r="AN31" s="112">
        <v>0</v>
      </c>
    </row>
    <row r="32" spans="1:40" customFormat="1" x14ac:dyDescent="0.15">
      <c r="A32" s="190" t="s">
        <v>221</v>
      </c>
      <c r="B32" s="112">
        <v>0</v>
      </c>
      <c r="C32" s="112">
        <v>0</v>
      </c>
      <c r="D32" s="112">
        <v>0</v>
      </c>
      <c r="E32" s="112">
        <v>0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0</v>
      </c>
      <c r="AA32" s="112">
        <v>0</v>
      </c>
      <c r="AB32" s="112">
        <v>0</v>
      </c>
      <c r="AC32" s="112">
        <v>0</v>
      </c>
      <c r="AD32" s="112">
        <v>0.8</v>
      </c>
      <c r="AE32" s="112">
        <v>0</v>
      </c>
      <c r="AF32" s="112">
        <v>0.8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</row>
    <row r="33" spans="1:40" x14ac:dyDescent="0.15">
      <c r="A33" s="190" t="s">
        <v>222</v>
      </c>
      <c r="B33" s="112">
        <v>0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112">
        <v>0</v>
      </c>
      <c r="Z33" s="112">
        <v>0</v>
      </c>
      <c r="AA33" s="112">
        <v>0</v>
      </c>
      <c r="AB33" s="112">
        <v>0</v>
      </c>
      <c r="AC33" s="112">
        <v>0</v>
      </c>
      <c r="AD33" s="112">
        <v>0</v>
      </c>
      <c r="AE33" s="112">
        <v>0</v>
      </c>
      <c r="AF33" s="112">
        <v>0.8</v>
      </c>
      <c r="AG33" s="112">
        <v>0</v>
      </c>
      <c r="AH33" s="112">
        <v>0</v>
      </c>
      <c r="AI33" s="112">
        <v>0</v>
      </c>
      <c r="AJ33" s="112">
        <v>0</v>
      </c>
      <c r="AK33" s="112">
        <v>0</v>
      </c>
      <c r="AL33" s="112">
        <v>0</v>
      </c>
      <c r="AM33" s="112">
        <v>0</v>
      </c>
      <c r="AN33" s="112">
        <v>0</v>
      </c>
    </row>
    <row r="34" spans="1:40" x14ac:dyDescent="0.15">
      <c r="A34" s="190" t="s">
        <v>223</v>
      </c>
      <c r="B34" s="112">
        <v>0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0.8</v>
      </c>
      <c r="K34" s="112">
        <v>0</v>
      </c>
      <c r="L34" s="112">
        <v>0</v>
      </c>
      <c r="M34" s="112">
        <v>0.8</v>
      </c>
      <c r="N34" s="112">
        <v>0.8</v>
      </c>
      <c r="O34" s="112">
        <v>0</v>
      </c>
      <c r="P34" s="112">
        <v>0.8</v>
      </c>
      <c r="Q34" s="112">
        <v>0.8</v>
      </c>
      <c r="R34" s="112">
        <v>0.8</v>
      </c>
      <c r="S34" s="112">
        <v>0.8</v>
      </c>
      <c r="T34" s="112">
        <v>0.8</v>
      </c>
      <c r="U34" s="112">
        <v>0.8</v>
      </c>
      <c r="V34" s="112">
        <v>0</v>
      </c>
      <c r="W34" s="112">
        <v>0.8</v>
      </c>
      <c r="X34" s="112">
        <v>0.8</v>
      </c>
      <c r="Y34" s="112">
        <v>0</v>
      </c>
      <c r="Z34" s="112">
        <v>0</v>
      </c>
      <c r="AA34" s="112">
        <v>0.8</v>
      </c>
      <c r="AB34" s="112">
        <v>0</v>
      </c>
      <c r="AC34" s="112">
        <v>0</v>
      </c>
      <c r="AD34" s="112">
        <v>0.8</v>
      </c>
      <c r="AE34" s="112">
        <v>0.8</v>
      </c>
      <c r="AF34" s="112">
        <v>0.8</v>
      </c>
      <c r="AG34" s="112">
        <v>0.8</v>
      </c>
      <c r="AH34" s="112">
        <v>0.8</v>
      </c>
      <c r="AI34" s="112">
        <v>0</v>
      </c>
      <c r="AJ34" s="112">
        <v>0.8</v>
      </c>
      <c r="AK34" s="112">
        <v>0.8</v>
      </c>
      <c r="AL34" s="112">
        <v>0.8</v>
      </c>
      <c r="AM34" s="112">
        <v>0</v>
      </c>
      <c r="AN34" s="112">
        <v>0</v>
      </c>
    </row>
    <row r="35" spans="1:40" x14ac:dyDescent="0.15">
      <c r="A35" s="190" t="s">
        <v>224</v>
      </c>
      <c r="B35" s="112">
        <v>0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0.8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</row>
    <row r="36" spans="1:40" x14ac:dyDescent="0.15">
      <c r="A36" s="190" t="s">
        <v>225</v>
      </c>
      <c r="B36" s="112">
        <v>0</v>
      </c>
      <c r="C36" s="112">
        <v>0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0.8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</row>
    <row r="37" spans="1:40" x14ac:dyDescent="0.15">
      <c r="A37" s="190" t="s">
        <v>226</v>
      </c>
      <c r="B37" s="112">
        <v>0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0.8</v>
      </c>
      <c r="AH37" s="112">
        <v>0</v>
      </c>
      <c r="AI37" s="112">
        <v>0</v>
      </c>
      <c r="AJ37" s="112">
        <v>0</v>
      </c>
      <c r="AK37" s="112">
        <v>0</v>
      </c>
      <c r="AL37" s="112">
        <v>0.8</v>
      </c>
      <c r="AM37" s="112">
        <v>0</v>
      </c>
      <c r="AN37" s="112">
        <v>0</v>
      </c>
    </row>
    <row r="38" spans="1:40" x14ac:dyDescent="0.15">
      <c r="A38" s="190" t="s">
        <v>227</v>
      </c>
      <c r="B38" s="112">
        <v>0</v>
      </c>
      <c r="C38" s="112">
        <v>0</v>
      </c>
      <c r="D38" s="112">
        <v>0</v>
      </c>
      <c r="E38" s="112">
        <v>0</v>
      </c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0.8</v>
      </c>
      <c r="AG38" s="112">
        <v>0.8</v>
      </c>
      <c r="AH38" s="112">
        <v>0</v>
      </c>
      <c r="AI38" s="112">
        <v>0</v>
      </c>
      <c r="AJ38" s="112">
        <v>0</v>
      </c>
      <c r="AK38" s="112">
        <v>0</v>
      </c>
      <c r="AL38" s="112">
        <v>0.8</v>
      </c>
      <c r="AM38" s="112">
        <v>0</v>
      </c>
      <c r="AN38" s="112">
        <v>0</v>
      </c>
    </row>
    <row r="39" spans="1:40" x14ac:dyDescent="0.15">
      <c r="A39" s="190" t="s">
        <v>228</v>
      </c>
      <c r="B39" s="112">
        <v>0</v>
      </c>
      <c r="C39" s="112">
        <v>0</v>
      </c>
      <c r="D39" s="112">
        <v>0.8</v>
      </c>
      <c r="E39" s="112">
        <v>0.8</v>
      </c>
      <c r="F39" s="112">
        <v>0.8</v>
      </c>
      <c r="G39" s="112">
        <v>0.8</v>
      </c>
      <c r="H39" s="112">
        <v>0.8</v>
      </c>
      <c r="I39" s="112">
        <v>0.8</v>
      </c>
      <c r="J39" s="112">
        <v>0</v>
      </c>
      <c r="K39" s="112">
        <v>0.8</v>
      </c>
      <c r="L39" s="112">
        <v>0</v>
      </c>
      <c r="M39" s="112">
        <v>0</v>
      </c>
      <c r="N39" s="112">
        <v>0</v>
      </c>
      <c r="O39" s="112">
        <v>0.8</v>
      </c>
      <c r="P39" s="112">
        <v>0.8</v>
      </c>
      <c r="Q39" s="112">
        <v>0.8</v>
      </c>
      <c r="R39" s="112">
        <v>0</v>
      </c>
      <c r="S39" s="112">
        <v>0.8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0.8</v>
      </c>
      <c r="AD39" s="112">
        <v>0</v>
      </c>
      <c r="AE39" s="112">
        <v>0</v>
      </c>
      <c r="AF39" s="112">
        <v>0.8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0</v>
      </c>
      <c r="AN39" s="112">
        <v>0</v>
      </c>
    </row>
    <row r="40" spans="1:40" x14ac:dyDescent="0.15">
      <c r="A40" s="190" t="s">
        <v>229</v>
      </c>
      <c r="B40" s="112">
        <v>0</v>
      </c>
      <c r="C40" s="112">
        <v>0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</row>
    <row r="41" spans="1:40" x14ac:dyDescent="0.15">
      <c r="A41" s="190" t="s">
        <v>234</v>
      </c>
      <c r="B41" s="112">
        <v>0</v>
      </c>
      <c r="C41" s="112">
        <v>0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0.8</v>
      </c>
      <c r="L41" s="112">
        <v>0</v>
      </c>
      <c r="M41" s="112">
        <v>0</v>
      </c>
      <c r="N41" s="112">
        <v>0</v>
      </c>
      <c r="O41" s="112">
        <v>0.8</v>
      </c>
      <c r="P41" s="112">
        <v>0.8</v>
      </c>
      <c r="Q41" s="112">
        <v>0</v>
      </c>
      <c r="R41" s="112">
        <v>0</v>
      </c>
      <c r="S41" s="112">
        <v>0.8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0.8</v>
      </c>
      <c r="AB41" s="112">
        <v>0</v>
      </c>
      <c r="AC41" s="112">
        <v>0</v>
      </c>
      <c r="AD41" s="112">
        <v>0</v>
      </c>
      <c r="AE41" s="112">
        <v>0</v>
      </c>
      <c r="AF41" s="112">
        <v>0.8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N41"/>
  <sheetViews>
    <sheetView workbookViewId="0">
      <selection activeCell="A3" sqref="A3"/>
    </sheetView>
  </sheetViews>
  <sheetFormatPr baseColWidth="10" defaultRowHeight="13" x14ac:dyDescent="0.15"/>
  <cols>
    <col min="1" max="1" width="23.1640625" style="112" bestFit="1" customWidth="1"/>
    <col min="2" max="40" width="2.33203125" style="112" customWidth="1"/>
    <col min="41" max="16384" width="10.83203125" style="112"/>
  </cols>
  <sheetData>
    <row r="1" spans="1:40" x14ac:dyDescent="0.15">
      <c r="A1" s="63" t="s">
        <v>139</v>
      </c>
      <c r="B1" s="193" t="s">
        <v>191</v>
      </c>
      <c r="C1" s="193" t="s">
        <v>192</v>
      </c>
      <c r="D1" s="193" t="s">
        <v>193</v>
      </c>
      <c r="E1" s="193" t="s">
        <v>194</v>
      </c>
      <c r="F1" s="193" t="s">
        <v>195</v>
      </c>
      <c r="G1" s="193" t="s">
        <v>196</v>
      </c>
      <c r="H1" s="193" t="s">
        <v>197</v>
      </c>
      <c r="I1" s="193" t="s">
        <v>198</v>
      </c>
      <c r="J1" s="193" t="s">
        <v>199</v>
      </c>
      <c r="K1" s="193" t="s">
        <v>200</v>
      </c>
      <c r="L1" s="193" t="s">
        <v>201</v>
      </c>
      <c r="M1" s="193" t="s">
        <v>202</v>
      </c>
      <c r="N1" s="193" t="s">
        <v>203</v>
      </c>
      <c r="O1" s="193" t="s">
        <v>204</v>
      </c>
      <c r="P1" s="193" t="s">
        <v>205</v>
      </c>
      <c r="Q1" s="193" t="s">
        <v>206</v>
      </c>
      <c r="R1" s="193" t="s">
        <v>207</v>
      </c>
      <c r="S1" s="193" t="s">
        <v>208</v>
      </c>
      <c r="T1" s="193" t="s">
        <v>209</v>
      </c>
      <c r="U1" s="193" t="s">
        <v>210</v>
      </c>
      <c r="V1" s="193" t="s">
        <v>211</v>
      </c>
      <c r="W1" s="193" t="s">
        <v>212</v>
      </c>
      <c r="X1" s="193" t="s">
        <v>213</v>
      </c>
      <c r="Y1" s="193" t="s">
        <v>214</v>
      </c>
      <c r="Z1" s="193" t="s">
        <v>215</v>
      </c>
      <c r="AA1" s="193" t="s">
        <v>216</v>
      </c>
      <c r="AB1" s="193" t="s">
        <v>217</v>
      </c>
      <c r="AC1" s="193" t="s">
        <v>218</v>
      </c>
      <c r="AD1" s="193" t="s">
        <v>219</v>
      </c>
      <c r="AE1" s="193" t="s">
        <v>220</v>
      </c>
      <c r="AF1" s="193" t="s">
        <v>221</v>
      </c>
      <c r="AG1" s="193" t="s">
        <v>222</v>
      </c>
      <c r="AH1" s="193" t="s">
        <v>223</v>
      </c>
      <c r="AI1" s="193" t="s">
        <v>224</v>
      </c>
      <c r="AJ1" s="193" t="s">
        <v>225</v>
      </c>
      <c r="AK1" s="193" t="s">
        <v>226</v>
      </c>
      <c r="AL1" s="193" t="s">
        <v>227</v>
      </c>
      <c r="AM1" s="193" t="s">
        <v>228</v>
      </c>
      <c r="AN1" s="193" t="s">
        <v>229</v>
      </c>
    </row>
    <row r="2" spans="1:40" customFormat="1" x14ac:dyDescent="0.15">
      <c r="A2" s="192" t="s">
        <v>191</v>
      </c>
      <c r="B2" s="112">
        <v>0</v>
      </c>
      <c r="C2" s="112">
        <v>1</v>
      </c>
      <c r="D2" s="112">
        <v>1</v>
      </c>
      <c r="E2" s="112">
        <v>0</v>
      </c>
      <c r="F2" s="112">
        <v>0</v>
      </c>
      <c r="G2" s="112">
        <v>0</v>
      </c>
      <c r="H2" s="112">
        <v>1</v>
      </c>
      <c r="I2" s="112">
        <v>1</v>
      </c>
      <c r="J2" s="112">
        <v>0</v>
      </c>
      <c r="K2" s="112">
        <v>1</v>
      </c>
      <c r="L2" s="112">
        <v>0</v>
      </c>
      <c r="M2" s="112">
        <v>0</v>
      </c>
      <c r="N2" s="112">
        <v>0</v>
      </c>
      <c r="O2" s="112">
        <v>1</v>
      </c>
      <c r="P2" s="112">
        <v>1</v>
      </c>
      <c r="Q2" s="112">
        <v>1</v>
      </c>
      <c r="R2" s="112">
        <v>0</v>
      </c>
      <c r="S2" s="112">
        <v>1</v>
      </c>
      <c r="T2" s="112">
        <v>0</v>
      </c>
      <c r="U2" s="112">
        <v>0</v>
      </c>
      <c r="V2" s="112">
        <v>1</v>
      </c>
      <c r="W2" s="112">
        <v>0</v>
      </c>
      <c r="X2" s="112">
        <v>0</v>
      </c>
      <c r="Y2" s="112">
        <v>0</v>
      </c>
      <c r="Z2" s="112">
        <v>0</v>
      </c>
      <c r="AA2" s="112">
        <v>1</v>
      </c>
      <c r="AB2" s="112">
        <v>0</v>
      </c>
      <c r="AC2" s="112">
        <v>1</v>
      </c>
      <c r="AD2" s="112">
        <v>0</v>
      </c>
      <c r="AE2" s="112">
        <v>0</v>
      </c>
      <c r="AF2" s="112">
        <v>1</v>
      </c>
      <c r="AG2" s="112">
        <v>1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</row>
    <row r="3" spans="1:40" customFormat="1" x14ac:dyDescent="0.15">
      <c r="A3" s="192" t="s">
        <v>192</v>
      </c>
      <c r="B3" s="112">
        <v>0</v>
      </c>
      <c r="C3" s="112">
        <v>0</v>
      </c>
      <c r="D3" s="112">
        <v>1</v>
      </c>
      <c r="E3" s="112">
        <v>0</v>
      </c>
      <c r="F3" s="112">
        <v>0</v>
      </c>
      <c r="G3" s="112">
        <v>0</v>
      </c>
      <c r="H3" s="112">
        <v>1</v>
      </c>
      <c r="I3" s="112">
        <v>1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1</v>
      </c>
      <c r="P3" s="112">
        <v>1</v>
      </c>
      <c r="Q3" s="112">
        <v>0</v>
      </c>
      <c r="R3" s="112">
        <v>0</v>
      </c>
      <c r="S3" s="112">
        <v>1</v>
      </c>
      <c r="T3" s="112">
        <v>0</v>
      </c>
      <c r="U3" s="112">
        <v>0</v>
      </c>
      <c r="V3" s="112">
        <v>1</v>
      </c>
      <c r="W3" s="112">
        <v>0</v>
      </c>
      <c r="X3" s="112">
        <v>0</v>
      </c>
      <c r="Y3" s="112">
        <v>1</v>
      </c>
      <c r="Z3" s="112">
        <v>1</v>
      </c>
      <c r="AA3" s="112">
        <v>1</v>
      </c>
      <c r="AB3" s="112">
        <v>1</v>
      </c>
      <c r="AC3" s="112">
        <v>1</v>
      </c>
      <c r="AD3" s="112">
        <v>1</v>
      </c>
      <c r="AE3" s="112">
        <v>0</v>
      </c>
      <c r="AF3" s="112">
        <v>0</v>
      </c>
      <c r="AG3" s="112">
        <v>1</v>
      </c>
      <c r="AH3" s="112">
        <v>1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</row>
    <row r="4" spans="1:40" customFormat="1" x14ac:dyDescent="0.15">
      <c r="A4" s="192" t="s">
        <v>193</v>
      </c>
      <c r="B4" s="112">
        <v>0</v>
      </c>
      <c r="C4" s="112">
        <v>0</v>
      </c>
      <c r="D4" s="112">
        <v>1</v>
      </c>
      <c r="E4" s="112">
        <v>0</v>
      </c>
      <c r="F4" s="112">
        <v>0</v>
      </c>
      <c r="G4" s="112">
        <v>0</v>
      </c>
      <c r="H4" s="112">
        <v>0</v>
      </c>
      <c r="I4" s="112">
        <v>1</v>
      </c>
      <c r="J4" s="112">
        <v>1</v>
      </c>
      <c r="K4" s="112">
        <v>0</v>
      </c>
      <c r="L4" s="112">
        <v>1</v>
      </c>
      <c r="M4" s="112">
        <v>1</v>
      </c>
      <c r="N4" s="112">
        <v>1</v>
      </c>
      <c r="O4" s="112">
        <v>1</v>
      </c>
      <c r="P4" s="112">
        <v>1</v>
      </c>
      <c r="Q4" s="112">
        <v>1</v>
      </c>
      <c r="R4" s="112">
        <v>1</v>
      </c>
      <c r="S4" s="112">
        <v>1</v>
      </c>
      <c r="T4" s="112">
        <v>0</v>
      </c>
      <c r="U4" s="112">
        <v>1</v>
      </c>
      <c r="V4" s="112">
        <v>1</v>
      </c>
      <c r="W4" s="112">
        <v>1</v>
      </c>
      <c r="X4" s="112">
        <v>0</v>
      </c>
      <c r="Y4" s="112">
        <v>1</v>
      </c>
      <c r="Z4" s="112">
        <v>1</v>
      </c>
      <c r="AA4" s="112">
        <v>1</v>
      </c>
      <c r="AB4" s="112">
        <v>0</v>
      </c>
      <c r="AC4" s="112">
        <v>1</v>
      </c>
      <c r="AD4" s="112">
        <v>1</v>
      </c>
      <c r="AE4" s="112">
        <v>1</v>
      </c>
      <c r="AF4" s="112">
        <v>1</v>
      </c>
      <c r="AG4" s="112">
        <v>1</v>
      </c>
      <c r="AH4" s="112">
        <v>1</v>
      </c>
      <c r="AI4" s="112">
        <v>1</v>
      </c>
      <c r="AJ4" s="112">
        <v>1</v>
      </c>
      <c r="AK4" s="112">
        <v>1</v>
      </c>
      <c r="AL4" s="112">
        <v>0</v>
      </c>
      <c r="AM4" s="112">
        <v>0</v>
      </c>
      <c r="AN4" s="112">
        <v>0</v>
      </c>
    </row>
    <row r="5" spans="1:40" customFormat="1" x14ac:dyDescent="0.15">
      <c r="A5" s="192" t="s">
        <v>194</v>
      </c>
      <c r="B5" s="112">
        <v>0</v>
      </c>
      <c r="C5" s="112">
        <v>0</v>
      </c>
      <c r="D5" s="112">
        <v>0</v>
      </c>
      <c r="E5" s="112">
        <v>0</v>
      </c>
      <c r="F5" s="112">
        <v>0</v>
      </c>
      <c r="G5" s="112">
        <v>0</v>
      </c>
      <c r="H5" s="112">
        <v>1</v>
      </c>
      <c r="I5" s="112">
        <v>1</v>
      </c>
      <c r="J5" s="112">
        <v>0</v>
      </c>
      <c r="K5" s="112">
        <v>1</v>
      </c>
      <c r="L5" s="112">
        <v>1</v>
      </c>
      <c r="M5" s="112">
        <v>1</v>
      </c>
      <c r="N5" s="112">
        <v>0</v>
      </c>
      <c r="O5" s="112">
        <v>1</v>
      </c>
      <c r="P5" s="112">
        <v>1</v>
      </c>
      <c r="Q5" s="112">
        <v>1</v>
      </c>
      <c r="R5" s="112">
        <v>1</v>
      </c>
      <c r="S5" s="112">
        <v>1</v>
      </c>
      <c r="T5" s="112">
        <v>0</v>
      </c>
      <c r="U5" s="112">
        <v>0</v>
      </c>
      <c r="V5" s="112">
        <v>1</v>
      </c>
      <c r="W5" s="112">
        <v>1</v>
      </c>
      <c r="X5" s="112">
        <v>1</v>
      </c>
      <c r="Y5" s="112">
        <v>1</v>
      </c>
      <c r="Z5" s="112">
        <v>0</v>
      </c>
      <c r="AA5" s="112">
        <v>1</v>
      </c>
      <c r="AB5" s="112">
        <v>0</v>
      </c>
      <c r="AC5" s="112">
        <v>0</v>
      </c>
      <c r="AD5" s="112">
        <v>1</v>
      </c>
      <c r="AE5" s="112">
        <v>1</v>
      </c>
      <c r="AF5" s="112">
        <v>1</v>
      </c>
      <c r="AG5" s="112">
        <v>0</v>
      </c>
      <c r="AH5" s="112">
        <v>1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</row>
    <row r="6" spans="1:40" customFormat="1" x14ac:dyDescent="0.15">
      <c r="A6" s="192" t="s">
        <v>195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1</v>
      </c>
      <c r="H6" s="112">
        <v>1</v>
      </c>
      <c r="I6" s="112">
        <v>1</v>
      </c>
      <c r="J6" s="112">
        <v>1</v>
      </c>
      <c r="K6" s="112">
        <v>1</v>
      </c>
      <c r="L6" s="112">
        <v>1</v>
      </c>
      <c r="M6" s="112">
        <v>1</v>
      </c>
      <c r="N6" s="112">
        <v>1</v>
      </c>
      <c r="O6" s="112">
        <v>1</v>
      </c>
      <c r="P6" s="112">
        <v>1</v>
      </c>
      <c r="Q6" s="112">
        <v>1</v>
      </c>
      <c r="R6" s="112">
        <v>1</v>
      </c>
      <c r="S6" s="112">
        <v>1</v>
      </c>
      <c r="T6" s="112">
        <v>1</v>
      </c>
      <c r="U6" s="112">
        <v>1</v>
      </c>
      <c r="V6" s="112">
        <v>1</v>
      </c>
      <c r="W6" s="112">
        <v>1</v>
      </c>
      <c r="X6" s="112">
        <v>1</v>
      </c>
      <c r="Y6" s="112">
        <v>1</v>
      </c>
      <c r="Z6" s="112">
        <v>0</v>
      </c>
      <c r="AA6" s="112">
        <v>0</v>
      </c>
      <c r="AB6" s="112">
        <v>0</v>
      </c>
      <c r="AC6" s="112">
        <v>1</v>
      </c>
      <c r="AD6" s="112">
        <v>1</v>
      </c>
      <c r="AE6" s="112">
        <v>1</v>
      </c>
      <c r="AF6" s="112">
        <v>1</v>
      </c>
      <c r="AG6" s="112">
        <v>1</v>
      </c>
      <c r="AH6" s="112">
        <v>1</v>
      </c>
      <c r="AI6" s="112">
        <v>0</v>
      </c>
      <c r="AJ6" s="112">
        <v>1</v>
      </c>
      <c r="AK6" s="112">
        <v>0</v>
      </c>
      <c r="AL6" s="112">
        <v>1</v>
      </c>
      <c r="AM6" s="112">
        <v>0</v>
      </c>
      <c r="AN6" s="112">
        <v>0</v>
      </c>
    </row>
    <row r="7" spans="1:40" customFormat="1" x14ac:dyDescent="0.15">
      <c r="A7" s="192" t="s">
        <v>196</v>
      </c>
      <c r="B7" s="112">
        <v>0</v>
      </c>
      <c r="C7" s="112">
        <v>0</v>
      </c>
      <c r="D7" s="112">
        <v>0</v>
      </c>
      <c r="E7" s="112">
        <v>0</v>
      </c>
      <c r="F7" s="112">
        <v>0</v>
      </c>
      <c r="G7" s="112">
        <v>0</v>
      </c>
      <c r="H7" s="112">
        <v>1</v>
      </c>
      <c r="I7" s="112">
        <v>0</v>
      </c>
      <c r="J7" s="112">
        <v>0</v>
      </c>
      <c r="K7" s="112">
        <v>0</v>
      </c>
      <c r="L7" s="112">
        <v>0</v>
      </c>
      <c r="M7" s="112">
        <v>1</v>
      </c>
      <c r="N7" s="112">
        <v>0</v>
      </c>
      <c r="O7" s="112">
        <v>0</v>
      </c>
      <c r="P7" s="112">
        <v>1</v>
      </c>
      <c r="Q7" s="112">
        <v>1</v>
      </c>
      <c r="R7" s="112">
        <v>0</v>
      </c>
      <c r="S7" s="112">
        <v>1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</row>
    <row r="8" spans="1:40" customFormat="1" x14ac:dyDescent="0.15">
      <c r="A8" s="192" t="s">
        <v>197</v>
      </c>
      <c r="B8" s="112">
        <v>0</v>
      </c>
      <c r="C8" s="112">
        <v>0</v>
      </c>
      <c r="D8" s="112">
        <v>0</v>
      </c>
      <c r="E8" s="112">
        <v>0</v>
      </c>
      <c r="F8" s="112">
        <v>0</v>
      </c>
      <c r="G8" s="112">
        <v>0</v>
      </c>
      <c r="H8" s="112">
        <v>1</v>
      </c>
      <c r="I8" s="112">
        <v>0</v>
      </c>
      <c r="J8" s="112">
        <v>0</v>
      </c>
      <c r="K8" s="112">
        <v>0</v>
      </c>
      <c r="L8" s="112">
        <v>1</v>
      </c>
      <c r="M8" s="112">
        <v>1</v>
      </c>
      <c r="N8" s="112">
        <v>1</v>
      </c>
      <c r="O8" s="112">
        <v>1</v>
      </c>
      <c r="P8" s="112">
        <v>1</v>
      </c>
      <c r="Q8" s="112">
        <v>1</v>
      </c>
      <c r="R8" s="112">
        <v>1</v>
      </c>
      <c r="S8" s="112">
        <v>1</v>
      </c>
      <c r="T8" s="112">
        <v>0</v>
      </c>
      <c r="U8" s="112">
        <v>1</v>
      </c>
      <c r="V8" s="112">
        <v>0</v>
      </c>
      <c r="W8" s="112">
        <v>0</v>
      </c>
      <c r="X8" s="112">
        <v>0</v>
      </c>
      <c r="Y8" s="112">
        <v>0</v>
      </c>
      <c r="Z8" s="112">
        <v>1</v>
      </c>
      <c r="AA8" s="112">
        <v>0</v>
      </c>
      <c r="AB8" s="112">
        <v>0</v>
      </c>
      <c r="AC8" s="112">
        <v>0</v>
      </c>
      <c r="AD8" s="112">
        <v>1</v>
      </c>
      <c r="AE8" s="112">
        <v>1</v>
      </c>
      <c r="AF8" s="112">
        <v>1</v>
      </c>
      <c r="AG8" s="112">
        <v>0</v>
      </c>
      <c r="AH8" s="112">
        <v>1</v>
      </c>
      <c r="AI8" s="112">
        <v>0</v>
      </c>
      <c r="AJ8" s="112">
        <v>0</v>
      </c>
      <c r="AK8" s="112">
        <v>0</v>
      </c>
      <c r="AL8" s="112">
        <v>1</v>
      </c>
      <c r="AM8" s="112">
        <v>0</v>
      </c>
      <c r="AN8" s="112">
        <v>0</v>
      </c>
    </row>
    <row r="9" spans="1:40" customFormat="1" x14ac:dyDescent="0.15">
      <c r="A9" s="192" t="s">
        <v>198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1</v>
      </c>
      <c r="I9" s="112">
        <v>1</v>
      </c>
      <c r="J9" s="112">
        <v>0</v>
      </c>
      <c r="K9" s="112">
        <v>0</v>
      </c>
      <c r="L9" s="112">
        <v>1</v>
      </c>
      <c r="M9" s="112">
        <v>1</v>
      </c>
      <c r="N9" s="112">
        <v>1</v>
      </c>
      <c r="O9" s="112">
        <v>1</v>
      </c>
      <c r="P9" s="112">
        <v>1</v>
      </c>
      <c r="Q9" s="112">
        <v>1</v>
      </c>
      <c r="R9" s="112">
        <v>1</v>
      </c>
      <c r="S9" s="112">
        <v>1</v>
      </c>
      <c r="T9" s="112">
        <v>0</v>
      </c>
      <c r="U9" s="112">
        <v>1</v>
      </c>
      <c r="V9" s="112">
        <v>0</v>
      </c>
      <c r="W9" s="112">
        <v>1</v>
      </c>
      <c r="X9" s="112">
        <v>0</v>
      </c>
      <c r="Y9" s="112">
        <v>0</v>
      </c>
      <c r="Z9" s="112">
        <v>1</v>
      </c>
      <c r="AA9" s="112">
        <v>1</v>
      </c>
      <c r="AB9" s="112">
        <v>0</v>
      </c>
      <c r="AC9" s="112">
        <v>1</v>
      </c>
      <c r="AD9" s="112">
        <v>1</v>
      </c>
      <c r="AE9" s="112">
        <v>1</v>
      </c>
      <c r="AF9" s="112">
        <v>1</v>
      </c>
      <c r="AG9" s="112">
        <v>0</v>
      </c>
      <c r="AH9" s="112">
        <v>1</v>
      </c>
      <c r="AI9" s="112">
        <v>0</v>
      </c>
      <c r="AJ9" s="112">
        <v>0</v>
      </c>
      <c r="AK9" s="112">
        <v>0</v>
      </c>
      <c r="AL9" s="112">
        <v>1</v>
      </c>
      <c r="AM9" s="112">
        <v>0</v>
      </c>
      <c r="AN9" s="112">
        <v>0</v>
      </c>
    </row>
    <row r="10" spans="1:40" customFormat="1" x14ac:dyDescent="0.15">
      <c r="A10" s="192" t="s">
        <v>199</v>
      </c>
      <c r="B10" s="112">
        <v>0</v>
      </c>
      <c r="C10" s="112">
        <v>0</v>
      </c>
      <c r="D10" s="112">
        <v>0</v>
      </c>
      <c r="E10" s="112">
        <v>0</v>
      </c>
      <c r="F10" s="112">
        <v>0</v>
      </c>
      <c r="G10" s="112">
        <v>0</v>
      </c>
      <c r="H10" s="112">
        <v>0</v>
      </c>
      <c r="I10" s="112">
        <v>0</v>
      </c>
      <c r="J10" s="112">
        <v>0</v>
      </c>
      <c r="K10" s="112">
        <v>0</v>
      </c>
      <c r="L10" s="112">
        <v>1</v>
      </c>
      <c r="M10" s="112">
        <v>0</v>
      </c>
      <c r="N10" s="112">
        <v>0</v>
      </c>
      <c r="O10" s="112">
        <v>0</v>
      </c>
      <c r="P10" s="112">
        <v>1</v>
      </c>
      <c r="Q10" s="112">
        <v>1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</row>
    <row r="11" spans="1:40" customFormat="1" x14ac:dyDescent="0.15">
      <c r="A11" s="192" t="s">
        <v>200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112">
        <v>0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1</v>
      </c>
      <c r="AH11" s="112">
        <v>1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</row>
    <row r="12" spans="1:40" customFormat="1" x14ac:dyDescent="0.15">
      <c r="A12" s="192" t="s">
        <v>201</v>
      </c>
      <c r="B12" s="112">
        <v>0</v>
      </c>
      <c r="C12" s="112">
        <v>0</v>
      </c>
      <c r="D12" s="112">
        <v>0</v>
      </c>
      <c r="E12" s="112">
        <v>0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1</v>
      </c>
      <c r="O12" s="112">
        <v>0</v>
      </c>
      <c r="P12" s="112">
        <v>0</v>
      </c>
      <c r="Q12" s="112">
        <v>1</v>
      </c>
      <c r="R12" s="112">
        <v>0</v>
      </c>
      <c r="S12" s="112">
        <v>1</v>
      </c>
      <c r="T12" s="112">
        <v>0</v>
      </c>
      <c r="U12" s="112">
        <v>1</v>
      </c>
      <c r="V12" s="112">
        <v>1</v>
      </c>
      <c r="W12" s="112">
        <v>0</v>
      </c>
      <c r="X12" s="112">
        <v>0</v>
      </c>
      <c r="Y12" s="112">
        <v>0</v>
      </c>
      <c r="Z12" s="112">
        <v>0</v>
      </c>
      <c r="AA12" s="112">
        <v>1</v>
      </c>
      <c r="AB12" s="112">
        <v>0</v>
      </c>
      <c r="AC12" s="112">
        <v>0</v>
      </c>
      <c r="AD12" s="112">
        <v>1</v>
      </c>
      <c r="AE12" s="112">
        <v>1</v>
      </c>
      <c r="AF12" s="112">
        <v>0</v>
      </c>
      <c r="AG12" s="112">
        <v>1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</row>
    <row r="13" spans="1:40" customFormat="1" x14ac:dyDescent="0.15">
      <c r="A13" s="192" t="s">
        <v>202</v>
      </c>
      <c r="B13" s="112">
        <v>0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1</v>
      </c>
      <c r="AG13" s="112">
        <v>1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</row>
    <row r="14" spans="1:40" customFormat="1" x14ac:dyDescent="0.15">
      <c r="A14" s="192" t="s">
        <v>203</v>
      </c>
      <c r="B14" s="112">
        <v>0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1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</row>
    <row r="15" spans="1:40" customFormat="1" x14ac:dyDescent="0.15">
      <c r="A15" s="192" t="s">
        <v>204</v>
      </c>
      <c r="B15" s="112">
        <v>0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1</v>
      </c>
      <c r="I15" s="112">
        <v>0</v>
      </c>
      <c r="J15" s="112">
        <v>1</v>
      </c>
      <c r="K15" s="112">
        <v>0</v>
      </c>
      <c r="L15" s="112">
        <v>1</v>
      </c>
      <c r="M15" s="112">
        <v>0</v>
      </c>
      <c r="N15" s="112">
        <v>1</v>
      </c>
      <c r="O15" s="112">
        <v>1</v>
      </c>
      <c r="P15" s="112">
        <v>1</v>
      </c>
      <c r="Q15" s="112">
        <v>1</v>
      </c>
      <c r="R15" s="112">
        <v>1</v>
      </c>
      <c r="S15" s="112">
        <v>1</v>
      </c>
      <c r="T15" s="112">
        <v>1</v>
      </c>
      <c r="U15" s="112">
        <v>1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1</v>
      </c>
      <c r="AC15" s="112">
        <v>0</v>
      </c>
      <c r="AD15" s="112">
        <v>1</v>
      </c>
      <c r="AE15" s="112">
        <v>1</v>
      </c>
      <c r="AF15" s="112">
        <v>0</v>
      </c>
      <c r="AG15" s="112">
        <v>1</v>
      </c>
      <c r="AH15" s="112">
        <v>1</v>
      </c>
      <c r="AI15" s="112">
        <v>0</v>
      </c>
      <c r="AJ15" s="112">
        <v>1</v>
      </c>
      <c r="AK15" s="112">
        <v>1</v>
      </c>
      <c r="AL15" s="112">
        <v>1</v>
      </c>
      <c r="AM15" s="112">
        <v>0</v>
      </c>
      <c r="AN15" s="112">
        <v>0</v>
      </c>
    </row>
    <row r="16" spans="1:40" customFormat="1" x14ac:dyDescent="0.15">
      <c r="A16" s="192" t="s">
        <v>205</v>
      </c>
      <c r="B16" s="112">
        <v>0</v>
      </c>
      <c r="C16" s="112">
        <v>0</v>
      </c>
      <c r="D16" s="112">
        <v>0</v>
      </c>
      <c r="E16" s="112">
        <v>0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1</v>
      </c>
      <c r="M16" s="112">
        <v>0</v>
      </c>
      <c r="N16" s="112">
        <v>1</v>
      </c>
      <c r="O16" s="112">
        <v>0</v>
      </c>
      <c r="P16" s="112">
        <v>0</v>
      </c>
      <c r="Q16" s="112">
        <v>1</v>
      </c>
      <c r="R16" s="112">
        <v>0</v>
      </c>
      <c r="S16" s="112">
        <v>1</v>
      </c>
      <c r="T16" s="112">
        <v>1</v>
      </c>
      <c r="U16" s="112">
        <v>1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1</v>
      </c>
      <c r="AB16" s="112">
        <v>1</v>
      </c>
      <c r="AC16" s="112">
        <v>0</v>
      </c>
      <c r="AD16" s="112">
        <v>1</v>
      </c>
      <c r="AE16" s="112">
        <v>1</v>
      </c>
      <c r="AF16" s="112">
        <v>1</v>
      </c>
      <c r="AG16" s="112">
        <v>1</v>
      </c>
      <c r="AH16" s="112">
        <v>0</v>
      </c>
      <c r="AI16" s="112">
        <v>0</v>
      </c>
      <c r="AJ16" s="112">
        <v>0</v>
      </c>
      <c r="AK16" s="112">
        <v>1</v>
      </c>
      <c r="AL16" s="112">
        <v>1</v>
      </c>
      <c r="AM16" s="112">
        <v>0</v>
      </c>
      <c r="AN16" s="112">
        <v>0</v>
      </c>
    </row>
    <row r="17" spans="1:40" customFormat="1" x14ac:dyDescent="0.15">
      <c r="A17" s="192" t="s">
        <v>206</v>
      </c>
      <c r="B17" s="112">
        <v>0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1</v>
      </c>
      <c r="N17" s="112">
        <v>1</v>
      </c>
      <c r="O17" s="112">
        <v>0</v>
      </c>
      <c r="P17" s="112">
        <v>0</v>
      </c>
      <c r="Q17" s="112">
        <v>1</v>
      </c>
      <c r="R17" s="112">
        <v>1</v>
      </c>
      <c r="S17" s="112">
        <v>1</v>
      </c>
      <c r="T17" s="112">
        <v>1</v>
      </c>
      <c r="U17" s="112">
        <v>1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1</v>
      </c>
      <c r="AE17" s="112">
        <v>1</v>
      </c>
      <c r="AF17" s="112">
        <v>1</v>
      </c>
      <c r="AG17" s="112">
        <v>1</v>
      </c>
      <c r="AH17" s="112">
        <v>0</v>
      </c>
      <c r="AI17" s="112">
        <v>0</v>
      </c>
      <c r="AJ17" s="112">
        <v>1</v>
      </c>
      <c r="AK17" s="112">
        <v>1</v>
      </c>
      <c r="AL17" s="112">
        <v>1</v>
      </c>
      <c r="AM17" s="112">
        <v>0</v>
      </c>
      <c r="AN17" s="112">
        <v>0</v>
      </c>
    </row>
    <row r="18" spans="1:40" customFormat="1" x14ac:dyDescent="0.15">
      <c r="A18" s="192" t="s">
        <v>207</v>
      </c>
      <c r="B18" s="112">
        <v>0</v>
      </c>
      <c r="C18" s="112">
        <v>0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1</v>
      </c>
      <c r="O18" s="112">
        <v>0</v>
      </c>
      <c r="P18" s="112">
        <v>0</v>
      </c>
      <c r="Q18" s="112">
        <v>1</v>
      </c>
      <c r="R18" s="112">
        <v>1</v>
      </c>
      <c r="S18" s="112">
        <v>0</v>
      </c>
      <c r="T18" s="112">
        <v>0</v>
      </c>
      <c r="U18" s="112">
        <v>1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1</v>
      </c>
      <c r="AF18" s="112">
        <v>1</v>
      </c>
      <c r="AG18" s="112">
        <v>1</v>
      </c>
      <c r="AH18" s="112">
        <v>0</v>
      </c>
      <c r="AI18" s="112">
        <v>0</v>
      </c>
      <c r="AJ18" s="112">
        <v>0</v>
      </c>
      <c r="AK18" s="112">
        <v>0</v>
      </c>
      <c r="AL18" s="112">
        <v>1</v>
      </c>
      <c r="AM18" s="112">
        <v>0</v>
      </c>
      <c r="AN18" s="112">
        <v>0</v>
      </c>
    </row>
    <row r="19" spans="1:40" customFormat="1" x14ac:dyDescent="0.15">
      <c r="A19" s="192" t="s">
        <v>208</v>
      </c>
      <c r="B19" s="112">
        <v>0</v>
      </c>
      <c r="C19" s="112">
        <v>0</v>
      </c>
      <c r="D19" s="112">
        <v>0</v>
      </c>
      <c r="E19" s="112">
        <v>0</v>
      </c>
      <c r="F19" s="112">
        <v>0</v>
      </c>
      <c r="G19" s="112">
        <v>0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1</v>
      </c>
      <c r="AF19" s="112">
        <v>1</v>
      </c>
      <c r="AG19" s="112">
        <v>1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</row>
    <row r="20" spans="1:40" customFormat="1" x14ac:dyDescent="0.15">
      <c r="A20" s="192" t="s">
        <v>209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1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</row>
    <row r="21" spans="1:40" customFormat="1" x14ac:dyDescent="0.15">
      <c r="A21" s="192" t="s">
        <v>210</v>
      </c>
      <c r="B21" s="112">
        <v>0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1</v>
      </c>
      <c r="O21" s="112">
        <v>0</v>
      </c>
      <c r="P21" s="112">
        <v>0</v>
      </c>
      <c r="Q21" s="112">
        <v>0</v>
      </c>
      <c r="R21" s="112">
        <v>1</v>
      </c>
      <c r="S21" s="112">
        <v>0</v>
      </c>
      <c r="T21" s="112">
        <v>0</v>
      </c>
      <c r="U21" s="112">
        <v>1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1</v>
      </c>
      <c r="AE21" s="112">
        <v>1</v>
      </c>
      <c r="AF21" s="112">
        <v>1</v>
      </c>
      <c r="AG21" s="112">
        <v>1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</row>
    <row r="22" spans="1:40" customFormat="1" x14ac:dyDescent="0.15">
      <c r="A22" s="192" t="s">
        <v>211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1</v>
      </c>
      <c r="R22" s="112">
        <v>1</v>
      </c>
      <c r="S22" s="112">
        <v>0</v>
      </c>
      <c r="T22" s="112">
        <v>0</v>
      </c>
      <c r="U22" s="112">
        <v>0</v>
      </c>
      <c r="V22" s="112">
        <v>1</v>
      </c>
      <c r="W22" s="112">
        <v>1</v>
      </c>
      <c r="X22" s="112">
        <v>1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1</v>
      </c>
      <c r="AE22" s="112">
        <v>1</v>
      </c>
      <c r="AF22" s="112">
        <v>1</v>
      </c>
      <c r="AG22" s="112">
        <v>0</v>
      </c>
      <c r="AH22" s="112">
        <v>1</v>
      </c>
      <c r="AI22" s="112">
        <v>0</v>
      </c>
      <c r="AJ22" s="112">
        <v>0</v>
      </c>
      <c r="AK22" s="112">
        <v>1</v>
      </c>
      <c r="AL22" s="112">
        <v>1</v>
      </c>
      <c r="AM22" s="112">
        <v>0</v>
      </c>
      <c r="AN22" s="112">
        <v>0</v>
      </c>
    </row>
    <row r="23" spans="1:40" customFormat="1" x14ac:dyDescent="0.15">
      <c r="A23" s="192" t="s">
        <v>212</v>
      </c>
      <c r="B23" s="112">
        <v>0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1</v>
      </c>
      <c r="AE23" s="112">
        <v>1</v>
      </c>
      <c r="AF23" s="112">
        <v>1</v>
      </c>
      <c r="AG23" s="112">
        <v>0</v>
      </c>
      <c r="AH23" s="112">
        <v>1</v>
      </c>
      <c r="AI23" s="112">
        <v>0</v>
      </c>
      <c r="AJ23" s="112">
        <v>0</v>
      </c>
      <c r="AK23" s="112">
        <v>0</v>
      </c>
      <c r="AL23" s="112">
        <v>1</v>
      </c>
      <c r="AM23" s="112">
        <v>0</v>
      </c>
      <c r="AN23" s="112">
        <v>0</v>
      </c>
    </row>
    <row r="24" spans="1:40" customFormat="1" x14ac:dyDescent="0.15">
      <c r="A24" s="192" t="s">
        <v>213</v>
      </c>
      <c r="B24" s="112">
        <v>0</v>
      </c>
      <c r="C24" s="112">
        <v>0</v>
      </c>
      <c r="D24" s="112">
        <v>0</v>
      </c>
      <c r="E24" s="112">
        <v>0</v>
      </c>
      <c r="F24" s="112">
        <v>0</v>
      </c>
      <c r="G24" s="112">
        <v>0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1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1</v>
      </c>
      <c r="AE24" s="112">
        <v>1</v>
      </c>
      <c r="AF24" s="112">
        <v>0</v>
      </c>
      <c r="AG24" s="112">
        <v>0</v>
      </c>
      <c r="AH24" s="112">
        <v>1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</row>
    <row r="25" spans="1:40" customFormat="1" x14ac:dyDescent="0.15">
      <c r="A25" s="192" t="s">
        <v>214</v>
      </c>
      <c r="B25" s="112">
        <v>0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1</v>
      </c>
      <c r="O25" s="112">
        <v>0</v>
      </c>
      <c r="P25" s="112">
        <v>1</v>
      </c>
      <c r="Q25" s="112">
        <v>1</v>
      </c>
      <c r="R25" s="112">
        <v>0</v>
      </c>
      <c r="S25" s="112">
        <v>0</v>
      </c>
      <c r="T25" s="112">
        <v>0</v>
      </c>
      <c r="U25" s="112">
        <v>0</v>
      </c>
      <c r="V25" s="112">
        <v>1</v>
      </c>
      <c r="W25" s="112">
        <v>0</v>
      </c>
      <c r="X25" s="112">
        <v>0</v>
      </c>
      <c r="Y25" s="112">
        <v>0</v>
      </c>
      <c r="Z25" s="112">
        <v>1</v>
      </c>
      <c r="AA25" s="112">
        <v>1</v>
      </c>
      <c r="AB25" s="112">
        <v>0</v>
      </c>
      <c r="AC25" s="112">
        <v>0</v>
      </c>
      <c r="AD25" s="112">
        <v>1</v>
      </c>
      <c r="AE25" s="112">
        <v>1</v>
      </c>
      <c r="AF25" s="112">
        <v>0</v>
      </c>
      <c r="AG25" s="112">
        <v>0</v>
      </c>
      <c r="AH25" s="112">
        <v>1</v>
      </c>
      <c r="AI25" s="112">
        <v>0</v>
      </c>
      <c r="AJ25" s="112">
        <v>1</v>
      </c>
      <c r="AK25" s="112">
        <v>1</v>
      </c>
      <c r="AL25" s="112">
        <v>1</v>
      </c>
      <c r="AM25" s="112">
        <v>0</v>
      </c>
      <c r="AN25" s="112">
        <v>0</v>
      </c>
    </row>
    <row r="26" spans="1:40" customFormat="1" x14ac:dyDescent="0.15">
      <c r="A26" s="192" t="s">
        <v>215</v>
      </c>
      <c r="B26" s="112">
        <v>0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12">
        <v>0</v>
      </c>
      <c r="Q26" s="112">
        <v>0</v>
      </c>
      <c r="R26" s="112">
        <v>0</v>
      </c>
      <c r="S26" s="112">
        <v>0</v>
      </c>
      <c r="T26" s="112">
        <v>0</v>
      </c>
      <c r="U26" s="112">
        <v>1</v>
      </c>
      <c r="V26" s="112">
        <v>0</v>
      </c>
      <c r="W26" s="112">
        <v>0</v>
      </c>
      <c r="X26" s="112">
        <v>0</v>
      </c>
      <c r="Y26" s="112">
        <v>0</v>
      </c>
      <c r="Z26" s="112">
        <v>0</v>
      </c>
      <c r="AA26" s="112">
        <v>0</v>
      </c>
      <c r="AB26" s="112">
        <v>1</v>
      </c>
      <c r="AC26" s="112">
        <v>0</v>
      </c>
      <c r="AD26" s="112">
        <v>1</v>
      </c>
      <c r="AE26" s="112">
        <v>0</v>
      </c>
      <c r="AF26" s="112">
        <v>1</v>
      </c>
      <c r="AG26" s="112">
        <v>0</v>
      </c>
      <c r="AH26" s="112">
        <v>0</v>
      </c>
      <c r="AI26" s="112">
        <v>0</v>
      </c>
      <c r="AJ26" s="112">
        <v>0</v>
      </c>
      <c r="AK26" s="112">
        <v>1</v>
      </c>
      <c r="AL26" s="112">
        <v>1</v>
      </c>
      <c r="AM26" s="112">
        <v>0</v>
      </c>
      <c r="AN26" s="112">
        <v>0</v>
      </c>
    </row>
    <row r="27" spans="1:40" customFormat="1" x14ac:dyDescent="0.15">
      <c r="A27" s="192" t="s">
        <v>216</v>
      </c>
      <c r="B27" s="112">
        <v>0</v>
      </c>
      <c r="C27" s="112">
        <v>0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</v>
      </c>
      <c r="N27" s="112">
        <v>0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112">
        <v>1</v>
      </c>
      <c r="V27" s="112">
        <v>0</v>
      </c>
      <c r="W27" s="112">
        <v>0</v>
      </c>
      <c r="X27" s="112">
        <v>1</v>
      </c>
      <c r="Y27" s="112">
        <v>0</v>
      </c>
      <c r="Z27" s="112">
        <v>0</v>
      </c>
      <c r="AA27" s="112">
        <v>0</v>
      </c>
      <c r="AB27" s="112">
        <v>1</v>
      </c>
      <c r="AC27" s="112">
        <v>0</v>
      </c>
      <c r="AD27" s="112">
        <v>1</v>
      </c>
      <c r="AE27" s="112">
        <v>0</v>
      </c>
      <c r="AF27" s="112">
        <v>1</v>
      </c>
      <c r="AG27" s="112">
        <v>1</v>
      </c>
      <c r="AH27" s="112">
        <v>1</v>
      </c>
      <c r="AI27" s="112">
        <v>0</v>
      </c>
      <c r="AJ27" s="112">
        <v>0</v>
      </c>
      <c r="AK27" s="112">
        <v>1</v>
      </c>
      <c r="AL27" s="112">
        <v>1</v>
      </c>
      <c r="AM27" s="112">
        <v>0</v>
      </c>
      <c r="AN27" s="112">
        <v>0</v>
      </c>
    </row>
    <row r="28" spans="1:40" customFormat="1" x14ac:dyDescent="0.15">
      <c r="A28" s="192" t="s">
        <v>217</v>
      </c>
      <c r="B28" s="112">
        <v>0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2">
        <v>0</v>
      </c>
      <c r="Q28" s="112">
        <v>0</v>
      </c>
      <c r="R28" s="112">
        <v>0</v>
      </c>
      <c r="S28" s="112">
        <v>0</v>
      </c>
      <c r="T28" s="112">
        <v>0</v>
      </c>
      <c r="U28" s="112">
        <v>1</v>
      </c>
      <c r="V28" s="112">
        <v>0</v>
      </c>
      <c r="W28" s="112">
        <v>0</v>
      </c>
      <c r="X28" s="112">
        <v>1</v>
      </c>
      <c r="Y28" s="112">
        <v>0</v>
      </c>
      <c r="Z28" s="112">
        <v>0</v>
      </c>
      <c r="AA28" s="112">
        <v>1</v>
      </c>
      <c r="AB28" s="112">
        <v>1</v>
      </c>
      <c r="AC28" s="112">
        <v>0</v>
      </c>
      <c r="AD28" s="112">
        <v>1</v>
      </c>
      <c r="AE28" s="112">
        <v>0</v>
      </c>
      <c r="AF28" s="112">
        <v>0</v>
      </c>
      <c r="AG28" s="112">
        <v>0</v>
      </c>
      <c r="AH28" s="112">
        <v>0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  <c r="AN28" s="112">
        <v>0</v>
      </c>
    </row>
    <row r="29" spans="1:40" customFormat="1" x14ac:dyDescent="0.15">
      <c r="A29" s="192" t="s">
        <v>218</v>
      </c>
      <c r="B29" s="112">
        <v>0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1</v>
      </c>
      <c r="M29" s="112">
        <v>0</v>
      </c>
      <c r="N29" s="112">
        <v>0</v>
      </c>
      <c r="O29" s="112">
        <v>0</v>
      </c>
      <c r="P29" s="112">
        <v>0</v>
      </c>
      <c r="Q29" s="112">
        <v>1</v>
      </c>
      <c r="R29" s="112">
        <v>1</v>
      </c>
      <c r="S29" s="112">
        <v>1</v>
      </c>
      <c r="T29" s="112">
        <v>0</v>
      </c>
      <c r="U29" s="112">
        <v>1</v>
      </c>
      <c r="V29" s="112">
        <v>0</v>
      </c>
      <c r="W29" s="112">
        <v>1</v>
      </c>
      <c r="X29" s="112">
        <v>0</v>
      </c>
      <c r="Y29" s="112">
        <v>0</v>
      </c>
      <c r="Z29" s="112">
        <v>0</v>
      </c>
      <c r="AA29" s="112">
        <v>1</v>
      </c>
      <c r="AB29" s="112">
        <v>1</v>
      </c>
      <c r="AC29" s="112">
        <v>0</v>
      </c>
      <c r="AD29" s="112">
        <v>1</v>
      </c>
      <c r="AE29" s="112">
        <v>1</v>
      </c>
      <c r="AF29" s="112">
        <v>1</v>
      </c>
      <c r="AG29" s="112">
        <v>1</v>
      </c>
      <c r="AH29" s="112">
        <v>1</v>
      </c>
      <c r="AI29" s="112">
        <v>0</v>
      </c>
      <c r="AJ29" s="112">
        <v>1</v>
      </c>
      <c r="AK29" s="112">
        <v>1</v>
      </c>
      <c r="AL29" s="112">
        <v>1</v>
      </c>
      <c r="AM29" s="112">
        <v>0</v>
      </c>
      <c r="AN29" s="112">
        <v>0</v>
      </c>
    </row>
    <row r="30" spans="1:40" customFormat="1" x14ac:dyDescent="0.15">
      <c r="A30" s="192" t="s">
        <v>219</v>
      </c>
      <c r="B30" s="112">
        <v>0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2">
        <v>0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112">
        <v>0</v>
      </c>
      <c r="X30" s="112">
        <v>0</v>
      </c>
      <c r="Y30" s="112">
        <v>0</v>
      </c>
      <c r="Z30" s="112">
        <v>0</v>
      </c>
      <c r="AA30" s="112">
        <v>0</v>
      </c>
      <c r="AB30" s="112">
        <v>1</v>
      </c>
      <c r="AC30" s="112">
        <v>0</v>
      </c>
      <c r="AD30" s="112">
        <v>1</v>
      </c>
      <c r="AE30" s="112">
        <v>1</v>
      </c>
      <c r="AF30" s="112">
        <v>1</v>
      </c>
      <c r="AG30" s="112">
        <v>1</v>
      </c>
      <c r="AH30" s="112">
        <v>0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</row>
    <row r="31" spans="1:40" customFormat="1" x14ac:dyDescent="0.15">
      <c r="A31" s="192" t="s">
        <v>220</v>
      </c>
      <c r="B31" s="112">
        <v>0</v>
      </c>
      <c r="C31" s="112">
        <v>0</v>
      </c>
      <c r="D31" s="112">
        <v>0</v>
      </c>
      <c r="E31" s="112">
        <v>0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0</v>
      </c>
      <c r="Q31" s="112">
        <v>0</v>
      </c>
      <c r="R31" s="112">
        <v>0</v>
      </c>
      <c r="S31" s="112">
        <v>1</v>
      </c>
      <c r="T31" s="112">
        <v>0</v>
      </c>
      <c r="U31" s="112">
        <v>1</v>
      </c>
      <c r="V31" s="112">
        <v>0</v>
      </c>
      <c r="W31" s="112">
        <v>0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1</v>
      </c>
      <c r="AG31" s="112">
        <v>1</v>
      </c>
      <c r="AH31" s="112">
        <v>0</v>
      </c>
      <c r="AI31" s="112">
        <v>0</v>
      </c>
      <c r="AJ31" s="112">
        <v>0</v>
      </c>
      <c r="AK31" s="112">
        <v>0</v>
      </c>
      <c r="AL31" s="112">
        <v>0</v>
      </c>
      <c r="AM31" s="112">
        <v>0</v>
      </c>
      <c r="AN31" s="112">
        <v>0</v>
      </c>
    </row>
    <row r="32" spans="1:40" x14ac:dyDescent="0.15">
      <c r="A32" s="192" t="s">
        <v>221</v>
      </c>
      <c r="B32" s="112">
        <v>0</v>
      </c>
      <c r="C32" s="112">
        <v>0</v>
      </c>
      <c r="D32" s="112">
        <v>0</v>
      </c>
      <c r="E32" s="112">
        <v>0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0</v>
      </c>
      <c r="AA32" s="112">
        <v>0</v>
      </c>
      <c r="AB32" s="112">
        <v>0</v>
      </c>
      <c r="AC32" s="112">
        <v>0</v>
      </c>
      <c r="AD32" s="112">
        <v>1</v>
      </c>
      <c r="AE32" s="112">
        <v>0</v>
      </c>
      <c r="AF32" s="112">
        <v>1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</row>
    <row r="33" spans="1:40" x14ac:dyDescent="0.15">
      <c r="A33" s="192" t="s">
        <v>222</v>
      </c>
      <c r="B33" s="112">
        <v>0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112">
        <v>0</v>
      </c>
      <c r="Z33" s="112">
        <v>0</v>
      </c>
      <c r="AA33" s="112">
        <v>0</v>
      </c>
      <c r="AB33" s="112">
        <v>0</v>
      </c>
      <c r="AC33" s="112">
        <v>0</v>
      </c>
      <c r="AD33" s="112">
        <v>0</v>
      </c>
      <c r="AE33" s="112">
        <v>0</v>
      </c>
      <c r="AF33" s="112">
        <v>1</v>
      </c>
      <c r="AG33" s="112">
        <v>0</v>
      </c>
      <c r="AH33" s="112">
        <v>0</v>
      </c>
      <c r="AI33" s="112">
        <v>0</v>
      </c>
      <c r="AJ33" s="112">
        <v>0</v>
      </c>
      <c r="AK33" s="112">
        <v>0</v>
      </c>
      <c r="AL33" s="112">
        <v>0</v>
      </c>
      <c r="AM33" s="112">
        <v>0</v>
      </c>
      <c r="AN33" s="112">
        <v>0</v>
      </c>
    </row>
    <row r="34" spans="1:40" x14ac:dyDescent="0.15">
      <c r="A34" s="192" t="s">
        <v>223</v>
      </c>
      <c r="B34" s="112">
        <v>0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1</v>
      </c>
      <c r="K34" s="112">
        <v>0</v>
      </c>
      <c r="L34" s="112">
        <v>0</v>
      </c>
      <c r="M34" s="112">
        <v>1</v>
      </c>
      <c r="N34" s="112">
        <v>1</v>
      </c>
      <c r="O34" s="112">
        <v>0</v>
      </c>
      <c r="P34" s="112">
        <v>1</v>
      </c>
      <c r="Q34" s="112">
        <v>1</v>
      </c>
      <c r="R34" s="112">
        <v>1</v>
      </c>
      <c r="S34" s="112">
        <v>1</v>
      </c>
      <c r="T34" s="112">
        <v>1</v>
      </c>
      <c r="U34" s="112">
        <v>1</v>
      </c>
      <c r="V34" s="112">
        <v>0</v>
      </c>
      <c r="W34" s="112">
        <v>1</v>
      </c>
      <c r="X34" s="112">
        <v>1</v>
      </c>
      <c r="Y34" s="112">
        <v>0</v>
      </c>
      <c r="Z34" s="112">
        <v>0</v>
      </c>
      <c r="AA34" s="112">
        <v>1</v>
      </c>
      <c r="AB34" s="112">
        <v>0</v>
      </c>
      <c r="AC34" s="112">
        <v>0</v>
      </c>
      <c r="AD34" s="112">
        <v>1</v>
      </c>
      <c r="AE34" s="112">
        <v>1</v>
      </c>
      <c r="AF34" s="112">
        <v>1</v>
      </c>
      <c r="AG34" s="112">
        <v>1</v>
      </c>
      <c r="AH34" s="112">
        <v>1</v>
      </c>
      <c r="AI34" s="112">
        <v>0</v>
      </c>
      <c r="AJ34" s="112">
        <v>1</v>
      </c>
      <c r="AK34" s="112">
        <v>1</v>
      </c>
      <c r="AL34" s="112">
        <v>1</v>
      </c>
      <c r="AM34" s="112">
        <v>0</v>
      </c>
      <c r="AN34" s="112">
        <v>0</v>
      </c>
    </row>
    <row r="35" spans="1:40" x14ac:dyDescent="0.15">
      <c r="A35" s="192" t="s">
        <v>224</v>
      </c>
      <c r="B35" s="112">
        <v>0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1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</row>
    <row r="36" spans="1:40" x14ac:dyDescent="0.15">
      <c r="A36" s="192" t="s">
        <v>225</v>
      </c>
      <c r="B36" s="112">
        <v>0</v>
      </c>
      <c r="C36" s="112">
        <v>0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1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</row>
    <row r="37" spans="1:40" x14ac:dyDescent="0.15">
      <c r="A37" s="192" t="s">
        <v>226</v>
      </c>
      <c r="B37" s="112">
        <v>0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1</v>
      </c>
      <c r="AH37" s="112">
        <v>0</v>
      </c>
      <c r="AI37" s="112">
        <v>0</v>
      </c>
      <c r="AJ37" s="112">
        <v>0</v>
      </c>
      <c r="AK37" s="112">
        <v>0</v>
      </c>
      <c r="AL37" s="112">
        <v>1</v>
      </c>
      <c r="AM37" s="112">
        <v>0</v>
      </c>
      <c r="AN37" s="112">
        <v>0</v>
      </c>
    </row>
    <row r="38" spans="1:40" x14ac:dyDescent="0.15">
      <c r="A38" s="192" t="s">
        <v>227</v>
      </c>
      <c r="B38" s="112">
        <v>0</v>
      </c>
      <c r="C38" s="112">
        <v>0</v>
      </c>
      <c r="D38" s="112">
        <v>0</v>
      </c>
      <c r="E38" s="112">
        <v>0</v>
      </c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1</v>
      </c>
      <c r="AG38" s="112">
        <v>1</v>
      </c>
      <c r="AH38" s="112">
        <v>0</v>
      </c>
      <c r="AI38" s="112">
        <v>0</v>
      </c>
      <c r="AJ38" s="112">
        <v>0</v>
      </c>
      <c r="AK38" s="112">
        <v>0</v>
      </c>
      <c r="AL38" s="112">
        <v>1</v>
      </c>
      <c r="AM38" s="112">
        <v>0</v>
      </c>
      <c r="AN38" s="112">
        <v>0</v>
      </c>
    </row>
    <row r="39" spans="1:40" x14ac:dyDescent="0.15">
      <c r="A39" s="192" t="s">
        <v>228</v>
      </c>
      <c r="B39" s="112">
        <v>0</v>
      </c>
      <c r="C39" s="112">
        <v>0</v>
      </c>
      <c r="D39" s="112">
        <v>1</v>
      </c>
      <c r="E39" s="112">
        <v>1</v>
      </c>
      <c r="F39" s="112">
        <v>1</v>
      </c>
      <c r="G39" s="112">
        <v>1</v>
      </c>
      <c r="H39" s="112">
        <v>1</v>
      </c>
      <c r="I39" s="112">
        <v>1</v>
      </c>
      <c r="J39" s="112">
        <v>0</v>
      </c>
      <c r="K39" s="112">
        <v>1</v>
      </c>
      <c r="L39" s="112">
        <v>0</v>
      </c>
      <c r="M39" s="112">
        <v>0</v>
      </c>
      <c r="N39" s="112">
        <v>0</v>
      </c>
      <c r="O39" s="112">
        <v>1</v>
      </c>
      <c r="P39" s="112">
        <v>1</v>
      </c>
      <c r="Q39" s="112">
        <v>1</v>
      </c>
      <c r="R39" s="112">
        <v>0</v>
      </c>
      <c r="S39" s="112">
        <v>1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1</v>
      </c>
      <c r="AD39" s="112">
        <v>0</v>
      </c>
      <c r="AE39" s="112">
        <v>0</v>
      </c>
      <c r="AF39" s="112">
        <v>1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0</v>
      </c>
      <c r="AN39" s="112">
        <v>0</v>
      </c>
    </row>
    <row r="40" spans="1:40" x14ac:dyDescent="0.15">
      <c r="A40" s="192" t="s">
        <v>229</v>
      </c>
      <c r="B40" s="112">
        <v>0</v>
      </c>
      <c r="C40" s="112">
        <v>0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</row>
    <row r="41" spans="1:40" x14ac:dyDescent="0.15">
      <c r="A41" s="192" t="s">
        <v>234</v>
      </c>
      <c r="B41" s="112">
        <v>0</v>
      </c>
      <c r="C41" s="112">
        <v>0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1</v>
      </c>
      <c r="L41" s="112">
        <v>0</v>
      </c>
      <c r="M41" s="112">
        <v>0</v>
      </c>
      <c r="N41" s="112">
        <v>0</v>
      </c>
      <c r="O41" s="112">
        <v>1</v>
      </c>
      <c r="P41" s="112">
        <v>1</v>
      </c>
      <c r="Q41" s="112">
        <v>0</v>
      </c>
      <c r="R41" s="112">
        <v>0</v>
      </c>
      <c r="S41" s="112">
        <v>1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1</v>
      </c>
      <c r="AB41" s="112">
        <v>0</v>
      </c>
      <c r="AC41" s="112">
        <v>0</v>
      </c>
      <c r="AD41" s="112">
        <v>0</v>
      </c>
      <c r="AE41" s="112">
        <v>0</v>
      </c>
      <c r="AF41" s="112">
        <v>1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F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3.1640625" bestFit="1" customWidth="1"/>
    <col min="3" max="4" width="3.83203125" bestFit="1" customWidth="1"/>
    <col min="5" max="6" width="3.83203125" customWidth="1"/>
  </cols>
  <sheetData>
    <row r="1" spans="1:6" ht="112" x14ac:dyDescent="0.15">
      <c r="A1" s="5" t="s">
        <v>83</v>
      </c>
      <c r="B1" s="3" t="s">
        <v>0</v>
      </c>
      <c r="C1" s="195" t="s">
        <v>230</v>
      </c>
      <c r="D1" s="195" t="s">
        <v>231</v>
      </c>
      <c r="E1" s="195" t="s">
        <v>232</v>
      </c>
      <c r="F1" s="195" t="s">
        <v>233</v>
      </c>
    </row>
    <row r="2" spans="1:6" x14ac:dyDescent="0.15">
      <c r="A2">
        <v>1</v>
      </c>
      <c r="B2" s="194" t="s">
        <v>191</v>
      </c>
      <c r="C2">
        <v>0</v>
      </c>
      <c r="D2">
        <v>0</v>
      </c>
      <c r="E2">
        <v>0.8</v>
      </c>
      <c r="F2">
        <v>0</v>
      </c>
    </row>
    <row r="3" spans="1:6" x14ac:dyDescent="0.15">
      <c r="A3">
        <v>2</v>
      </c>
      <c r="B3" s="194" t="s">
        <v>192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94" t="s">
        <v>193</v>
      </c>
      <c r="C4">
        <v>0</v>
      </c>
      <c r="D4">
        <v>0</v>
      </c>
      <c r="E4">
        <v>0</v>
      </c>
      <c r="F4">
        <v>0</v>
      </c>
    </row>
    <row r="5" spans="1:6" x14ac:dyDescent="0.15">
      <c r="A5">
        <v>4</v>
      </c>
      <c r="B5" s="194" t="s">
        <v>194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94" t="s">
        <v>195</v>
      </c>
      <c r="C6">
        <v>0.8</v>
      </c>
      <c r="D6">
        <v>0.8</v>
      </c>
      <c r="E6">
        <v>0.8</v>
      </c>
      <c r="F6">
        <v>0.8</v>
      </c>
    </row>
    <row r="7" spans="1:6" x14ac:dyDescent="0.15">
      <c r="A7">
        <v>6</v>
      </c>
      <c r="B7" s="194" t="s">
        <v>196</v>
      </c>
      <c r="C7">
        <v>0.8</v>
      </c>
      <c r="D7">
        <v>0.8</v>
      </c>
      <c r="E7">
        <v>0</v>
      </c>
      <c r="F7">
        <v>0.8</v>
      </c>
    </row>
    <row r="8" spans="1:6" x14ac:dyDescent="0.15">
      <c r="A8">
        <v>7</v>
      </c>
      <c r="B8" s="194" t="s">
        <v>197</v>
      </c>
      <c r="C8">
        <v>0</v>
      </c>
      <c r="D8">
        <v>0.8</v>
      </c>
      <c r="E8">
        <v>0</v>
      </c>
      <c r="F8">
        <v>0.8</v>
      </c>
    </row>
    <row r="9" spans="1:6" x14ac:dyDescent="0.15">
      <c r="A9">
        <v>8</v>
      </c>
      <c r="B9" s="194" t="s">
        <v>198</v>
      </c>
      <c r="C9">
        <v>0</v>
      </c>
      <c r="D9">
        <v>0.8</v>
      </c>
      <c r="E9">
        <v>0.8</v>
      </c>
      <c r="F9">
        <v>0.8</v>
      </c>
    </row>
    <row r="10" spans="1:6" x14ac:dyDescent="0.15">
      <c r="A10">
        <v>9</v>
      </c>
      <c r="B10" s="194" t="s">
        <v>199</v>
      </c>
      <c r="C10">
        <v>0</v>
      </c>
      <c r="D10">
        <v>0.8</v>
      </c>
      <c r="E10">
        <v>0.8</v>
      </c>
      <c r="F10">
        <v>0.8</v>
      </c>
    </row>
    <row r="11" spans="1:6" x14ac:dyDescent="0.15">
      <c r="A11">
        <v>10</v>
      </c>
      <c r="B11" s="194" t="s">
        <v>200</v>
      </c>
      <c r="C11">
        <v>0</v>
      </c>
      <c r="D11">
        <v>0.8</v>
      </c>
      <c r="E11">
        <v>0</v>
      </c>
      <c r="F11">
        <v>0.8</v>
      </c>
    </row>
    <row r="12" spans="1:6" x14ac:dyDescent="0.15">
      <c r="A12">
        <v>11</v>
      </c>
      <c r="B12" s="194" t="s">
        <v>201</v>
      </c>
      <c r="C12">
        <v>0.8</v>
      </c>
      <c r="D12">
        <v>0.8</v>
      </c>
      <c r="E12">
        <v>0</v>
      </c>
      <c r="F12">
        <v>0.8</v>
      </c>
    </row>
    <row r="13" spans="1:6" x14ac:dyDescent="0.15">
      <c r="A13">
        <v>12</v>
      </c>
      <c r="B13" s="194" t="s">
        <v>202</v>
      </c>
      <c r="C13">
        <v>0.8</v>
      </c>
      <c r="D13">
        <v>0.8</v>
      </c>
      <c r="E13">
        <v>0</v>
      </c>
      <c r="F13">
        <v>0.8</v>
      </c>
    </row>
    <row r="14" spans="1:6" x14ac:dyDescent="0.15">
      <c r="A14">
        <v>13</v>
      </c>
      <c r="B14" s="194" t="s">
        <v>203</v>
      </c>
      <c r="C14">
        <v>0</v>
      </c>
      <c r="D14">
        <v>0.8</v>
      </c>
      <c r="E14">
        <v>0.8</v>
      </c>
      <c r="F14">
        <v>0.8</v>
      </c>
    </row>
    <row r="15" spans="1:6" x14ac:dyDescent="0.15">
      <c r="A15">
        <v>14</v>
      </c>
      <c r="B15" s="194" t="s">
        <v>204</v>
      </c>
      <c r="C15">
        <v>0.8</v>
      </c>
      <c r="D15">
        <v>0.8</v>
      </c>
      <c r="E15">
        <v>0</v>
      </c>
      <c r="F15">
        <v>0.8</v>
      </c>
    </row>
    <row r="16" spans="1:6" x14ac:dyDescent="0.15">
      <c r="A16">
        <v>15</v>
      </c>
      <c r="B16" s="194" t="s">
        <v>205</v>
      </c>
      <c r="C16">
        <v>0.8</v>
      </c>
      <c r="D16">
        <v>0.8</v>
      </c>
      <c r="E16">
        <v>0</v>
      </c>
      <c r="F16">
        <v>0.8</v>
      </c>
    </row>
    <row r="17" spans="1:6" x14ac:dyDescent="0.15">
      <c r="A17">
        <v>16</v>
      </c>
      <c r="B17" s="194" t="s">
        <v>206</v>
      </c>
      <c r="C17">
        <v>0.8</v>
      </c>
      <c r="D17">
        <v>0.8</v>
      </c>
      <c r="E17">
        <v>0.8</v>
      </c>
      <c r="F17">
        <v>0.8</v>
      </c>
    </row>
    <row r="18" spans="1:6" x14ac:dyDescent="0.15">
      <c r="A18">
        <v>17</v>
      </c>
      <c r="B18" s="194" t="s">
        <v>207</v>
      </c>
      <c r="C18">
        <v>0.8</v>
      </c>
      <c r="D18">
        <v>0.8</v>
      </c>
      <c r="E18">
        <v>0</v>
      </c>
      <c r="F18">
        <v>0.8</v>
      </c>
    </row>
    <row r="19" spans="1:6" x14ac:dyDescent="0.15">
      <c r="A19">
        <v>18</v>
      </c>
      <c r="B19" s="194" t="s">
        <v>208</v>
      </c>
      <c r="C19">
        <v>0</v>
      </c>
      <c r="D19">
        <v>0.8</v>
      </c>
      <c r="E19">
        <v>0.8</v>
      </c>
      <c r="F19">
        <v>0.8</v>
      </c>
    </row>
    <row r="20" spans="1:6" x14ac:dyDescent="0.15">
      <c r="A20">
        <v>19</v>
      </c>
      <c r="B20" s="194" t="s">
        <v>209</v>
      </c>
      <c r="C20">
        <v>0.8</v>
      </c>
      <c r="D20">
        <v>0.8</v>
      </c>
      <c r="E20">
        <v>0</v>
      </c>
      <c r="F20">
        <v>0.8</v>
      </c>
    </row>
    <row r="21" spans="1:6" x14ac:dyDescent="0.15">
      <c r="A21">
        <v>20</v>
      </c>
      <c r="B21" s="194" t="s">
        <v>210</v>
      </c>
      <c r="C21">
        <v>0.8</v>
      </c>
      <c r="D21">
        <v>0.8</v>
      </c>
      <c r="E21">
        <v>0.8</v>
      </c>
      <c r="F21">
        <v>0.8</v>
      </c>
    </row>
    <row r="22" spans="1:6" x14ac:dyDescent="0.15">
      <c r="A22">
        <v>21</v>
      </c>
      <c r="B22" s="194" t="s">
        <v>211</v>
      </c>
      <c r="C22">
        <v>0</v>
      </c>
      <c r="D22">
        <v>0</v>
      </c>
      <c r="E22">
        <v>0</v>
      </c>
      <c r="F22">
        <v>0.8</v>
      </c>
    </row>
    <row r="23" spans="1:6" x14ac:dyDescent="0.15">
      <c r="A23">
        <v>22</v>
      </c>
      <c r="B23" s="194" t="s">
        <v>212</v>
      </c>
      <c r="C23">
        <v>0</v>
      </c>
      <c r="D23">
        <v>0</v>
      </c>
      <c r="E23">
        <v>0</v>
      </c>
      <c r="F23">
        <v>0.8</v>
      </c>
    </row>
    <row r="24" spans="1:6" x14ac:dyDescent="0.15">
      <c r="A24">
        <v>23</v>
      </c>
      <c r="B24" s="194" t="s">
        <v>213</v>
      </c>
      <c r="C24">
        <v>0</v>
      </c>
      <c r="D24">
        <v>0</v>
      </c>
      <c r="E24">
        <v>0</v>
      </c>
      <c r="F24">
        <v>0.8</v>
      </c>
    </row>
    <row r="25" spans="1:6" x14ac:dyDescent="0.15">
      <c r="A25">
        <v>24</v>
      </c>
      <c r="B25" s="194" t="s">
        <v>214</v>
      </c>
      <c r="C25">
        <v>0</v>
      </c>
      <c r="D25">
        <v>0</v>
      </c>
      <c r="E25">
        <v>0</v>
      </c>
      <c r="F25">
        <v>0</v>
      </c>
    </row>
    <row r="26" spans="1:6" x14ac:dyDescent="0.15">
      <c r="A26">
        <v>25</v>
      </c>
      <c r="B26" s="194" t="s">
        <v>215</v>
      </c>
      <c r="C26">
        <v>0</v>
      </c>
      <c r="D26">
        <v>0</v>
      </c>
      <c r="E26">
        <v>0</v>
      </c>
      <c r="F26">
        <v>0</v>
      </c>
    </row>
    <row r="27" spans="1:6" x14ac:dyDescent="0.15">
      <c r="A27">
        <v>26</v>
      </c>
      <c r="B27" s="194" t="s">
        <v>216</v>
      </c>
      <c r="C27">
        <v>0</v>
      </c>
      <c r="D27">
        <v>0.8</v>
      </c>
      <c r="E27">
        <v>0.8</v>
      </c>
      <c r="F27">
        <v>0.8</v>
      </c>
    </row>
    <row r="28" spans="1:6" x14ac:dyDescent="0.15">
      <c r="A28">
        <v>27</v>
      </c>
      <c r="B28" s="194" t="s">
        <v>217</v>
      </c>
      <c r="C28">
        <v>0</v>
      </c>
      <c r="D28">
        <v>0</v>
      </c>
      <c r="E28">
        <v>0</v>
      </c>
      <c r="F28">
        <v>0</v>
      </c>
    </row>
    <row r="29" spans="1:6" x14ac:dyDescent="0.15">
      <c r="A29">
        <v>28</v>
      </c>
      <c r="B29" s="194" t="s">
        <v>218</v>
      </c>
      <c r="C29">
        <v>0.8</v>
      </c>
      <c r="D29">
        <v>0.8</v>
      </c>
      <c r="E29">
        <v>0</v>
      </c>
      <c r="F29">
        <v>0.8</v>
      </c>
    </row>
    <row r="30" spans="1:6" x14ac:dyDescent="0.15">
      <c r="A30">
        <v>29</v>
      </c>
      <c r="B30" s="194" t="s">
        <v>219</v>
      </c>
      <c r="C30">
        <v>0</v>
      </c>
      <c r="D30">
        <v>0.8</v>
      </c>
      <c r="E30">
        <v>0.8</v>
      </c>
      <c r="F30">
        <v>0</v>
      </c>
    </row>
    <row r="31" spans="1:6" x14ac:dyDescent="0.15">
      <c r="A31">
        <v>30</v>
      </c>
      <c r="B31" s="194" t="s">
        <v>220</v>
      </c>
      <c r="C31">
        <v>0.8</v>
      </c>
      <c r="D31">
        <v>0.8</v>
      </c>
      <c r="E31">
        <v>0.8</v>
      </c>
      <c r="F31">
        <v>0.8</v>
      </c>
    </row>
    <row r="32" spans="1:6" x14ac:dyDescent="0.15">
      <c r="A32">
        <v>31</v>
      </c>
      <c r="B32" s="194" t="s">
        <v>221</v>
      </c>
      <c r="C32">
        <v>0.8</v>
      </c>
      <c r="D32">
        <v>0.8</v>
      </c>
      <c r="E32">
        <v>0.8</v>
      </c>
      <c r="F32">
        <v>0.8</v>
      </c>
    </row>
    <row r="33" spans="1:6" x14ac:dyDescent="0.15">
      <c r="A33">
        <v>32</v>
      </c>
      <c r="B33" s="194" t="s">
        <v>222</v>
      </c>
      <c r="C33">
        <v>0.8</v>
      </c>
      <c r="D33">
        <v>0.8</v>
      </c>
      <c r="E33">
        <v>0.8</v>
      </c>
      <c r="F33">
        <v>0.8</v>
      </c>
    </row>
    <row r="34" spans="1:6" x14ac:dyDescent="0.15">
      <c r="A34">
        <v>33</v>
      </c>
      <c r="B34" s="194" t="s">
        <v>223</v>
      </c>
      <c r="C34">
        <v>0.8</v>
      </c>
      <c r="D34">
        <v>0.8</v>
      </c>
      <c r="E34">
        <v>0.8</v>
      </c>
      <c r="F34">
        <v>0.8</v>
      </c>
    </row>
    <row r="35" spans="1:6" x14ac:dyDescent="0.15">
      <c r="A35">
        <v>34</v>
      </c>
      <c r="B35" s="194" t="s">
        <v>224</v>
      </c>
      <c r="C35">
        <v>0</v>
      </c>
      <c r="D35">
        <v>0</v>
      </c>
      <c r="E35">
        <v>0</v>
      </c>
      <c r="F35">
        <v>0</v>
      </c>
    </row>
    <row r="36" spans="1:6" x14ac:dyDescent="0.15">
      <c r="A36">
        <v>35</v>
      </c>
      <c r="B36" s="194" t="s">
        <v>225</v>
      </c>
      <c r="C36">
        <v>0</v>
      </c>
      <c r="D36">
        <v>0</v>
      </c>
      <c r="E36">
        <v>0</v>
      </c>
      <c r="F36">
        <v>0</v>
      </c>
    </row>
    <row r="37" spans="1:6" x14ac:dyDescent="0.15">
      <c r="A37">
        <v>36</v>
      </c>
      <c r="B37" s="194" t="s">
        <v>226</v>
      </c>
      <c r="C37">
        <v>0</v>
      </c>
      <c r="D37">
        <v>0</v>
      </c>
      <c r="E37">
        <v>0</v>
      </c>
      <c r="F37">
        <v>0</v>
      </c>
    </row>
    <row r="38" spans="1:6" x14ac:dyDescent="0.15">
      <c r="A38">
        <v>37</v>
      </c>
      <c r="B38" s="194" t="s">
        <v>227</v>
      </c>
      <c r="C38">
        <v>0</v>
      </c>
      <c r="D38">
        <v>0</v>
      </c>
      <c r="E38">
        <v>0</v>
      </c>
      <c r="F38">
        <v>0</v>
      </c>
    </row>
    <row r="39" spans="1:6" x14ac:dyDescent="0.15">
      <c r="A39">
        <v>38</v>
      </c>
      <c r="B39" s="194" t="s">
        <v>228</v>
      </c>
      <c r="C39">
        <v>0</v>
      </c>
      <c r="D39">
        <v>0</v>
      </c>
      <c r="E39">
        <v>0</v>
      </c>
      <c r="F39">
        <v>0</v>
      </c>
    </row>
    <row r="40" spans="1:6" x14ac:dyDescent="0.15">
      <c r="A40">
        <v>39</v>
      </c>
      <c r="B40" s="194" t="s">
        <v>229</v>
      </c>
      <c r="C40">
        <v>0</v>
      </c>
      <c r="D40">
        <v>0</v>
      </c>
      <c r="E40">
        <v>0</v>
      </c>
      <c r="F40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F40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3.1640625" bestFit="1" customWidth="1"/>
    <col min="3" max="4" width="3.83203125" bestFit="1" customWidth="1"/>
    <col min="5" max="6" width="3.83203125" customWidth="1"/>
  </cols>
  <sheetData>
    <row r="1" spans="1:6" ht="112" x14ac:dyDescent="0.15">
      <c r="A1" s="5" t="s">
        <v>82</v>
      </c>
      <c r="B1" s="3" t="s">
        <v>0</v>
      </c>
      <c r="C1" s="197" t="s">
        <v>230</v>
      </c>
      <c r="D1" s="197" t="s">
        <v>231</v>
      </c>
      <c r="E1" s="197" t="s">
        <v>232</v>
      </c>
      <c r="F1" s="197" t="s">
        <v>233</v>
      </c>
    </row>
    <row r="2" spans="1:6" x14ac:dyDescent="0.15">
      <c r="A2">
        <v>1</v>
      </c>
      <c r="B2" s="196" t="s">
        <v>191</v>
      </c>
      <c r="C2">
        <v>0</v>
      </c>
      <c r="D2">
        <v>0</v>
      </c>
      <c r="E2">
        <v>0.8</v>
      </c>
      <c r="F2">
        <v>0</v>
      </c>
    </row>
    <row r="3" spans="1:6" x14ac:dyDescent="0.15">
      <c r="A3">
        <v>2</v>
      </c>
      <c r="B3" s="196" t="s">
        <v>192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96" t="s">
        <v>193</v>
      </c>
      <c r="C4">
        <v>0</v>
      </c>
      <c r="D4">
        <v>0</v>
      </c>
      <c r="E4">
        <v>0</v>
      </c>
      <c r="F4">
        <v>0</v>
      </c>
    </row>
    <row r="5" spans="1:6" x14ac:dyDescent="0.15">
      <c r="A5">
        <v>4</v>
      </c>
      <c r="B5" s="196" t="s">
        <v>194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96" t="s">
        <v>195</v>
      </c>
      <c r="C6">
        <v>0.8</v>
      </c>
      <c r="D6">
        <v>0.8</v>
      </c>
      <c r="E6">
        <v>0.8</v>
      </c>
      <c r="F6">
        <v>0.8</v>
      </c>
    </row>
    <row r="7" spans="1:6" x14ac:dyDescent="0.15">
      <c r="A7">
        <v>6</v>
      </c>
      <c r="B7" s="196" t="s">
        <v>196</v>
      </c>
      <c r="C7">
        <v>0.8</v>
      </c>
      <c r="D7">
        <v>0.8</v>
      </c>
      <c r="E7">
        <v>0</v>
      </c>
      <c r="F7">
        <v>0.8</v>
      </c>
    </row>
    <row r="8" spans="1:6" x14ac:dyDescent="0.15">
      <c r="A8">
        <v>7</v>
      </c>
      <c r="B8" s="196" t="s">
        <v>197</v>
      </c>
      <c r="C8">
        <v>0</v>
      </c>
      <c r="D8">
        <v>0.8</v>
      </c>
      <c r="E8">
        <v>0</v>
      </c>
      <c r="F8">
        <v>0.8</v>
      </c>
    </row>
    <row r="9" spans="1:6" x14ac:dyDescent="0.15">
      <c r="A9">
        <v>8</v>
      </c>
      <c r="B9" s="196" t="s">
        <v>198</v>
      </c>
      <c r="C9">
        <v>0</v>
      </c>
      <c r="D9">
        <v>0.8</v>
      </c>
      <c r="E9">
        <v>0.8</v>
      </c>
      <c r="F9">
        <v>0.8</v>
      </c>
    </row>
    <row r="10" spans="1:6" x14ac:dyDescent="0.15">
      <c r="A10">
        <v>9</v>
      </c>
      <c r="B10" s="196" t="s">
        <v>199</v>
      </c>
      <c r="C10">
        <v>0</v>
      </c>
      <c r="D10">
        <v>0.8</v>
      </c>
      <c r="E10">
        <v>0.8</v>
      </c>
      <c r="F10">
        <v>0.8</v>
      </c>
    </row>
    <row r="11" spans="1:6" x14ac:dyDescent="0.15">
      <c r="A11">
        <v>10</v>
      </c>
      <c r="B11" s="196" t="s">
        <v>200</v>
      </c>
      <c r="C11">
        <v>0</v>
      </c>
      <c r="D11">
        <v>0.8</v>
      </c>
      <c r="E11">
        <v>0</v>
      </c>
      <c r="F11">
        <v>0.8</v>
      </c>
    </row>
    <row r="12" spans="1:6" x14ac:dyDescent="0.15">
      <c r="A12">
        <v>11</v>
      </c>
      <c r="B12" s="196" t="s">
        <v>201</v>
      </c>
      <c r="C12">
        <v>0.8</v>
      </c>
      <c r="D12">
        <v>0.8</v>
      </c>
      <c r="E12">
        <v>0</v>
      </c>
      <c r="F12">
        <v>0.8</v>
      </c>
    </row>
    <row r="13" spans="1:6" x14ac:dyDescent="0.15">
      <c r="A13">
        <v>12</v>
      </c>
      <c r="B13" s="196" t="s">
        <v>202</v>
      </c>
      <c r="C13">
        <v>0.8</v>
      </c>
      <c r="D13">
        <v>0.8</v>
      </c>
      <c r="E13">
        <v>0</v>
      </c>
      <c r="F13">
        <v>0.8</v>
      </c>
    </row>
    <row r="14" spans="1:6" x14ac:dyDescent="0.15">
      <c r="A14">
        <v>13</v>
      </c>
      <c r="B14" s="196" t="s">
        <v>203</v>
      </c>
      <c r="C14">
        <v>0</v>
      </c>
      <c r="D14">
        <v>0.8</v>
      </c>
      <c r="E14">
        <v>0.8</v>
      </c>
      <c r="F14">
        <v>0.8</v>
      </c>
    </row>
    <row r="15" spans="1:6" x14ac:dyDescent="0.15">
      <c r="A15">
        <v>14</v>
      </c>
      <c r="B15" s="196" t="s">
        <v>204</v>
      </c>
      <c r="C15">
        <v>0.8</v>
      </c>
      <c r="D15">
        <v>0.8</v>
      </c>
      <c r="E15">
        <v>0</v>
      </c>
      <c r="F15">
        <v>0.8</v>
      </c>
    </row>
    <row r="16" spans="1:6" x14ac:dyDescent="0.15">
      <c r="A16">
        <v>15</v>
      </c>
      <c r="B16" s="196" t="s">
        <v>205</v>
      </c>
      <c r="C16">
        <v>0.8</v>
      </c>
      <c r="D16">
        <v>0.8</v>
      </c>
      <c r="E16">
        <v>0</v>
      </c>
      <c r="F16">
        <v>0.8</v>
      </c>
    </row>
    <row r="17" spans="1:6" x14ac:dyDescent="0.15">
      <c r="A17">
        <v>16</v>
      </c>
      <c r="B17" s="196" t="s">
        <v>206</v>
      </c>
      <c r="C17">
        <v>0.8</v>
      </c>
      <c r="D17">
        <v>0.8</v>
      </c>
      <c r="E17">
        <v>0.8</v>
      </c>
      <c r="F17">
        <v>0.8</v>
      </c>
    </row>
    <row r="18" spans="1:6" x14ac:dyDescent="0.15">
      <c r="A18">
        <v>17</v>
      </c>
      <c r="B18" s="196" t="s">
        <v>207</v>
      </c>
      <c r="C18">
        <v>0.8</v>
      </c>
      <c r="D18">
        <v>0.8</v>
      </c>
      <c r="E18">
        <v>0</v>
      </c>
      <c r="F18">
        <v>0.8</v>
      </c>
    </row>
    <row r="19" spans="1:6" x14ac:dyDescent="0.15">
      <c r="A19">
        <v>18</v>
      </c>
      <c r="B19" s="196" t="s">
        <v>208</v>
      </c>
      <c r="C19">
        <v>0</v>
      </c>
      <c r="D19">
        <v>0.8</v>
      </c>
      <c r="E19">
        <v>0.8</v>
      </c>
      <c r="F19">
        <v>0.8</v>
      </c>
    </row>
    <row r="20" spans="1:6" x14ac:dyDescent="0.15">
      <c r="A20">
        <v>19</v>
      </c>
      <c r="B20" s="196" t="s">
        <v>209</v>
      </c>
      <c r="C20">
        <v>0.8</v>
      </c>
      <c r="D20">
        <v>0.8</v>
      </c>
      <c r="E20">
        <v>0</v>
      </c>
      <c r="F20">
        <v>0.8</v>
      </c>
    </row>
    <row r="21" spans="1:6" x14ac:dyDescent="0.15">
      <c r="A21">
        <v>20</v>
      </c>
      <c r="B21" s="196" t="s">
        <v>210</v>
      </c>
      <c r="C21">
        <v>0.8</v>
      </c>
      <c r="D21">
        <v>0.8</v>
      </c>
      <c r="E21">
        <v>0.8</v>
      </c>
      <c r="F21">
        <v>0.8</v>
      </c>
    </row>
    <row r="22" spans="1:6" x14ac:dyDescent="0.15">
      <c r="A22">
        <v>21</v>
      </c>
      <c r="B22" s="196" t="s">
        <v>211</v>
      </c>
      <c r="C22">
        <v>0</v>
      </c>
      <c r="D22">
        <v>0</v>
      </c>
      <c r="E22">
        <v>0</v>
      </c>
      <c r="F22">
        <v>0.8</v>
      </c>
    </row>
    <row r="23" spans="1:6" x14ac:dyDescent="0.15">
      <c r="A23">
        <v>22</v>
      </c>
      <c r="B23" s="196" t="s">
        <v>212</v>
      </c>
      <c r="C23">
        <v>0</v>
      </c>
      <c r="D23">
        <v>0</v>
      </c>
      <c r="E23">
        <v>0</v>
      </c>
      <c r="F23">
        <v>0.8</v>
      </c>
    </row>
    <row r="24" spans="1:6" x14ac:dyDescent="0.15">
      <c r="A24">
        <v>23</v>
      </c>
      <c r="B24" s="196" t="s">
        <v>213</v>
      </c>
      <c r="C24">
        <v>0</v>
      </c>
      <c r="D24">
        <v>0</v>
      </c>
      <c r="E24">
        <v>0</v>
      </c>
      <c r="F24">
        <v>0.8</v>
      </c>
    </row>
    <row r="25" spans="1:6" x14ac:dyDescent="0.15">
      <c r="A25">
        <v>24</v>
      </c>
      <c r="B25" s="196" t="s">
        <v>214</v>
      </c>
      <c r="C25">
        <v>0</v>
      </c>
      <c r="D25">
        <v>0</v>
      </c>
      <c r="E25">
        <v>0</v>
      </c>
      <c r="F25">
        <v>0</v>
      </c>
    </row>
    <row r="26" spans="1:6" x14ac:dyDescent="0.15">
      <c r="A26">
        <v>25</v>
      </c>
      <c r="B26" s="196" t="s">
        <v>215</v>
      </c>
      <c r="C26">
        <v>0</v>
      </c>
      <c r="D26">
        <v>0</v>
      </c>
      <c r="E26">
        <v>0</v>
      </c>
      <c r="F26">
        <v>0</v>
      </c>
    </row>
    <row r="27" spans="1:6" x14ac:dyDescent="0.15">
      <c r="A27">
        <v>26</v>
      </c>
      <c r="B27" s="196" t="s">
        <v>216</v>
      </c>
      <c r="C27">
        <v>0</v>
      </c>
      <c r="D27">
        <v>0.8</v>
      </c>
      <c r="E27">
        <v>0.8</v>
      </c>
      <c r="F27">
        <v>0.8</v>
      </c>
    </row>
    <row r="28" spans="1:6" x14ac:dyDescent="0.15">
      <c r="A28">
        <v>27</v>
      </c>
      <c r="B28" s="196" t="s">
        <v>217</v>
      </c>
      <c r="C28">
        <v>0</v>
      </c>
      <c r="D28">
        <v>0</v>
      </c>
      <c r="E28">
        <v>0</v>
      </c>
      <c r="F28">
        <v>0</v>
      </c>
    </row>
    <row r="29" spans="1:6" x14ac:dyDescent="0.15">
      <c r="A29">
        <v>28</v>
      </c>
      <c r="B29" s="196" t="s">
        <v>218</v>
      </c>
      <c r="C29">
        <v>0.8</v>
      </c>
      <c r="D29">
        <v>0.8</v>
      </c>
      <c r="E29">
        <v>0</v>
      </c>
      <c r="F29">
        <v>0.8</v>
      </c>
    </row>
    <row r="30" spans="1:6" x14ac:dyDescent="0.15">
      <c r="A30">
        <v>29</v>
      </c>
      <c r="B30" s="196" t="s">
        <v>219</v>
      </c>
      <c r="C30">
        <v>0</v>
      </c>
      <c r="D30">
        <v>0.8</v>
      </c>
      <c r="E30">
        <v>0.8</v>
      </c>
      <c r="F30">
        <v>0</v>
      </c>
    </row>
    <row r="31" spans="1:6" x14ac:dyDescent="0.15">
      <c r="A31">
        <v>30</v>
      </c>
      <c r="B31" s="196" t="s">
        <v>220</v>
      </c>
      <c r="C31">
        <v>0.8</v>
      </c>
      <c r="D31">
        <v>0.8</v>
      </c>
      <c r="E31">
        <v>0.8</v>
      </c>
      <c r="F31">
        <v>0.8</v>
      </c>
    </row>
    <row r="32" spans="1:6" x14ac:dyDescent="0.15">
      <c r="A32">
        <v>31</v>
      </c>
      <c r="B32" s="196" t="s">
        <v>221</v>
      </c>
      <c r="C32">
        <v>0.8</v>
      </c>
      <c r="D32">
        <v>0.8</v>
      </c>
      <c r="E32">
        <v>0.8</v>
      </c>
      <c r="F32">
        <v>0.8</v>
      </c>
    </row>
    <row r="33" spans="1:6" x14ac:dyDescent="0.15">
      <c r="A33">
        <v>32</v>
      </c>
      <c r="B33" s="196" t="s">
        <v>222</v>
      </c>
      <c r="C33">
        <v>0.8</v>
      </c>
      <c r="D33">
        <v>0.8</v>
      </c>
      <c r="E33">
        <v>0.8</v>
      </c>
      <c r="F33">
        <v>0.8</v>
      </c>
    </row>
    <row r="34" spans="1:6" x14ac:dyDescent="0.15">
      <c r="A34">
        <v>33</v>
      </c>
      <c r="B34" s="196" t="s">
        <v>223</v>
      </c>
      <c r="C34">
        <v>0.8</v>
      </c>
      <c r="D34">
        <v>0.8</v>
      </c>
      <c r="E34">
        <v>0.8</v>
      </c>
      <c r="F34">
        <v>0.8</v>
      </c>
    </row>
    <row r="35" spans="1:6" x14ac:dyDescent="0.15">
      <c r="A35">
        <v>34</v>
      </c>
      <c r="B35" s="196" t="s">
        <v>224</v>
      </c>
      <c r="C35">
        <v>0</v>
      </c>
      <c r="D35">
        <v>0</v>
      </c>
      <c r="E35">
        <v>0</v>
      </c>
      <c r="F35">
        <v>0</v>
      </c>
    </row>
    <row r="36" spans="1:6" x14ac:dyDescent="0.15">
      <c r="A36">
        <v>35</v>
      </c>
      <c r="B36" s="196" t="s">
        <v>225</v>
      </c>
      <c r="C36">
        <v>0</v>
      </c>
      <c r="D36">
        <v>0</v>
      </c>
      <c r="E36">
        <v>0</v>
      </c>
      <c r="F36">
        <v>0</v>
      </c>
    </row>
    <row r="37" spans="1:6" x14ac:dyDescent="0.15">
      <c r="A37">
        <v>36</v>
      </c>
      <c r="B37" s="196" t="s">
        <v>226</v>
      </c>
      <c r="C37">
        <v>0</v>
      </c>
      <c r="D37">
        <v>0</v>
      </c>
      <c r="E37">
        <v>0</v>
      </c>
      <c r="F37">
        <v>0</v>
      </c>
    </row>
    <row r="38" spans="1:6" x14ac:dyDescent="0.15">
      <c r="A38">
        <v>37</v>
      </c>
      <c r="B38" s="196" t="s">
        <v>227</v>
      </c>
      <c r="C38">
        <v>0</v>
      </c>
      <c r="D38">
        <v>0</v>
      </c>
      <c r="E38">
        <v>0</v>
      </c>
      <c r="F38">
        <v>0</v>
      </c>
    </row>
    <row r="39" spans="1:6" x14ac:dyDescent="0.15">
      <c r="A39">
        <v>38</v>
      </c>
      <c r="B39" s="196" t="s">
        <v>228</v>
      </c>
      <c r="C39">
        <v>0</v>
      </c>
      <c r="D39">
        <v>0</v>
      </c>
      <c r="E39">
        <v>0</v>
      </c>
      <c r="F39">
        <v>0</v>
      </c>
    </row>
    <row r="40" spans="1:6" x14ac:dyDescent="0.15">
      <c r="A40">
        <v>39</v>
      </c>
      <c r="B40" s="196" t="s">
        <v>229</v>
      </c>
      <c r="C40">
        <v>0</v>
      </c>
      <c r="D40">
        <v>0</v>
      </c>
      <c r="E40">
        <v>0</v>
      </c>
      <c r="F4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84"/>
    <col min="2" max="2" width="41.83203125" style="84" bestFit="1" customWidth="1"/>
    <col min="3" max="3" width="9.33203125" style="84" bestFit="1" customWidth="1"/>
    <col min="4" max="4" width="13" style="84" bestFit="1" customWidth="1"/>
    <col min="5" max="6" width="9.33203125" style="84" bestFit="1" customWidth="1"/>
    <col min="7" max="7" width="9.33203125" style="100" bestFit="1" customWidth="1"/>
    <col min="8" max="8" width="9.33203125" style="84" bestFit="1" customWidth="1"/>
    <col min="9" max="9" width="11" style="84" customWidth="1"/>
    <col min="10" max="10" width="8.83203125" style="84"/>
    <col min="15" max="16384" width="8.83203125" style="8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9">
        <v>1</v>
      </c>
      <c r="B2" s="149" t="s">
        <v>191</v>
      </c>
      <c r="C2" s="8">
        <v>1</v>
      </c>
      <c r="D2" s="9">
        <v>102.45877075195312</v>
      </c>
      <c r="E2" s="9">
        <v>84.550811767578125</v>
      </c>
      <c r="F2" s="10"/>
      <c r="G2" s="9">
        <v>0.31563049554824829</v>
      </c>
      <c r="H2" s="10"/>
      <c r="I2">
        <v>8.8430540636181831E-3</v>
      </c>
      <c r="J2"/>
    </row>
    <row r="3" spans="1:10" ht="15" customHeight="1" x14ac:dyDescent="0.15">
      <c r="A3" s="150">
        <v>2</v>
      </c>
      <c r="B3" s="150" t="s">
        <v>192</v>
      </c>
      <c r="C3" s="8">
        <v>2</v>
      </c>
      <c r="D3" s="9">
        <v>20.200000762939453</v>
      </c>
      <c r="E3" s="9">
        <v>25</v>
      </c>
      <c r="F3" s="9">
        <v>90.400001525878906</v>
      </c>
      <c r="G3" s="9">
        <v>0.58689182996749878</v>
      </c>
      <c r="H3" s="9">
        <v>0.27654865384101868</v>
      </c>
      <c r="I3">
        <v>0</v>
      </c>
      <c r="J3"/>
    </row>
    <row r="4" spans="1:10" ht="15" customHeight="1" x14ac:dyDescent="0.15">
      <c r="A4" s="151">
        <v>3</v>
      </c>
      <c r="B4" s="151" t="s">
        <v>193</v>
      </c>
      <c r="C4" s="8">
        <v>2.1778349876403809</v>
      </c>
      <c r="D4" s="9">
        <v>56.303890228271484</v>
      </c>
      <c r="E4" s="9">
        <v>6</v>
      </c>
      <c r="F4" s="9">
        <v>25</v>
      </c>
      <c r="G4" s="9">
        <v>0.95000004768371582</v>
      </c>
      <c r="H4" s="9">
        <v>0.23999999463558197</v>
      </c>
      <c r="I4">
        <v>0</v>
      </c>
      <c r="J4"/>
    </row>
    <row r="5" spans="1:10" ht="15" customHeight="1" x14ac:dyDescent="0.15">
      <c r="A5" s="152">
        <v>4</v>
      </c>
      <c r="B5" s="152" t="s">
        <v>194</v>
      </c>
      <c r="C5" s="8">
        <v>2</v>
      </c>
      <c r="D5" s="9">
        <v>21.962692260742188</v>
      </c>
      <c r="E5" s="9">
        <v>2</v>
      </c>
      <c r="F5" s="9">
        <v>22.200000762939453</v>
      </c>
      <c r="G5" s="9">
        <v>0.95000004768371582</v>
      </c>
      <c r="H5" s="9">
        <v>9.0090088546276093E-2</v>
      </c>
      <c r="I5">
        <v>0</v>
      </c>
      <c r="J5"/>
    </row>
    <row r="6" spans="1:10" ht="15" customHeight="1" x14ac:dyDescent="0.15">
      <c r="A6" s="153">
        <v>5</v>
      </c>
      <c r="B6" s="153" t="s">
        <v>195</v>
      </c>
      <c r="C6" s="8">
        <v>2</v>
      </c>
      <c r="D6" s="9">
        <v>155.7562255859375</v>
      </c>
      <c r="E6" s="9">
        <v>1.5499999523162842</v>
      </c>
      <c r="F6" s="9">
        <v>9.3999996185302734</v>
      </c>
      <c r="G6" s="9">
        <v>0.94999986886978149</v>
      </c>
      <c r="H6" s="9">
        <v>0.16489361226558685</v>
      </c>
      <c r="I6">
        <v>4.074908047914505E-2</v>
      </c>
      <c r="J6"/>
    </row>
    <row r="7" spans="1:10" ht="15" customHeight="1" x14ac:dyDescent="0.15">
      <c r="A7" s="154">
        <v>6</v>
      </c>
      <c r="B7" s="154" t="s">
        <v>196</v>
      </c>
      <c r="C7" s="8">
        <v>2.8000001907348633</v>
      </c>
      <c r="D7" s="9">
        <v>2.5102956295013428</v>
      </c>
      <c r="E7" s="9">
        <v>1.1000000238418579</v>
      </c>
      <c r="F7" s="9">
        <v>4.440000057220459</v>
      </c>
      <c r="G7" s="9">
        <v>0.94999998807907104</v>
      </c>
      <c r="H7" s="9">
        <v>0.2477477490901947</v>
      </c>
      <c r="I7">
        <v>4.0460005402565002E-2</v>
      </c>
      <c r="J7"/>
    </row>
    <row r="8" spans="1:10" ht="15" customHeight="1" x14ac:dyDescent="0.15">
      <c r="A8" s="155">
        <v>7</v>
      </c>
      <c r="B8" s="155" t="s">
        <v>197</v>
      </c>
      <c r="C8" s="8">
        <v>2.4916057586669922</v>
      </c>
      <c r="D8" s="9">
        <v>12.414360046386719</v>
      </c>
      <c r="E8" s="9">
        <v>1.7999999523162842</v>
      </c>
      <c r="F8" s="9">
        <v>10</v>
      </c>
      <c r="G8" s="9">
        <v>0.94999998807907104</v>
      </c>
      <c r="H8" s="9">
        <v>0.17999999225139618</v>
      </c>
      <c r="I8">
        <v>2.6489378069527447E-4</v>
      </c>
      <c r="J8"/>
    </row>
    <row r="9" spans="1:10" ht="15" customHeight="1" x14ac:dyDescent="0.15">
      <c r="A9" s="156">
        <v>8</v>
      </c>
      <c r="B9" s="156" t="s">
        <v>198</v>
      </c>
      <c r="C9" s="8">
        <v>2.4773287773132324</v>
      </c>
      <c r="D9" s="9">
        <v>28.368793487548828</v>
      </c>
      <c r="E9" s="9">
        <v>1.7000000476837158</v>
      </c>
      <c r="F9" s="9">
        <v>11.333333015441895</v>
      </c>
      <c r="G9" s="9">
        <v>0.95000004768371582</v>
      </c>
      <c r="H9" s="9">
        <v>0.15000000596046448</v>
      </c>
      <c r="I9">
        <v>3.4362215548753738E-2</v>
      </c>
      <c r="J9"/>
    </row>
    <row r="10" spans="1:10" ht="15" customHeight="1" x14ac:dyDescent="0.15">
      <c r="A10" s="157">
        <v>9</v>
      </c>
      <c r="B10" s="157" t="s">
        <v>199</v>
      </c>
      <c r="C10" s="8">
        <v>3.2140467166900635</v>
      </c>
      <c r="D10" s="9">
        <v>1.8761354684829712</v>
      </c>
      <c r="E10" s="9">
        <v>0.28200000524520874</v>
      </c>
      <c r="F10" s="9">
        <v>5.8499999046325684</v>
      </c>
      <c r="G10" s="9">
        <v>0.94999986886978149</v>
      </c>
      <c r="H10" s="9">
        <v>4.820512980222702E-2</v>
      </c>
      <c r="I10">
        <v>5.6212758645415306E-3</v>
      </c>
      <c r="J10"/>
    </row>
    <row r="11" spans="1:10" ht="15" customHeight="1" x14ac:dyDescent="0.15">
      <c r="A11" s="158">
        <v>10</v>
      </c>
      <c r="B11" s="158" t="s">
        <v>200</v>
      </c>
      <c r="C11" s="8">
        <v>2.1069273948669434</v>
      </c>
      <c r="D11" s="9">
        <v>0.32575348019599915</v>
      </c>
      <c r="E11" s="9">
        <v>0.55199998617172241</v>
      </c>
      <c r="F11" s="9">
        <v>7.1609997749328613</v>
      </c>
      <c r="G11" s="9">
        <v>0.94999998807907104</v>
      </c>
      <c r="H11" s="9">
        <v>7.708420604467392E-2</v>
      </c>
      <c r="I11">
        <v>2.5334355887025595E-3</v>
      </c>
      <c r="J11"/>
    </row>
    <row r="12" spans="1:10" ht="15" customHeight="1" x14ac:dyDescent="0.15">
      <c r="A12" s="159">
        <v>11</v>
      </c>
      <c r="B12" s="159" t="s">
        <v>201</v>
      </c>
      <c r="C12" s="8">
        <v>3.4182238578796387</v>
      </c>
      <c r="D12" s="9">
        <v>3.0538685321807861</v>
      </c>
      <c r="E12" s="9">
        <v>0.35199999809265137</v>
      </c>
      <c r="F12" s="9">
        <v>6.1669998168945312</v>
      </c>
      <c r="G12" s="9">
        <v>0.94999992847442627</v>
      </c>
      <c r="H12" s="9">
        <v>5.7077996432781219E-2</v>
      </c>
      <c r="I12">
        <v>4.0460005402565002E-2</v>
      </c>
      <c r="J12"/>
    </row>
    <row r="13" spans="1:10" ht="15" customHeight="1" x14ac:dyDescent="0.15">
      <c r="A13" s="160">
        <v>12</v>
      </c>
      <c r="B13" s="160" t="s">
        <v>202</v>
      </c>
      <c r="C13" s="8">
        <v>3.5628645420074463</v>
      </c>
      <c r="D13" s="9">
        <v>0.22467105090618134</v>
      </c>
      <c r="E13" s="9">
        <v>0.27000001072883606</v>
      </c>
      <c r="F13" s="9">
        <v>2.9849998950958252</v>
      </c>
      <c r="G13" s="9">
        <v>0.94999998807907104</v>
      </c>
      <c r="H13" s="9">
        <v>9.0452268719673157E-2</v>
      </c>
      <c r="I13">
        <v>4.0460005402565002E-2</v>
      </c>
      <c r="J13"/>
    </row>
    <row r="14" spans="1:10" ht="15" customHeight="1" x14ac:dyDescent="0.15">
      <c r="A14" s="161">
        <v>13</v>
      </c>
      <c r="B14" s="161" t="s">
        <v>203</v>
      </c>
      <c r="C14" s="8">
        <v>3.9925875663757324</v>
      </c>
      <c r="D14" s="9">
        <v>0.1093190535902977</v>
      </c>
      <c r="E14" s="9">
        <v>0.53299999237060547</v>
      </c>
      <c r="F14" s="9">
        <v>4.4699997901916504</v>
      </c>
      <c r="G14" s="9">
        <v>0.94999986886978149</v>
      </c>
      <c r="H14" s="9">
        <v>0.11923937499523163</v>
      </c>
      <c r="I14">
        <v>8.9872563257813454E-3</v>
      </c>
      <c r="J14"/>
    </row>
    <row r="15" spans="1:10" ht="15" customHeight="1" x14ac:dyDescent="0.15">
      <c r="A15" s="162">
        <v>14</v>
      </c>
      <c r="B15" s="162" t="s">
        <v>204</v>
      </c>
      <c r="C15" s="8">
        <v>2.8442933559417725</v>
      </c>
      <c r="D15" s="9">
        <v>12.301984786987305</v>
      </c>
      <c r="E15" s="9">
        <v>1.4450000524520874</v>
      </c>
      <c r="F15" s="9">
        <v>10.956999778747559</v>
      </c>
      <c r="G15" s="9">
        <v>0.94999986886978149</v>
      </c>
      <c r="H15" s="9">
        <v>0.13187916576862335</v>
      </c>
      <c r="I15">
        <v>4.0460005402565002E-2</v>
      </c>
      <c r="J15"/>
    </row>
    <row r="16" spans="1:10" ht="15" customHeight="1" x14ac:dyDescent="0.15">
      <c r="A16" s="163">
        <v>15</v>
      </c>
      <c r="B16" s="163" t="s">
        <v>205</v>
      </c>
      <c r="C16" s="8">
        <v>3.0969071388244629</v>
      </c>
      <c r="D16" s="9">
        <v>5.5907063484191895</v>
      </c>
      <c r="E16" s="9">
        <v>0.68999999761581421</v>
      </c>
      <c r="F16" s="9">
        <v>8.5579996109008789</v>
      </c>
      <c r="G16" s="9">
        <v>0.94999998807907104</v>
      </c>
      <c r="H16" s="9">
        <v>8.0626316368579865E-2</v>
      </c>
      <c r="I16">
        <v>4.0460005402565002E-2</v>
      </c>
      <c r="J16"/>
    </row>
    <row r="17" spans="1:10" ht="15" customHeight="1" x14ac:dyDescent="0.15">
      <c r="A17" s="164">
        <v>16</v>
      </c>
      <c r="B17" s="164" t="s">
        <v>206</v>
      </c>
      <c r="C17" s="8">
        <v>3.229968786239624</v>
      </c>
      <c r="D17" s="9">
        <v>1.8581999540328979</v>
      </c>
      <c r="E17" s="9">
        <v>1.2599999904632568</v>
      </c>
      <c r="F17" s="9">
        <v>7.9210000038146973</v>
      </c>
      <c r="G17" s="9">
        <v>0.96262425184249878</v>
      </c>
      <c r="H17" s="9">
        <v>0.15907081961631775</v>
      </c>
      <c r="I17">
        <v>1.3466686010360718</v>
      </c>
      <c r="J17"/>
    </row>
    <row r="18" spans="1:10" ht="15" customHeight="1" x14ac:dyDescent="0.15">
      <c r="A18" s="165">
        <v>17</v>
      </c>
      <c r="B18" s="165" t="s">
        <v>207</v>
      </c>
      <c r="C18" s="8">
        <v>3.4480788707733154</v>
      </c>
      <c r="D18" s="9">
        <v>1.9000082015991211</v>
      </c>
      <c r="E18" s="9">
        <v>0.49399998784065247</v>
      </c>
      <c r="F18" s="9">
        <v>7.4499998092651367</v>
      </c>
      <c r="G18" s="9">
        <v>0.94999998807907104</v>
      </c>
      <c r="H18" s="9">
        <v>6.6308721899986267E-2</v>
      </c>
      <c r="I18">
        <v>4.0460005402565002E-2</v>
      </c>
      <c r="J18"/>
    </row>
    <row r="19" spans="1:10" ht="15" customHeight="1" x14ac:dyDescent="0.15">
      <c r="A19" s="166">
        <v>18</v>
      </c>
      <c r="B19" s="166" t="s">
        <v>208</v>
      </c>
      <c r="C19" s="8">
        <v>3.4225177764892578</v>
      </c>
      <c r="D19" s="9">
        <v>2.2360000610351562</v>
      </c>
      <c r="E19" s="9">
        <v>0.82200002670288086</v>
      </c>
      <c r="F19" s="9">
        <v>5.9869999885559082</v>
      </c>
      <c r="G19" s="9">
        <v>0.63493621349334717</v>
      </c>
      <c r="H19" s="9">
        <v>0.13729748129844666</v>
      </c>
      <c r="I19">
        <v>1.0835895538330078</v>
      </c>
      <c r="J19"/>
    </row>
    <row r="20" spans="1:10" ht="15" customHeight="1" x14ac:dyDescent="0.15">
      <c r="A20" s="167">
        <v>19</v>
      </c>
      <c r="B20" s="167" t="s">
        <v>209</v>
      </c>
      <c r="C20" s="8">
        <v>3.9007971286773682</v>
      </c>
      <c r="D20" s="9">
        <v>0.39548611640930176</v>
      </c>
      <c r="E20" s="9">
        <v>0.15700000524520874</v>
      </c>
      <c r="F20" s="9">
        <v>3.8810000419616699</v>
      </c>
      <c r="G20" s="9">
        <v>0.94999992847442627</v>
      </c>
      <c r="H20" s="9">
        <v>4.0453493595123291E-2</v>
      </c>
      <c r="I20">
        <v>4.0460005402565002E-2</v>
      </c>
      <c r="J20"/>
    </row>
    <row r="21" spans="1:10" ht="15" customHeight="1" x14ac:dyDescent="0.15">
      <c r="A21" s="168">
        <v>20</v>
      </c>
      <c r="B21" s="168" t="s">
        <v>210</v>
      </c>
      <c r="C21" s="8">
        <v>4.1291351318359375</v>
      </c>
      <c r="D21" s="9">
        <v>0.5</v>
      </c>
      <c r="E21" s="9">
        <v>0.7160000205039978</v>
      </c>
      <c r="F21" s="9">
        <v>4.8870000839233398</v>
      </c>
      <c r="G21" s="9">
        <v>0.93031257390975952</v>
      </c>
      <c r="H21" s="9">
        <v>0.14651115238666534</v>
      </c>
      <c r="I21">
        <v>0.18977627158164978</v>
      </c>
      <c r="J21"/>
    </row>
    <row r="22" spans="1:10" ht="15" customHeight="1" x14ac:dyDescent="0.15">
      <c r="A22" s="169">
        <v>21</v>
      </c>
      <c r="B22" s="169" t="s">
        <v>211</v>
      </c>
      <c r="C22" s="8">
        <v>3.2969040870666504</v>
      </c>
      <c r="D22" s="9">
        <v>3.6320688724517822</v>
      </c>
      <c r="E22" s="9">
        <v>1.7680000066757202</v>
      </c>
      <c r="F22" s="9">
        <v>12.64799976348877</v>
      </c>
      <c r="G22" s="9">
        <v>0.94999998807907104</v>
      </c>
      <c r="H22" s="9">
        <v>0.13978494703769684</v>
      </c>
      <c r="I22">
        <v>3.6399818956851959E-2</v>
      </c>
      <c r="J22"/>
    </row>
    <row r="23" spans="1:10" ht="15" customHeight="1" x14ac:dyDescent="0.15">
      <c r="A23" s="170">
        <v>22</v>
      </c>
      <c r="B23" s="170" t="s">
        <v>212</v>
      </c>
      <c r="C23" s="8">
        <v>3.8424594402313232</v>
      </c>
      <c r="D23" s="9">
        <v>0.28993377089500427</v>
      </c>
      <c r="E23" s="9">
        <v>0.52499997615814209</v>
      </c>
      <c r="F23" s="9">
        <v>7.4819998741149902</v>
      </c>
      <c r="G23" s="9">
        <v>0.9500001072883606</v>
      </c>
      <c r="H23" s="9">
        <v>7.0168405771255493E-2</v>
      </c>
      <c r="I23">
        <v>6.8824301706627011E-4</v>
      </c>
      <c r="J23"/>
    </row>
    <row r="24" spans="1:10" ht="15" customHeight="1" x14ac:dyDescent="0.15">
      <c r="A24" s="171">
        <v>23</v>
      </c>
      <c r="B24" s="171" t="s">
        <v>213</v>
      </c>
      <c r="C24" s="8">
        <v>3.9854445457458496</v>
      </c>
      <c r="D24" s="9">
        <v>0.23999999463558197</v>
      </c>
      <c r="E24" s="9">
        <v>0.43500000238418579</v>
      </c>
      <c r="F24" s="9">
        <v>4.3400001525878906</v>
      </c>
      <c r="G24" s="9">
        <v>0.85554981231689453</v>
      </c>
      <c r="H24" s="9">
        <v>0.10023041069507599</v>
      </c>
      <c r="I24">
        <v>3.6399818956851959E-2</v>
      </c>
      <c r="J24"/>
    </row>
    <row r="25" spans="1:10" ht="15" customHeight="1" x14ac:dyDescent="0.15">
      <c r="A25" s="172">
        <v>24</v>
      </c>
      <c r="B25" s="172" t="s">
        <v>214</v>
      </c>
      <c r="C25" s="8">
        <v>3.0568990707397461</v>
      </c>
      <c r="D25" s="9">
        <v>5.7192850112915039</v>
      </c>
      <c r="E25" s="9">
        <v>2.377000093460083</v>
      </c>
      <c r="F25" s="9">
        <v>13.03600025177002</v>
      </c>
      <c r="G25" s="9">
        <v>0.94999992847442627</v>
      </c>
      <c r="H25" s="9">
        <v>0.18234121799468994</v>
      </c>
      <c r="I25">
        <v>0</v>
      </c>
      <c r="J25"/>
    </row>
    <row r="26" spans="1:10" ht="15" customHeight="1" x14ac:dyDescent="0.15">
      <c r="A26" s="173">
        <v>25</v>
      </c>
      <c r="B26" s="173" t="s">
        <v>215</v>
      </c>
      <c r="C26" s="8">
        <v>3.2914943695068359</v>
      </c>
      <c r="D26" s="9">
        <v>3.0246596336364746</v>
      </c>
      <c r="E26" s="9">
        <v>1.1310000419616699</v>
      </c>
      <c r="F26" s="9">
        <v>8.4709997177124023</v>
      </c>
      <c r="G26" s="9">
        <v>0.94999986886978149</v>
      </c>
      <c r="H26" s="9">
        <v>0.13351435959339142</v>
      </c>
      <c r="I26">
        <v>0</v>
      </c>
      <c r="J26"/>
    </row>
    <row r="27" spans="1:10" ht="15" customHeight="1" x14ac:dyDescent="0.15">
      <c r="A27" s="174">
        <v>26</v>
      </c>
      <c r="B27" s="174" t="s">
        <v>216</v>
      </c>
      <c r="C27" s="8">
        <v>3.5290985107421875</v>
      </c>
      <c r="D27" s="9">
        <v>6.3957467079162598</v>
      </c>
      <c r="E27" s="9">
        <v>0.94099998474121094</v>
      </c>
      <c r="F27" s="9">
        <v>6.314000129699707</v>
      </c>
      <c r="G27" s="9">
        <v>0.95000004768371582</v>
      </c>
      <c r="H27" s="9">
        <v>0.14903388917446136</v>
      </c>
      <c r="I27">
        <v>1.2506515979766846</v>
      </c>
      <c r="J27"/>
    </row>
    <row r="28" spans="1:10" ht="15" customHeight="1" x14ac:dyDescent="0.15">
      <c r="A28" s="175">
        <v>27</v>
      </c>
      <c r="B28" s="175" t="s">
        <v>217</v>
      </c>
      <c r="C28" s="8">
        <v>4.2341279983520508</v>
      </c>
      <c r="D28" s="9">
        <v>2.3211581707000732</v>
      </c>
      <c r="E28" s="9">
        <v>0.77700001001358032</v>
      </c>
      <c r="F28" s="9">
        <v>3.2060000896453857</v>
      </c>
      <c r="G28" s="9">
        <v>0.94999998807907104</v>
      </c>
      <c r="H28" s="9">
        <v>0.24235807359218597</v>
      </c>
      <c r="I28">
        <v>0</v>
      </c>
      <c r="J28"/>
    </row>
    <row r="29" spans="1:10" ht="15" customHeight="1" x14ac:dyDescent="0.15">
      <c r="A29" s="176">
        <v>28</v>
      </c>
      <c r="B29" s="176" t="s">
        <v>218</v>
      </c>
      <c r="C29" s="8">
        <v>2.924187183380127</v>
      </c>
      <c r="D29" s="9">
        <v>17.646999359130859</v>
      </c>
      <c r="E29" s="9">
        <v>1.1000000238418579</v>
      </c>
      <c r="F29" s="9">
        <v>11.081000328063965</v>
      </c>
      <c r="G29" s="9">
        <v>0.9888838529586792</v>
      </c>
      <c r="H29" s="9">
        <v>9.9269017577171326E-2</v>
      </c>
      <c r="I29">
        <v>1.926770806312561</v>
      </c>
      <c r="J29"/>
    </row>
    <row r="30" spans="1:10" ht="15" customHeight="1" x14ac:dyDescent="0.15">
      <c r="A30" s="177">
        <v>29</v>
      </c>
      <c r="B30" s="177" t="s">
        <v>219</v>
      </c>
      <c r="C30" s="8">
        <v>4.288233757019043</v>
      </c>
      <c r="D30" s="9">
        <v>5.7620000094175339E-2</v>
      </c>
      <c r="E30" s="9">
        <v>0.64200001955032349</v>
      </c>
      <c r="F30" s="9">
        <v>3.7739999294281006</v>
      </c>
      <c r="G30" s="9">
        <v>0.66041719913482666</v>
      </c>
      <c r="H30" s="9">
        <v>0.17011129856109619</v>
      </c>
      <c r="I30">
        <v>6.2807057984173298E-3</v>
      </c>
      <c r="J30"/>
    </row>
    <row r="31" spans="1:10" ht="15" customHeight="1" x14ac:dyDescent="0.15">
      <c r="A31" s="178">
        <v>30</v>
      </c>
      <c r="B31" s="178" t="s">
        <v>220</v>
      </c>
      <c r="C31" s="8">
        <v>3.8256094455718994</v>
      </c>
      <c r="D31" s="9">
        <v>0.32899999618530273</v>
      </c>
      <c r="E31" s="9">
        <v>0.65799999237060547</v>
      </c>
      <c r="F31" s="9">
        <v>5.7069997787475586</v>
      </c>
      <c r="G31" s="9">
        <v>0.88853073120117188</v>
      </c>
      <c r="H31" s="9">
        <v>0.11529700458049774</v>
      </c>
      <c r="I31">
        <v>0.12843184173107147</v>
      </c>
      <c r="J31"/>
    </row>
    <row r="32" spans="1:10" ht="15" customHeight="1" x14ac:dyDescent="0.15">
      <c r="A32" s="206">
        <v>31</v>
      </c>
      <c r="B32" s="206" t="s">
        <v>221</v>
      </c>
      <c r="C32" s="8">
        <v>4.1284651756286621</v>
      </c>
      <c r="D32" s="9">
        <v>0.20000000298023224</v>
      </c>
      <c r="E32" s="9">
        <v>0.31999999284744263</v>
      </c>
      <c r="F32" s="9">
        <v>3.1960000991821289</v>
      </c>
      <c r="G32" s="9">
        <v>0.84544366598129272</v>
      </c>
      <c r="H32" s="9">
        <v>0.10012514889240265</v>
      </c>
      <c r="I32">
        <v>5.1099445670843124E-2</v>
      </c>
      <c r="J32"/>
    </row>
    <row r="33" spans="1:10" ht="15" customHeight="1" x14ac:dyDescent="0.15">
      <c r="A33" s="207">
        <v>32</v>
      </c>
      <c r="B33" s="207" t="s">
        <v>222</v>
      </c>
      <c r="C33" s="8">
        <v>4.280977725982666</v>
      </c>
      <c r="D33" s="9">
        <v>0.20000000298023224</v>
      </c>
      <c r="E33" s="9">
        <v>0.36000001430511475</v>
      </c>
      <c r="F33" s="9">
        <v>2.5739998817443848</v>
      </c>
      <c r="G33" s="9">
        <v>0.72433525323867798</v>
      </c>
      <c r="H33" s="9">
        <v>0.13986015319824219</v>
      </c>
      <c r="I33">
        <v>5.1102485507726669E-2</v>
      </c>
      <c r="J33"/>
    </row>
    <row r="34" spans="1:10" ht="15" customHeight="1" x14ac:dyDescent="0.15">
      <c r="A34" s="208">
        <v>33</v>
      </c>
      <c r="B34" s="208" t="s">
        <v>223</v>
      </c>
      <c r="C34" s="8">
        <v>3.5267984867095947</v>
      </c>
      <c r="D34" s="9">
        <v>2.1118347644805908</v>
      </c>
      <c r="E34" s="9">
        <v>3.0999999046325684</v>
      </c>
      <c r="F34" s="9">
        <v>11.699999809265137</v>
      </c>
      <c r="G34" s="9">
        <v>0.94999998807907104</v>
      </c>
      <c r="H34" s="9">
        <v>0.2649572491645813</v>
      </c>
      <c r="I34">
        <v>0.36041054129600525</v>
      </c>
      <c r="J34"/>
    </row>
    <row r="35" spans="1:10" ht="15" customHeight="1" x14ac:dyDescent="0.15">
      <c r="A35" s="209">
        <v>34</v>
      </c>
      <c r="B35" s="209" t="s">
        <v>224</v>
      </c>
      <c r="C35" s="8">
        <v>3.1778349876403809</v>
      </c>
      <c r="D35" s="9">
        <v>4.999999888241291E-3</v>
      </c>
      <c r="E35" s="9">
        <v>0.15000000596046448</v>
      </c>
      <c r="F35" s="9">
        <v>3.5</v>
      </c>
      <c r="G35" s="9">
        <v>9.448125958442688E-2</v>
      </c>
      <c r="H35" s="9">
        <v>4.285714402794838E-2</v>
      </c>
      <c r="I35">
        <v>0</v>
      </c>
      <c r="J35"/>
    </row>
    <row r="36" spans="1:10" ht="15" customHeight="1" x14ac:dyDescent="0.15">
      <c r="A36" s="210">
        <v>35</v>
      </c>
      <c r="B36" s="210" t="s">
        <v>225</v>
      </c>
      <c r="C36" s="8">
        <v>3.964155912399292</v>
      </c>
      <c r="D36" s="9">
        <v>1.4999999664723873E-2</v>
      </c>
      <c r="E36" s="9">
        <v>3.9999999105930328E-2</v>
      </c>
      <c r="F36" s="9">
        <v>52.143001556396484</v>
      </c>
      <c r="G36" s="9">
        <v>9.5198482275009155E-2</v>
      </c>
      <c r="H36" s="9">
        <v>7.6712114969268441E-4</v>
      </c>
      <c r="I36">
        <v>0</v>
      </c>
      <c r="J36"/>
    </row>
    <row r="37" spans="1:10" ht="15" customHeight="1" x14ac:dyDescent="0.15">
      <c r="A37" s="211">
        <v>36</v>
      </c>
      <c r="B37" s="211" t="s">
        <v>226</v>
      </c>
      <c r="C37" s="8">
        <v>3.4666035175323486</v>
      </c>
      <c r="D37" s="9">
        <v>3.0999999493360519E-2</v>
      </c>
      <c r="E37" s="9">
        <v>1.9999999552965164E-2</v>
      </c>
      <c r="F37" s="9">
        <v>4.652092456817627</v>
      </c>
      <c r="G37" s="9">
        <v>0.20429028570652008</v>
      </c>
      <c r="H37" s="9">
        <v>4.2991405352950096E-3</v>
      </c>
      <c r="I37">
        <v>0</v>
      </c>
      <c r="J37"/>
    </row>
    <row r="38" spans="1:10" ht="15" customHeight="1" x14ac:dyDescent="0.15">
      <c r="A38" s="212">
        <v>37</v>
      </c>
      <c r="B38" s="212" t="s">
        <v>227</v>
      </c>
      <c r="C38" s="8">
        <v>4.3528046607971191</v>
      </c>
      <c r="D38" s="9">
        <v>6.1999998986721039E-2</v>
      </c>
      <c r="E38" s="9">
        <v>7.0000000298023224E-2</v>
      </c>
      <c r="F38" s="9">
        <v>12.115738868713379</v>
      </c>
      <c r="G38" s="9">
        <v>0.22821405529975891</v>
      </c>
      <c r="H38" s="9">
        <v>5.7776090689003468E-3</v>
      </c>
      <c r="I38">
        <v>0</v>
      </c>
      <c r="J38"/>
    </row>
    <row r="39" spans="1:10" ht="15" customHeight="1" x14ac:dyDescent="0.15">
      <c r="A39" s="213">
        <v>38</v>
      </c>
      <c r="B39" s="213" t="s">
        <v>228</v>
      </c>
      <c r="C39" s="8">
        <v>1</v>
      </c>
      <c r="D39" s="10"/>
      <c r="E39" s="10"/>
      <c r="F39" s="10"/>
      <c r="G39" s="9">
        <v>0.34629252552986145</v>
      </c>
      <c r="H39" s="10"/>
      <c r="I39">
        <v>0</v>
      </c>
      <c r="J39"/>
    </row>
    <row r="40" spans="1:10" ht="15" customHeight="1" x14ac:dyDescent="0.15">
      <c r="A40" s="214">
        <v>39</v>
      </c>
      <c r="B40" s="214" t="s">
        <v>229</v>
      </c>
      <c r="C40" s="8">
        <v>1</v>
      </c>
      <c r="D40" s="9">
        <v>5</v>
      </c>
      <c r="E40" s="10"/>
      <c r="F40" s="10"/>
      <c r="G40" s="7">
        <v>0</v>
      </c>
      <c r="H40" s="10"/>
      <c r="I40">
        <v>0</v>
      </c>
      <c r="J40"/>
    </row>
    <row r="41" spans="1:10" ht="15" customHeight="1" x14ac:dyDescent="0.15">
      <c r="A41" s="215">
        <v>40</v>
      </c>
      <c r="B41" s="215" t="s">
        <v>230</v>
      </c>
      <c r="C41" s="8">
        <v>4.4895553588867188</v>
      </c>
      <c r="D41" s="10"/>
      <c r="E41" s="10"/>
      <c r="F41" s="10"/>
      <c r="G41" s="10"/>
      <c r="H41" s="10"/>
      <c r="I41">
        <v>0.2752421498298645</v>
      </c>
      <c r="J41"/>
    </row>
    <row r="42" spans="1:10" ht="15" customHeight="1" x14ac:dyDescent="0.15">
      <c r="A42" s="216">
        <v>41</v>
      </c>
      <c r="B42" s="216" t="s">
        <v>231</v>
      </c>
      <c r="C42" s="8">
        <v>4.2257614135742188</v>
      </c>
      <c r="D42" s="10"/>
      <c r="E42" s="10"/>
      <c r="F42" s="10"/>
      <c r="G42" s="10"/>
      <c r="H42" s="10"/>
      <c r="I42">
        <v>0.90536665916442871</v>
      </c>
      <c r="J42"/>
    </row>
    <row r="43" spans="1:10" ht="15" customHeight="1" x14ac:dyDescent="0.15">
      <c r="A43" s="217">
        <v>42</v>
      </c>
      <c r="B43" s="217" t="s">
        <v>232</v>
      </c>
      <c r="C43" s="8">
        <v>4.3864760398864746</v>
      </c>
      <c r="D43" s="10"/>
      <c r="E43" s="10"/>
      <c r="F43" s="10"/>
      <c r="G43" s="10"/>
      <c r="H43" s="10"/>
      <c r="I43">
        <v>0.17800503969192505</v>
      </c>
      <c r="J43"/>
    </row>
    <row r="44" spans="1:10" ht="15" customHeight="1" x14ac:dyDescent="0.15">
      <c r="A44" s="218">
        <v>43</v>
      </c>
      <c r="B44" s="218" t="s">
        <v>233</v>
      </c>
      <c r="C44" s="8">
        <v>4.2873964309692383</v>
      </c>
      <c r="D44" s="10"/>
      <c r="E44" s="10"/>
      <c r="F44" s="10"/>
      <c r="G44" s="10"/>
      <c r="H44" s="10"/>
      <c r="I44">
        <v>5.494236946105957</v>
      </c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4" bestFit="1" customWidth="1"/>
    <col min="2" max="4" width="9.5" style="84" bestFit="1" customWidth="1"/>
    <col min="5" max="7" width="9" style="84" bestFit="1" customWidth="1"/>
    <col min="8" max="16" width="12.6640625" style="84" bestFit="1" customWidth="1"/>
    <col min="17" max="17" width="12.33203125" style="84" bestFit="1" customWidth="1"/>
    <col min="18" max="18" width="8.83203125" style="84"/>
    <col min="19" max="21" width="9.33203125" style="84" bestFit="1" customWidth="1"/>
    <col min="22" max="23" width="8.83203125" style="84"/>
    <col min="24" max="24" width="9.33203125" style="84" bestFit="1" customWidth="1"/>
    <col min="25" max="27" width="8.83203125" style="84"/>
    <col min="28" max="58" width="9" style="84" bestFit="1" customWidth="1"/>
    <col min="59" max="59" width="12.33203125" style="84" bestFit="1" customWidth="1"/>
    <col min="60" max="60" width="9" style="84" bestFit="1" customWidth="1"/>
    <col min="61" max="61" width="11.33203125" style="84" bestFit="1" customWidth="1"/>
    <col min="62" max="77" width="9" style="84" bestFit="1" customWidth="1"/>
    <col min="78" max="78" width="12.33203125" style="84" bestFit="1" customWidth="1"/>
    <col min="79" max="79" width="9" style="84" bestFit="1" customWidth="1"/>
    <col min="80" max="80" width="12.33203125" style="84" bestFit="1" customWidth="1"/>
    <col min="81" max="107" width="9" style="84" bestFit="1" customWidth="1"/>
    <col min="108" max="108" width="11.33203125" style="84" bestFit="1" customWidth="1"/>
    <col min="109" max="124" width="9" style="84" bestFit="1" customWidth="1"/>
    <col min="125" max="125" width="10.33203125" style="84" bestFit="1" customWidth="1"/>
    <col min="126" max="129" width="9.33203125" style="84" bestFit="1" customWidth="1"/>
    <col min="130" max="130" width="9" style="84" bestFit="1" customWidth="1"/>
    <col min="131" max="134" width="9.33203125" style="84" bestFit="1" customWidth="1"/>
    <col min="135" max="165" width="9" style="84" bestFit="1" customWidth="1"/>
    <col min="166" max="166" width="12.33203125" style="84" bestFit="1" customWidth="1"/>
    <col min="167" max="170" width="9" style="84" bestFit="1" customWidth="1"/>
    <col min="171" max="176" width="8.83203125" style="84"/>
    <col min="177" max="177" width="13.83203125" style="84" bestFit="1" customWidth="1"/>
    <col min="178" max="16384" width="8.83203125" style="8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238</v>
      </c>
      <c r="E1" t="s">
        <v>239</v>
      </c>
      <c r="F1" t="s">
        <v>240</v>
      </c>
      <c r="G1" t="s">
        <v>241</v>
      </c>
      <c r="H1" t="s">
        <v>191</v>
      </c>
      <c r="I1" t="s">
        <v>192</v>
      </c>
      <c r="J1" t="s">
        <v>193</v>
      </c>
      <c r="K1" t="s">
        <v>194</v>
      </c>
      <c r="L1" t="s">
        <v>195</v>
      </c>
      <c r="M1" t="s">
        <v>196</v>
      </c>
      <c r="N1" t="s">
        <v>197</v>
      </c>
      <c r="O1" t="s">
        <v>198</v>
      </c>
      <c r="P1" t="s">
        <v>199</v>
      </c>
      <c r="Q1" t="s">
        <v>200</v>
      </c>
      <c r="R1" t="s">
        <v>201</v>
      </c>
      <c r="S1" t="s">
        <v>202</v>
      </c>
      <c r="T1" t="s">
        <v>203</v>
      </c>
      <c r="U1" t="s">
        <v>204</v>
      </c>
      <c r="V1" t="s">
        <v>205</v>
      </c>
      <c r="W1" t="s">
        <v>206</v>
      </c>
      <c r="X1" t="s">
        <v>207</v>
      </c>
      <c r="Y1" t="s">
        <v>208</v>
      </c>
      <c r="Z1" t="s">
        <v>209</v>
      </c>
      <c r="AA1" t="s">
        <v>210</v>
      </c>
      <c r="AB1" t="s">
        <v>211</v>
      </c>
      <c r="AC1" t="s">
        <v>212</v>
      </c>
      <c r="AD1" t="s">
        <v>213</v>
      </c>
      <c r="AE1" t="s">
        <v>214</v>
      </c>
      <c r="AF1" t="s">
        <v>215</v>
      </c>
      <c r="AG1" t="s">
        <v>216</v>
      </c>
      <c r="AH1" t="s">
        <v>217</v>
      </c>
      <c r="AI1" t="s">
        <v>218</v>
      </c>
      <c r="AJ1" t="s">
        <v>219</v>
      </c>
      <c r="AK1" t="s">
        <v>220</v>
      </c>
      <c r="AL1" t="s">
        <v>221</v>
      </c>
      <c r="AM1" t="s">
        <v>222</v>
      </c>
      <c r="AN1" t="s">
        <v>223</v>
      </c>
      <c r="AO1" t="s">
        <v>224</v>
      </c>
      <c r="AP1" t="s">
        <v>225</v>
      </c>
      <c r="AQ1" t="s">
        <v>226</v>
      </c>
      <c r="AR1" t="s">
        <v>227</v>
      </c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191</v>
      </c>
      <c r="B2">
        <v>84.550811767578125</v>
      </c>
      <c r="C2">
        <v>57.863998413085938</v>
      </c>
      <c r="D2"/>
      <c r="E2"/>
      <c r="F2" s="11">
        <v>8.6308413301594555E-5</v>
      </c>
      <c r="G2"/>
      <c r="H2"/>
      <c r="I2" s="284">
        <v>17.82258415222168</v>
      </c>
      <c r="J2" s="75">
        <v>7.9527325630187988</v>
      </c>
      <c r="K2"/>
      <c r="L2"/>
      <c r="M2"/>
      <c r="N2" s="11">
        <v>7.8841531649231911E-3</v>
      </c>
      <c r="O2" s="22">
        <v>0.62759560346603394</v>
      </c>
      <c r="P2"/>
      <c r="Q2" s="11">
        <v>9.297594428062439E-3</v>
      </c>
      <c r="R2"/>
      <c r="S2"/>
      <c r="T2"/>
      <c r="U2" s="11">
        <v>1.0679153725504875E-2</v>
      </c>
      <c r="V2" s="11">
        <v>1.6688505187630653E-2</v>
      </c>
      <c r="W2" s="11">
        <v>7.2496668435633183E-3</v>
      </c>
      <c r="X2"/>
      <c r="Y2" s="11">
        <v>5.3397808223962784E-3</v>
      </c>
      <c r="Z2"/>
      <c r="AA2"/>
      <c r="AB2" s="11">
        <v>1.998455822467804E-2</v>
      </c>
      <c r="AC2"/>
      <c r="AD2"/>
      <c r="AE2"/>
      <c r="AF2"/>
      <c r="AG2" s="11">
        <v>1.585029810667038E-2</v>
      </c>
      <c r="AH2"/>
      <c r="AI2" s="14">
        <v>0.190773606300354</v>
      </c>
      <c r="AJ2"/>
      <c r="AK2"/>
      <c r="AL2" s="11">
        <v>4.0466420614393428E-5</v>
      </c>
      <c r="AM2" s="11">
        <v>2.5140969228232279E-5</v>
      </c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192</v>
      </c>
      <c r="B3">
        <v>25</v>
      </c>
      <c r="C3">
        <v>10.327704429626465</v>
      </c>
      <c r="D3"/>
      <c r="E3"/>
      <c r="F3"/>
      <c r="G3"/>
      <c r="H3"/>
      <c r="I3"/>
      <c r="J3" s="260">
        <v>4.1821918487548828</v>
      </c>
      <c r="K3"/>
      <c r="L3"/>
      <c r="M3"/>
      <c r="N3" s="223">
        <v>0.85772991180419922</v>
      </c>
      <c r="O3" s="68">
        <v>1.591655969619751</v>
      </c>
      <c r="P3"/>
      <c r="Q3"/>
      <c r="R3"/>
      <c r="S3"/>
      <c r="T3"/>
      <c r="U3" s="147">
        <v>0.73645186424255371</v>
      </c>
      <c r="V3" s="14">
        <v>6.1928257346153259E-2</v>
      </c>
      <c r="W3"/>
      <c r="X3"/>
      <c r="Y3" s="11">
        <v>7.18653853982687E-3</v>
      </c>
      <c r="Z3"/>
      <c r="AA3"/>
      <c r="AB3" s="65">
        <v>0.54149013757705688</v>
      </c>
      <c r="AC3"/>
      <c r="AD3"/>
      <c r="AE3" s="268">
        <v>2.0998339653015137</v>
      </c>
      <c r="AF3" s="22">
        <v>0.20109331607818604</v>
      </c>
      <c r="AG3" s="16">
        <v>0.40191119909286499</v>
      </c>
      <c r="AH3" s="14">
        <v>3.5719819366931915E-2</v>
      </c>
      <c r="AI3" s="282">
        <v>3.87445068359375</v>
      </c>
      <c r="AJ3" s="11">
        <v>1.0699559788918123E-4</v>
      </c>
      <c r="AK3"/>
      <c r="AL3"/>
      <c r="AM3" s="11">
        <v>2.1678474731743336E-3</v>
      </c>
      <c r="AN3" s="12">
        <v>7.8375369310379028E-2</v>
      </c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193</v>
      </c>
      <c r="B4">
        <v>6</v>
      </c>
      <c r="C4">
        <v>0.29999971389770508</v>
      </c>
      <c r="D4"/>
      <c r="E4"/>
      <c r="F4"/>
      <c r="G4"/>
      <c r="H4"/>
      <c r="I4"/>
      <c r="J4" s="283">
        <v>2.5007238388061523</v>
      </c>
      <c r="K4"/>
      <c r="L4"/>
      <c r="M4"/>
      <c r="N4"/>
      <c r="O4" s="236">
        <v>0.57103425264358521</v>
      </c>
      <c r="P4" s="12">
        <v>2.1651625633239746E-2</v>
      </c>
      <c r="Q4"/>
      <c r="R4" s="14">
        <v>1.3067856431007385E-2</v>
      </c>
      <c r="S4" s="11">
        <v>1.9122105732094496E-4</v>
      </c>
      <c r="T4" s="11">
        <v>1.050449372996809E-5</v>
      </c>
      <c r="U4" s="25">
        <v>0.1847149133682251</v>
      </c>
      <c r="V4" s="12">
        <v>2.7380542829632759E-2</v>
      </c>
      <c r="W4" s="14">
        <v>1.2638256885111332E-2</v>
      </c>
      <c r="X4" s="14">
        <v>7.5129768811166286E-3</v>
      </c>
      <c r="Y4" s="14">
        <v>1.1584114283323288E-2</v>
      </c>
      <c r="Z4"/>
      <c r="AA4" s="11">
        <v>1.3030263362452388E-3</v>
      </c>
      <c r="AB4" s="20">
        <v>0.25956949591636658</v>
      </c>
      <c r="AC4" s="11">
        <v>3.2273372635245323E-3</v>
      </c>
      <c r="AD4"/>
      <c r="AE4" s="72">
        <v>0.4236777126789093</v>
      </c>
      <c r="AF4" s="20">
        <v>0.26013427972793579</v>
      </c>
      <c r="AG4" s="21">
        <v>0.12195400148630142</v>
      </c>
      <c r="AH4"/>
      <c r="AI4" s="281">
        <v>1.2150583267211914</v>
      </c>
      <c r="AJ4" s="11">
        <v>1.6677433450240642E-4</v>
      </c>
      <c r="AK4" s="11">
        <v>8.3066831575706601E-4</v>
      </c>
      <c r="AL4" s="11">
        <v>3.234506948501803E-5</v>
      </c>
      <c r="AM4" s="11">
        <v>3.8734638110327069E-6</v>
      </c>
      <c r="AN4" s="15">
        <v>5.9665869921445847E-2</v>
      </c>
      <c r="AO4" s="11">
        <v>3.108133387286216E-4</v>
      </c>
      <c r="AP4" s="11">
        <v>1.7364365048706532E-3</v>
      </c>
      <c r="AQ4" s="11">
        <v>1.8185693770647049E-3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194</v>
      </c>
      <c r="B5">
        <v>2</v>
      </c>
      <c r="C5">
        <v>9.9999904632568359E-2</v>
      </c>
      <c r="D5"/>
      <c r="E5"/>
      <c r="F5"/>
      <c r="G5"/>
      <c r="H5"/>
      <c r="I5"/>
      <c r="J5"/>
      <c r="K5"/>
      <c r="L5"/>
      <c r="M5"/>
      <c r="N5" s="255">
        <v>0.20349428057670593</v>
      </c>
      <c r="O5" s="275">
        <v>0.43917205929756165</v>
      </c>
      <c r="P5"/>
      <c r="Q5" s="11">
        <v>1.1183104943484068E-3</v>
      </c>
      <c r="R5" s="244">
        <v>0.13786402344703674</v>
      </c>
      <c r="S5" s="14">
        <v>2.3028806317597628E-3</v>
      </c>
      <c r="T5"/>
      <c r="U5" s="247">
        <v>0.37440195679664612</v>
      </c>
      <c r="V5" s="79">
        <v>0.33741924166679382</v>
      </c>
      <c r="W5" s="28">
        <v>6.873747706413269E-2</v>
      </c>
      <c r="X5" s="21">
        <v>3.852936252951622E-2</v>
      </c>
      <c r="Y5" s="17">
        <v>2.6124883443117142E-2</v>
      </c>
      <c r="Z5"/>
      <c r="AA5"/>
      <c r="AB5" s="238">
        <v>0.10466603934764862</v>
      </c>
      <c r="AC5" s="12">
        <v>8.2736508920788765E-3</v>
      </c>
      <c r="AD5" s="14">
        <v>3.2717341091483831E-3</v>
      </c>
      <c r="AE5" s="21">
        <v>3.7821177393198013E-2</v>
      </c>
      <c r="AF5"/>
      <c r="AG5" s="65">
        <v>4.3115820735692978E-2</v>
      </c>
      <c r="AH5"/>
      <c r="AI5"/>
      <c r="AJ5" s="11">
        <v>4.7434237785637379E-5</v>
      </c>
      <c r="AK5" s="11">
        <v>1.4587624464184046E-3</v>
      </c>
      <c r="AL5" s="11">
        <v>9.5824281743261963E-5</v>
      </c>
      <c r="AM5"/>
      <c r="AN5" s="28">
        <v>7.2085082530975342E-2</v>
      </c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195</v>
      </c>
      <c r="B6">
        <v>1.5499999523162842</v>
      </c>
      <c r="C6">
        <v>7.7500201761722565E-2</v>
      </c>
      <c r="D6" s="11">
        <v>2.2464835637947544E-5</v>
      </c>
      <c r="E6" s="11">
        <v>3.6027322494192049E-6</v>
      </c>
      <c r="F6" s="11">
        <v>3.4096487411261478E-7</v>
      </c>
      <c r="G6" s="11">
        <v>2.3521235561929643E-4</v>
      </c>
      <c r="H6"/>
      <c r="I6"/>
      <c r="J6"/>
      <c r="K6"/>
      <c r="L6"/>
      <c r="M6" s="13">
        <v>5.7246960699558258E-2</v>
      </c>
      <c r="N6" s="143">
        <v>0.19930921494960785</v>
      </c>
      <c r="O6" s="280">
        <v>0.41284176707267761</v>
      </c>
      <c r="P6" s="147">
        <v>4.6991948038339615E-2</v>
      </c>
      <c r="Q6" s="11">
        <v>1.2389883631840348E-3</v>
      </c>
      <c r="R6" s="21">
        <v>3.0782874673604965E-2</v>
      </c>
      <c r="S6" s="11">
        <v>8.4717036224901676E-4</v>
      </c>
      <c r="T6" s="11">
        <v>4.493606393225491E-4</v>
      </c>
      <c r="U6" s="279">
        <v>0.32280021905899048</v>
      </c>
      <c r="V6" s="69">
        <v>0.14363545179367065</v>
      </c>
      <c r="W6" s="21">
        <v>3.1229445710778236E-2</v>
      </c>
      <c r="X6" s="15">
        <v>1.6022151336073875E-2</v>
      </c>
      <c r="Y6" s="22">
        <v>1.2282685376703739E-2</v>
      </c>
      <c r="Z6" s="14">
        <v>1.9964310340583324E-3</v>
      </c>
      <c r="AA6" s="11">
        <v>8.3158590132370591E-4</v>
      </c>
      <c r="AB6" s="21">
        <v>2.95066237449646E-2</v>
      </c>
      <c r="AC6" s="14">
        <v>1.611058134585619E-3</v>
      </c>
      <c r="AD6" s="14">
        <v>1.9984368700534105E-3</v>
      </c>
      <c r="AE6" s="25">
        <v>4.7860652208328247E-2</v>
      </c>
      <c r="AF6"/>
      <c r="AG6"/>
      <c r="AH6"/>
      <c r="AI6" s="148">
        <v>9.4120316207408905E-2</v>
      </c>
      <c r="AJ6" s="11">
        <v>1.1360553799022455E-5</v>
      </c>
      <c r="AK6" s="14">
        <v>1.7829197458922863E-3</v>
      </c>
      <c r="AL6" s="11">
        <v>5.6313973618671298E-4</v>
      </c>
      <c r="AM6" s="11">
        <v>1.1907436419278383E-4</v>
      </c>
      <c r="AN6" s="15">
        <v>1.5859153121709824E-2</v>
      </c>
      <c r="AO6"/>
      <c r="AP6" s="11">
        <v>2.5107985129579902E-4</v>
      </c>
      <c r="AQ6"/>
      <c r="AR6" s="11">
        <v>4.8271191189996898E-5</v>
      </c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196</v>
      </c>
      <c r="B7">
        <v>1.1000000238418579</v>
      </c>
      <c r="C7">
        <v>5.500001460313797E-2</v>
      </c>
      <c r="D7" s="14">
        <v>1.3938748743385077E-3</v>
      </c>
      <c r="E7" s="11">
        <v>2.2353860549628735E-4</v>
      </c>
      <c r="F7"/>
      <c r="G7" s="17">
        <v>1.4500211924314499E-2</v>
      </c>
      <c r="H7"/>
      <c r="I7"/>
      <c r="J7"/>
      <c r="K7"/>
      <c r="L7"/>
      <c r="M7"/>
      <c r="N7" s="261">
        <v>0.14359672367572784</v>
      </c>
      <c r="O7"/>
      <c r="P7"/>
      <c r="Q7"/>
      <c r="R7"/>
      <c r="S7" s="11">
        <v>4.4527961290441453E-4</v>
      </c>
      <c r="T7"/>
      <c r="U7"/>
      <c r="V7" s="270">
        <v>0.68114840984344482</v>
      </c>
      <c r="W7" s="108">
        <v>0.17260466516017914</v>
      </c>
      <c r="X7"/>
      <c r="Y7" s="24">
        <v>3.1087303534150124E-2</v>
      </c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197</v>
      </c>
      <c r="B8">
        <v>1.7999999523162842</v>
      </c>
      <c r="C8">
        <v>9.000001847743988E-2</v>
      </c>
      <c r="D8"/>
      <c r="E8" s="11">
        <v>2.2847880245535634E-6</v>
      </c>
      <c r="F8"/>
      <c r="G8" s="11">
        <v>1.9052902644034475E-5</v>
      </c>
      <c r="H8"/>
      <c r="I8"/>
      <c r="J8"/>
      <c r="K8"/>
      <c r="L8"/>
      <c r="M8"/>
      <c r="N8" s="273">
        <v>0.19997428357601166</v>
      </c>
      <c r="O8"/>
      <c r="P8"/>
      <c r="Q8"/>
      <c r="R8" s="266">
        <v>0.13543783128261566</v>
      </c>
      <c r="S8" s="22">
        <v>1.4884617179632187E-2</v>
      </c>
      <c r="T8" s="11">
        <v>2.3820955902920105E-5</v>
      </c>
      <c r="U8" s="277">
        <v>0.40889197587966919</v>
      </c>
      <c r="V8" s="18">
        <v>2.2863894701004028E-2</v>
      </c>
      <c r="W8" s="75">
        <v>0.16892434656620026</v>
      </c>
      <c r="X8" s="16">
        <v>2.760637179017067E-2</v>
      </c>
      <c r="Y8" s="246">
        <v>0.13224610686302185</v>
      </c>
      <c r="Z8"/>
      <c r="AA8" s="23">
        <v>1.0155641473829746E-2</v>
      </c>
      <c r="AB8"/>
      <c r="AC8"/>
      <c r="AD8"/>
      <c r="AE8"/>
      <c r="AF8" s="236">
        <v>0.171861931681633</v>
      </c>
      <c r="AG8"/>
      <c r="AH8"/>
      <c r="AI8"/>
      <c r="AJ8" s="11">
        <v>1.3151262828614563E-4</v>
      </c>
      <c r="AK8" s="15">
        <v>1.872890442609787E-2</v>
      </c>
      <c r="AL8" s="14">
        <v>5.0012352876365185E-3</v>
      </c>
      <c r="AM8"/>
      <c r="AN8" s="276">
        <v>0.39264053106307983</v>
      </c>
      <c r="AO8"/>
      <c r="AP8"/>
      <c r="AQ8"/>
      <c r="AR8" s="11">
        <v>6.0563237639144063E-4</v>
      </c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198</v>
      </c>
      <c r="B9">
        <v>1.7000000476837158</v>
      </c>
      <c r="C9">
        <v>8.4999918937683105E-2</v>
      </c>
      <c r="D9"/>
      <c r="E9" s="11">
        <v>1.1464812268968672E-4</v>
      </c>
      <c r="F9" s="11">
        <v>7.9872064816299826E-5</v>
      </c>
      <c r="G9" s="11">
        <v>1.0167479049414396E-3</v>
      </c>
      <c r="H9"/>
      <c r="I9"/>
      <c r="J9"/>
      <c r="K9"/>
      <c r="L9"/>
      <c r="M9"/>
      <c r="N9" s="16">
        <v>2.6025513187050819E-2</v>
      </c>
      <c r="O9" s="278">
        <v>0.22664541006088257</v>
      </c>
      <c r="P9"/>
      <c r="Q9"/>
      <c r="R9" s="223">
        <v>5.5714264512062073E-2</v>
      </c>
      <c r="S9" s="14">
        <v>4.6513103879988194E-3</v>
      </c>
      <c r="T9" s="11">
        <v>1.0424198080727365E-5</v>
      </c>
      <c r="U9" s="26">
        <v>4.446464404463768E-2</v>
      </c>
      <c r="V9" s="253">
        <v>0.14718762040138245</v>
      </c>
      <c r="W9" s="220">
        <v>8.418649435043335E-2</v>
      </c>
      <c r="X9" s="260">
        <v>0.28287124633789062</v>
      </c>
      <c r="Y9" s="75">
        <v>0.16145473718643188</v>
      </c>
      <c r="Z9"/>
      <c r="AA9" s="12">
        <v>6.9283139891922474E-3</v>
      </c>
      <c r="AB9"/>
      <c r="AC9" s="23">
        <v>9.6176192164421082E-3</v>
      </c>
      <c r="AD9"/>
      <c r="AE9"/>
      <c r="AF9" s="240">
        <v>7.5207844376564026E-2</v>
      </c>
      <c r="AG9" s="268">
        <v>0.1423785388469696</v>
      </c>
      <c r="AH9"/>
      <c r="AI9" s="255">
        <v>0.17225290834903717</v>
      </c>
      <c r="AJ9" s="11">
        <v>5.371403312892653E-5</v>
      </c>
      <c r="AK9" s="22">
        <v>1.3583172112703323E-2</v>
      </c>
      <c r="AL9" s="11">
        <v>5.9163582045584917E-4</v>
      </c>
      <c r="AM9"/>
      <c r="AN9" s="75">
        <v>0.15969836711883545</v>
      </c>
      <c r="AO9"/>
      <c r="AP9"/>
      <c r="AQ9"/>
      <c r="AR9" s="11">
        <v>2.6502847322262824E-4</v>
      </c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199</v>
      </c>
      <c r="B10">
        <v>0.28200000524520874</v>
      </c>
      <c r="C10">
        <v>1.4100037515163422E-2</v>
      </c>
      <c r="D10"/>
      <c r="E10" s="11">
        <v>1.3354611292015761E-4</v>
      </c>
      <c r="F10" s="12">
        <v>1.2077348073944449E-3</v>
      </c>
      <c r="G10" s="23">
        <v>1.6549183055758476E-3</v>
      </c>
      <c r="H10"/>
      <c r="I10"/>
      <c r="J10"/>
      <c r="K10"/>
      <c r="L10"/>
      <c r="M10"/>
      <c r="N10"/>
      <c r="O10"/>
      <c r="P10"/>
      <c r="Q10"/>
      <c r="R10" s="220">
        <v>1.3802983798086643E-2</v>
      </c>
      <c r="S10"/>
      <c r="T10"/>
      <c r="U10"/>
      <c r="V10" s="257">
        <v>0.15129004418849945</v>
      </c>
      <c r="W10" s="256">
        <v>9.9810749292373657E-2</v>
      </c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200</v>
      </c>
      <c r="B11">
        <v>0.55199998617172241</v>
      </c>
      <c r="C11">
        <v>2.7600005269050598E-2</v>
      </c>
      <c r="D11"/>
      <c r="E11" s="12">
        <v>1.8448509508743882E-3</v>
      </c>
      <c r="F11"/>
      <c r="G11" s="15">
        <v>5.9323050081729889E-3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 s="23">
        <v>3.1630215235054493E-3</v>
      </c>
      <c r="AN11" s="254">
        <v>0.51345980167388916</v>
      </c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201</v>
      </c>
      <c r="B12">
        <v>0.35199999809265137</v>
      </c>
      <c r="C12">
        <v>1.7600025981664658E-2</v>
      </c>
      <c r="D12" s="12">
        <v>1.1457722866907716E-3</v>
      </c>
      <c r="E12" s="11">
        <v>1.83749885763973E-4</v>
      </c>
      <c r="F12"/>
      <c r="G12" s="223">
        <v>1.1919248849153519E-2</v>
      </c>
      <c r="H12"/>
      <c r="I12"/>
      <c r="J12"/>
      <c r="K12"/>
      <c r="L12"/>
      <c r="M12"/>
      <c r="N12"/>
      <c r="O12"/>
      <c r="P12"/>
      <c r="Q12"/>
      <c r="R12"/>
      <c r="S12"/>
      <c r="T12" s="222">
        <v>8.0004166811704636E-3</v>
      </c>
      <c r="U12"/>
      <c r="V12"/>
      <c r="W12" s="253">
        <v>3.0605439096689224E-2</v>
      </c>
      <c r="X12"/>
      <c r="Y12" s="148">
        <v>2.1542234346270561E-2</v>
      </c>
      <c r="Z12"/>
      <c r="AA12" s="14">
        <v>6.7760929232463241E-4</v>
      </c>
      <c r="AB12" s="264">
        <v>0.15055525302886963</v>
      </c>
      <c r="AC12"/>
      <c r="AD12"/>
      <c r="AE12"/>
      <c r="AF12"/>
      <c r="AG12" s="258">
        <v>9.3311712145805359E-2</v>
      </c>
      <c r="AH12"/>
      <c r="AI12"/>
      <c r="AJ12" s="23">
        <v>2.4134074337780476E-3</v>
      </c>
      <c r="AK12" s="14">
        <v>5.4927053861320019E-4</v>
      </c>
      <c r="AL12"/>
      <c r="AM12" s="225">
        <v>1.349586620926857E-2</v>
      </c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202</v>
      </c>
      <c r="B13">
        <v>0.27000001072883606</v>
      </c>
      <c r="C13">
        <v>1.3500004075467587E-2</v>
      </c>
      <c r="D13" s="219">
        <v>1.5574049204587936E-2</v>
      </c>
      <c r="E13" s="15">
        <v>2.4976425338536501E-3</v>
      </c>
      <c r="F13"/>
      <c r="G13" s="224">
        <v>0.16201384365558624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 s="18">
        <v>3.0367805156856775E-3</v>
      </c>
      <c r="AM13" s="241">
        <v>7.3377691209316254E-2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203</v>
      </c>
      <c r="B14">
        <v>0.53299999237060547</v>
      </c>
      <c r="C14">
        <v>2.6650069281458855E-2</v>
      </c>
      <c r="D14"/>
      <c r="E14" s="221">
        <v>5.5384717881679535E-2</v>
      </c>
      <c r="F14" s="18">
        <v>5.9348847717046738E-3</v>
      </c>
      <c r="G14" s="225">
        <v>2.0891645923256874E-2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 s="251">
        <v>0.42413866519927979</v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204</v>
      </c>
      <c r="B15">
        <v>1.4450000524520874</v>
      </c>
      <c r="C15">
        <v>7.2250194847583771E-2</v>
      </c>
      <c r="D15" s="11">
        <v>2.8442873735912144E-4</v>
      </c>
      <c r="E15" s="11">
        <v>4.5614426198881119E-5</v>
      </c>
      <c r="F15"/>
      <c r="G15" s="14">
        <v>2.9588574543595314E-3</v>
      </c>
      <c r="H15"/>
      <c r="I15"/>
      <c r="J15"/>
      <c r="K15"/>
      <c r="L15"/>
      <c r="M15"/>
      <c r="N15" s="268">
        <v>0.1211225613951683</v>
      </c>
      <c r="O15"/>
      <c r="P15" s="261">
        <v>0.18918219208717346</v>
      </c>
      <c r="Q15"/>
      <c r="R15" s="258">
        <v>0.38126969337463379</v>
      </c>
      <c r="S15"/>
      <c r="T15" s="22">
        <v>9.9292704835534096E-3</v>
      </c>
      <c r="U15" s="28">
        <v>5.1290258765220642E-2</v>
      </c>
      <c r="V15" s="275">
        <v>0.31662490963935852</v>
      </c>
      <c r="W15" s="11">
        <v>2.3932186013553292E-4</v>
      </c>
      <c r="X15" s="225">
        <v>5.7553481310606003E-2</v>
      </c>
      <c r="Y15" s="109">
        <v>9.5835424959659576E-2</v>
      </c>
      <c r="Z15" s="222">
        <v>3.3702589571475983E-2</v>
      </c>
      <c r="AA15" s="11">
        <v>1.3394578127190471E-3</v>
      </c>
      <c r="AB15"/>
      <c r="AC15"/>
      <c r="AD15"/>
      <c r="AE15"/>
      <c r="AF15"/>
      <c r="AG15"/>
      <c r="AH15" s="222">
        <v>3.4213878214359283E-2</v>
      </c>
      <c r="AI15"/>
      <c r="AJ15" s="11">
        <v>3.6136124981567264E-4</v>
      </c>
      <c r="AK15" s="14">
        <v>4.1290591470897198E-3</v>
      </c>
      <c r="AL15"/>
      <c r="AM15" s="11">
        <v>1.6751202929299325E-4</v>
      </c>
      <c r="AN15" s="13">
        <v>5.4401479661464691E-2</v>
      </c>
      <c r="AO15"/>
      <c r="AP15" s="15">
        <v>1.3351540081202984E-2</v>
      </c>
      <c r="AQ15" s="11">
        <v>4.6891567762941122E-4</v>
      </c>
      <c r="AR15" s="12">
        <v>4.2781522497534752E-3</v>
      </c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205</v>
      </c>
      <c r="B16">
        <v>0.68999999761581421</v>
      </c>
      <c r="C16">
        <v>3.4500006586313248E-2</v>
      </c>
      <c r="D16" s="11">
        <v>6.2586687272414565E-4</v>
      </c>
      <c r="E16" s="11">
        <v>1.0037157335318625E-4</v>
      </c>
      <c r="F16"/>
      <c r="G16" s="15">
        <v>6.510772742331028E-3</v>
      </c>
      <c r="H16"/>
      <c r="I16"/>
      <c r="J16"/>
      <c r="K16"/>
      <c r="L16"/>
      <c r="M16"/>
      <c r="N16"/>
      <c r="O16"/>
      <c r="P16"/>
      <c r="Q16"/>
      <c r="R16" s="27">
        <v>5.2317522466182709E-2</v>
      </c>
      <c r="S16"/>
      <c r="T16" s="21">
        <v>1.3720991089940071E-2</v>
      </c>
      <c r="U16"/>
      <c r="V16"/>
      <c r="W16" s="11">
        <v>4.4659466948360205E-4</v>
      </c>
      <c r="X16"/>
      <c r="Y16" s="18">
        <v>8.5052270442247391E-3</v>
      </c>
      <c r="Z16" s="262">
        <v>7.4160352349281311E-2</v>
      </c>
      <c r="AA16" s="144">
        <v>8.2206673920154572E-2</v>
      </c>
      <c r="AB16"/>
      <c r="AC16"/>
      <c r="AD16"/>
      <c r="AE16"/>
      <c r="AF16"/>
      <c r="AG16" s="271">
        <v>0.35569244623184204</v>
      </c>
      <c r="AH16" s="29">
        <v>3.2265171408653259E-2</v>
      </c>
      <c r="AI16"/>
      <c r="AJ16" s="14">
        <v>1.835885806940496E-3</v>
      </c>
      <c r="AK16" s="22">
        <v>5.9512569569051266E-3</v>
      </c>
      <c r="AL16" s="23">
        <v>4.2647439986467361E-3</v>
      </c>
      <c r="AM16" s="15">
        <v>6.4504886977374554E-3</v>
      </c>
      <c r="AN16"/>
      <c r="AO16"/>
      <c r="AP16"/>
      <c r="AQ16" s="14">
        <v>1.0318183340132236E-3</v>
      </c>
      <c r="AR16" s="17">
        <v>9.4137955456972122E-3</v>
      </c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206</v>
      </c>
      <c r="B17">
        <v>1.2599999904632568</v>
      </c>
      <c r="C17">
        <v>4.709344357252121E-2</v>
      </c>
      <c r="D17" s="22">
        <v>1.0601398535072803E-2</v>
      </c>
      <c r="E17" s="21">
        <v>2.5937169790267944E-2</v>
      </c>
      <c r="F17" s="14">
        <v>1.5041781589388847E-3</v>
      </c>
      <c r="G17" s="226">
        <v>0.68667399883270264</v>
      </c>
      <c r="H17"/>
      <c r="I17"/>
      <c r="J17"/>
      <c r="K17"/>
      <c r="L17"/>
      <c r="M17"/>
      <c r="N17"/>
      <c r="O17"/>
      <c r="P17"/>
      <c r="Q17"/>
      <c r="R17"/>
      <c r="S17" s="223">
        <v>4.1097264736890793E-2</v>
      </c>
      <c r="T17" s="20">
        <v>5.5222969502210617E-2</v>
      </c>
      <c r="U17"/>
      <c r="V17"/>
      <c r="W17" s="70">
        <v>6.3538417220115662E-2</v>
      </c>
      <c r="X17" s="147">
        <v>3.8102574646472931E-2</v>
      </c>
      <c r="Y17" s="147">
        <v>3.6209151148796082E-2</v>
      </c>
      <c r="Z17" s="28">
        <v>4.5071020722389221E-2</v>
      </c>
      <c r="AA17" s="66">
        <v>5.2633743733167648E-2</v>
      </c>
      <c r="AB17"/>
      <c r="AC17"/>
      <c r="AD17"/>
      <c r="AE17"/>
      <c r="AF17"/>
      <c r="AG17"/>
      <c r="AH17"/>
      <c r="AI17"/>
      <c r="AJ17" s="15">
        <v>1.1381850577890873E-2</v>
      </c>
      <c r="AK17" s="222">
        <v>3.0208641663193703E-2</v>
      </c>
      <c r="AL17" s="16">
        <v>1.9050499424338341E-2</v>
      </c>
      <c r="AM17" s="11">
        <v>1.1089928448200226E-3</v>
      </c>
      <c r="AN17"/>
      <c r="AO17"/>
      <c r="AP17" s="70">
        <v>6.3137315213680267E-2</v>
      </c>
      <c r="AQ17" s="14">
        <v>3.104398725554347E-3</v>
      </c>
      <c r="AR17" s="65">
        <v>2.8322983533143997E-2</v>
      </c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207</v>
      </c>
      <c r="B18">
        <v>0.49399998784065247</v>
      </c>
      <c r="C18">
        <v>2.4700004607439041E-2</v>
      </c>
      <c r="D18" s="12">
        <v>1.8415909726172686E-3</v>
      </c>
      <c r="E18" s="11">
        <v>2.9533976339735091E-4</v>
      </c>
      <c r="F18"/>
      <c r="G18" s="225">
        <v>1.9157717004418373E-2</v>
      </c>
      <c r="H18"/>
      <c r="I18"/>
      <c r="J18"/>
      <c r="K18"/>
      <c r="L18"/>
      <c r="M18"/>
      <c r="N18"/>
      <c r="O18"/>
      <c r="P18"/>
      <c r="Q18"/>
      <c r="R18"/>
      <c r="S18"/>
      <c r="T18" s="29">
        <v>2.3104259744286537E-2</v>
      </c>
      <c r="U18"/>
      <c r="V18"/>
      <c r="W18" s="16">
        <v>8.19438137114048E-3</v>
      </c>
      <c r="X18" s="263">
        <v>0.23252534866333008</v>
      </c>
      <c r="Y18"/>
      <c r="Z18"/>
      <c r="AA18" s="259">
        <v>0.15451675653457642</v>
      </c>
      <c r="AB18"/>
      <c r="AC18"/>
      <c r="AD18"/>
      <c r="AE18"/>
      <c r="AF18"/>
      <c r="AG18"/>
      <c r="AH18"/>
      <c r="AI18"/>
      <c r="AJ18"/>
      <c r="AK18" s="22">
        <v>3.479421604424715E-3</v>
      </c>
      <c r="AL18" s="26">
        <v>1.2686970643699169E-2</v>
      </c>
      <c r="AM18" s="12">
        <v>1.6268853796645999E-3</v>
      </c>
      <c r="AN18"/>
      <c r="AO18"/>
      <c r="AP18"/>
      <c r="AQ18"/>
      <c r="AR18" s="222">
        <v>1.1871324852108955E-2</v>
      </c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208</v>
      </c>
      <c r="B19">
        <v>0.82200002670288086</v>
      </c>
      <c r="C19">
        <v>0.30008244514465332</v>
      </c>
      <c r="D19"/>
      <c r="E19" s="15">
        <v>8.3896256983280182E-3</v>
      </c>
      <c r="F19" s="14">
        <v>1.7886868445202708E-3</v>
      </c>
      <c r="G19" s="227">
        <v>0.47443240880966187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 s="24">
        <v>2.2006716579198837E-2</v>
      </c>
      <c r="AL19" s="19">
        <v>1.5202635899186134E-2</v>
      </c>
      <c r="AM19" s="11">
        <v>9.753625636221841E-5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209</v>
      </c>
      <c r="B20">
        <v>0.15700000524520874</v>
      </c>
      <c r="C20">
        <v>7.8500118106603622E-3</v>
      </c>
      <c r="D20" s="219">
        <v>8.847435936331749E-3</v>
      </c>
      <c r="E20" s="15">
        <v>1.4188815839588642E-3</v>
      </c>
      <c r="F20"/>
      <c r="G20" s="228">
        <v>9.2038169503211975E-2</v>
      </c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 s="242">
        <v>4.6845506876707077E-2</v>
      </c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210</v>
      </c>
      <c r="B21">
        <v>0.7160000205039978</v>
      </c>
      <c r="C21">
        <v>4.9896199256181717E-2</v>
      </c>
      <c r="D21" s="64">
        <v>3.9982020854949951E-2</v>
      </c>
      <c r="E21" s="21">
        <v>1.345033198595047E-2</v>
      </c>
      <c r="F21" s="23">
        <v>4.8065781593322754E-3</v>
      </c>
      <c r="G21" s="229">
        <v>0.32131361961364746</v>
      </c>
      <c r="H21"/>
      <c r="I21"/>
      <c r="J21"/>
      <c r="K21"/>
      <c r="L21"/>
      <c r="M21"/>
      <c r="N21"/>
      <c r="O21"/>
      <c r="P21"/>
      <c r="Q21"/>
      <c r="R21"/>
      <c r="S21"/>
      <c r="T21" s="240">
        <v>3.2003685832023621E-2</v>
      </c>
      <c r="U21"/>
      <c r="V21"/>
      <c r="W21"/>
      <c r="X21" s="225">
        <v>2.8434678912162781E-2</v>
      </c>
      <c r="Y21"/>
      <c r="Z21"/>
      <c r="AA21" s="244">
        <v>4.8892911523580551E-2</v>
      </c>
      <c r="AB21"/>
      <c r="AC21"/>
      <c r="AD21"/>
      <c r="AE21"/>
      <c r="AF21"/>
      <c r="AG21"/>
      <c r="AH21"/>
      <c r="AI21"/>
      <c r="AJ21" s="23">
        <v>4.3490920215845108E-3</v>
      </c>
      <c r="AK21" s="250">
        <v>8.3021454513072968E-2</v>
      </c>
      <c r="AL21" s="238">
        <v>3.8331203162670135E-2</v>
      </c>
      <c r="AM21" s="246">
        <v>5.1518257707357407E-2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211</v>
      </c>
      <c r="B22">
        <v>1.7680000066757202</v>
      </c>
      <c r="C22">
        <v>8.8400021195411682E-2</v>
      </c>
      <c r="D22"/>
      <c r="E22"/>
      <c r="F22"/>
      <c r="G22" s="23">
        <v>1.0021786205470562E-2</v>
      </c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 s="14">
        <v>2.7988115325570107E-3</v>
      </c>
      <c r="X22" s="19">
        <v>3.0481746420264244E-2</v>
      </c>
      <c r="Y22"/>
      <c r="Z22"/>
      <c r="AA22"/>
      <c r="AB22" s="257">
        <v>0.94900840520858765</v>
      </c>
      <c r="AC22" s="253">
        <v>0.15340246260166168</v>
      </c>
      <c r="AD22" s="147">
        <v>5.2653320133686066E-2</v>
      </c>
      <c r="AE22"/>
      <c r="AF22"/>
      <c r="AG22"/>
      <c r="AH22"/>
      <c r="AI22"/>
      <c r="AJ22" s="11">
        <v>1.116493484005332E-3</v>
      </c>
      <c r="AK22" s="225">
        <v>7.0239000022411346E-2</v>
      </c>
      <c r="AL22" s="12">
        <v>6.8578929640352726E-3</v>
      </c>
      <c r="AM22"/>
      <c r="AN22" s="78">
        <v>0.39251366257667542</v>
      </c>
      <c r="AO22"/>
      <c r="AP22"/>
      <c r="AQ22" s="11">
        <v>1.1911792680621147E-3</v>
      </c>
      <c r="AR22" s="23">
        <v>9.315192699432373E-3</v>
      </c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212</v>
      </c>
      <c r="B23">
        <v>0.52499997615814209</v>
      </c>
      <c r="C23">
        <v>2.6249943301081657E-2</v>
      </c>
      <c r="D23"/>
      <c r="E23"/>
      <c r="F23"/>
      <c r="G23" s="12">
        <v>2.3737938608974218E-3</v>
      </c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 s="15">
        <v>5.4326676763594151E-3</v>
      </c>
      <c r="AK23" s="252">
        <v>0.17730732262134552</v>
      </c>
      <c r="AL23" s="249">
        <v>9.915507584810257E-2</v>
      </c>
      <c r="AM23"/>
      <c r="AN23" s="247">
        <v>9.7787529230117798E-2</v>
      </c>
      <c r="AO23"/>
      <c r="AP23"/>
      <c r="AQ23"/>
      <c r="AR23" s="78">
        <v>0.11669362336397171</v>
      </c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213</v>
      </c>
      <c r="B24">
        <v>0.43500000238418579</v>
      </c>
      <c r="C24">
        <v>6.2835834920406342E-2</v>
      </c>
      <c r="D24"/>
      <c r="E24"/>
      <c r="F24"/>
      <c r="G24" s="230">
        <v>0.15166591107845306</v>
      </c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 s="243">
        <v>8.8608041405677795E-2</v>
      </c>
      <c r="AE24"/>
      <c r="AF24"/>
      <c r="AG24"/>
      <c r="AH24"/>
      <c r="AI24"/>
      <c r="AJ24" s="16">
        <v>7.0488820783793926E-3</v>
      </c>
      <c r="AK24" s="17">
        <v>5.7557849213480949E-3</v>
      </c>
      <c r="AL24"/>
      <c r="AM24"/>
      <c r="AN24" s="248">
        <v>0.11908555030822754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214</v>
      </c>
      <c r="B25">
        <v>2.377000093460083</v>
      </c>
      <c r="C25">
        <v>0.11885017156600952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 s="14">
        <v>3.5332504194229841E-3</v>
      </c>
      <c r="U25"/>
      <c r="V25" s="14">
        <v>6.6968835890293121E-3</v>
      </c>
      <c r="W25" s="240">
        <v>0.10893116146326065</v>
      </c>
      <c r="X25"/>
      <c r="Y25"/>
      <c r="Z25"/>
      <c r="AA25"/>
      <c r="AB25" s="232">
        <v>1.3177717924118042</v>
      </c>
      <c r="AC25"/>
      <c r="AD25"/>
      <c r="AE25"/>
      <c r="AF25" s="111">
        <v>0.46266648173332214</v>
      </c>
      <c r="AG25" s="219">
        <v>0.13659493625164032</v>
      </c>
      <c r="AH25"/>
      <c r="AI25"/>
      <c r="AJ25" s="11">
        <v>7.4981671059504151E-4</v>
      </c>
      <c r="AK25" s="12">
        <v>8.2224262878298759E-3</v>
      </c>
      <c r="AL25"/>
      <c r="AM25"/>
      <c r="AN25" s="266">
        <v>0.17554108798503876</v>
      </c>
      <c r="AO25"/>
      <c r="AP25" s="17">
        <v>3.0770039185881615E-2</v>
      </c>
      <c r="AQ25" s="11">
        <v>7.5646606273949146E-4</v>
      </c>
      <c r="AR25" s="14">
        <v>5.9156734496355057E-3</v>
      </c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215</v>
      </c>
      <c r="B26">
        <v>1.1310000419616699</v>
      </c>
      <c r="C26">
        <v>5.6550148874521255E-2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 s="77">
        <v>7.2758994996547699E-2</v>
      </c>
      <c r="AB26"/>
      <c r="AC26"/>
      <c r="AD26"/>
      <c r="AE26"/>
      <c r="AF26"/>
      <c r="AG26"/>
      <c r="AH26" s="274">
        <v>0.98899936676025391</v>
      </c>
      <c r="AI26"/>
      <c r="AJ26" s="12">
        <v>3.509072819724679E-3</v>
      </c>
      <c r="AK26"/>
      <c r="AL26" s="11">
        <v>2.9497776995413005E-4</v>
      </c>
      <c r="AM26"/>
      <c r="AN26"/>
      <c r="AO26"/>
      <c r="AP26"/>
      <c r="AQ26" s="14">
        <v>1.4303907519206405E-3</v>
      </c>
      <c r="AR26" s="23">
        <v>7.4572404846549034E-3</v>
      </c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216</v>
      </c>
      <c r="B27">
        <v>0.94099998474121094</v>
      </c>
      <c r="C27">
        <v>4.7049954533576965E-2</v>
      </c>
      <c r="D27"/>
      <c r="E27" s="67">
        <v>5.5767431855201721E-2</v>
      </c>
      <c r="F27" s="11">
        <v>6.9542311393888667E-6</v>
      </c>
      <c r="G27" s="231">
        <v>0.13976986706256866</v>
      </c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 s="222">
        <v>2.2939326241612434E-2</v>
      </c>
      <c r="AB27"/>
      <c r="AC27"/>
      <c r="AD27" s="17">
        <v>1.2182570993900299E-2</v>
      </c>
      <c r="AE27"/>
      <c r="AF27"/>
      <c r="AG27"/>
      <c r="AH27" s="272">
        <v>0.38310322165489197</v>
      </c>
      <c r="AI27"/>
      <c r="AJ27" s="23">
        <v>4.9101901240646839E-3</v>
      </c>
      <c r="AK27"/>
      <c r="AL27" s="23">
        <v>5.615288857370615E-3</v>
      </c>
      <c r="AM27" s="23">
        <v>6.4440639689564705E-3</v>
      </c>
      <c r="AN27" s="248">
        <v>0.25900799036026001</v>
      </c>
      <c r="AO27"/>
      <c r="AP27"/>
      <c r="AQ27" s="11">
        <v>6.7645660601556301E-4</v>
      </c>
      <c r="AR27" s="12">
        <v>3.5266585182398558E-3</v>
      </c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217</v>
      </c>
      <c r="B28">
        <v>0.77700001001358032</v>
      </c>
      <c r="C28">
        <v>3.8850009441375732E-2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 s="255">
        <v>7.8799337148666382E-2</v>
      </c>
      <c r="AB28"/>
      <c r="AC28"/>
      <c r="AD28" s="20">
        <v>3.3567998558282852E-2</v>
      </c>
      <c r="AE28"/>
      <c r="AF28"/>
      <c r="AG28" s="267">
        <v>0.49179556965827942</v>
      </c>
      <c r="AH28" s="260">
        <v>0.12952233850955963</v>
      </c>
      <c r="AI28"/>
      <c r="AJ28" s="23">
        <v>4.4647580944001675E-3</v>
      </c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218</v>
      </c>
      <c r="B29">
        <v>1.1000000238418579</v>
      </c>
      <c r="C29">
        <v>1.2227761559188366E-2</v>
      </c>
      <c r="D29" s="11">
        <v>1.0566136334091425E-3</v>
      </c>
      <c r="E29" s="222">
        <v>2.4926204234361649E-2</v>
      </c>
      <c r="F29"/>
      <c r="G29" s="27">
        <v>8.3201229572296143E-2</v>
      </c>
      <c r="H29"/>
      <c r="I29"/>
      <c r="J29"/>
      <c r="K29"/>
      <c r="L29"/>
      <c r="M29"/>
      <c r="N29"/>
      <c r="O29"/>
      <c r="P29"/>
      <c r="Q29"/>
      <c r="R29" s="221">
        <v>0.1135752946138382</v>
      </c>
      <c r="S29"/>
      <c r="T29"/>
      <c r="U29"/>
      <c r="V29"/>
      <c r="W29" s="147">
        <v>3.1697683036327362E-2</v>
      </c>
      <c r="X29" s="222">
        <v>2.483781985938549E-2</v>
      </c>
      <c r="Y29" s="219">
        <v>6.248120591044426E-2</v>
      </c>
      <c r="Z29"/>
      <c r="AA29" s="16">
        <v>1.6647765412926674E-2</v>
      </c>
      <c r="AB29"/>
      <c r="AC29" s="17">
        <v>1.5461000613868237E-2</v>
      </c>
      <c r="AD29"/>
      <c r="AE29"/>
      <c r="AF29"/>
      <c r="AG29" s="113">
        <v>0.65049648284912109</v>
      </c>
      <c r="AH29" s="21">
        <v>2.1295536309480667E-2</v>
      </c>
      <c r="AI29"/>
      <c r="AJ29" s="14">
        <v>2.5877184234559536E-3</v>
      </c>
      <c r="AK29" s="14">
        <v>2.4970981758087873E-3</v>
      </c>
      <c r="AL29" s="14">
        <v>1.6098450869321823E-3</v>
      </c>
      <c r="AM29" s="12">
        <v>3.9995475672185421E-3</v>
      </c>
      <c r="AN29" s="26">
        <v>2.8445899486541748E-2</v>
      </c>
      <c r="AO29"/>
      <c r="AP29" s="14">
        <v>1.7728679813444614E-3</v>
      </c>
      <c r="AQ29" s="11">
        <v>2.451660402584821E-4</v>
      </c>
      <c r="AR29" s="11">
        <v>9.3731435481458902E-4</v>
      </c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219</v>
      </c>
      <c r="B30">
        <v>0.64200001955032349</v>
      </c>
      <c r="C30">
        <v>0.21801216900348663</v>
      </c>
      <c r="D30"/>
      <c r="E30" s="79">
        <v>0.1086757481098175</v>
      </c>
      <c r="F30" s="11">
        <v>3.2643004669807851E-4</v>
      </c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 s="21">
        <v>1.2978940270841122E-2</v>
      </c>
      <c r="AI30"/>
      <c r="AJ30" s="239">
        <v>0.19947627186775208</v>
      </c>
      <c r="AK30" s="70">
        <v>3.2857917249202728E-2</v>
      </c>
      <c r="AL30" s="75">
        <v>6.0731478035449982E-2</v>
      </c>
      <c r="AM30" s="17">
        <v>8.9410385116934776E-3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220</v>
      </c>
      <c r="B31">
        <v>0.65799999237060547</v>
      </c>
      <c r="C31">
        <v>7.3346778750419617E-2</v>
      </c>
      <c r="D31" s="16">
        <v>1.0635374113917351E-2</v>
      </c>
      <c r="E31" s="65">
        <v>1.4821082353591919E-2</v>
      </c>
      <c r="F31" s="11">
        <v>9.0933739556930959E-5</v>
      </c>
      <c r="G31" s="232">
        <v>0.36482295393943787</v>
      </c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 s="77">
        <v>4.305744543671608E-2</v>
      </c>
      <c r="Z31"/>
      <c r="AA31" s="245">
        <v>7.5170837342739105E-2</v>
      </c>
      <c r="AB31"/>
      <c r="AC31"/>
      <c r="AD31"/>
      <c r="AE31"/>
      <c r="AF31"/>
      <c r="AG31"/>
      <c r="AH31"/>
      <c r="AI31"/>
      <c r="AJ31"/>
      <c r="AK31"/>
      <c r="AL31" s="68">
        <v>4.1604693979024887E-2</v>
      </c>
      <c r="AM31" s="238">
        <v>3.4449901431798935E-2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221</v>
      </c>
      <c r="B32">
        <v>0.31999999284744263</v>
      </c>
      <c r="C32">
        <v>4.9458026885986328E-2</v>
      </c>
      <c r="D32" s="64">
        <v>1.7495190724730492E-2</v>
      </c>
      <c r="E32" s="18">
        <v>3.7174199242144823E-3</v>
      </c>
      <c r="F32" s="11">
        <v>1.8698250642046332E-5</v>
      </c>
      <c r="G32" s="233">
        <v>0.23426592350006104</v>
      </c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 s="18">
        <v>3.498526057228446E-3</v>
      </c>
      <c r="AK32"/>
      <c r="AL32" s="28">
        <v>1.1546211317181587E-2</v>
      </c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222</v>
      </c>
      <c r="B33">
        <v>0.36000001430511475</v>
      </c>
      <c r="C33">
        <v>9.923931211233139E-2</v>
      </c>
      <c r="D33" s="220">
        <v>1.7495190724730492E-2</v>
      </c>
      <c r="E33" s="15">
        <v>3.715739818289876E-3</v>
      </c>
      <c r="F33" s="11">
        <v>3.7396501284092665E-5</v>
      </c>
      <c r="G33" s="234">
        <v>0.23426409065723419</v>
      </c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 s="17">
        <v>5.2482802420854568E-3</v>
      </c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223</v>
      </c>
      <c r="B34">
        <v>3.0999999046325684</v>
      </c>
      <c r="C34">
        <v>0.15500003099441528</v>
      </c>
      <c r="D34" s="24">
        <v>8.4483951330184937E-2</v>
      </c>
      <c r="E34" s="14">
        <v>3.7114529404789209E-3</v>
      </c>
      <c r="F34" s="222">
        <v>7.3218822479248047E-2</v>
      </c>
      <c r="G34" s="12">
        <v>9.2480573803186417E-3</v>
      </c>
      <c r="H34"/>
      <c r="I34"/>
      <c r="J34"/>
      <c r="K34"/>
      <c r="L34"/>
      <c r="M34"/>
      <c r="N34"/>
      <c r="O34"/>
      <c r="P34" s="19">
        <v>5.195309966802597E-2</v>
      </c>
      <c r="Q34"/>
      <c r="R34"/>
      <c r="S34" s="18">
        <v>3.9362594485282898E-2</v>
      </c>
      <c r="T34" s="14">
        <v>5.4300837218761444E-3</v>
      </c>
      <c r="U34"/>
      <c r="V34" s="22">
        <v>2.2665504366159439E-2</v>
      </c>
      <c r="W34" s="22">
        <v>2.2801121696829796E-2</v>
      </c>
      <c r="X34" s="13">
        <v>0.1131688579916954</v>
      </c>
      <c r="Y34" s="27">
        <v>0.23721346259117126</v>
      </c>
      <c r="Z34" s="29">
        <v>0.14724473655223846</v>
      </c>
      <c r="AA34" s="222">
        <v>7.3777846992015839E-2</v>
      </c>
      <c r="AB34"/>
      <c r="AC34" s="244">
        <v>0.21406979858875275</v>
      </c>
      <c r="AD34" s="240">
        <v>0.13738538324832916</v>
      </c>
      <c r="AE34"/>
      <c r="AF34"/>
      <c r="AG34" s="269">
        <v>0.77094417810440063</v>
      </c>
      <c r="AH34"/>
      <c r="AI34"/>
      <c r="AJ34" s="23">
        <v>1.5476597473025322E-2</v>
      </c>
      <c r="AK34" s="66">
        <v>0.12460894137620926</v>
      </c>
      <c r="AL34" s="26">
        <v>7.7969886362552643E-2</v>
      </c>
      <c r="AM34" s="222">
        <v>7.1721382439136505E-2</v>
      </c>
      <c r="AN34" s="265">
        <v>0.39117991924285889</v>
      </c>
      <c r="AO34"/>
      <c r="AP34" s="222">
        <v>7.4072562158107758E-2</v>
      </c>
      <c r="AQ34" s="11">
        <v>1.3657776871696115E-3</v>
      </c>
      <c r="AR34" s="67">
        <v>0.18192584812641144</v>
      </c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224</v>
      </c>
      <c r="B35">
        <v>0.15000000596046448</v>
      </c>
      <c r="C35">
        <v>0.13582780957221985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 s="75">
        <v>1.4172188937664032E-2</v>
      </c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225</v>
      </c>
      <c r="B36">
        <v>3.9999999105930328E-2</v>
      </c>
      <c r="C36">
        <v>3.6192059516906738E-2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 s="236">
        <v>3.8079391233623028E-3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226</v>
      </c>
      <c r="B37">
        <v>1.9999999552965164E-2</v>
      </c>
      <c r="C37">
        <v>1.5914194285869598E-2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 s="235">
        <v>1.6604788834229112E-3</v>
      </c>
      <c r="AN37"/>
      <c r="AO37"/>
      <c r="AP37"/>
      <c r="AQ37"/>
      <c r="AR37" s="237">
        <v>2.4253265000879765E-3</v>
      </c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227</v>
      </c>
      <c r="B38">
        <v>7.0000000298023224E-2</v>
      </c>
      <c r="C38">
        <v>5.4025016725063324E-2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 s="25">
        <v>2.2096256725490093E-3</v>
      </c>
      <c r="AM38" s="222">
        <v>1.660515321418643E-3</v>
      </c>
      <c r="AN38"/>
      <c r="AO38"/>
      <c r="AP38"/>
      <c r="AQ38"/>
      <c r="AR38" s="110">
        <v>1.2104841880500317E-2</v>
      </c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228</v>
      </c>
      <c r="B39"/>
      <c r="C39">
        <v>0.34629252552986145</v>
      </c>
      <c r="D39"/>
      <c r="E39"/>
      <c r="F39"/>
      <c r="G39"/>
      <c r="H39"/>
      <c r="I39"/>
      <c r="J39" s="9">
        <v>367.48931884765625</v>
      </c>
      <c r="K39" s="9">
        <v>487.57177734375</v>
      </c>
      <c r="L39" s="9">
        <v>1464.1085205078125</v>
      </c>
      <c r="M39" s="9">
        <v>2.2291426658630371</v>
      </c>
      <c r="N39" s="9">
        <v>65.425338745117188</v>
      </c>
      <c r="O39" s="9">
        <v>112.52967834472656</v>
      </c>
      <c r="P39"/>
      <c r="Q39" s="9">
        <v>0.86431717872619629</v>
      </c>
      <c r="R39"/>
      <c r="S39"/>
      <c r="T39"/>
      <c r="U39" s="9">
        <v>21.798238754272461</v>
      </c>
      <c r="V39" s="9">
        <v>1.3473881483078003</v>
      </c>
      <c r="W39" s="9">
        <v>0.31144589185714722</v>
      </c>
      <c r="X39"/>
      <c r="Y39" s="9">
        <v>8.3912171423435211E-2</v>
      </c>
      <c r="Z39"/>
      <c r="AA39"/>
      <c r="AB39"/>
      <c r="AC39"/>
      <c r="AD39"/>
      <c r="AE39"/>
      <c r="AF39"/>
      <c r="AG39"/>
      <c r="AH39"/>
      <c r="AI39" s="9">
        <v>9.7771244049072266</v>
      </c>
      <c r="AJ39"/>
      <c r="AK39"/>
      <c r="AL39" s="9">
        <v>3.8837259635329247E-3</v>
      </c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229</v>
      </c>
      <c r="B40"/>
      <c r="C40">
        <v>0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8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3.1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3.1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8" t="s">
        <v>191</v>
      </c>
      <c r="E5">
        <v>4</v>
      </c>
      <c r="F5">
        <v>2</v>
      </c>
      <c r="G5">
        <v>4</v>
      </c>
      <c r="H5" s="199" t="s">
        <v>191</v>
      </c>
      <c r="J5" s="57"/>
      <c r="K5" s="58"/>
    </row>
    <row r="6" spans="1:12" ht="14" thickBot="1" x14ac:dyDescent="0.2">
      <c r="A6" s="41" t="s">
        <v>121</v>
      </c>
      <c r="D6" s="198" t="s">
        <v>192</v>
      </c>
      <c r="E6">
        <v>5</v>
      </c>
      <c r="F6">
        <v>3.11</v>
      </c>
      <c r="G6">
        <v>5</v>
      </c>
      <c r="H6" s="199" t="s">
        <v>192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8" t="s">
        <v>193</v>
      </c>
      <c r="E7">
        <v>6</v>
      </c>
      <c r="F7">
        <v>3.11</v>
      </c>
      <c r="G7">
        <v>6</v>
      </c>
      <c r="H7" s="199" t="s">
        <v>193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8" t="s">
        <v>194</v>
      </c>
      <c r="E8">
        <v>7</v>
      </c>
      <c r="F8">
        <v>3</v>
      </c>
      <c r="G8">
        <v>7</v>
      </c>
      <c r="H8" s="199" t="s">
        <v>194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8" t="s">
        <v>195</v>
      </c>
      <c r="E9">
        <v>8</v>
      </c>
      <c r="F9">
        <v>3.2</v>
      </c>
      <c r="G9">
        <v>8</v>
      </c>
      <c r="H9" s="199" t="s">
        <v>195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8" t="s">
        <v>196</v>
      </c>
      <c r="E10">
        <v>9</v>
      </c>
      <c r="F10">
        <v>3.21</v>
      </c>
      <c r="G10">
        <v>9</v>
      </c>
      <c r="H10" s="199" t="s">
        <v>196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8" t="s">
        <v>197</v>
      </c>
      <c r="E11">
        <v>10</v>
      </c>
      <c r="F11">
        <v>3.21</v>
      </c>
      <c r="G11">
        <v>10</v>
      </c>
      <c r="H11" s="199" t="s">
        <v>197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8" t="s">
        <v>198</v>
      </c>
      <c r="E12">
        <v>11</v>
      </c>
      <c r="F12">
        <v>3</v>
      </c>
      <c r="G12">
        <v>11</v>
      </c>
      <c r="H12" s="199" t="s">
        <v>198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8" t="s">
        <v>199</v>
      </c>
      <c r="E13">
        <v>12</v>
      </c>
      <c r="F13">
        <v>3.21</v>
      </c>
      <c r="G13">
        <v>12</v>
      </c>
      <c r="H13" s="199" t="s">
        <v>199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8" t="s">
        <v>200</v>
      </c>
      <c r="E14">
        <v>13</v>
      </c>
      <c r="F14">
        <v>3.21</v>
      </c>
      <c r="G14">
        <v>13</v>
      </c>
      <c r="H14" s="199" t="s">
        <v>200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8" t="s">
        <v>201</v>
      </c>
      <c r="E15">
        <v>14</v>
      </c>
      <c r="F15">
        <v>3.2</v>
      </c>
      <c r="G15">
        <v>14</v>
      </c>
      <c r="H15" s="199" t="s">
        <v>201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8" t="s">
        <v>202</v>
      </c>
      <c r="E16">
        <v>15</v>
      </c>
      <c r="F16">
        <v>3</v>
      </c>
      <c r="G16">
        <v>15</v>
      </c>
      <c r="H16" s="199" t="s">
        <v>202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8" t="s">
        <v>203</v>
      </c>
      <c r="E17">
        <v>16</v>
      </c>
      <c r="F17">
        <v>3</v>
      </c>
      <c r="G17">
        <v>16</v>
      </c>
      <c r="H17" s="199" t="s">
        <v>203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8" t="s">
        <v>204</v>
      </c>
      <c r="E18">
        <v>17</v>
      </c>
      <c r="F18">
        <v>3.2</v>
      </c>
      <c r="G18">
        <v>17</v>
      </c>
      <c r="H18" s="199" t="s">
        <v>204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8" t="s">
        <v>205</v>
      </c>
      <c r="E19">
        <v>18</v>
      </c>
      <c r="F19">
        <v>3.2</v>
      </c>
      <c r="G19">
        <v>18</v>
      </c>
      <c r="H19" s="199" t="s">
        <v>205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8" t="s">
        <v>206</v>
      </c>
      <c r="E20">
        <v>19</v>
      </c>
      <c r="F20">
        <v>3.2</v>
      </c>
      <c r="G20">
        <v>19</v>
      </c>
      <c r="H20" s="199" t="s">
        <v>206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8" t="s">
        <v>207</v>
      </c>
      <c r="E21">
        <v>20</v>
      </c>
      <c r="F21">
        <v>3.2</v>
      </c>
      <c r="G21">
        <v>20</v>
      </c>
      <c r="H21" s="199" t="s">
        <v>207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8" t="s">
        <v>208</v>
      </c>
      <c r="E22">
        <v>21</v>
      </c>
      <c r="F22">
        <v>3.2</v>
      </c>
      <c r="G22">
        <v>21</v>
      </c>
      <c r="H22" s="199" t="s">
        <v>208</v>
      </c>
    </row>
    <row r="23" spans="1:12" x14ac:dyDescent="0.15">
      <c r="A23" s="36" t="s">
        <v>129</v>
      </c>
      <c r="B23" s="44">
        <v>4</v>
      </c>
      <c r="C23" s="38"/>
      <c r="D23" s="198" t="s">
        <v>209</v>
      </c>
      <c r="E23">
        <v>22</v>
      </c>
      <c r="F23">
        <v>3.2</v>
      </c>
      <c r="G23">
        <v>22</v>
      </c>
      <c r="H23" s="199" t="s">
        <v>209</v>
      </c>
    </row>
    <row r="24" spans="1:12" x14ac:dyDescent="0.15">
      <c r="A24" s="36" t="s">
        <v>122</v>
      </c>
      <c r="B24" s="44">
        <v>4.0999999999999996</v>
      </c>
      <c r="C24" s="38"/>
      <c r="D24" s="198" t="s">
        <v>210</v>
      </c>
      <c r="E24">
        <v>23</v>
      </c>
      <c r="F24">
        <v>3.2</v>
      </c>
      <c r="G24">
        <v>23</v>
      </c>
      <c r="H24" s="199" t="s">
        <v>210</v>
      </c>
    </row>
    <row r="25" spans="1:12" x14ac:dyDescent="0.15">
      <c r="A25" s="36" t="s">
        <v>70</v>
      </c>
      <c r="B25" s="44">
        <v>4.2</v>
      </c>
      <c r="C25" s="38"/>
      <c r="D25" s="198" t="s">
        <v>211</v>
      </c>
      <c r="E25">
        <v>24</v>
      </c>
      <c r="F25">
        <v>3.1</v>
      </c>
      <c r="G25">
        <v>24</v>
      </c>
      <c r="H25" s="199" t="s">
        <v>211</v>
      </c>
    </row>
    <row r="26" spans="1:12" x14ac:dyDescent="0.15">
      <c r="A26" s="36" t="s">
        <v>123</v>
      </c>
      <c r="B26" s="44">
        <v>4.3</v>
      </c>
      <c r="C26" s="38"/>
      <c r="D26" s="198" t="s">
        <v>212</v>
      </c>
      <c r="E26">
        <v>25</v>
      </c>
      <c r="F26">
        <v>3.1</v>
      </c>
      <c r="G26">
        <v>25</v>
      </c>
      <c r="H26" s="199" t="s">
        <v>212</v>
      </c>
    </row>
    <row r="27" spans="1:12" x14ac:dyDescent="0.15">
      <c r="A27" s="36" t="s">
        <v>125</v>
      </c>
      <c r="B27" s="44">
        <v>6.1</v>
      </c>
      <c r="D27" s="198" t="s">
        <v>213</v>
      </c>
      <c r="E27">
        <v>26</v>
      </c>
      <c r="F27">
        <v>3.1</v>
      </c>
      <c r="G27">
        <v>26</v>
      </c>
      <c r="H27" s="199" t="s">
        <v>213</v>
      </c>
    </row>
    <row r="28" spans="1:12" x14ac:dyDescent="0.15">
      <c r="A28" s="36" t="s">
        <v>124</v>
      </c>
      <c r="B28" s="44">
        <v>6.2</v>
      </c>
      <c r="D28" s="198" t="s">
        <v>214</v>
      </c>
      <c r="E28">
        <v>27</v>
      </c>
      <c r="F28">
        <v>3.1</v>
      </c>
      <c r="G28">
        <v>27</v>
      </c>
      <c r="H28" s="199" t="s">
        <v>214</v>
      </c>
    </row>
    <row r="29" spans="1:12" x14ac:dyDescent="0.15">
      <c r="A29" s="36" t="s">
        <v>44</v>
      </c>
      <c r="B29" s="44">
        <v>5</v>
      </c>
      <c r="D29" s="198" t="s">
        <v>215</v>
      </c>
      <c r="E29">
        <v>28</v>
      </c>
      <c r="F29">
        <v>3.1</v>
      </c>
      <c r="G29">
        <v>28</v>
      </c>
      <c r="H29" s="199" t="s">
        <v>215</v>
      </c>
    </row>
    <row r="30" spans="1:12" x14ac:dyDescent="0.15">
      <c r="A30" s="36" t="s">
        <v>73</v>
      </c>
      <c r="B30" s="44">
        <v>7</v>
      </c>
      <c r="D30" s="198" t="s">
        <v>216</v>
      </c>
      <c r="E30">
        <v>29</v>
      </c>
      <c r="F30">
        <v>3.1</v>
      </c>
      <c r="G30">
        <v>29</v>
      </c>
      <c r="H30" s="199" t="s">
        <v>216</v>
      </c>
    </row>
    <row r="31" spans="1:12" x14ac:dyDescent="0.15">
      <c r="A31" s="36" t="s">
        <v>169</v>
      </c>
      <c r="B31" s="44">
        <v>3.14</v>
      </c>
      <c r="D31" s="198" t="s">
        <v>217</v>
      </c>
      <c r="E31">
        <v>30</v>
      </c>
      <c r="F31">
        <v>3.1</v>
      </c>
      <c r="G31">
        <v>30</v>
      </c>
      <c r="H31" s="199" t="s">
        <v>217</v>
      </c>
    </row>
    <row r="32" spans="1:12" ht="12" customHeight="1" thickBot="1" x14ac:dyDescent="0.2">
      <c r="A32" s="42" t="s">
        <v>170</v>
      </c>
      <c r="B32" s="45">
        <v>9</v>
      </c>
      <c r="D32" s="198" t="s">
        <v>218</v>
      </c>
      <c r="E32">
        <v>31</v>
      </c>
      <c r="F32">
        <v>3.12</v>
      </c>
      <c r="G32">
        <v>31</v>
      </c>
      <c r="H32" s="199" t="s">
        <v>218</v>
      </c>
    </row>
    <row r="33" spans="4:8" customFormat="1" ht="12" customHeight="1" x14ac:dyDescent="0.15">
      <c r="D33" s="198" t="s">
        <v>219</v>
      </c>
      <c r="E33">
        <v>32</v>
      </c>
      <c r="F33">
        <v>3.12</v>
      </c>
      <c r="G33">
        <v>32</v>
      </c>
      <c r="H33" s="199" t="s">
        <v>219</v>
      </c>
    </row>
    <row r="34" spans="4:8" customFormat="1" ht="12" customHeight="1" x14ac:dyDescent="0.15">
      <c r="D34" s="198" t="s">
        <v>220</v>
      </c>
      <c r="E34">
        <v>33</v>
      </c>
      <c r="F34">
        <v>3.12</v>
      </c>
      <c r="G34">
        <v>33</v>
      </c>
      <c r="H34" s="199" t="s">
        <v>220</v>
      </c>
    </row>
    <row r="35" spans="4:8" customFormat="1" x14ac:dyDescent="0.15">
      <c r="D35" s="198" t="s">
        <v>221</v>
      </c>
      <c r="E35">
        <v>34</v>
      </c>
      <c r="F35">
        <v>3.22</v>
      </c>
      <c r="G35">
        <v>34</v>
      </c>
      <c r="H35" s="199" t="s">
        <v>221</v>
      </c>
    </row>
    <row r="36" spans="4:8" customFormat="1" x14ac:dyDescent="0.15">
      <c r="D36" s="198" t="s">
        <v>222</v>
      </c>
      <c r="E36">
        <v>35</v>
      </c>
      <c r="F36">
        <v>3.12</v>
      </c>
      <c r="G36">
        <v>35</v>
      </c>
      <c r="H36" s="199" t="s">
        <v>222</v>
      </c>
    </row>
    <row r="37" spans="4:8" customFormat="1" ht="12" customHeight="1" x14ac:dyDescent="0.15">
      <c r="D37" s="198" t="s">
        <v>223</v>
      </c>
      <c r="E37">
        <v>36</v>
      </c>
      <c r="F37">
        <v>3.12</v>
      </c>
      <c r="G37">
        <v>36</v>
      </c>
      <c r="H37" s="199" t="s">
        <v>223</v>
      </c>
    </row>
    <row r="38" spans="4:8" customFormat="1" x14ac:dyDescent="0.15">
      <c r="D38" s="198" t="s">
        <v>224</v>
      </c>
      <c r="E38">
        <v>37</v>
      </c>
      <c r="F38">
        <v>3.12</v>
      </c>
      <c r="G38">
        <v>37</v>
      </c>
      <c r="H38" s="199" t="s">
        <v>224</v>
      </c>
    </row>
    <row r="39" spans="4:8" customFormat="1" x14ac:dyDescent="0.15">
      <c r="D39" s="198" t="s">
        <v>225</v>
      </c>
      <c r="E39">
        <v>38</v>
      </c>
      <c r="F39">
        <v>3.13</v>
      </c>
      <c r="G39">
        <v>38</v>
      </c>
      <c r="H39" s="199" t="s">
        <v>225</v>
      </c>
    </row>
    <row r="40" spans="4:8" customFormat="1" x14ac:dyDescent="0.15">
      <c r="D40" s="198" t="s">
        <v>226</v>
      </c>
      <c r="E40">
        <v>39</v>
      </c>
      <c r="F40">
        <v>3.13</v>
      </c>
      <c r="G40">
        <v>39</v>
      </c>
      <c r="H40" s="199" t="s">
        <v>226</v>
      </c>
    </row>
    <row r="41" spans="4:8" customFormat="1" x14ac:dyDescent="0.15">
      <c r="D41" s="198" t="s">
        <v>227</v>
      </c>
      <c r="E41">
        <v>40</v>
      </c>
      <c r="F41">
        <v>3.13</v>
      </c>
      <c r="G41">
        <v>40</v>
      </c>
      <c r="H41" s="199" t="s">
        <v>227</v>
      </c>
    </row>
    <row r="42" spans="4:8" customFormat="1" x14ac:dyDescent="0.15">
      <c r="D42" s="198" t="s">
        <v>228</v>
      </c>
      <c r="E42">
        <v>41</v>
      </c>
      <c r="F42">
        <v>4.0999999999999996</v>
      </c>
      <c r="G42">
        <v>41</v>
      </c>
      <c r="H42" s="199" t="s">
        <v>228</v>
      </c>
    </row>
    <row r="43" spans="4:8" customFormat="1" x14ac:dyDescent="0.15">
      <c r="D43" s="198" t="s">
        <v>229</v>
      </c>
      <c r="E43">
        <v>42</v>
      </c>
      <c r="F43">
        <v>4.3</v>
      </c>
      <c r="G43">
        <v>42</v>
      </c>
      <c r="H43" s="199" t="s">
        <v>229</v>
      </c>
    </row>
    <row r="44" spans="4:8" customFormat="1" x14ac:dyDescent="0.15">
      <c r="D44" s="198" t="s">
        <v>230</v>
      </c>
      <c r="E44">
        <v>43</v>
      </c>
      <c r="F44">
        <v>5</v>
      </c>
      <c r="G44">
        <v>43</v>
      </c>
      <c r="H44" s="199" t="s">
        <v>230</v>
      </c>
    </row>
    <row r="45" spans="4:8" customFormat="1" x14ac:dyDescent="0.15">
      <c r="D45" s="198" t="s">
        <v>231</v>
      </c>
      <c r="E45">
        <v>44</v>
      </c>
      <c r="F45">
        <v>5</v>
      </c>
      <c r="G45">
        <v>44</v>
      </c>
      <c r="H45" s="199" t="s">
        <v>231</v>
      </c>
    </row>
    <row r="46" spans="4:8" customFormat="1" x14ac:dyDescent="0.15">
      <c r="D46" s="198" t="s">
        <v>232</v>
      </c>
      <c r="E46">
        <v>45</v>
      </c>
      <c r="F46">
        <v>5</v>
      </c>
      <c r="G46">
        <v>45</v>
      </c>
      <c r="H46" s="199" t="s">
        <v>232</v>
      </c>
    </row>
    <row r="47" spans="4:8" customFormat="1" x14ac:dyDescent="0.15">
      <c r="D47" s="198" t="s">
        <v>233</v>
      </c>
      <c r="E47">
        <v>46</v>
      </c>
      <c r="F47">
        <v>5</v>
      </c>
      <c r="G47">
        <v>46</v>
      </c>
      <c r="H47" s="199" t="s">
        <v>233</v>
      </c>
    </row>
    <row r="48" spans="4:8" customFormat="1" x14ac:dyDescent="0.15">
      <c r="D48" s="198" t="s">
        <v>138</v>
      </c>
      <c r="E48">
        <v>47</v>
      </c>
      <c r="F48">
        <v>6.1</v>
      </c>
      <c r="G48">
        <v>47</v>
      </c>
      <c r="H48" s="199" t="s">
        <v>138</v>
      </c>
    </row>
    <row r="49" spans="4:8" customFormat="1" x14ac:dyDescent="0.15">
      <c r="D49" s="198" t="s">
        <v>45</v>
      </c>
      <c r="E49">
        <v>48</v>
      </c>
      <c r="F49">
        <v>6.2</v>
      </c>
      <c r="G49">
        <v>48</v>
      </c>
      <c r="H49" s="199" t="s">
        <v>45</v>
      </c>
    </row>
    <row r="50" spans="4:8" customFormat="1" ht="12" customHeight="1" x14ac:dyDescent="0.15"/>
    <row r="51" spans="4:8" customFormat="1" x14ac:dyDescent="0.15"/>
    <row r="52" spans="4:8" customFormat="1" ht="12" customHeight="1" x14ac:dyDescent="0.15"/>
    <row r="53" spans="4:8" customFormat="1" x14ac:dyDescent="0.15"/>
    <row r="54" spans="4:8" customFormat="1" ht="12" customHeight="1" x14ac:dyDescent="0.15"/>
    <row r="55" spans="4:8" customFormat="1" ht="12" customHeight="1" x14ac:dyDescent="0.15"/>
    <row r="56" spans="4:8" customFormat="1" x14ac:dyDescent="0.15"/>
    <row r="57" spans="4:8" customFormat="1" x14ac:dyDescent="0.15"/>
    <row r="58" spans="4:8" customFormat="1" x14ac:dyDescent="0.15"/>
    <row r="59" spans="4:8" customFormat="1" x14ac:dyDescent="0.15"/>
    <row r="60" spans="4:8" customFormat="1" x14ac:dyDescent="0.15"/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5" bestFit="1" customWidth="1"/>
    <col min="2" max="2" width="10.83203125" style="84" customWidth="1"/>
    <col min="3" max="3" width="16.5" style="84" customWidth="1"/>
    <col min="4" max="4" width="39.6640625" style="84" customWidth="1"/>
    <col min="5" max="5" width="8.1640625" style="84" customWidth="1"/>
    <col min="6" max="6" width="23.1640625" style="84" bestFit="1" customWidth="1"/>
    <col min="7" max="9" width="2.33203125" style="84" customWidth="1"/>
    <col min="10" max="10" width="2.33203125" style="84" bestFit="1" customWidth="1"/>
    <col min="11" max="15" width="2.33203125" style="84" customWidth="1"/>
    <col min="16" max="16" width="2.33203125" style="73" customWidth="1"/>
    <col min="17" max="17" width="2.33203125" style="84" customWidth="1"/>
    <col min="18" max="18" width="2.33203125" style="74" customWidth="1"/>
    <col min="19" max="16384" width="11.5" style="84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6" t="s">
        <v>48</v>
      </c>
      <c r="L1" s="74"/>
      <c r="M1" s="86" t="s">
        <v>119</v>
      </c>
      <c r="N1" s="74"/>
      <c r="O1" s="86" t="s">
        <v>49</v>
      </c>
      <c r="P1" s="76"/>
      <c r="Q1" s="86" t="s">
        <v>50</v>
      </c>
      <c r="R1" s="71" t="s">
        <v>154</v>
      </c>
    </row>
    <row r="2" spans="1:23" ht="15" customHeight="1" x14ac:dyDescent="0.15">
      <c r="A2" s="86" t="s">
        <v>51</v>
      </c>
      <c r="B2" s="87">
        <v>0.5</v>
      </c>
      <c r="C2" s="85" t="s">
        <v>52</v>
      </c>
      <c r="D2" s="88"/>
      <c r="F2" s="1"/>
      <c r="G2" s="89"/>
      <c r="H2" s="89"/>
      <c r="I2" s="89" t="s">
        <v>133</v>
      </c>
      <c r="J2" s="89" t="s">
        <v>133</v>
      </c>
      <c r="K2" s="89" t="s">
        <v>52</v>
      </c>
      <c r="L2" s="89" t="s">
        <v>53</v>
      </c>
      <c r="M2" s="89" t="s">
        <v>52</v>
      </c>
      <c r="N2" s="89" t="s">
        <v>53</v>
      </c>
      <c r="O2" s="89" t="s">
        <v>52</v>
      </c>
      <c r="P2" s="90" t="s">
        <v>53</v>
      </c>
      <c r="Q2" s="89"/>
      <c r="R2" s="91" t="s">
        <v>155</v>
      </c>
    </row>
    <row r="3" spans="1:23" ht="15" customHeight="1" thickBot="1" x14ac:dyDescent="0.2">
      <c r="A3" s="86" t="s">
        <v>54</v>
      </c>
      <c r="B3" s="92">
        <v>0.5</v>
      </c>
      <c r="C3" s="85" t="s">
        <v>53</v>
      </c>
      <c r="D3" s="8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2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2">
        <v>0</v>
      </c>
      <c r="R4" s="114">
        <v>0</v>
      </c>
    </row>
    <row r="5" spans="1:23" ht="15" customHeight="1" x14ac:dyDescent="0.15">
      <c r="A5" s="86" t="s">
        <v>55</v>
      </c>
      <c r="B5" s="93">
        <v>0.5</v>
      </c>
      <c r="C5" s="85" t="s">
        <v>52</v>
      </c>
      <c r="D5" s="8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2">
        <v>0</v>
      </c>
      <c r="R5" s="114">
        <v>0</v>
      </c>
    </row>
    <row r="6" spans="1:23" ht="15" customHeight="1" thickBot="1" x14ac:dyDescent="0.2">
      <c r="A6" s="86"/>
      <c r="B6" s="94">
        <v>0.5</v>
      </c>
      <c r="C6" s="85" t="s">
        <v>53</v>
      </c>
      <c r="D6" s="88"/>
      <c r="F6" s="200" t="s">
        <v>191</v>
      </c>
      <c r="G6" s="84">
        <v>0</v>
      </c>
      <c r="H6" s="84">
        <v>0</v>
      </c>
      <c r="I6" s="84">
        <v>0</v>
      </c>
      <c r="J6" s="84">
        <v>0</v>
      </c>
      <c r="K6" s="84">
        <v>0</v>
      </c>
      <c r="L6" s="84">
        <v>0</v>
      </c>
      <c r="M6" s="84">
        <v>1</v>
      </c>
      <c r="N6" s="84">
        <v>0</v>
      </c>
      <c r="O6" s="84">
        <v>0</v>
      </c>
      <c r="P6" s="73">
        <v>0</v>
      </c>
      <c r="Q6" s="84">
        <v>0</v>
      </c>
      <c r="R6" s="74">
        <v>1</v>
      </c>
      <c r="S6"/>
      <c r="T6"/>
    </row>
    <row r="7" spans="1:23" ht="15" customHeight="1" thickBot="1" x14ac:dyDescent="0.2">
      <c r="F7" s="200" t="s">
        <v>192</v>
      </c>
      <c r="G7" s="84">
        <v>0</v>
      </c>
      <c r="H7" s="84">
        <v>0</v>
      </c>
      <c r="I7" s="84">
        <v>0</v>
      </c>
      <c r="J7" s="84">
        <v>0</v>
      </c>
      <c r="K7" s="84">
        <v>1</v>
      </c>
      <c r="L7" s="84">
        <v>0</v>
      </c>
      <c r="M7" s="84">
        <v>1</v>
      </c>
      <c r="N7" s="84">
        <v>0</v>
      </c>
      <c r="O7" s="84">
        <v>1</v>
      </c>
      <c r="P7" s="73">
        <v>0</v>
      </c>
      <c r="Q7" s="84">
        <v>0</v>
      </c>
      <c r="R7" s="74">
        <v>1</v>
      </c>
      <c r="S7"/>
      <c r="T7"/>
    </row>
    <row r="8" spans="1:23" ht="15" customHeight="1" x14ac:dyDescent="0.15">
      <c r="A8" s="86" t="s">
        <v>56</v>
      </c>
      <c r="B8" s="93">
        <v>1</v>
      </c>
      <c r="C8" s="201" t="s">
        <v>191</v>
      </c>
      <c r="D8" s="88" t="s">
        <v>160</v>
      </c>
      <c r="F8" s="200" t="s">
        <v>193</v>
      </c>
      <c r="G8" s="84">
        <v>0</v>
      </c>
      <c r="H8" s="84">
        <v>0</v>
      </c>
      <c r="I8" s="84">
        <v>0</v>
      </c>
      <c r="J8" s="84">
        <v>0</v>
      </c>
      <c r="K8" s="84">
        <v>1</v>
      </c>
      <c r="L8" s="84">
        <v>0</v>
      </c>
      <c r="M8" s="84">
        <v>1</v>
      </c>
      <c r="N8" s="84">
        <v>0</v>
      </c>
      <c r="O8" s="84">
        <v>1</v>
      </c>
      <c r="P8" s="73">
        <v>0</v>
      </c>
      <c r="Q8" s="84">
        <v>0</v>
      </c>
      <c r="R8" s="74">
        <v>1</v>
      </c>
      <c r="S8"/>
      <c r="T8"/>
      <c r="W8"/>
    </row>
    <row r="9" spans="1:23" ht="15" customHeight="1" x14ac:dyDescent="0.15">
      <c r="A9" s="128" t="s">
        <v>168</v>
      </c>
      <c r="B9" s="95"/>
      <c r="C9" s="83"/>
      <c r="D9" s="88" t="s">
        <v>160</v>
      </c>
      <c r="F9" s="200" t="s">
        <v>194</v>
      </c>
      <c r="G9" s="84">
        <v>0</v>
      </c>
      <c r="H9" s="84">
        <v>0</v>
      </c>
      <c r="I9" s="84">
        <v>0</v>
      </c>
      <c r="J9" s="84">
        <v>0</v>
      </c>
      <c r="K9" s="84">
        <v>0</v>
      </c>
      <c r="L9" s="84">
        <v>1</v>
      </c>
      <c r="M9" s="84">
        <v>0</v>
      </c>
      <c r="N9" s="84">
        <v>1</v>
      </c>
      <c r="O9" s="84">
        <v>0</v>
      </c>
      <c r="P9" s="73">
        <v>1</v>
      </c>
      <c r="Q9" s="84">
        <v>0</v>
      </c>
      <c r="R9" s="74">
        <v>1</v>
      </c>
      <c r="S9"/>
      <c r="T9"/>
      <c r="W9"/>
    </row>
    <row r="10" spans="1:23" ht="15" customHeight="1" x14ac:dyDescent="0.15">
      <c r="B10" s="95"/>
      <c r="C10" s="83"/>
      <c r="D10" s="88" t="s">
        <v>160</v>
      </c>
      <c r="F10" s="200" t="s">
        <v>195</v>
      </c>
      <c r="G10" s="84">
        <v>0</v>
      </c>
      <c r="H10" s="84">
        <v>0</v>
      </c>
      <c r="I10" s="84">
        <v>0</v>
      </c>
      <c r="J10" s="84">
        <v>0</v>
      </c>
      <c r="K10" s="84">
        <v>0</v>
      </c>
      <c r="L10" s="84">
        <v>1</v>
      </c>
      <c r="M10" s="84">
        <v>0</v>
      </c>
      <c r="N10" s="84">
        <v>1</v>
      </c>
      <c r="O10" s="84">
        <v>0</v>
      </c>
      <c r="P10" s="73">
        <v>1</v>
      </c>
      <c r="Q10" s="84">
        <v>0</v>
      </c>
      <c r="R10" s="74">
        <v>1</v>
      </c>
      <c r="S10"/>
      <c r="T10"/>
      <c r="W10"/>
    </row>
    <row r="11" spans="1:23" ht="15" customHeight="1" x14ac:dyDescent="0.15">
      <c r="A11" s="86"/>
      <c r="B11" s="95"/>
      <c r="C11" s="98"/>
      <c r="D11" s="88" t="s">
        <v>160</v>
      </c>
      <c r="F11" s="200" t="s">
        <v>196</v>
      </c>
      <c r="G11" s="84">
        <v>0</v>
      </c>
      <c r="H11" s="84">
        <v>0</v>
      </c>
      <c r="I11" s="84">
        <v>0</v>
      </c>
      <c r="J11" s="84">
        <v>0</v>
      </c>
      <c r="K11" s="84">
        <v>0</v>
      </c>
      <c r="L11" s="84">
        <v>1</v>
      </c>
      <c r="M11" s="84">
        <v>0</v>
      </c>
      <c r="N11" s="84">
        <v>1</v>
      </c>
      <c r="O11" s="84">
        <v>0</v>
      </c>
      <c r="P11" s="73">
        <v>1</v>
      </c>
      <c r="Q11" s="84">
        <v>0</v>
      </c>
      <c r="R11" s="74">
        <v>1</v>
      </c>
      <c r="S11"/>
      <c r="T11"/>
      <c r="W11"/>
    </row>
    <row r="12" spans="1:23" ht="15" customHeight="1" x14ac:dyDescent="0.15">
      <c r="B12" s="95"/>
      <c r="C12" s="99"/>
      <c r="D12" s="88" t="s">
        <v>160</v>
      </c>
      <c r="F12" s="200" t="s">
        <v>197</v>
      </c>
      <c r="G12" s="84">
        <v>0</v>
      </c>
      <c r="H12" s="84">
        <v>0</v>
      </c>
      <c r="I12" s="84">
        <v>0</v>
      </c>
      <c r="J12" s="84">
        <v>0</v>
      </c>
      <c r="K12" s="84">
        <v>1</v>
      </c>
      <c r="L12" s="84">
        <v>0</v>
      </c>
      <c r="M12" s="84">
        <v>1</v>
      </c>
      <c r="N12" s="84">
        <v>0</v>
      </c>
      <c r="O12" s="84">
        <v>1</v>
      </c>
      <c r="P12" s="73">
        <v>0</v>
      </c>
      <c r="Q12" s="84">
        <v>0</v>
      </c>
      <c r="R12" s="74">
        <v>1</v>
      </c>
      <c r="S12"/>
      <c r="T12"/>
      <c r="W12"/>
    </row>
    <row r="13" spans="1:23" ht="15" customHeight="1" x14ac:dyDescent="0.15">
      <c r="B13" s="95"/>
      <c r="C13" s="99"/>
      <c r="D13" s="88" t="s">
        <v>160</v>
      </c>
      <c r="F13" s="200" t="s">
        <v>198</v>
      </c>
      <c r="G13" s="84">
        <v>0</v>
      </c>
      <c r="H13" s="84">
        <v>0</v>
      </c>
      <c r="I13" s="84">
        <v>0</v>
      </c>
      <c r="J13" s="84">
        <v>0</v>
      </c>
      <c r="K13" s="84">
        <v>1</v>
      </c>
      <c r="L13" s="84">
        <v>0</v>
      </c>
      <c r="M13" s="84">
        <v>1</v>
      </c>
      <c r="N13" s="84">
        <v>0</v>
      </c>
      <c r="O13" s="84">
        <v>1</v>
      </c>
      <c r="P13" s="73">
        <v>0</v>
      </c>
      <c r="Q13" s="84">
        <v>0</v>
      </c>
      <c r="R13" s="74">
        <v>1</v>
      </c>
      <c r="S13"/>
      <c r="T13"/>
      <c r="W13"/>
    </row>
    <row r="14" spans="1:23" ht="15" customHeight="1" x14ac:dyDescent="0.15">
      <c r="B14" s="95"/>
      <c r="C14" s="83"/>
      <c r="D14" s="88" t="s">
        <v>160</v>
      </c>
      <c r="F14" s="200" t="s">
        <v>199</v>
      </c>
      <c r="G14" s="84">
        <v>0</v>
      </c>
      <c r="H14" s="84">
        <v>0</v>
      </c>
      <c r="I14" s="84">
        <v>0</v>
      </c>
      <c r="J14" s="84">
        <v>0</v>
      </c>
      <c r="K14" s="84">
        <v>1</v>
      </c>
      <c r="L14" s="84">
        <v>0</v>
      </c>
      <c r="M14" s="84">
        <v>1</v>
      </c>
      <c r="N14" s="84">
        <v>0</v>
      </c>
      <c r="O14" s="84">
        <v>1</v>
      </c>
      <c r="P14" s="73">
        <v>0</v>
      </c>
      <c r="Q14" s="84">
        <v>0</v>
      </c>
      <c r="R14" s="74">
        <v>1</v>
      </c>
      <c r="S14"/>
      <c r="T14"/>
      <c r="W14"/>
    </row>
    <row r="15" spans="1:23" ht="15" customHeight="1" x14ac:dyDescent="0.15">
      <c r="B15" s="95"/>
      <c r="C15" s="83"/>
      <c r="D15" s="88" t="s">
        <v>160</v>
      </c>
      <c r="F15" s="200" t="s">
        <v>200</v>
      </c>
      <c r="G15" s="84">
        <v>0</v>
      </c>
      <c r="H15" s="84">
        <v>0</v>
      </c>
      <c r="I15" s="84">
        <v>0</v>
      </c>
      <c r="J15" s="84">
        <v>0</v>
      </c>
      <c r="K15" s="84">
        <v>1</v>
      </c>
      <c r="L15" s="84">
        <v>0</v>
      </c>
      <c r="M15" s="84">
        <v>1</v>
      </c>
      <c r="N15" s="84">
        <v>0</v>
      </c>
      <c r="O15" s="84">
        <v>1</v>
      </c>
      <c r="P15" s="73">
        <v>0</v>
      </c>
      <c r="Q15" s="84">
        <v>0</v>
      </c>
      <c r="R15" s="74">
        <v>1</v>
      </c>
      <c r="S15"/>
      <c r="T15"/>
      <c r="W15"/>
    </row>
    <row r="16" spans="1:23" ht="15" customHeight="1" x14ac:dyDescent="0.15">
      <c r="B16" s="95"/>
      <c r="C16" s="83"/>
      <c r="D16" s="88" t="s">
        <v>160</v>
      </c>
      <c r="F16" s="200" t="s">
        <v>201</v>
      </c>
      <c r="G16" s="84">
        <v>0</v>
      </c>
      <c r="H16" s="84">
        <v>0</v>
      </c>
      <c r="I16" s="84">
        <v>0</v>
      </c>
      <c r="J16" s="84">
        <v>0</v>
      </c>
      <c r="K16" s="84">
        <v>1</v>
      </c>
      <c r="L16" s="84">
        <v>0</v>
      </c>
      <c r="M16" s="84">
        <v>1</v>
      </c>
      <c r="N16" s="84">
        <v>0</v>
      </c>
      <c r="O16" s="84">
        <v>1</v>
      </c>
      <c r="P16" s="73">
        <v>0</v>
      </c>
      <c r="Q16" s="84">
        <v>0</v>
      </c>
      <c r="R16" s="74">
        <v>1</v>
      </c>
      <c r="S16"/>
      <c r="T16"/>
    </row>
    <row r="17" spans="1:20" ht="15" customHeight="1" thickBot="1" x14ac:dyDescent="0.2">
      <c r="B17" s="94"/>
      <c r="C17" s="83"/>
      <c r="D17" s="88" t="s">
        <v>160</v>
      </c>
      <c r="F17" s="200" t="s">
        <v>202</v>
      </c>
      <c r="G17" s="84">
        <v>0</v>
      </c>
      <c r="H17" s="84">
        <v>0</v>
      </c>
      <c r="I17" s="84">
        <v>0</v>
      </c>
      <c r="J17" s="84">
        <v>0</v>
      </c>
      <c r="K17" s="84">
        <v>1</v>
      </c>
      <c r="L17" s="84">
        <v>0</v>
      </c>
      <c r="M17" s="84">
        <v>1</v>
      </c>
      <c r="N17" s="84">
        <v>0</v>
      </c>
      <c r="O17" s="84">
        <v>1</v>
      </c>
      <c r="P17" s="73">
        <v>0</v>
      </c>
      <c r="Q17" s="84">
        <v>0</v>
      </c>
      <c r="R17" s="74">
        <v>1</v>
      </c>
      <c r="S17"/>
      <c r="T17"/>
    </row>
    <row r="18" spans="1:20" ht="15" customHeight="1" thickBot="1" x14ac:dyDescent="0.2">
      <c r="B18" s="96"/>
      <c r="F18" s="200" t="s">
        <v>203</v>
      </c>
      <c r="G18" s="84">
        <v>0</v>
      </c>
      <c r="H18" s="84">
        <v>0</v>
      </c>
      <c r="I18" s="84">
        <v>0</v>
      </c>
      <c r="J18" s="84">
        <v>0</v>
      </c>
      <c r="K18" s="84">
        <v>1</v>
      </c>
      <c r="L18" s="84">
        <v>0</v>
      </c>
      <c r="M18" s="84">
        <v>1</v>
      </c>
      <c r="N18" s="84">
        <v>0</v>
      </c>
      <c r="O18" s="84">
        <v>1</v>
      </c>
      <c r="P18" s="73">
        <v>0</v>
      </c>
      <c r="Q18" s="84">
        <v>0</v>
      </c>
      <c r="R18" s="74">
        <v>1</v>
      </c>
      <c r="S18"/>
      <c r="T18"/>
    </row>
    <row r="19" spans="1:20" ht="15" customHeight="1" x14ac:dyDescent="0.15">
      <c r="A19" s="86" t="s">
        <v>57</v>
      </c>
      <c r="B19" s="93">
        <v>1</v>
      </c>
      <c r="C19" s="202" t="s">
        <v>191</v>
      </c>
      <c r="D19" s="88" t="s">
        <v>160</v>
      </c>
      <c r="F19" s="200" t="s">
        <v>204</v>
      </c>
      <c r="G19" s="84">
        <v>0</v>
      </c>
      <c r="H19" s="84">
        <v>0</v>
      </c>
      <c r="I19" s="84">
        <v>0</v>
      </c>
      <c r="J19" s="84">
        <v>0</v>
      </c>
      <c r="K19" s="84">
        <v>1</v>
      </c>
      <c r="L19" s="84">
        <v>0</v>
      </c>
      <c r="M19" s="84">
        <v>1</v>
      </c>
      <c r="N19" s="84">
        <v>0</v>
      </c>
      <c r="O19" s="84">
        <v>1</v>
      </c>
      <c r="P19" s="73">
        <v>0</v>
      </c>
      <c r="Q19" s="84">
        <v>0</v>
      </c>
      <c r="R19" s="74">
        <v>1</v>
      </c>
      <c r="S19"/>
      <c r="T19"/>
    </row>
    <row r="20" spans="1:20" ht="15" customHeight="1" x14ac:dyDescent="0.15">
      <c r="A20" s="128" t="s">
        <v>168</v>
      </c>
      <c r="B20" s="95"/>
      <c r="C20" s="83"/>
      <c r="D20" s="88" t="s">
        <v>160</v>
      </c>
      <c r="F20" s="200" t="s">
        <v>205</v>
      </c>
      <c r="G20" s="84">
        <v>0</v>
      </c>
      <c r="H20" s="84">
        <v>0</v>
      </c>
      <c r="I20" s="84">
        <v>0</v>
      </c>
      <c r="J20" s="84">
        <v>0</v>
      </c>
      <c r="K20" s="84">
        <v>1</v>
      </c>
      <c r="L20" s="84">
        <v>0</v>
      </c>
      <c r="M20" s="84">
        <v>1</v>
      </c>
      <c r="N20" s="84">
        <v>0</v>
      </c>
      <c r="O20" s="84">
        <v>1</v>
      </c>
      <c r="P20" s="73">
        <v>0</v>
      </c>
      <c r="Q20" s="84">
        <v>0</v>
      </c>
      <c r="R20" s="74">
        <v>1</v>
      </c>
      <c r="S20"/>
      <c r="T20"/>
    </row>
    <row r="21" spans="1:20" ht="15" customHeight="1" x14ac:dyDescent="0.15">
      <c r="B21" s="95"/>
      <c r="C21" s="83"/>
      <c r="D21" s="88" t="s">
        <v>160</v>
      </c>
      <c r="F21" s="200" t="s">
        <v>206</v>
      </c>
      <c r="G21" s="84">
        <v>0</v>
      </c>
      <c r="H21" s="84">
        <v>0</v>
      </c>
      <c r="I21" s="84">
        <v>0</v>
      </c>
      <c r="J21" s="84">
        <v>0</v>
      </c>
      <c r="K21" s="84">
        <v>1</v>
      </c>
      <c r="L21" s="84">
        <v>0</v>
      </c>
      <c r="M21" s="84">
        <v>1</v>
      </c>
      <c r="N21" s="84">
        <v>0</v>
      </c>
      <c r="O21" s="84">
        <v>1</v>
      </c>
      <c r="P21" s="73">
        <v>0</v>
      </c>
      <c r="Q21" s="84">
        <v>0</v>
      </c>
      <c r="R21" s="74">
        <v>1</v>
      </c>
      <c r="S21"/>
      <c r="T21"/>
    </row>
    <row r="22" spans="1:20" ht="15" customHeight="1" x14ac:dyDescent="0.15">
      <c r="A22" s="84"/>
      <c r="B22" s="95"/>
      <c r="C22" s="98"/>
      <c r="D22" s="88" t="s">
        <v>160</v>
      </c>
      <c r="F22" s="200" t="s">
        <v>207</v>
      </c>
      <c r="G22" s="84">
        <v>0</v>
      </c>
      <c r="H22" s="84">
        <v>0</v>
      </c>
      <c r="I22" s="84">
        <v>0</v>
      </c>
      <c r="J22" s="84">
        <v>0</v>
      </c>
      <c r="K22" s="84">
        <v>1</v>
      </c>
      <c r="L22" s="84">
        <v>0</v>
      </c>
      <c r="M22" s="84">
        <v>1</v>
      </c>
      <c r="N22" s="84">
        <v>0</v>
      </c>
      <c r="O22" s="84">
        <v>1</v>
      </c>
      <c r="P22" s="73">
        <v>0</v>
      </c>
      <c r="Q22" s="84">
        <v>0</v>
      </c>
      <c r="R22" s="74">
        <v>1</v>
      </c>
      <c r="S22"/>
      <c r="T22"/>
    </row>
    <row r="23" spans="1:20" ht="15" customHeight="1" x14ac:dyDescent="0.15">
      <c r="A23" s="84"/>
      <c r="B23" s="95"/>
      <c r="C23" s="99"/>
      <c r="D23" s="88" t="s">
        <v>160</v>
      </c>
      <c r="F23" s="200" t="s">
        <v>208</v>
      </c>
      <c r="G23" s="84">
        <v>0</v>
      </c>
      <c r="H23" s="84">
        <v>0</v>
      </c>
      <c r="I23" s="84">
        <v>0</v>
      </c>
      <c r="J23" s="84">
        <v>0</v>
      </c>
      <c r="K23" s="84">
        <v>1</v>
      </c>
      <c r="L23" s="84">
        <v>0</v>
      </c>
      <c r="M23" s="84">
        <v>1</v>
      </c>
      <c r="N23" s="84">
        <v>0</v>
      </c>
      <c r="O23" s="84">
        <v>1</v>
      </c>
      <c r="P23" s="73">
        <v>0</v>
      </c>
      <c r="Q23" s="84">
        <v>0</v>
      </c>
      <c r="R23" s="74">
        <v>1</v>
      </c>
      <c r="S23"/>
      <c r="T23"/>
    </row>
    <row r="24" spans="1:20" ht="15" customHeight="1" x14ac:dyDescent="0.15">
      <c r="A24" s="84"/>
      <c r="B24" s="95"/>
      <c r="C24" s="99"/>
      <c r="D24" s="88" t="s">
        <v>160</v>
      </c>
      <c r="F24" s="200" t="s">
        <v>209</v>
      </c>
      <c r="G24" s="84">
        <v>0</v>
      </c>
      <c r="H24" s="84">
        <v>0</v>
      </c>
      <c r="I24" s="84">
        <v>0</v>
      </c>
      <c r="J24" s="84">
        <v>0</v>
      </c>
      <c r="K24" s="84">
        <v>1</v>
      </c>
      <c r="L24" s="84">
        <v>0</v>
      </c>
      <c r="M24" s="84">
        <v>1</v>
      </c>
      <c r="N24" s="84">
        <v>0</v>
      </c>
      <c r="O24" s="84">
        <v>1</v>
      </c>
      <c r="P24" s="73">
        <v>0</v>
      </c>
      <c r="Q24" s="84">
        <v>0</v>
      </c>
      <c r="R24" s="74">
        <v>1</v>
      </c>
      <c r="S24"/>
      <c r="T24"/>
    </row>
    <row r="25" spans="1:20" ht="15" customHeight="1" x14ac:dyDescent="0.15">
      <c r="A25" s="84"/>
      <c r="B25" s="95"/>
      <c r="C25" s="83"/>
      <c r="D25" s="88" t="s">
        <v>160</v>
      </c>
      <c r="F25" s="200" t="s">
        <v>210</v>
      </c>
      <c r="G25" s="84">
        <v>0</v>
      </c>
      <c r="H25" s="84">
        <v>0</v>
      </c>
      <c r="I25" s="84">
        <v>0</v>
      </c>
      <c r="J25" s="84">
        <v>0</v>
      </c>
      <c r="K25" s="84">
        <v>1</v>
      </c>
      <c r="L25" s="84">
        <v>0</v>
      </c>
      <c r="M25" s="84">
        <v>1</v>
      </c>
      <c r="N25" s="84">
        <v>0</v>
      </c>
      <c r="O25" s="84">
        <v>1</v>
      </c>
      <c r="P25" s="73">
        <v>0</v>
      </c>
      <c r="Q25" s="84">
        <v>0</v>
      </c>
      <c r="R25" s="74">
        <v>1</v>
      </c>
      <c r="S25"/>
      <c r="T25"/>
    </row>
    <row r="26" spans="1:20" ht="15" customHeight="1" x14ac:dyDescent="0.15">
      <c r="B26" s="95"/>
      <c r="C26" s="83"/>
      <c r="D26" s="88" t="s">
        <v>160</v>
      </c>
      <c r="F26" s="200" t="s">
        <v>211</v>
      </c>
      <c r="G26" s="84">
        <v>0</v>
      </c>
      <c r="H26" s="84">
        <v>0</v>
      </c>
      <c r="I26" s="84">
        <v>0</v>
      </c>
      <c r="J26" s="84">
        <v>0</v>
      </c>
      <c r="K26" s="84">
        <v>1</v>
      </c>
      <c r="L26" s="84">
        <v>0</v>
      </c>
      <c r="M26" s="84">
        <v>1</v>
      </c>
      <c r="N26" s="84">
        <v>0</v>
      </c>
      <c r="O26" s="84">
        <v>1</v>
      </c>
      <c r="P26" s="73">
        <v>0</v>
      </c>
      <c r="Q26" s="84">
        <v>0</v>
      </c>
      <c r="R26" s="74">
        <v>1</v>
      </c>
      <c r="S26"/>
      <c r="T26"/>
    </row>
    <row r="27" spans="1:20" ht="15" customHeight="1" x14ac:dyDescent="0.15">
      <c r="B27" s="95"/>
      <c r="C27" s="83"/>
      <c r="D27" s="88" t="s">
        <v>160</v>
      </c>
      <c r="F27" s="200" t="s">
        <v>212</v>
      </c>
      <c r="G27" s="84">
        <v>0</v>
      </c>
      <c r="H27" s="84">
        <v>0</v>
      </c>
      <c r="I27" s="84">
        <v>0</v>
      </c>
      <c r="J27" s="84">
        <v>0</v>
      </c>
      <c r="K27" s="84">
        <v>1</v>
      </c>
      <c r="L27" s="84">
        <v>0</v>
      </c>
      <c r="M27" s="84">
        <v>1</v>
      </c>
      <c r="N27" s="84">
        <v>0</v>
      </c>
      <c r="O27" s="84">
        <v>1</v>
      </c>
      <c r="P27" s="73">
        <v>0</v>
      </c>
      <c r="Q27" s="84">
        <v>0</v>
      </c>
      <c r="R27" s="74">
        <v>1</v>
      </c>
      <c r="S27"/>
      <c r="T27"/>
    </row>
    <row r="28" spans="1:20" ht="15" customHeight="1" thickBot="1" x14ac:dyDescent="0.2">
      <c r="B28" s="94"/>
      <c r="C28" s="83"/>
      <c r="D28" s="88" t="s">
        <v>160</v>
      </c>
      <c r="F28" s="200" t="s">
        <v>213</v>
      </c>
      <c r="G28" s="84">
        <v>0</v>
      </c>
      <c r="H28" s="84">
        <v>0</v>
      </c>
      <c r="I28" s="84">
        <v>0</v>
      </c>
      <c r="J28" s="84">
        <v>0</v>
      </c>
      <c r="K28" s="84">
        <v>1</v>
      </c>
      <c r="L28" s="84">
        <v>0</v>
      </c>
      <c r="M28" s="84">
        <v>1</v>
      </c>
      <c r="N28" s="84">
        <v>0</v>
      </c>
      <c r="O28" s="84">
        <v>1</v>
      </c>
      <c r="P28" s="73">
        <v>0</v>
      </c>
      <c r="Q28" s="84">
        <v>0</v>
      </c>
      <c r="R28" s="74">
        <v>1</v>
      </c>
      <c r="S28"/>
      <c r="T28"/>
    </row>
    <row r="29" spans="1:20" ht="15" customHeight="1" x14ac:dyDescent="0.15">
      <c r="F29" s="200" t="s">
        <v>214</v>
      </c>
      <c r="G29" s="84">
        <v>0</v>
      </c>
      <c r="H29" s="84">
        <v>0</v>
      </c>
      <c r="I29" s="84">
        <v>0</v>
      </c>
      <c r="J29" s="84">
        <v>0</v>
      </c>
      <c r="K29" s="84">
        <v>1</v>
      </c>
      <c r="L29" s="84">
        <v>0</v>
      </c>
      <c r="M29" s="84">
        <v>1</v>
      </c>
      <c r="N29" s="84">
        <v>0</v>
      </c>
      <c r="O29" s="84">
        <v>1</v>
      </c>
      <c r="P29" s="73">
        <v>0</v>
      </c>
      <c r="Q29" s="84">
        <v>0</v>
      </c>
      <c r="R29" s="74">
        <v>1</v>
      </c>
      <c r="S29"/>
      <c r="T29"/>
    </row>
    <row r="30" spans="1:20" ht="15" customHeight="1" x14ac:dyDescent="0.15">
      <c r="F30" s="200" t="s">
        <v>215</v>
      </c>
      <c r="G30" s="84">
        <v>0</v>
      </c>
      <c r="H30" s="84">
        <v>0</v>
      </c>
      <c r="I30" s="84">
        <v>0</v>
      </c>
      <c r="J30" s="84">
        <v>0</v>
      </c>
      <c r="K30" s="84">
        <v>1</v>
      </c>
      <c r="L30" s="84">
        <v>0</v>
      </c>
      <c r="M30" s="84">
        <v>1</v>
      </c>
      <c r="N30" s="84">
        <v>0</v>
      </c>
      <c r="O30" s="84">
        <v>1</v>
      </c>
      <c r="P30" s="73">
        <v>0</v>
      </c>
      <c r="Q30" s="84">
        <v>0</v>
      </c>
      <c r="R30" s="74">
        <v>1</v>
      </c>
      <c r="S30"/>
      <c r="T30"/>
    </row>
    <row r="31" spans="1:20" ht="15" customHeight="1" x14ac:dyDescent="0.15">
      <c r="A31" s="129"/>
      <c r="B31" s="140" t="s">
        <v>17</v>
      </c>
      <c r="C31" s="140" t="s">
        <v>1</v>
      </c>
      <c r="D31" s="140" t="s">
        <v>161</v>
      </c>
      <c r="E31" s="141" t="s">
        <v>163</v>
      </c>
      <c r="F31" s="200" t="s">
        <v>216</v>
      </c>
      <c r="G31" s="84">
        <v>0</v>
      </c>
      <c r="H31" s="84">
        <v>0</v>
      </c>
      <c r="I31" s="84">
        <v>0</v>
      </c>
      <c r="J31" s="84">
        <v>0</v>
      </c>
      <c r="K31" s="84">
        <v>1</v>
      </c>
      <c r="L31" s="84">
        <v>0</v>
      </c>
      <c r="M31" s="84">
        <v>1</v>
      </c>
      <c r="N31" s="84">
        <v>0</v>
      </c>
      <c r="O31" s="84">
        <v>1</v>
      </c>
      <c r="P31" s="73">
        <v>0</v>
      </c>
      <c r="Q31" s="84">
        <v>0</v>
      </c>
      <c r="R31" s="74">
        <v>1</v>
      </c>
      <c r="S31"/>
      <c r="T31"/>
    </row>
    <row r="32" spans="1:20" ht="15" customHeight="1" x14ac:dyDescent="0.15">
      <c r="A32" s="203" t="s">
        <v>191</v>
      </c>
      <c r="B32" s="96">
        <v>102.458771</v>
      </c>
      <c r="C32" s="96">
        <v>84.550809999999998</v>
      </c>
      <c r="D32" s="96">
        <v>8662.9720796545098</v>
      </c>
      <c r="E32" s="131">
        <v>1</v>
      </c>
      <c r="F32" s="200" t="s">
        <v>217</v>
      </c>
      <c r="G32" s="84">
        <v>0</v>
      </c>
      <c r="H32" s="84">
        <v>0</v>
      </c>
      <c r="I32" s="84">
        <v>0</v>
      </c>
      <c r="J32" s="84">
        <v>0</v>
      </c>
      <c r="K32" s="84">
        <v>1</v>
      </c>
      <c r="L32" s="84">
        <v>0</v>
      </c>
      <c r="M32" s="84">
        <v>1</v>
      </c>
      <c r="N32" s="84">
        <v>0</v>
      </c>
      <c r="O32" s="84">
        <v>1</v>
      </c>
      <c r="P32" s="73">
        <v>0</v>
      </c>
      <c r="Q32" s="84">
        <v>0</v>
      </c>
      <c r="R32" s="74">
        <v>1</v>
      </c>
      <c r="S32"/>
      <c r="T32"/>
    </row>
    <row r="33" spans="1:20" ht="15" customHeight="1" x14ac:dyDescent="0.15">
      <c r="A33" s="130"/>
      <c r="B33" s="96"/>
      <c r="C33" s="96"/>
      <c r="D33" s="96"/>
      <c r="E33" s="131"/>
      <c r="F33" s="200" t="s">
        <v>218</v>
      </c>
      <c r="G33" s="84">
        <v>0</v>
      </c>
      <c r="H33" s="84">
        <v>0</v>
      </c>
      <c r="I33" s="84">
        <v>0</v>
      </c>
      <c r="J33" s="84">
        <v>0</v>
      </c>
      <c r="K33" s="84">
        <v>1</v>
      </c>
      <c r="L33" s="84">
        <v>0</v>
      </c>
      <c r="M33" s="84">
        <v>1</v>
      </c>
      <c r="N33" s="84">
        <v>0</v>
      </c>
      <c r="O33" s="84">
        <v>1</v>
      </c>
      <c r="P33" s="73">
        <v>0</v>
      </c>
      <c r="Q33" s="84">
        <v>0</v>
      </c>
      <c r="R33" s="74">
        <v>1</v>
      </c>
      <c r="S33"/>
      <c r="T33"/>
    </row>
    <row r="34" spans="1:20" ht="15" customHeight="1" x14ac:dyDescent="0.15">
      <c r="A34" s="132"/>
      <c r="B34" s="96"/>
      <c r="C34" s="96"/>
      <c r="D34" s="96"/>
      <c r="E34" s="131"/>
      <c r="F34" s="200" t="s">
        <v>219</v>
      </c>
      <c r="G34" s="84">
        <v>0</v>
      </c>
      <c r="H34" s="84">
        <v>0</v>
      </c>
      <c r="I34" s="84">
        <v>0</v>
      </c>
      <c r="J34" s="84">
        <v>0</v>
      </c>
      <c r="K34" s="84">
        <v>1</v>
      </c>
      <c r="L34" s="84">
        <v>0</v>
      </c>
      <c r="M34" s="84">
        <v>1</v>
      </c>
      <c r="N34" s="84">
        <v>0</v>
      </c>
      <c r="O34" s="84">
        <v>1</v>
      </c>
      <c r="P34" s="73">
        <v>0</v>
      </c>
      <c r="Q34" s="84">
        <v>0</v>
      </c>
      <c r="R34" s="74">
        <v>1</v>
      </c>
      <c r="S34"/>
      <c r="T34"/>
    </row>
    <row r="35" spans="1:20" ht="15" customHeight="1" x14ac:dyDescent="0.15">
      <c r="A35" s="133"/>
      <c r="B35" s="96"/>
      <c r="C35" s="96"/>
      <c r="D35" s="96"/>
      <c r="E35" s="131"/>
      <c r="F35" s="200" t="s">
        <v>220</v>
      </c>
      <c r="G35" s="84">
        <v>0</v>
      </c>
      <c r="H35" s="84">
        <v>0</v>
      </c>
      <c r="I35" s="84">
        <v>0</v>
      </c>
      <c r="J35" s="84">
        <v>0</v>
      </c>
      <c r="K35" s="84">
        <v>1</v>
      </c>
      <c r="L35" s="84">
        <v>0</v>
      </c>
      <c r="M35" s="84">
        <v>1</v>
      </c>
      <c r="N35" s="84">
        <v>0</v>
      </c>
      <c r="O35" s="84">
        <v>1</v>
      </c>
      <c r="P35" s="73">
        <v>0</v>
      </c>
      <c r="Q35" s="84">
        <v>0</v>
      </c>
      <c r="R35" s="74">
        <v>1</v>
      </c>
      <c r="S35"/>
      <c r="T35"/>
    </row>
    <row r="36" spans="1:20" ht="15" customHeight="1" x14ac:dyDescent="0.15">
      <c r="A36" s="134"/>
      <c r="B36" s="96"/>
      <c r="C36" s="96"/>
      <c r="D36" s="96"/>
      <c r="E36" s="131"/>
      <c r="F36" s="200" t="s">
        <v>221</v>
      </c>
      <c r="G36" s="84">
        <v>0</v>
      </c>
      <c r="H36" s="84">
        <v>0</v>
      </c>
      <c r="I36" s="84">
        <v>0</v>
      </c>
      <c r="J36" s="84">
        <v>0</v>
      </c>
      <c r="K36" s="84">
        <v>1</v>
      </c>
      <c r="L36" s="84">
        <v>0</v>
      </c>
      <c r="M36" s="84">
        <v>1</v>
      </c>
      <c r="N36" s="84">
        <v>0</v>
      </c>
      <c r="O36" s="84">
        <v>1</v>
      </c>
      <c r="P36" s="73">
        <v>0</v>
      </c>
      <c r="Q36" s="84">
        <v>0</v>
      </c>
      <c r="R36" s="74">
        <v>1</v>
      </c>
      <c r="S36"/>
      <c r="T36"/>
    </row>
    <row r="37" spans="1:20" ht="15" customHeight="1" x14ac:dyDescent="0.15">
      <c r="A37" s="134"/>
      <c r="B37" s="96"/>
      <c r="C37" s="96"/>
      <c r="D37" s="96"/>
      <c r="E37" s="131"/>
      <c r="F37" s="200" t="s">
        <v>222</v>
      </c>
      <c r="G37" s="84">
        <v>0</v>
      </c>
      <c r="H37" s="84">
        <v>0</v>
      </c>
      <c r="I37" s="84">
        <v>0</v>
      </c>
      <c r="J37" s="84">
        <v>0</v>
      </c>
      <c r="K37" s="84">
        <v>1</v>
      </c>
      <c r="L37" s="84">
        <v>0</v>
      </c>
      <c r="M37" s="84">
        <v>1</v>
      </c>
      <c r="N37" s="84">
        <v>0</v>
      </c>
      <c r="O37" s="84">
        <v>1</v>
      </c>
      <c r="P37" s="73">
        <v>0</v>
      </c>
      <c r="Q37" s="84">
        <v>0</v>
      </c>
      <c r="R37" s="74">
        <v>1</v>
      </c>
      <c r="S37"/>
      <c r="T37"/>
    </row>
    <row r="38" spans="1:20" ht="15" customHeight="1" x14ac:dyDescent="0.15">
      <c r="A38" s="135"/>
      <c r="B38" s="96"/>
      <c r="C38" s="96"/>
      <c r="D38" s="96"/>
      <c r="E38" s="131"/>
      <c r="F38" s="200" t="s">
        <v>223</v>
      </c>
      <c r="G38" s="84">
        <v>0</v>
      </c>
      <c r="H38" s="84">
        <v>0</v>
      </c>
      <c r="I38" s="84">
        <v>0</v>
      </c>
      <c r="J38" s="84">
        <v>0</v>
      </c>
      <c r="K38" s="84">
        <v>1</v>
      </c>
      <c r="L38" s="84">
        <v>0</v>
      </c>
      <c r="M38" s="84">
        <v>1</v>
      </c>
      <c r="N38" s="84">
        <v>0</v>
      </c>
      <c r="O38" s="84">
        <v>1</v>
      </c>
      <c r="P38" s="73">
        <v>0</v>
      </c>
      <c r="Q38" s="84">
        <v>0</v>
      </c>
      <c r="R38" s="74">
        <v>1</v>
      </c>
      <c r="S38"/>
      <c r="T38"/>
    </row>
    <row r="39" spans="1:20" ht="15" customHeight="1" x14ac:dyDescent="0.15">
      <c r="A39" s="135"/>
      <c r="B39" s="96"/>
      <c r="C39" s="96"/>
      <c r="D39" s="96"/>
      <c r="E39" s="131"/>
      <c r="F39" s="200" t="s">
        <v>224</v>
      </c>
      <c r="G39" s="84">
        <v>0</v>
      </c>
      <c r="H39" s="84">
        <v>0</v>
      </c>
      <c r="I39" s="84">
        <v>0</v>
      </c>
      <c r="J39" s="84">
        <v>0</v>
      </c>
      <c r="K39" s="84">
        <v>1</v>
      </c>
      <c r="L39" s="84">
        <v>0</v>
      </c>
      <c r="M39" s="84">
        <v>1</v>
      </c>
      <c r="N39" s="84">
        <v>0</v>
      </c>
      <c r="O39" s="84">
        <v>1</v>
      </c>
      <c r="P39" s="73">
        <v>0</v>
      </c>
      <c r="Q39" s="84">
        <v>0</v>
      </c>
      <c r="R39" s="74">
        <v>1</v>
      </c>
      <c r="S39"/>
      <c r="T39"/>
    </row>
    <row r="40" spans="1:20" ht="15" customHeight="1" x14ac:dyDescent="0.15">
      <c r="A40" s="135"/>
      <c r="B40" s="96"/>
      <c r="C40" s="96"/>
      <c r="D40" s="96"/>
      <c r="E40" s="131"/>
      <c r="F40" s="200" t="s">
        <v>225</v>
      </c>
      <c r="G40" s="84">
        <v>0</v>
      </c>
      <c r="H40" s="84">
        <v>0</v>
      </c>
      <c r="I40" s="84">
        <v>0</v>
      </c>
      <c r="J40" s="84">
        <v>0</v>
      </c>
      <c r="K40" s="84">
        <v>1</v>
      </c>
      <c r="L40" s="84">
        <v>0</v>
      </c>
      <c r="M40" s="84">
        <v>1</v>
      </c>
      <c r="N40" s="84">
        <v>0</v>
      </c>
      <c r="O40" s="84">
        <v>1</v>
      </c>
      <c r="P40" s="73">
        <v>0</v>
      </c>
      <c r="Q40" s="84">
        <v>0</v>
      </c>
      <c r="R40" s="74">
        <v>1</v>
      </c>
      <c r="S40"/>
      <c r="T40"/>
    </row>
    <row r="41" spans="1:20" ht="15" customHeight="1" thickBot="1" x14ac:dyDescent="0.2">
      <c r="A41" s="135"/>
      <c r="B41" s="96"/>
      <c r="C41" s="96"/>
      <c r="D41" s="97"/>
      <c r="E41" s="136"/>
      <c r="F41" s="200" t="s">
        <v>226</v>
      </c>
      <c r="G41" s="84">
        <v>0</v>
      </c>
      <c r="H41" s="84">
        <v>0</v>
      </c>
      <c r="I41" s="84">
        <v>0</v>
      </c>
      <c r="J41" s="84">
        <v>0</v>
      </c>
      <c r="K41" s="84">
        <v>0</v>
      </c>
      <c r="L41" s="84">
        <v>1</v>
      </c>
      <c r="M41" s="84">
        <v>0</v>
      </c>
      <c r="N41" s="84">
        <v>1</v>
      </c>
      <c r="O41" s="84">
        <v>0</v>
      </c>
      <c r="P41" s="73">
        <v>1</v>
      </c>
      <c r="Q41" s="84">
        <v>0</v>
      </c>
      <c r="R41" s="74">
        <v>1</v>
      </c>
      <c r="S41"/>
      <c r="T41"/>
    </row>
    <row r="42" spans="1:20" ht="15" customHeight="1" x14ac:dyDescent="0.15">
      <c r="A42" s="137"/>
      <c r="B42" s="138"/>
      <c r="C42" s="138" t="s">
        <v>162</v>
      </c>
      <c r="D42" s="138">
        <f>SUM(D32:D41)</f>
        <v>8662.9720796545098</v>
      </c>
      <c r="E42" s="139">
        <f>SUM(E32:E41)</f>
        <v>1</v>
      </c>
      <c r="F42" s="200" t="s">
        <v>227</v>
      </c>
      <c r="G42" s="84">
        <v>0</v>
      </c>
      <c r="H42" s="84">
        <v>0</v>
      </c>
      <c r="I42" s="84">
        <v>0</v>
      </c>
      <c r="J42" s="84">
        <v>0</v>
      </c>
      <c r="K42" s="84">
        <v>1</v>
      </c>
      <c r="L42" s="84">
        <v>0</v>
      </c>
      <c r="M42" s="84">
        <v>1</v>
      </c>
      <c r="N42" s="84">
        <v>0</v>
      </c>
      <c r="O42" s="84">
        <v>1</v>
      </c>
      <c r="P42" s="73">
        <v>0</v>
      </c>
      <c r="Q42" s="84">
        <v>0</v>
      </c>
      <c r="R42" s="74">
        <v>1</v>
      </c>
      <c r="S42"/>
      <c r="T42"/>
    </row>
    <row r="43" spans="1:20" ht="15" customHeight="1" x14ac:dyDescent="0.15">
      <c r="A43" s="84"/>
      <c r="F43" s="200" t="s">
        <v>228</v>
      </c>
      <c r="G43" s="84">
        <v>0</v>
      </c>
      <c r="H43" s="84">
        <v>0</v>
      </c>
      <c r="I43" s="84">
        <v>0</v>
      </c>
      <c r="J43" s="84">
        <v>0</v>
      </c>
      <c r="K43" s="84">
        <v>0</v>
      </c>
      <c r="L43" s="84">
        <v>1</v>
      </c>
      <c r="M43" s="84">
        <v>0</v>
      </c>
      <c r="N43" s="84">
        <v>1</v>
      </c>
      <c r="O43" s="84">
        <v>0</v>
      </c>
      <c r="P43" s="73">
        <v>1</v>
      </c>
      <c r="Q43" s="84">
        <v>0</v>
      </c>
      <c r="R43" s="74">
        <v>1</v>
      </c>
      <c r="S43"/>
      <c r="T43"/>
    </row>
    <row r="44" spans="1:20" ht="15" customHeight="1" x14ac:dyDescent="0.15">
      <c r="A44" s="84"/>
      <c r="F44" s="200" t="s">
        <v>229</v>
      </c>
      <c r="G44" s="84">
        <v>0</v>
      </c>
      <c r="H44" s="84">
        <v>0</v>
      </c>
      <c r="I44" s="84">
        <v>0</v>
      </c>
      <c r="J44" s="84">
        <v>0</v>
      </c>
      <c r="K44" s="84">
        <v>0</v>
      </c>
      <c r="L44" s="84">
        <v>1</v>
      </c>
      <c r="M44" s="84">
        <v>0</v>
      </c>
      <c r="N44" s="84">
        <v>1</v>
      </c>
      <c r="O44" s="84">
        <v>0</v>
      </c>
      <c r="P44" s="73">
        <v>1</v>
      </c>
      <c r="Q44" s="84">
        <v>0</v>
      </c>
      <c r="R44" s="74">
        <v>1</v>
      </c>
    </row>
    <row r="45" spans="1:20" ht="15" customHeight="1" x14ac:dyDescent="0.15">
      <c r="A45" s="84"/>
      <c r="F45" s="200" t="s">
        <v>230</v>
      </c>
      <c r="G45" s="84">
        <v>0</v>
      </c>
      <c r="H45" s="84">
        <v>0</v>
      </c>
      <c r="I45" s="84">
        <v>0</v>
      </c>
      <c r="J45" s="84">
        <v>0</v>
      </c>
      <c r="K45" s="84">
        <v>0</v>
      </c>
      <c r="L45" s="84">
        <v>1</v>
      </c>
      <c r="M45" s="84">
        <v>0</v>
      </c>
      <c r="N45" s="84">
        <v>0</v>
      </c>
      <c r="O45" s="84">
        <v>0</v>
      </c>
      <c r="P45" s="73">
        <v>0</v>
      </c>
      <c r="Q45" s="84">
        <v>0</v>
      </c>
      <c r="R45" s="74">
        <v>1</v>
      </c>
    </row>
    <row r="46" spans="1:20" ht="15" customHeight="1" x14ac:dyDescent="0.15">
      <c r="A46" s="84"/>
      <c r="F46" s="200" t="s">
        <v>231</v>
      </c>
      <c r="G46" s="84">
        <v>0</v>
      </c>
      <c r="H46" s="84">
        <v>0</v>
      </c>
      <c r="I46" s="84">
        <v>0</v>
      </c>
      <c r="J46" s="84">
        <v>0</v>
      </c>
      <c r="K46" s="84">
        <v>0</v>
      </c>
      <c r="L46" s="84">
        <v>1</v>
      </c>
      <c r="M46" s="84">
        <v>0</v>
      </c>
      <c r="N46" s="84">
        <v>0</v>
      </c>
      <c r="O46" s="84">
        <v>0</v>
      </c>
      <c r="P46" s="73">
        <v>0</v>
      </c>
      <c r="Q46" s="84">
        <v>0</v>
      </c>
      <c r="R46" s="74">
        <v>1</v>
      </c>
    </row>
    <row r="47" spans="1:20" ht="15" customHeight="1" x14ac:dyDescent="0.15">
      <c r="A47" s="84"/>
      <c r="F47" s="200" t="s">
        <v>232</v>
      </c>
      <c r="G47" s="84">
        <v>0</v>
      </c>
      <c r="H47" s="84">
        <v>0</v>
      </c>
      <c r="I47" s="84">
        <v>0</v>
      </c>
      <c r="J47" s="84">
        <v>0</v>
      </c>
      <c r="K47" s="84">
        <v>0</v>
      </c>
      <c r="L47" s="84">
        <v>1</v>
      </c>
      <c r="M47" s="84">
        <v>0</v>
      </c>
      <c r="N47" s="84">
        <v>0</v>
      </c>
      <c r="O47" s="84">
        <v>0</v>
      </c>
      <c r="P47" s="73">
        <v>0</v>
      </c>
      <c r="Q47" s="84">
        <v>0</v>
      </c>
      <c r="R47" s="74">
        <v>1</v>
      </c>
    </row>
    <row r="48" spans="1:20" ht="15" customHeight="1" x14ac:dyDescent="0.15">
      <c r="A48" s="84"/>
      <c r="F48" s="200" t="s">
        <v>233</v>
      </c>
      <c r="G48" s="84">
        <v>0</v>
      </c>
      <c r="H48" s="84">
        <v>0</v>
      </c>
      <c r="I48" s="84">
        <v>0</v>
      </c>
      <c r="J48" s="84">
        <v>0</v>
      </c>
      <c r="K48" s="84">
        <v>0</v>
      </c>
      <c r="L48" s="84">
        <v>1</v>
      </c>
      <c r="M48" s="84">
        <v>0</v>
      </c>
      <c r="N48" s="84">
        <v>0</v>
      </c>
      <c r="O48" s="84">
        <v>0</v>
      </c>
      <c r="P48" s="73">
        <v>0</v>
      </c>
      <c r="Q48" s="84">
        <v>0</v>
      </c>
      <c r="R48" s="74">
        <v>1</v>
      </c>
    </row>
    <row r="49" spans="6:18" s="84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4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4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4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4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4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4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4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4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4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4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4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4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4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4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4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4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4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4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4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4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Y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3.1640625" bestFit="1" customWidth="1"/>
    <col min="2" max="2" width="2.33203125" style="114" customWidth="1"/>
    <col min="3" max="5" width="7.83203125" style="114" customWidth="1"/>
    <col min="6" max="8" width="8.83203125" style="6"/>
    <col min="9" max="9" width="16.5" style="6" customWidth="1"/>
    <col min="10" max="10" width="15.33203125" style="6" customWidth="1"/>
    <col min="11" max="11" width="14.5" style="6" customWidth="1"/>
    <col min="12" max="12" width="7.33203125" style="6" customWidth="1"/>
    <col min="13" max="13" width="13" style="6" customWidth="1"/>
    <col min="14" max="14" width="20.5" style="6" customWidth="1"/>
    <col min="15" max="15" width="6.1640625" style="6" customWidth="1"/>
    <col min="16" max="16" width="7.1640625" style="6" customWidth="1"/>
    <col min="17" max="17" width="8.5" style="6" customWidth="1"/>
    <col min="18" max="18" width="13.6640625" style="6" customWidth="1"/>
    <col min="19" max="19" width="20.5" style="6" customWidth="1"/>
    <col min="20" max="21" width="19.6640625" style="6" customWidth="1"/>
    <col min="22" max="22" width="12.83203125" style="6" customWidth="1"/>
    <col min="23" max="23" width="13.5" style="6" customWidth="1"/>
    <col min="24" max="24" width="19.83203125" style="6" customWidth="1"/>
    <col min="25" max="25" width="12" style="6" customWidth="1"/>
    <col min="26" max="26" width="18.33203125" style="6" customWidth="1"/>
    <col min="27" max="27" width="13.83203125" style="6" customWidth="1"/>
    <col min="28" max="28" width="20.1640625" style="6" customWidth="1"/>
    <col min="29" max="29" width="15.6640625" style="6" customWidth="1"/>
    <col min="30" max="30" width="16.5" style="6" customWidth="1"/>
    <col min="31" max="31" width="14.83203125" style="6" customWidth="1"/>
    <col min="32" max="32" width="15.83203125" style="6" customWidth="1"/>
    <col min="33" max="33" width="11.83203125" style="6" customWidth="1"/>
    <col min="34" max="34" width="18.1640625" style="6" customWidth="1"/>
    <col min="35" max="35" width="10.33203125" style="6" customWidth="1"/>
    <col min="36" max="36" width="8.5" style="6" customWidth="1"/>
    <col min="37" max="37" width="6.33203125" style="6" customWidth="1"/>
    <col min="38" max="38" width="23.1640625" style="6" customWidth="1"/>
    <col min="39" max="39" width="22.33203125" customWidth="1"/>
    <col min="40" max="40" width="13.5" customWidth="1"/>
    <col min="41" max="41" width="12" customWidth="1"/>
    <col min="42" max="42" width="6.83203125" customWidth="1"/>
    <col min="43" max="43" width="8.5" customWidth="1"/>
    <col min="44" max="44" width="13.33203125" customWidth="1"/>
    <col min="45" max="45" width="21.5" customWidth="1"/>
    <col min="46" max="46" width="7.6640625" customWidth="1"/>
    <col min="47" max="47" width="21.6640625" customWidth="1"/>
    <col min="48" max="48" width="8.6640625" customWidth="1"/>
    <col min="49" max="49" width="7.5" customWidth="1"/>
    <col min="50" max="50" width="8.5" customWidth="1"/>
    <col min="51" max="51" width="7.5" customWidth="1"/>
    <col min="81" max="81" width="22.1640625" bestFit="1" customWidth="1"/>
  </cols>
  <sheetData>
    <row r="1" spans="1:51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5" t="s">
        <v>191</v>
      </c>
      <c r="J1" s="205" t="s">
        <v>192</v>
      </c>
      <c r="K1" s="205" t="s">
        <v>193</v>
      </c>
      <c r="L1" s="205" t="s">
        <v>194</v>
      </c>
      <c r="M1" s="205" t="s">
        <v>195</v>
      </c>
      <c r="N1" s="205" t="s">
        <v>196</v>
      </c>
      <c r="O1" s="205" t="s">
        <v>197</v>
      </c>
      <c r="P1" s="205" t="s">
        <v>198</v>
      </c>
      <c r="Q1" s="205" t="s">
        <v>199</v>
      </c>
      <c r="R1" s="205" t="s">
        <v>200</v>
      </c>
      <c r="S1" s="205" t="s">
        <v>201</v>
      </c>
      <c r="T1" s="205" t="s">
        <v>202</v>
      </c>
      <c r="U1" s="205" t="s">
        <v>203</v>
      </c>
      <c r="V1" s="205" t="s">
        <v>204</v>
      </c>
      <c r="W1" s="205" t="s">
        <v>205</v>
      </c>
      <c r="X1" s="205" t="s">
        <v>206</v>
      </c>
      <c r="Y1" s="205" t="s">
        <v>207</v>
      </c>
      <c r="Z1" s="205" t="s">
        <v>208</v>
      </c>
      <c r="AA1" s="205" t="s">
        <v>209</v>
      </c>
      <c r="AB1" s="205" t="s">
        <v>210</v>
      </c>
      <c r="AC1" s="205" t="s">
        <v>211</v>
      </c>
      <c r="AD1" s="205" t="s">
        <v>212</v>
      </c>
      <c r="AE1" s="205" t="s">
        <v>213</v>
      </c>
      <c r="AF1" s="205" t="s">
        <v>214</v>
      </c>
      <c r="AG1" s="205" t="s">
        <v>215</v>
      </c>
      <c r="AH1" s="205" t="s">
        <v>216</v>
      </c>
      <c r="AI1" s="205" t="s">
        <v>217</v>
      </c>
      <c r="AJ1" s="205" t="s">
        <v>218</v>
      </c>
      <c r="AK1" s="205" t="s">
        <v>219</v>
      </c>
      <c r="AL1" s="205" t="s">
        <v>220</v>
      </c>
      <c r="AM1" s="205" t="s">
        <v>221</v>
      </c>
      <c r="AN1" s="205" t="s">
        <v>222</v>
      </c>
      <c r="AO1" s="205" t="s">
        <v>223</v>
      </c>
      <c r="AP1" s="205" t="s">
        <v>224</v>
      </c>
      <c r="AQ1" s="205" t="s">
        <v>225</v>
      </c>
      <c r="AR1" s="205" t="s">
        <v>226</v>
      </c>
      <c r="AS1" s="205" t="s">
        <v>227</v>
      </c>
      <c r="AT1" s="205" t="s">
        <v>228</v>
      </c>
      <c r="AU1" s="205" t="s">
        <v>229</v>
      </c>
      <c r="AV1" s="205" t="s">
        <v>230</v>
      </c>
      <c r="AW1" s="205" t="s">
        <v>231</v>
      </c>
      <c r="AX1" s="205" t="s">
        <v>232</v>
      </c>
      <c r="AY1" s="205" t="s">
        <v>233</v>
      </c>
    </row>
    <row r="2" spans="1:51" x14ac:dyDescent="0.15">
      <c r="A2" t="s">
        <v>38</v>
      </c>
      <c r="B2" s="11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51" x14ac:dyDescent="0.15">
      <c r="A3" t="s">
        <v>40</v>
      </c>
      <c r="B3" s="11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51" x14ac:dyDescent="0.15">
      <c r="A4" t="s">
        <v>41</v>
      </c>
      <c r="B4" s="11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51" x14ac:dyDescent="0.15">
      <c r="A5" s="204" t="s">
        <v>191</v>
      </c>
      <c r="B5" s="11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51" x14ac:dyDescent="0.15">
      <c r="A6" s="204" t="s">
        <v>192</v>
      </c>
      <c r="B6" s="11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51" x14ac:dyDescent="0.15">
      <c r="A7" s="204" t="s">
        <v>193</v>
      </c>
      <c r="B7" s="11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51" x14ac:dyDescent="0.15">
      <c r="A8" s="204" t="s">
        <v>194</v>
      </c>
      <c r="B8" s="11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51" x14ac:dyDescent="0.15">
      <c r="A9" s="204" t="s">
        <v>195</v>
      </c>
      <c r="B9" s="11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51" x14ac:dyDescent="0.15">
      <c r="A10" s="204" t="s">
        <v>196</v>
      </c>
      <c r="B10" s="11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51" x14ac:dyDescent="0.15">
      <c r="A11" s="204" t="s">
        <v>197</v>
      </c>
      <c r="B11" s="11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51" x14ac:dyDescent="0.15">
      <c r="A12" s="204" t="s">
        <v>198</v>
      </c>
      <c r="B12" s="11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51" x14ac:dyDescent="0.15">
      <c r="A13" s="204" t="s">
        <v>199</v>
      </c>
      <c r="B13" s="11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51" x14ac:dyDescent="0.15">
      <c r="A14" s="204" t="s">
        <v>200</v>
      </c>
      <c r="B14" s="11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51" x14ac:dyDescent="0.15">
      <c r="A15" s="204" t="s">
        <v>201</v>
      </c>
      <c r="B15" s="11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51" x14ac:dyDescent="0.15">
      <c r="A16" s="204" t="s">
        <v>202</v>
      </c>
      <c r="B16" s="11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4" t="s">
        <v>203</v>
      </c>
      <c r="B17" s="11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4" t="s">
        <v>204</v>
      </c>
      <c r="B18" s="11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4" t="s">
        <v>205</v>
      </c>
      <c r="B19" s="11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4" t="s">
        <v>206</v>
      </c>
      <c r="B20" s="11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4" t="s">
        <v>207</v>
      </c>
      <c r="B21" s="11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4" t="s">
        <v>208</v>
      </c>
      <c r="B22" s="11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4" t="s">
        <v>209</v>
      </c>
      <c r="B23" s="11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4" t="s">
        <v>210</v>
      </c>
      <c r="B24" s="11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4" t="s">
        <v>211</v>
      </c>
      <c r="B25" s="11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4" t="s">
        <v>212</v>
      </c>
      <c r="B26" s="11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4" t="s">
        <v>213</v>
      </c>
      <c r="B27" s="11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4" t="s">
        <v>214</v>
      </c>
      <c r="B28" s="114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4" t="s">
        <v>215</v>
      </c>
      <c r="B29" s="114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4" t="s">
        <v>216</v>
      </c>
      <c r="B30" s="114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4" t="s">
        <v>217</v>
      </c>
      <c r="B31" s="114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4" t="s">
        <v>218</v>
      </c>
      <c r="B32" s="114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4" t="s">
        <v>219</v>
      </c>
      <c r="B33" s="114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4" t="s">
        <v>220</v>
      </c>
      <c r="B34" s="114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4" t="s">
        <v>221</v>
      </c>
      <c r="B35" s="114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4" t="s">
        <v>222</v>
      </c>
      <c r="B36" s="114">
        <v>0</v>
      </c>
      <c r="C36"/>
      <c r="D36"/>
    </row>
    <row r="37" spans="1:38" ht="15" customHeight="1" x14ac:dyDescent="0.15">
      <c r="A37" s="204" t="s">
        <v>223</v>
      </c>
      <c r="B37" s="114">
        <v>0</v>
      </c>
      <c r="C37"/>
      <c r="D37"/>
    </row>
    <row r="38" spans="1:38" ht="15" customHeight="1" x14ac:dyDescent="0.15">
      <c r="A38" s="204" t="s">
        <v>224</v>
      </c>
      <c r="B38" s="114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4" t="s">
        <v>225</v>
      </c>
      <c r="B39" s="114">
        <v>0</v>
      </c>
      <c r="C39"/>
      <c r="D39"/>
    </row>
    <row r="40" spans="1:38" ht="15" customHeight="1" x14ac:dyDescent="0.15">
      <c r="A40" s="204" t="s">
        <v>226</v>
      </c>
      <c r="B40" s="114">
        <v>0</v>
      </c>
      <c r="C40"/>
      <c r="D40"/>
    </row>
    <row r="41" spans="1:38" ht="15" customHeight="1" x14ac:dyDescent="0.15">
      <c r="A41" s="204" t="s">
        <v>227</v>
      </c>
      <c r="B41" s="114">
        <v>0</v>
      </c>
      <c r="C41"/>
      <c r="D41"/>
    </row>
    <row r="42" spans="1:38" ht="15" customHeight="1" x14ac:dyDescent="0.15">
      <c r="A42" s="204" t="s">
        <v>228</v>
      </c>
      <c r="B42" s="114">
        <v>0</v>
      </c>
    </row>
    <row r="43" spans="1:38" ht="15" customHeight="1" x14ac:dyDescent="0.15">
      <c r="A43" s="204" t="s">
        <v>229</v>
      </c>
      <c r="B43" s="114">
        <v>0</v>
      </c>
    </row>
    <row r="44" spans="1:38" ht="15" customHeight="1" x14ac:dyDescent="0.15">
      <c r="A44" s="204" t="s">
        <v>230</v>
      </c>
      <c r="B44" s="114">
        <v>0</v>
      </c>
    </row>
    <row r="45" spans="1:38" ht="15" customHeight="1" x14ac:dyDescent="0.15">
      <c r="A45" s="204" t="s">
        <v>231</v>
      </c>
      <c r="B45" s="114">
        <v>0</v>
      </c>
    </row>
    <row r="46" spans="1:38" ht="15" customHeight="1" x14ac:dyDescent="0.15">
      <c r="A46" s="204" t="s">
        <v>232</v>
      </c>
      <c r="B46" s="114">
        <v>0</v>
      </c>
    </row>
    <row r="47" spans="1:38" ht="15" customHeight="1" x14ac:dyDescent="0.15">
      <c r="A47" s="204" t="s">
        <v>233</v>
      </c>
      <c r="B47" s="114">
        <v>0</v>
      </c>
    </row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2022-10-24T04:43:03Z</dcterms:modified>
</cp:coreProperties>
</file>