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D6B5D58E-E4E2-8A43-A182-228FC9BC1A8E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Main!$C$2:$N$16</definedName>
    <definedName name="matDetritus">Detritus!$C$2:$E$16</definedName>
    <definedName name="matDiet">Diets!$B$2:$M$16</definedName>
    <definedName name="matDiscards">Discards!$C$2:$C$15</definedName>
    <definedName name="matFishery">Fishing!$C$2:$C$15</definedName>
    <definedName name="matFishing">Fishing!#REF!</definedName>
    <definedName name="matMort">Mortalities!$A$1:$R$15</definedName>
    <definedName name="matOut">MainOutputs!$A$2:$I$16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<sst xmlns="http://schemas.openxmlformats.org/spreadsheetml/2006/main" count="594" uniqueCount="213">
  <si>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</si>
  <si>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</si>
  <si>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</si>
  <si>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</si>
  <si>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</si>
  <si>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</si>
  <si>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</si>
  <si>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</si>
  <si>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</si>
  <si>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</si>
  <si>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</si>
  <si>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</si>
  <si>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</si>
  <si>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</si>
  <si>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</si>
  <si>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</si>
  <si>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</si>
  <si>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</si>
  <si>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</si>
  <si>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</si>
  <si>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</si>
  <si>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</si>
  <si>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</si>
  <si>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</si>
  <si>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</si>
  <si>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</si>
  <si>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</si>
  <si>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</si>
  <si>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</si>
  <si>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</si>
  <si>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</si>
  <si>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</si>
  <si>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</si>
  <si>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</si>
  <si>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</si>
  <si>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</si>
  <si>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</si>
  <si>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</si>
  <si>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</si>
  <si>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</si>
  <si>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</si>
  <si>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</si>
  <si>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</si>
  <si>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</si>
  <si>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</si>
  <si>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</si>
  <si>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</si>
  <si>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</si>
  <si>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</si>
  <si>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</si>
  <si>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</si>
  <si>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</si>
  <si>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</si>
  <si>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</si>
  <si>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</si>
  <si>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</si>
  <si>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</si>
  <si>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</si>
  <si>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</si>
  <si>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</si>
  <si>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</si>
  <si>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</si>
  <si>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</si>
  <si>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</si>
  <si>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</si>
  <si>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</si>
  <si>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</si>
  <si>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</si>
  <si>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</si>
  <si>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</si>
  <si>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</si>
  <si>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</si>
  <si>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</si>
  <si>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</si>
  <si>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</si>
  <si>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</si>
  <si>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</si>
  <si>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</si>
  <si>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</si>
  <si>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</si>
  <si>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</si>
  <si>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</si>
  <si>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</si>
  <si>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</si>
  <si>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</si>
  <si>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</si>
  <si>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</si>
  <si>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</si>
  <si>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</si>
  <si>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</si>
  <si>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</si>
  <si>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</si>
  <si>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</si>
  <si>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</si>
  <si>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</si>
  <si>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</si>
  <si>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</si>
  <si>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</si>
  <si>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</si>
  <si>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</si>
  <si>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</si>
  <si>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</si>
  <si>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</si>
  <si>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</si>
  <si>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</si>
  <si>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</si>
  <si>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</si>
  <si>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</si>
  <si>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</si>
  <si>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</si>
  <si>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</si>
  <si>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</si>
  <si>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</si>
  <si>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</si>
  <si>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</si>
  <si>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</si>
  <si>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</si>
  <si>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</si>
  <si>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</si>
  <si>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</si>
  <si>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</si>
  <si>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</si>
  <si>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</si>
  <si>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</si>
  <si>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</si>
  <si>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</si>
  <si>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</si>
  <si>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</si>
  <si>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</si>
  <si>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</si>
  <si>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</si>
  <si>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</si>
  <si>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</si>
  <si>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</si>
  <si>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</si>
  <si>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</si>
  <si>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</si>
  <si>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</si>
  <si>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</si>
  <si>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</si>
  <si>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</si>
  <si>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</si>
  <si>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</si>
  <si>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</si>
  <si>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</si>
  <si>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</si>
  <si>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</si>
  <si>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</si>
  <si>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</si>
  <si>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</si>
  <si>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</si>
  <si>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</si>
  <si>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</si>
  <si>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</si>
  <si>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</si>
  <si>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</si>
  <si>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</si>
  <si>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</si>
  <si>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</si>
  <si>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</si>
  <si>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</si>
  <si>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</si>
  <si>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</si>
  <si>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</si>
  <si>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</si>
  <si>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</si>
  <si>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</si>
  <si>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</si>
  <si>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</si>
  <si>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</si>
  <si>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</si>
  <si>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</si>
  <si>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</si>
  <si>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</si>
  <si>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</si>
  <si>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</si>
  <si>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</si>
  <si>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</si>
  <si>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</si>
  <si>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</si>
  <si>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</si>
  <si>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</si>
  <si>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</si>
  <si>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</si>
  <si>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</si>
  <si>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Tamiahua</t>
  </si>
  <si>
    <t>Mexico</t>
  </si>
  <si>
    <t>BOX(-97.7881076101066 21.2529293331817,-97.3670905101118 22.0881313812053)</t>
  </si>
  <si>
    <t>coastal lagoon</t>
  </si>
  <si>
    <t>DryWeight</t>
  </si>
  <si>
    <t>; 01/07/2006 04:27:45 p.m.; 01/07/2006 05:46:34 p.m.; 20/07/2006 10:49:47 p.m.; 8/30/2006 2:48:54 PM</t>
  </si>
  <si>
    <t>Abarca-Arenas L.G.,Valero-Pacheco E.(1993). Toward a Trophic Model of Tamiahua, a Coastal Lagoon in Mexico . pp 181-185. In Christensen V.,Pauly D.</t>
  </si>
  <si>
    <t>O. saurus</t>
  </si>
  <si>
    <t>S. notata</t>
  </si>
  <si>
    <t>B. chrysoura</t>
  </si>
  <si>
    <t>Anchovies</t>
  </si>
  <si>
    <t>D. auratus</t>
  </si>
  <si>
    <t>Other fishes</t>
  </si>
  <si>
    <t>Shrimp</t>
  </si>
  <si>
    <t>Benthos</t>
  </si>
  <si>
    <t>M. curema</t>
  </si>
  <si>
    <t>Zooplankton</t>
  </si>
  <si>
    <t>Other decapods</t>
  </si>
  <si>
    <t>Phytoplankton</t>
  </si>
  <si>
    <t>Detritus</t>
  </si>
  <si>
    <t>detritus_TerminalBenthic</t>
  </si>
  <si>
    <t>Import</t>
  </si>
  <si>
    <t>export</t>
  </si>
  <si>
    <t>sum</t>
  </si>
  <si>
    <t>TOTAL</t>
  </si>
  <si>
    <t>dummy fleet</t>
  </si>
  <si>
    <t>&lt;&lt;--no fleet in model; Jruz added dummy model</t>
  </si>
  <si>
    <t>F dummy 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</si>
</sst>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5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A1FF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7" borderId="2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8" xfId="0" applyFill="1" applyBorder="1"/>
    <xf numFmtId="0" fontId="0" fillId="17" borderId="9" xfId="0" applyFill="1" applyBorder="1"/>
    <xf numFmtId="0" fontId="0" fillId="17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3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4" borderId="3" xfId="0" applyNumberFormat="1" applyFont="1" applyFill="1" applyBorder="1"/>
    <xf numFmtId="0" fontId="0" fillId="24" borderId="2" xfId="0" applyFont="1" applyFill="1" applyBorder="1"/>
    <xf numFmtId="0" fontId="0" fillId="24" borderId="3" xfId="0" applyFont="1" applyFill="1" applyBorder="1"/>
    <xf numFmtId="0" fontId="0" fillId="2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7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2" xfId="0" applyNumberFormat="1" applyFont="1" applyFill="1" applyBorder="1"/>
    <xf numFmtId="49" fontId="13" fillId="0" borderId="52" xfId="0" applyNumberFormat="1" applyFont="1" applyBorder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topLeftCell="A46"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28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4" t="s">
        <v>164</v>
      </c>
    </row>
    <row r="6" spans="2:4" ht="14" thickBot="1" x14ac:dyDescent="0.2">
      <c r="B6" s="38" t="s">
        <v>141</v>
      </c>
    </row>
    <row r="7" spans="2:4" x14ac:dyDescent="0.15">
      <c r="B7" s="54" t="s">
        <v>143</v>
      </c>
    </row>
    <row r="8" spans="2:4" x14ac:dyDescent="0.15">
      <c r="B8" s="54" t="s">
        <v>142</v>
      </c>
    </row>
    <row r="9" spans="2:4" x14ac:dyDescent="0.15">
      <c r="B9" s="54" t="s">
        <v>144</v>
      </c>
    </row>
    <row r="10" spans="2:4" x14ac:dyDescent="0.15">
      <c r="B10" s="54" t="s">
        <v>147</v>
      </c>
    </row>
    <row r="11" spans="2:4" x14ac:dyDescent="0.15">
      <c r="B11" s="54" t="s">
        <v>151</v>
      </c>
    </row>
    <row r="12" spans="2:4" x14ac:dyDescent="0.15">
      <c r="B12" s="54" t="s">
        <v>153</v>
      </c>
    </row>
    <row r="13" spans="2:4" x14ac:dyDescent="0.15">
      <c r="B13" s="54" t="s">
        <v>165</v>
      </c>
    </row>
    <row r="15" spans="2:4" ht="14" thickBot="1" x14ac:dyDescent="0.2"/>
    <row r="16" spans="2:4" ht="14" thickBot="1" x14ac:dyDescent="0.2">
      <c r="B16" s="39" t="s">
        <v>137</v>
      </c>
      <c r="C16" s="40"/>
      <c r="D16" s="22">
        <v>41373</v>
      </c>
    </row>
    <row r="17" spans="2:4" x14ac:dyDescent="0.15">
      <c r="B17" s="41" t="s">
        <v>58</v>
      </c>
      <c r="C17" s="25">
        <v>0</v>
      </c>
    </row>
    <row r="18" spans="2:4" x14ac:dyDescent="0.15">
      <c r="B18" s="41" t="s">
        <v>59</v>
      </c>
      <c r="C18" s="25">
        <v>1</v>
      </c>
    </row>
    <row r="19" spans="2:4" x14ac:dyDescent="0.15">
      <c r="B19" s="41" t="s">
        <v>60</v>
      </c>
      <c r="C19" s="25">
        <v>2</v>
      </c>
    </row>
    <row r="20" spans="2:4" ht="14" thickBot="1" x14ac:dyDescent="0.2">
      <c r="B20" s="42" t="s">
        <v>44</v>
      </c>
      <c r="C20" s="26">
        <v>3</v>
      </c>
    </row>
    <row r="21" spans="2:4" x14ac:dyDescent="0.15">
      <c r="B21" s="43" t="s">
        <v>140</v>
      </c>
    </row>
    <row r="22" spans="2:4" ht="14" thickBot="1" x14ac:dyDescent="0.2"/>
    <row r="23" spans="2:4" ht="14" thickBot="1" x14ac:dyDescent="0.2">
      <c r="B23" s="39" t="s">
        <v>65</v>
      </c>
      <c r="C23" s="40"/>
      <c r="D23" s="22" t="s">
        <v>148</v>
      </c>
    </row>
    <row r="24" spans="2:4" x14ac:dyDescent="0.15">
      <c r="B24" s="45" t="s">
        <v>38</v>
      </c>
      <c r="C24" s="23">
        <v>1</v>
      </c>
    </row>
    <row r="25" spans="2:4" x14ac:dyDescent="0.15">
      <c r="B25" s="41" t="s">
        <v>40</v>
      </c>
      <c r="C25" s="25">
        <v>1.1000000000000001</v>
      </c>
    </row>
    <row r="26" spans="2:4" x14ac:dyDescent="0.15">
      <c r="B26" s="41" t="s">
        <v>41</v>
      </c>
      <c r="C26" s="25">
        <v>1.2</v>
      </c>
    </row>
    <row r="27" spans="2:4" x14ac:dyDescent="0.15">
      <c r="B27" s="41"/>
      <c r="C27" s="25"/>
    </row>
    <row r="28" spans="2:4" x14ac:dyDescent="0.15">
      <c r="B28" s="41" t="s">
        <v>42</v>
      </c>
      <c r="C28" s="25">
        <v>2.1</v>
      </c>
    </row>
    <row r="29" spans="2:4" x14ac:dyDescent="0.15">
      <c r="B29" s="41" t="s">
        <v>43</v>
      </c>
      <c r="C29" s="25">
        <v>2.2000000000000002</v>
      </c>
    </row>
    <row r="30" spans="2:4" x14ac:dyDescent="0.15">
      <c r="B30" s="41" t="s">
        <v>67</v>
      </c>
      <c r="C30" s="25">
        <v>2.2999999999999998</v>
      </c>
    </row>
    <row r="31" spans="2:4" x14ac:dyDescent="0.15">
      <c r="B31" s="41"/>
      <c r="C31" s="25"/>
    </row>
    <row r="32" spans="2:4" x14ac:dyDescent="0.15">
      <c r="B32" s="41" t="s">
        <v>62</v>
      </c>
      <c r="C32" s="25">
        <v>3.11</v>
      </c>
    </row>
    <row r="33" spans="2:3" x14ac:dyDescent="0.15">
      <c r="B33" s="41" t="s">
        <v>61</v>
      </c>
      <c r="C33" s="25">
        <v>3.12</v>
      </c>
    </row>
    <row r="34" spans="2:3" x14ac:dyDescent="0.15">
      <c r="B34" s="41" t="s">
        <v>68</v>
      </c>
      <c r="C34" s="25">
        <v>3.13</v>
      </c>
    </row>
    <row r="35" spans="2:3" x14ac:dyDescent="0.15">
      <c r="B35" s="41"/>
      <c r="C35" s="25"/>
    </row>
    <row r="36" spans="2:3" x14ac:dyDescent="0.15">
      <c r="B36" s="41" t="s">
        <v>66</v>
      </c>
      <c r="C36" s="25">
        <v>3.21</v>
      </c>
    </row>
    <row r="37" spans="2:3" x14ac:dyDescent="0.15">
      <c r="B37" s="41" t="s">
        <v>63</v>
      </c>
      <c r="C37" s="25">
        <v>3.22</v>
      </c>
    </row>
    <row r="38" spans="2:3" x14ac:dyDescent="0.15">
      <c r="B38" s="41" t="s">
        <v>69</v>
      </c>
      <c r="C38" s="25">
        <v>3.23</v>
      </c>
    </row>
    <row r="39" spans="2:3" x14ac:dyDescent="0.15">
      <c r="B39" s="41"/>
      <c r="C39" s="25"/>
    </row>
    <row r="40" spans="2:3" x14ac:dyDescent="0.15">
      <c r="B40" s="41" t="s">
        <v>64</v>
      </c>
      <c r="C40" s="25">
        <v>8</v>
      </c>
    </row>
    <row r="41" spans="2:3" x14ac:dyDescent="0.15">
      <c r="B41" s="41"/>
      <c r="C41" s="25"/>
    </row>
    <row r="42" spans="2:3" x14ac:dyDescent="0.15">
      <c r="B42" s="41" t="s">
        <v>71</v>
      </c>
      <c r="C42" s="25">
        <v>4.0999999999999996</v>
      </c>
    </row>
    <row r="43" spans="2:3" x14ac:dyDescent="0.15">
      <c r="B43" s="41" t="s">
        <v>70</v>
      </c>
      <c r="C43" s="25">
        <v>4.2</v>
      </c>
    </row>
    <row r="44" spans="2:3" x14ac:dyDescent="0.15">
      <c r="B44" s="41" t="s">
        <v>72</v>
      </c>
      <c r="C44" s="25">
        <v>4.3</v>
      </c>
    </row>
    <row r="45" spans="2:3" x14ac:dyDescent="0.15">
      <c r="B45" s="24"/>
      <c r="C45" s="25"/>
    </row>
    <row r="46" spans="2:3" x14ac:dyDescent="0.15">
      <c r="B46" s="41" t="s">
        <v>138</v>
      </c>
      <c r="C46" s="25">
        <v>6.1</v>
      </c>
    </row>
    <row r="47" spans="2:3" x14ac:dyDescent="0.15">
      <c r="B47" s="41" t="s">
        <v>45</v>
      </c>
      <c r="C47" s="25">
        <v>6.2</v>
      </c>
    </row>
    <row r="48" spans="2:3" x14ac:dyDescent="0.15">
      <c r="B48" s="41"/>
      <c r="C48" s="25"/>
    </row>
    <row r="49" spans="2:3" x14ac:dyDescent="0.15">
      <c r="B49" s="41" t="s">
        <v>44</v>
      </c>
      <c r="C49" s="25">
        <v>5</v>
      </c>
    </row>
    <row r="50" spans="2:3" x14ac:dyDescent="0.15">
      <c r="B50" s="41"/>
      <c r="C50" s="25"/>
    </row>
    <row r="51" spans="2:3" ht="14" thickBot="1" x14ac:dyDescent="0.2">
      <c r="B51" s="42" t="s">
        <v>73</v>
      </c>
      <c r="C51" s="26">
        <v>7</v>
      </c>
    </row>
    <row r="53" spans="2:3" x14ac:dyDescent="0.15">
      <c r="B53" s="136" t="s">
        <v>171</v>
      </c>
      <c r="C53">
        <v>318</v>
      </c>
    </row>
    <row r="54" spans="2:3" x14ac:dyDescent="0.15">
      <c r="B54" s="136" t="s">
        <v>172</v>
      </c>
      <c r="C54" s="136" t="s">
        <v>185</v>
      </c>
    </row>
    <row r="55" spans="2:3" x14ac:dyDescent="0.15">
      <c r="B55" s="136" t="s">
        <v>173</v>
      </c>
      <c r="C55" s="136" t="s">
        <v>186</v>
      </c>
    </row>
    <row r="56" spans="2:3" x14ac:dyDescent="0.15">
      <c r="B56" s="136" t="s">
        <v>174</v>
      </c>
      <c r="C56">
        <v>800</v>
      </c>
    </row>
    <row r="57" spans="2:3" x14ac:dyDescent="0.15">
      <c r="B57" s="136" t="s">
        <v>175</v>
      </c>
      <c r="C57" s="136" t="s">
        <v>187</v>
      </c>
    </row>
    <row r="58" spans="2:3" x14ac:dyDescent="0.15">
      <c r="B58" s="136" t="s">
        <v>176</v>
      </c>
      <c r="C58" s="136" t="s">
        <v>188</v>
      </c>
    </row>
    <row r="59" spans="2:3" x14ac:dyDescent="0.15">
      <c r="B59" s="136" t="s">
        <v>177</v>
      </c>
      <c r="C59" s="136" t="s">
        <v>189</v>
      </c>
    </row>
    <row r="60" spans="2:3" x14ac:dyDescent="0.15">
      <c r="B60" s="136" t="s">
        <v>178</v>
      </c>
      <c r="C60" s="136" t="s">
        <v>190</v>
      </c>
    </row>
    <row r="61" spans="2:3" x14ac:dyDescent="0.15">
      <c r="B61" s="136" t="s">
        <v>179</v>
      </c>
      <c r="C61">
        <v>13</v>
      </c>
    </row>
    <row r="62" spans="2:3" x14ac:dyDescent="0.15">
      <c r="B62" s="136" t="s">
        <v>180</v>
      </c>
      <c r="C62">
        <v>0</v>
      </c>
    </row>
    <row r="63" spans="2:3" x14ac:dyDescent="0.15">
      <c r="B63" s="136" t="s">
        <v>181</v>
      </c>
      <c r="C63">
        <v>1989</v>
      </c>
    </row>
    <row r="64" spans="2:3" x14ac:dyDescent="0.15">
      <c r="B64" s="136" t="s">
        <v>182</v>
      </c>
      <c r="C64">
        <v>0</v>
      </c>
    </row>
    <row r="65" spans="2:3" x14ac:dyDescent="0.15">
      <c r="B65" s="136" t="s">
        <v>183</v>
      </c>
      <c r="C65" s="136" t="s">
        <v>191</v>
      </c>
    </row>
    <row r="66" spans="2:3" x14ac:dyDescent="0.15">
      <c r="B66" s="136" t="s">
        <v>184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22" sqref="E22"/>
    </sheetView>
  </sheetViews>
  <sheetFormatPr baseColWidth="10" defaultColWidth="8.83203125" defaultRowHeight="15" customHeight="1" x14ac:dyDescent="0.15"/>
  <cols>
    <col min="1" max="1" width="22.5" style="65" customWidth="1"/>
    <col min="2" max="3" width="3.33203125" style="65" customWidth="1"/>
    <col min="4" max="4" width="14.33203125" style="65" customWidth="1"/>
    <col min="5" max="5" width="14.5" style="65" bestFit="1" customWidth="1"/>
    <col min="6" max="6" width="2.33203125" style="65" bestFit="1" customWidth="1"/>
    <col min="7" max="7" width="11.83203125" style="65" bestFit="1" customWidth="1"/>
    <col min="8" max="8" width="7.83203125" style="65" customWidth="1"/>
    <col min="9" max="9" width="6.83203125" style="65" customWidth="1"/>
    <col min="10" max="11" width="12.83203125" style="65" customWidth="1"/>
    <col min="12" max="12" width="2.33203125" style="65" customWidth="1"/>
    <col min="13" max="13" width="3.83203125" style="65" customWidth="1"/>
    <col min="14" max="14" width="2.33203125" style="65" customWidth="1"/>
    <col min="16" max="25" width="8.83203125" style="6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5"/>
  </cols>
  <sheetData>
    <row r="1" spans="1:46" s="82" customFormat="1" ht="15" customHeight="1" x14ac:dyDescent="0.15">
      <c r="A1" s="61" t="s">
        <v>18</v>
      </c>
      <c r="C1" s="62" t="s">
        <v>8</v>
      </c>
      <c r="D1" s="61" t="s">
        <v>23</v>
      </c>
      <c r="E1" s="61" t="s">
        <v>0</v>
      </c>
      <c r="F1" s="61" t="s">
        <v>7</v>
      </c>
      <c r="G1" s="63" t="s">
        <v>13</v>
      </c>
      <c r="H1" s="61" t="s">
        <v>1</v>
      </c>
      <c r="I1" s="61" t="s">
        <v>2</v>
      </c>
      <c r="J1" s="61" t="s">
        <v>14</v>
      </c>
      <c r="K1" s="61" t="s">
        <v>3</v>
      </c>
      <c r="L1" s="61" t="s">
        <v>4</v>
      </c>
      <c r="M1" s="61" t="s">
        <v>5</v>
      </c>
      <c r="N1" s="6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2">
        <v>1</v>
      </c>
      <c r="D2"/>
      <c r="E2" s="137" t="s">
        <v>192</v>
      </c>
      <c r="F2" s="65">
        <v>0</v>
      </c>
      <c r="G2" s="65">
        <v>1.0699999999999999E-2</v>
      </c>
      <c r="H2" s="65">
        <v>0.3</v>
      </c>
      <c r="I2" s="6">
        <v>3</v>
      </c>
      <c r="J2" s="6">
        <v>0</v>
      </c>
      <c r="K2" s="6">
        <v>0.1</v>
      </c>
      <c r="L2" s="6">
        <v>0</v>
      </c>
      <c r="M2" s="65">
        <v>0.2</v>
      </c>
      <c r="N2" s="65">
        <v>0</v>
      </c>
    </row>
    <row r="3" spans="1:46" ht="15" customHeight="1" x14ac:dyDescent="0.15">
      <c r="A3" s="1" t="s">
        <v>9</v>
      </c>
      <c r="B3" s="4">
        <v>12</v>
      </c>
      <c r="C3" s="65">
        <v>2</v>
      </c>
      <c r="D3"/>
      <c r="E3" s="137" t="s">
        <v>193</v>
      </c>
      <c r="F3" s="65">
        <v>0</v>
      </c>
      <c r="G3" s="65">
        <v>4.9399999999999999E-2</v>
      </c>
      <c r="H3" s="65">
        <v>0.3</v>
      </c>
      <c r="I3" s="65">
        <v>2</v>
      </c>
      <c r="J3" s="65">
        <v>0</v>
      </c>
      <c r="K3" s="65">
        <v>0.15</v>
      </c>
      <c r="L3" s="65">
        <v>0</v>
      </c>
      <c r="M3" s="65">
        <v>0.2</v>
      </c>
      <c r="N3" s="65">
        <v>0</v>
      </c>
    </row>
    <row r="4" spans="1:46" ht="15" customHeight="1" x14ac:dyDescent="0.15">
      <c r="A4" s="1" t="s">
        <v>10</v>
      </c>
      <c r="B4" s="4">
        <v>2</v>
      </c>
      <c r="C4" s="65">
        <v>3</v>
      </c>
      <c r="D4"/>
      <c r="E4" s="137" t="s">
        <v>194</v>
      </c>
      <c r="F4" s="65">
        <v>0</v>
      </c>
      <c r="G4" s="65">
        <v>0.51800000000000002</v>
      </c>
      <c r="H4" s="65">
        <v>0.38</v>
      </c>
      <c r="I4" s="65">
        <v>5.8689999999999998</v>
      </c>
      <c r="J4" s="65">
        <v>1.4318128100000001E-2</v>
      </c>
      <c r="K4" s="65">
        <v>6.4746975900000003E-2</v>
      </c>
      <c r="L4" s="65">
        <v>0</v>
      </c>
      <c r="M4" s="65">
        <v>0.2</v>
      </c>
      <c r="N4" s="6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5">
        <v>4</v>
      </c>
      <c r="D5"/>
      <c r="E5" s="137" t="s">
        <v>195</v>
      </c>
      <c r="F5" s="65">
        <v>0</v>
      </c>
      <c r="G5" s="65">
        <v>0.60811233499999995</v>
      </c>
      <c r="H5" s="65">
        <v>0.6</v>
      </c>
      <c r="I5" s="65">
        <v>8.7780000000000005</v>
      </c>
      <c r="J5" s="65">
        <v>0.2</v>
      </c>
      <c r="K5" s="65">
        <v>6.8352709999999997E-2</v>
      </c>
      <c r="L5" s="65">
        <v>0</v>
      </c>
      <c r="M5" s="65">
        <v>0.2</v>
      </c>
      <c r="N5" s="65">
        <v>0</v>
      </c>
      <c r="P5" s="58"/>
      <c r="Q5" s="58"/>
      <c r="R5" s="58"/>
    </row>
    <row r="6" spans="1:46" ht="15" customHeight="1" thickBot="1" x14ac:dyDescent="0.2">
      <c r="B6" s="1"/>
      <c r="C6" s="65">
        <v>5</v>
      </c>
      <c r="D6"/>
      <c r="E6" s="137" t="s">
        <v>196</v>
      </c>
      <c r="F6" s="65">
        <v>0</v>
      </c>
      <c r="G6" s="65">
        <v>2.3400000000000001E-2</v>
      </c>
      <c r="H6" s="65">
        <v>1.38</v>
      </c>
      <c r="I6" s="65">
        <v>6.1239999999999997</v>
      </c>
      <c r="J6" s="65">
        <v>8.7277969999999996E-2</v>
      </c>
      <c r="K6" s="65">
        <v>0.22534291400000001</v>
      </c>
      <c r="L6" s="65">
        <v>0</v>
      </c>
      <c r="M6" s="65">
        <v>0.2</v>
      </c>
      <c r="N6" s="65">
        <v>0</v>
      </c>
      <c r="P6" s="58"/>
      <c r="Q6" s="58"/>
      <c r="R6" s="58"/>
      <c r="W6" s="28" t="s">
        <v>31</v>
      </c>
      <c r="X6" s="44">
        <f>MAX(MainOutputs!G:G)</f>
        <v>0.94999998807907104</v>
      </c>
    </row>
    <row r="7" spans="1:46" ht="15" customHeight="1" x14ac:dyDescent="0.15">
      <c r="A7" s="2" t="s">
        <v>27</v>
      </c>
      <c r="B7" s="65">
        <f ca="1">COUNTIF(OFFSET(cornerDiets,1,1,NumLiving+NumDead+1,NumLiving+NumDead),"&gt;0")+NumLiving+NumDead+1</f>
        <v>71</v>
      </c>
      <c r="C7" s="65">
        <v>6</v>
      </c>
      <c r="D7"/>
      <c r="E7" s="137" t="s">
        <v>197</v>
      </c>
      <c r="F7" s="65">
        <v>0</v>
      </c>
      <c r="G7" s="65">
        <v>3</v>
      </c>
      <c r="H7" s="65">
        <v>0.4</v>
      </c>
      <c r="I7" s="65">
        <v>3</v>
      </c>
      <c r="J7" s="65">
        <v>7.1862995599999993E-2</v>
      </c>
      <c r="K7" s="65">
        <v>0.13333333999999999</v>
      </c>
      <c r="L7" s="65">
        <v>0</v>
      </c>
      <c r="M7" s="65">
        <v>0.2</v>
      </c>
      <c r="N7" s="65">
        <v>0</v>
      </c>
      <c r="P7" s="58"/>
      <c r="Q7" s="58"/>
      <c r="R7" s="58"/>
    </row>
    <row r="8" spans="1:46" ht="15" customHeight="1" x14ac:dyDescent="0.15">
      <c r="A8" s="2" t="s">
        <v>28</v>
      </c>
      <c r="B8" s="65">
        <f ca="1">COUNTIF(OFFSET(cornerFishing,1,2,NumLiving+NumDead,NumGears),"&gt;0")+NumDead*COUNTIF(OFFSET(cornerDiscards,1,2,NumLiving+NumDead,NumGears),"&gt;0")+NumLiving+NumDead+1</f>
        <v>15</v>
      </c>
      <c r="C8" s="65">
        <v>7</v>
      </c>
      <c r="D8"/>
      <c r="E8" s="137" t="s">
        <v>198</v>
      </c>
      <c r="F8" s="65">
        <v>0</v>
      </c>
      <c r="G8" s="65">
        <v>0.8</v>
      </c>
      <c r="H8" s="65">
        <v>7.5730000000000004</v>
      </c>
      <c r="I8" s="65">
        <v>19.221</v>
      </c>
      <c r="J8" s="65">
        <v>0.3863009</v>
      </c>
      <c r="K8" s="65">
        <v>0.39399611899999998</v>
      </c>
      <c r="L8" s="65">
        <v>0</v>
      </c>
      <c r="M8" s="65">
        <v>0.2</v>
      </c>
      <c r="N8" s="65">
        <v>0</v>
      </c>
      <c r="P8" s="58"/>
      <c r="Q8" s="58"/>
      <c r="R8" s="58"/>
    </row>
    <row r="9" spans="1:46" ht="15" customHeight="1" x14ac:dyDescent="0.15">
      <c r="B9" s="1"/>
      <c r="C9" s="65">
        <v>8</v>
      </c>
      <c r="D9"/>
      <c r="E9" s="137" t="s">
        <v>199</v>
      </c>
      <c r="F9" s="65">
        <v>0</v>
      </c>
      <c r="G9" s="65">
        <v>10.7631321</v>
      </c>
      <c r="H9" s="65">
        <v>4</v>
      </c>
      <c r="I9" s="65">
        <v>25</v>
      </c>
      <c r="J9" s="65">
        <v>0.95</v>
      </c>
      <c r="K9" s="65">
        <v>0.16</v>
      </c>
      <c r="L9" s="65">
        <v>0</v>
      </c>
      <c r="M9" s="65">
        <v>0.2</v>
      </c>
      <c r="N9" s="65">
        <v>0</v>
      </c>
      <c r="P9" s="58"/>
      <c r="Q9" s="58"/>
      <c r="R9" s="58"/>
    </row>
    <row r="10" spans="1:46" ht="15" customHeight="1" x14ac:dyDescent="0.15">
      <c r="B10" s="1"/>
      <c r="C10" s="65">
        <v>9</v>
      </c>
      <c r="D10"/>
      <c r="E10" s="137" t="s">
        <v>200</v>
      </c>
      <c r="F10" s="65">
        <v>0</v>
      </c>
      <c r="G10" s="65">
        <v>0.93120000000000003</v>
      </c>
      <c r="H10" s="65">
        <v>1</v>
      </c>
      <c r="I10" s="65">
        <v>4.5</v>
      </c>
      <c r="J10" s="65">
        <v>0</v>
      </c>
      <c r="K10" s="65">
        <v>0.222222224</v>
      </c>
      <c r="L10" s="65">
        <v>0</v>
      </c>
      <c r="M10" s="65">
        <v>0.2</v>
      </c>
      <c r="N10" s="65">
        <v>0</v>
      </c>
    </row>
    <row r="11" spans="1:46" ht="15" customHeight="1" x14ac:dyDescent="0.15">
      <c r="C11" s="65">
        <v>10</v>
      </c>
      <c r="D11"/>
      <c r="E11" s="137" t="s">
        <v>201</v>
      </c>
      <c r="F11" s="65">
        <v>0</v>
      </c>
      <c r="G11" s="65">
        <v>1.12777412</v>
      </c>
      <c r="H11" s="65">
        <v>5</v>
      </c>
      <c r="I11" s="65">
        <v>60</v>
      </c>
      <c r="J11" s="65">
        <v>0.95</v>
      </c>
      <c r="K11" s="65">
        <v>8.3333335800000005E-2</v>
      </c>
      <c r="L11" s="65">
        <v>0</v>
      </c>
      <c r="M11" s="65">
        <v>0.2</v>
      </c>
      <c r="N11" s="65">
        <v>0</v>
      </c>
    </row>
    <row r="12" spans="1:46" ht="15" customHeight="1" x14ac:dyDescent="0.15">
      <c r="C12" s="65">
        <v>11</v>
      </c>
      <c r="D12"/>
      <c r="E12" s="137" t="s">
        <v>202</v>
      </c>
      <c r="F12" s="65">
        <v>0</v>
      </c>
      <c r="G12" s="65">
        <v>0.75979439999999998</v>
      </c>
      <c r="H12" s="65">
        <v>2.5</v>
      </c>
      <c r="I12" s="65">
        <v>8.5</v>
      </c>
      <c r="J12" s="65">
        <v>0.95</v>
      </c>
      <c r="K12" s="65">
        <v>0.29411765899999998</v>
      </c>
      <c r="L12" s="65">
        <v>0</v>
      </c>
      <c r="M12" s="65">
        <v>0.2</v>
      </c>
      <c r="N12" s="65">
        <v>0</v>
      </c>
    </row>
    <row r="13" spans="1:46" ht="15" customHeight="1" x14ac:dyDescent="0.15">
      <c r="C13" s="65">
        <v>12</v>
      </c>
      <c r="D13"/>
      <c r="E13" s="137" t="s">
        <v>203</v>
      </c>
      <c r="F13" s="65">
        <v>1</v>
      </c>
      <c r="G13" s="65">
        <v>2.5</v>
      </c>
      <c r="H13" s="65">
        <v>102.55800000000001</v>
      </c>
      <c r="I13" s="65">
        <v>0</v>
      </c>
      <c r="J13" s="65">
        <v>0.60733854799999998</v>
      </c>
      <c r="K13" s="65">
        <v>0</v>
      </c>
      <c r="L13" s="65">
        <v>0</v>
      </c>
      <c r="M13" s="65">
        <v>0</v>
      </c>
      <c r="N13" s="65">
        <v>0</v>
      </c>
    </row>
    <row r="14" spans="1:46" ht="15" customHeight="1" x14ac:dyDescent="0.15">
      <c r="C14" s="65">
        <v>13</v>
      </c>
      <c r="D14"/>
      <c r="E14" s="137" t="s">
        <v>204</v>
      </c>
      <c r="F14" s="65">
        <v>2</v>
      </c>
      <c r="G14" s="65">
        <v>10</v>
      </c>
      <c r="H14" s="65">
        <v>0</v>
      </c>
      <c r="I14" s="65">
        <v>0</v>
      </c>
      <c r="J14" s="65">
        <v>0.938306749</v>
      </c>
      <c r="K14" s="65">
        <v>0</v>
      </c>
      <c r="L14" s="65">
        <v>0</v>
      </c>
      <c r="M14" s="65">
        <v>0</v>
      </c>
      <c r="N14" s="65">
        <v>0</v>
      </c>
    </row>
    <row r="15" spans="1:46" ht="15" customHeight="1" x14ac:dyDescent="0.15">
      <c r="C15" s="65">
        <v>14</v>
      </c>
      <c r="D15"/>
      <c r="E15" s="137" t="s">
        <v>205</v>
      </c>
      <c r="F15" s="65">
        <v>2</v>
      </c>
      <c r="G15" s="65">
        <v>5</v>
      </c>
      <c r="H15" s="65">
        <v>0</v>
      </c>
      <c r="I15" s="65">
        <v>0</v>
      </c>
      <c r="J15" s="65">
        <v>0</v>
      </c>
      <c r="K15" s="65">
        <v>0</v>
      </c>
      <c r="L15" s="65">
        <v>0</v>
      </c>
      <c r="M15" s="65">
        <v>0</v>
      </c>
      <c r="N15" s="65">
        <v>0</v>
      </c>
    </row>
    <row r="16" spans="1:46" ht="15" customHeight="1" x14ac:dyDescent="0.15">
      <c r="C16" s="65">
        <v>15</v>
      </c>
      <c r="D16"/>
      <c r="E16" s="161" t="s">
        <v>210</v>
      </c>
      <c r="F16">
        <v>3</v>
      </c>
      <c r="G16"/>
      <c r="H16"/>
      <c r="I16"/>
      <c r="J16"/>
      <c r="K16"/>
      <c r="L16"/>
      <c r="M16"/>
      <c r="N16"/>
      <c r="P16" s="53" t="s">
        <v>211</v>
      </c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9" t="s">
        <v>137</v>
      </c>
      <c r="B21" s="83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4" t="s">
        <v>58</v>
      </c>
      <c r="B22" s="85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4" t="s">
        <v>59</v>
      </c>
      <c r="B23" s="85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4" t="s">
        <v>60</v>
      </c>
      <c r="B24" s="85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6" t="s">
        <v>44</v>
      </c>
      <c r="B25" s="87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8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L13" sqref="L13:L14"/>
    </sheetView>
  </sheetViews>
  <sheetFormatPr baseColWidth="10" defaultColWidth="8.83203125" defaultRowHeight="13" x14ac:dyDescent="0.15"/>
  <cols>
    <col min="1" max="1" width="21.6640625" style="120" bestFit="1" customWidth="1"/>
    <col min="2" max="15" width="18" style="120" customWidth="1"/>
    <col min="16" max="29" width="9" style="120" bestFit="1" customWidth="1"/>
    <col min="30" max="16384" width="8.83203125" style="120"/>
  </cols>
  <sheetData>
    <row r="1" spans="1:34" x14ac:dyDescent="0.15">
      <c r="A1" s="119" t="s">
        <v>19</v>
      </c>
      <c r="B1" s="139" t="s">
        <v>192</v>
      </c>
      <c r="C1" s="139" t="s">
        <v>193</v>
      </c>
      <c r="D1" s="139" t="s">
        <v>194</v>
      </c>
      <c r="E1" s="139" t="s">
        <v>195</v>
      </c>
      <c r="F1" s="139" t="s">
        <v>196</v>
      </c>
      <c r="G1" s="139" t="s">
        <v>197</v>
      </c>
      <c r="H1" s="139" t="s">
        <v>198</v>
      </c>
      <c r="I1" s="139" t="s">
        <v>199</v>
      </c>
      <c r="J1" s="139" t="s">
        <v>200</v>
      </c>
      <c r="K1" s="139" t="s">
        <v>201</v>
      </c>
      <c r="L1" s="139" t="s">
        <v>202</v>
      </c>
      <c r="M1" s="139" t="s">
        <v>203</v>
      </c>
      <c r="N1" s="139" t="s">
        <v>204</v>
      </c>
      <c r="O1" s="139" t="s">
        <v>205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38" t="s">
        <v>192</v>
      </c>
      <c r="B2" s="120">
        <v>0</v>
      </c>
      <c r="C2" s="120">
        <v>0</v>
      </c>
      <c r="D2" s="120">
        <v>0</v>
      </c>
      <c r="E2" s="120">
        <v>0</v>
      </c>
      <c r="F2" s="120">
        <v>0</v>
      </c>
      <c r="G2" s="120">
        <v>0</v>
      </c>
      <c r="H2" s="120">
        <v>0</v>
      </c>
      <c r="I2" s="120">
        <v>0</v>
      </c>
      <c r="J2" s="120">
        <v>0</v>
      </c>
      <c r="K2" s="120">
        <v>0</v>
      </c>
      <c r="L2" s="120">
        <v>0</v>
      </c>
      <c r="M2" s="120">
        <v>0</v>
      </c>
      <c r="N2" s="120">
        <v>0</v>
      </c>
      <c r="O2" s="120">
        <v>0</v>
      </c>
    </row>
    <row r="3" spans="1:34" customFormat="1" x14ac:dyDescent="0.15">
      <c r="A3" s="138" t="s">
        <v>193</v>
      </c>
      <c r="B3" s="120">
        <v>0</v>
      </c>
      <c r="C3" s="120">
        <v>0</v>
      </c>
      <c r="D3" s="120">
        <v>0</v>
      </c>
      <c r="E3" s="120">
        <v>0</v>
      </c>
      <c r="F3" s="120">
        <v>0</v>
      </c>
      <c r="G3" s="120">
        <v>0</v>
      </c>
      <c r="H3" s="120">
        <v>0</v>
      </c>
      <c r="I3" s="120">
        <v>0</v>
      </c>
      <c r="J3" s="120">
        <v>0</v>
      </c>
      <c r="K3" s="120">
        <v>0</v>
      </c>
      <c r="L3" s="120">
        <v>0</v>
      </c>
      <c r="M3" s="120">
        <v>0</v>
      </c>
      <c r="N3" s="120">
        <v>0</v>
      </c>
      <c r="O3" s="120">
        <v>0</v>
      </c>
    </row>
    <row r="4" spans="1:34" customFormat="1" x14ac:dyDescent="0.15">
      <c r="A4" s="138" t="s">
        <v>194</v>
      </c>
      <c r="B4" s="120">
        <v>8.7800000000000017E-2</v>
      </c>
      <c r="C4" s="120">
        <v>0</v>
      </c>
      <c r="D4" s="120">
        <v>0</v>
      </c>
      <c r="E4" s="120">
        <v>0</v>
      </c>
      <c r="F4" s="120">
        <v>0</v>
      </c>
      <c r="G4" s="120">
        <v>0</v>
      </c>
      <c r="H4" s="120">
        <v>0</v>
      </c>
      <c r="I4" s="120">
        <v>0</v>
      </c>
      <c r="J4" s="120">
        <v>0</v>
      </c>
      <c r="K4" s="120">
        <v>0</v>
      </c>
      <c r="L4" s="120">
        <v>0</v>
      </c>
      <c r="M4" s="120">
        <v>0</v>
      </c>
      <c r="N4" s="120">
        <v>0</v>
      </c>
      <c r="O4" s="120">
        <v>0</v>
      </c>
    </row>
    <row r="5" spans="1:34" customFormat="1" x14ac:dyDescent="0.15">
      <c r="A5" s="138" t="s">
        <v>195</v>
      </c>
      <c r="B5" s="120">
        <v>0.17560000000000003</v>
      </c>
      <c r="C5" s="120">
        <v>9.6903092825694176E-2</v>
      </c>
      <c r="D5" s="120">
        <v>1.9E-2</v>
      </c>
      <c r="E5" s="120">
        <v>0</v>
      </c>
      <c r="F5" s="120">
        <v>0</v>
      </c>
      <c r="G5" s="120">
        <v>0</v>
      </c>
      <c r="H5" s="120">
        <v>0</v>
      </c>
      <c r="I5" s="120">
        <v>0</v>
      </c>
      <c r="J5" s="120">
        <v>0</v>
      </c>
      <c r="K5" s="120">
        <v>0</v>
      </c>
      <c r="L5" s="120">
        <v>0</v>
      </c>
      <c r="M5" s="120">
        <v>0</v>
      </c>
      <c r="N5" s="120">
        <v>0</v>
      </c>
      <c r="O5" s="120">
        <v>0</v>
      </c>
    </row>
    <row r="6" spans="1:34" customFormat="1" x14ac:dyDescent="0.15">
      <c r="A6" s="138" t="s">
        <v>196</v>
      </c>
      <c r="B6" s="120">
        <v>8.7800000000000017E-2</v>
      </c>
      <c r="C6" s="120">
        <v>0</v>
      </c>
      <c r="D6" s="120">
        <v>0</v>
      </c>
      <c r="E6" s="120">
        <v>0</v>
      </c>
      <c r="F6" s="120">
        <v>0</v>
      </c>
      <c r="G6" s="120">
        <v>0</v>
      </c>
      <c r="H6" s="120">
        <v>0</v>
      </c>
      <c r="I6" s="120">
        <v>0</v>
      </c>
      <c r="J6" s="120">
        <v>0</v>
      </c>
      <c r="K6" s="120">
        <v>0</v>
      </c>
      <c r="L6" s="120">
        <v>0</v>
      </c>
      <c r="M6" s="120">
        <v>0</v>
      </c>
      <c r="N6" s="120">
        <v>0</v>
      </c>
      <c r="O6" s="120">
        <v>0</v>
      </c>
    </row>
    <row r="7" spans="1:34" customFormat="1" x14ac:dyDescent="0.15">
      <c r="A7" s="138" t="s">
        <v>197</v>
      </c>
      <c r="B7" s="120">
        <v>8.7800000000000017E-2</v>
      </c>
      <c r="C7" s="120">
        <v>0</v>
      </c>
      <c r="D7" s="120">
        <v>0</v>
      </c>
      <c r="E7" s="120">
        <v>1.3899999999999999E-2</v>
      </c>
      <c r="F7" s="120">
        <v>0</v>
      </c>
      <c r="G7" s="120">
        <v>0</v>
      </c>
      <c r="H7" s="120">
        <v>0</v>
      </c>
      <c r="I7" s="120">
        <v>0</v>
      </c>
      <c r="J7" s="120">
        <v>2.2000000000000001E-3</v>
      </c>
      <c r="K7" s="120">
        <v>0</v>
      </c>
      <c r="L7" s="120">
        <v>0</v>
      </c>
      <c r="M7" s="120">
        <v>0</v>
      </c>
      <c r="N7" s="120">
        <v>0</v>
      </c>
      <c r="O7" s="120">
        <v>0</v>
      </c>
    </row>
    <row r="8" spans="1:34" customFormat="1" x14ac:dyDescent="0.15">
      <c r="A8" s="138" t="s">
        <v>198</v>
      </c>
      <c r="B8" s="120">
        <v>3.500000000000001E-2</v>
      </c>
      <c r="C8" s="120">
        <v>0.21378620623400577</v>
      </c>
      <c r="D8" s="120">
        <v>0.2172</v>
      </c>
      <c r="E8" s="120">
        <v>0.1414</v>
      </c>
      <c r="F8" s="120">
        <v>2.0979021202797189E-2</v>
      </c>
      <c r="G8" s="120">
        <v>0.1</v>
      </c>
      <c r="H8" s="120">
        <v>0</v>
      </c>
      <c r="I8" s="120">
        <v>0</v>
      </c>
      <c r="J8" s="120">
        <v>0</v>
      </c>
      <c r="K8" s="120">
        <v>0</v>
      </c>
      <c r="L8" s="120">
        <v>0</v>
      </c>
      <c r="M8" s="120">
        <v>0</v>
      </c>
      <c r="N8" s="120">
        <v>0</v>
      </c>
      <c r="O8" s="120">
        <v>0</v>
      </c>
    </row>
    <row r="9" spans="1:34" customFormat="1" x14ac:dyDescent="0.15">
      <c r="A9" s="138" t="s">
        <v>199</v>
      </c>
      <c r="B9" s="120">
        <v>8.8200000000000014E-2</v>
      </c>
      <c r="C9" s="120">
        <v>0.39460541150669376</v>
      </c>
      <c r="D9" s="120">
        <v>0.54510000000000003</v>
      </c>
      <c r="E9" s="120">
        <v>0.29089999999999999</v>
      </c>
      <c r="F9" s="120">
        <v>0.75924074943456621</v>
      </c>
      <c r="G9" s="120">
        <v>0.3</v>
      </c>
      <c r="H9" s="120">
        <v>0.50000000000000011</v>
      </c>
      <c r="I9" s="120">
        <v>0.1</v>
      </c>
      <c r="J9" s="120">
        <v>5.8000000000000003E-2</v>
      </c>
      <c r="K9" s="120">
        <v>0</v>
      </c>
      <c r="L9" s="120">
        <v>0</v>
      </c>
      <c r="M9" s="120">
        <v>0</v>
      </c>
      <c r="N9" s="120">
        <v>0</v>
      </c>
      <c r="O9" s="120">
        <v>0</v>
      </c>
    </row>
    <row r="10" spans="1:34" customFormat="1" x14ac:dyDescent="0.15">
      <c r="A10" s="138" t="s">
        <v>200</v>
      </c>
      <c r="B10" s="120">
        <v>0</v>
      </c>
      <c r="C10" s="120">
        <v>0</v>
      </c>
      <c r="D10" s="120">
        <v>0</v>
      </c>
      <c r="E10" s="120">
        <v>0</v>
      </c>
      <c r="F10" s="120">
        <v>0</v>
      </c>
      <c r="G10" s="120">
        <v>0</v>
      </c>
      <c r="H10" s="120">
        <v>0</v>
      </c>
      <c r="I10" s="120">
        <v>0</v>
      </c>
      <c r="J10" s="120">
        <v>0</v>
      </c>
      <c r="K10" s="120">
        <v>0</v>
      </c>
      <c r="L10" s="120">
        <v>0</v>
      </c>
      <c r="M10" s="120">
        <v>0</v>
      </c>
      <c r="N10" s="120">
        <v>0</v>
      </c>
      <c r="O10" s="120">
        <v>0</v>
      </c>
    </row>
    <row r="11" spans="1:34" customFormat="1" x14ac:dyDescent="0.15">
      <c r="A11" s="138" t="s">
        <v>201</v>
      </c>
      <c r="B11" s="120">
        <v>0.23440000000000003</v>
      </c>
      <c r="C11" s="120">
        <v>0.1928071886222576</v>
      </c>
      <c r="D11" s="120">
        <v>3.5000000000000003E-2</v>
      </c>
      <c r="E11" s="120">
        <v>0.35239999999999999</v>
      </c>
      <c r="F11" s="120">
        <v>3.59640376047951E-2</v>
      </c>
      <c r="G11" s="120">
        <v>0.2</v>
      </c>
      <c r="H11" s="120">
        <v>0.10000000000000002</v>
      </c>
      <c r="I11" s="120">
        <v>0</v>
      </c>
      <c r="J11" s="120">
        <v>0</v>
      </c>
      <c r="K11" s="120">
        <v>0</v>
      </c>
      <c r="L11" s="120">
        <v>0</v>
      </c>
      <c r="M11" s="120">
        <v>0</v>
      </c>
      <c r="N11" s="120">
        <v>0</v>
      </c>
      <c r="O11" s="120">
        <v>0</v>
      </c>
    </row>
    <row r="12" spans="1:34" customFormat="1" x14ac:dyDescent="0.15">
      <c r="A12" s="138" t="s">
        <v>202</v>
      </c>
      <c r="B12" s="120">
        <v>0.17200000000000001</v>
      </c>
      <c r="C12" s="120">
        <v>5.6943056860459536E-2</v>
      </c>
      <c r="D12" s="120">
        <v>0.1196</v>
      </c>
      <c r="E12" s="120">
        <v>9.8599999999999993E-2</v>
      </c>
      <c r="F12" s="120">
        <v>2.3976024503196768E-2</v>
      </c>
      <c r="G12" s="120">
        <v>0.1</v>
      </c>
      <c r="H12" s="120">
        <v>0</v>
      </c>
      <c r="I12" s="120">
        <v>0</v>
      </c>
      <c r="J12" s="120">
        <v>0</v>
      </c>
      <c r="K12" s="120">
        <v>0</v>
      </c>
      <c r="L12" s="120">
        <v>0</v>
      </c>
      <c r="M12" s="120">
        <v>0</v>
      </c>
      <c r="N12" s="120">
        <v>0</v>
      </c>
      <c r="O12" s="120">
        <v>0</v>
      </c>
    </row>
    <row r="13" spans="1:34" customFormat="1" x14ac:dyDescent="0.15">
      <c r="A13" s="138" t="s">
        <v>203</v>
      </c>
      <c r="B13" s="120">
        <v>2.2300000000000004E-2</v>
      </c>
      <c r="C13" s="120">
        <v>3.9960039065234737E-2</v>
      </c>
      <c r="D13" s="120">
        <v>3.5000000000000003E-2</v>
      </c>
      <c r="E13" s="120">
        <v>4.0800000000000003E-2</v>
      </c>
      <c r="F13" s="120">
        <v>0.13486514101798161</v>
      </c>
      <c r="G13" s="120">
        <v>0</v>
      </c>
      <c r="H13" s="120">
        <v>0.30000000000000004</v>
      </c>
      <c r="I13" s="120">
        <v>0.3</v>
      </c>
      <c r="J13" s="120">
        <v>0.1026</v>
      </c>
      <c r="K13" s="120">
        <v>1</v>
      </c>
      <c r="L13" s="120">
        <v>0.3</v>
      </c>
      <c r="M13" s="120">
        <v>0</v>
      </c>
      <c r="N13" s="120">
        <v>0</v>
      </c>
      <c r="O13" s="120">
        <v>0</v>
      </c>
    </row>
    <row r="14" spans="1:34" customFormat="1" x14ac:dyDescent="0.15">
      <c r="A14" s="138" t="s">
        <v>204</v>
      </c>
      <c r="B14" s="120">
        <v>9.1000000000000022E-3</v>
      </c>
      <c r="C14" s="120">
        <v>4.9950048856543415E-3</v>
      </c>
      <c r="D14" s="120">
        <v>2.9100000000000001E-2</v>
      </c>
      <c r="E14" s="120">
        <v>6.2E-2</v>
      </c>
      <c r="F14" s="120">
        <v>2.4975026236663252E-2</v>
      </c>
      <c r="G14" s="120">
        <v>0.3</v>
      </c>
      <c r="H14" s="120">
        <v>0.10000000000000002</v>
      </c>
      <c r="I14" s="120">
        <v>0.6</v>
      </c>
      <c r="J14" s="120">
        <v>0.83720000000000006</v>
      </c>
      <c r="K14" s="120">
        <v>0</v>
      </c>
      <c r="L14" s="120">
        <v>0.7</v>
      </c>
      <c r="M14" s="120">
        <v>0</v>
      </c>
      <c r="N14" s="120">
        <v>0</v>
      </c>
      <c r="O14" s="120">
        <v>0</v>
      </c>
    </row>
    <row r="15" spans="1:34" customFormat="1" x14ac:dyDescent="0.15">
      <c r="A15" s="138" t="s">
        <v>205</v>
      </c>
      <c r="B15" s="120">
        <v>0</v>
      </c>
      <c r="C15" s="120">
        <v>0</v>
      </c>
      <c r="D15" s="120">
        <v>0</v>
      </c>
      <c r="E15" s="120">
        <v>0</v>
      </c>
      <c r="F15" s="120">
        <v>0</v>
      </c>
      <c r="G15" s="120">
        <v>0</v>
      </c>
      <c r="H15" s="120">
        <v>0</v>
      </c>
      <c r="I15" s="120">
        <v>0</v>
      </c>
      <c r="J15" s="120">
        <v>0</v>
      </c>
      <c r="K15" s="120">
        <v>0</v>
      </c>
      <c r="L15" s="120">
        <v>0</v>
      </c>
      <c r="M15" s="120">
        <v>0</v>
      </c>
      <c r="N15" s="120">
        <v>0</v>
      </c>
      <c r="O15" s="120">
        <v>0</v>
      </c>
    </row>
    <row r="16" spans="1:34" customFormat="1" x14ac:dyDescent="0.15">
      <c r="A16" s="138" t="s">
        <v>206</v>
      </c>
      <c r="B16" s="120">
        <v>0</v>
      </c>
      <c r="C16" s="120">
        <v>0</v>
      </c>
      <c r="D16" s="120">
        <v>0</v>
      </c>
      <c r="E16" s="120">
        <v>0</v>
      </c>
      <c r="F16" s="120">
        <v>0</v>
      </c>
      <c r="G16" s="120">
        <v>0</v>
      </c>
      <c r="H16" s="120">
        <v>0</v>
      </c>
      <c r="I16" s="120">
        <v>0</v>
      </c>
      <c r="J16" s="120">
        <v>0</v>
      </c>
      <c r="K16" s="120">
        <v>0</v>
      </c>
      <c r="L16" s="120">
        <v>0</v>
      </c>
      <c r="M16" s="120">
        <v>0</v>
      </c>
      <c r="N16" s="120">
        <v>0</v>
      </c>
      <c r="O16" s="120">
        <v>0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6" sqref="B16"/>
    </sheetView>
  </sheetViews>
  <sheetFormatPr baseColWidth="10" defaultColWidth="8.83203125" defaultRowHeight="13" x14ac:dyDescent="0.15"/>
  <cols>
    <col min="1" max="1" width="3.33203125" customWidth="1"/>
    <col min="2" max="2" width="14.5" customWidth="1"/>
    <col min="3" max="4" width="10.1640625" style="91" customWidth="1"/>
    <col min="5" max="6" width="10.1640625" style="90" customWidth="1"/>
    <col min="7" max="8" width="8.83203125" style="91"/>
  </cols>
  <sheetData>
    <row r="1" spans="1:8" ht="70" x14ac:dyDescent="0.15">
      <c r="A1" s="5" t="s">
        <v>20</v>
      </c>
      <c r="B1" s="1" t="s">
        <v>0</v>
      </c>
      <c r="C1" s="141" t="s">
        <v>204</v>
      </c>
      <c r="D1" s="141" t="s">
        <v>205</v>
      </c>
      <c r="E1" s="141" t="s">
        <v>207</v>
      </c>
      <c r="F1" s="141" t="s">
        <v>208</v>
      </c>
      <c r="G1"/>
      <c r="H1"/>
    </row>
    <row r="2" spans="1:8" x14ac:dyDescent="0.15">
      <c r="A2">
        <v>1</v>
      </c>
      <c r="B2" s="140" t="s">
        <v>192</v>
      </c>
      <c r="C2" s="91">
        <v>1</v>
      </c>
      <c r="D2" s="91">
        <v>0</v>
      </c>
      <c r="E2" s="90">
        <v>0</v>
      </c>
      <c r="F2" s="90">
        <f>SUM(C2:E2)</f>
        <v>1</v>
      </c>
      <c r="G2"/>
      <c r="H2"/>
    </row>
    <row r="3" spans="1:8" x14ac:dyDescent="0.15">
      <c r="A3">
        <v>2</v>
      </c>
      <c r="B3" s="140" t="s">
        <v>193</v>
      </c>
      <c r="C3" s="91">
        <v>1</v>
      </c>
      <c r="D3" s="91">
        <v>0</v>
      </c>
      <c r="E3" s="90">
        <v>0</v>
      </c>
      <c r="F3" s="90">
        <f t="shared" ref="F3:F16" si="0">SUM(C3:E3)</f>
        <v>1</v>
      </c>
      <c r="G3"/>
      <c r="H3"/>
    </row>
    <row r="4" spans="1:8" x14ac:dyDescent="0.15">
      <c r="A4">
        <v>3</v>
      </c>
      <c r="B4" s="140" t="s">
        <v>194</v>
      </c>
      <c r="C4" s="91">
        <v>1</v>
      </c>
      <c r="D4" s="91">
        <v>0</v>
      </c>
      <c r="E4" s="90">
        <v>0</v>
      </c>
      <c r="F4" s="90">
        <f t="shared" si="0"/>
        <v>1</v>
      </c>
      <c r="G4"/>
      <c r="H4"/>
    </row>
    <row r="5" spans="1:8" x14ac:dyDescent="0.15">
      <c r="A5">
        <v>4</v>
      </c>
      <c r="B5" s="140" t="s">
        <v>195</v>
      </c>
      <c r="C5" s="91">
        <v>1</v>
      </c>
      <c r="D5" s="91">
        <v>0</v>
      </c>
      <c r="E5" s="90">
        <v>0</v>
      </c>
      <c r="F5" s="90">
        <f t="shared" si="0"/>
        <v>1</v>
      </c>
      <c r="G5"/>
      <c r="H5"/>
    </row>
    <row r="6" spans="1:8" x14ac:dyDescent="0.15">
      <c r="A6">
        <v>5</v>
      </c>
      <c r="B6" s="140" t="s">
        <v>196</v>
      </c>
      <c r="C6" s="91">
        <v>1</v>
      </c>
      <c r="D6" s="91">
        <v>0</v>
      </c>
      <c r="E6" s="90">
        <v>0</v>
      </c>
      <c r="F6" s="90">
        <f t="shared" si="0"/>
        <v>1</v>
      </c>
      <c r="G6"/>
      <c r="H6"/>
    </row>
    <row r="7" spans="1:8" x14ac:dyDescent="0.15">
      <c r="A7">
        <v>6</v>
      </c>
      <c r="B7" s="140" t="s">
        <v>197</v>
      </c>
      <c r="C7" s="91">
        <v>1</v>
      </c>
      <c r="D7" s="91">
        <v>0</v>
      </c>
      <c r="E7" s="90">
        <v>0</v>
      </c>
      <c r="F7" s="90">
        <f t="shared" si="0"/>
        <v>1</v>
      </c>
      <c r="G7"/>
      <c r="H7"/>
    </row>
    <row r="8" spans="1:8" x14ac:dyDescent="0.15">
      <c r="A8">
        <v>7</v>
      </c>
      <c r="B8" s="140" t="s">
        <v>198</v>
      </c>
      <c r="C8" s="91">
        <v>1</v>
      </c>
      <c r="D8" s="91">
        <v>0</v>
      </c>
      <c r="E8" s="90">
        <v>0</v>
      </c>
      <c r="F8" s="90">
        <f t="shared" si="0"/>
        <v>1</v>
      </c>
      <c r="G8"/>
      <c r="H8"/>
    </row>
    <row r="9" spans="1:8" x14ac:dyDescent="0.15">
      <c r="A9">
        <v>8</v>
      </c>
      <c r="B9" s="140" t="s">
        <v>199</v>
      </c>
      <c r="C9" s="91">
        <v>1</v>
      </c>
      <c r="D9" s="91">
        <v>0</v>
      </c>
      <c r="E9" s="90">
        <v>0</v>
      </c>
      <c r="F9" s="90">
        <f t="shared" si="0"/>
        <v>1</v>
      </c>
      <c r="G9"/>
      <c r="H9"/>
    </row>
    <row r="10" spans="1:8" x14ac:dyDescent="0.15">
      <c r="A10">
        <v>9</v>
      </c>
      <c r="B10" s="140" t="s">
        <v>200</v>
      </c>
      <c r="C10" s="91">
        <v>1</v>
      </c>
      <c r="D10" s="91">
        <v>0</v>
      </c>
      <c r="E10" s="90">
        <v>0</v>
      </c>
      <c r="F10" s="90">
        <f t="shared" si="0"/>
        <v>1</v>
      </c>
      <c r="G10"/>
      <c r="H10"/>
    </row>
    <row r="11" spans="1:8" x14ac:dyDescent="0.15">
      <c r="A11">
        <v>10</v>
      </c>
      <c r="B11" s="140" t="s">
        <v>201</v>
      </c>
      <c r="C11" s="91">
        <v>1</v>
      </c>
      <c r="D11" s="91">
        <v>0</v>
      </c>
      <c r="E11" s="90">
        <v>0</v>
      </c>
      <c r="F11" s="90">
        <f t="shared" si="0"/>
        <v>1</v>
      </c>
      <c r="G11"/>
      <c r="H11"/>
    </row>
    <row r="12" spans="1:8" x14ac:dyDescent="0.15">
      <c r="A12">
        <v>11</v>
      </c>
      <c r="B12" s="140" t="s">
        <v>202</v>
      </c>
      <c r="C12" s="91">
        <v>1</v>
      </c>
      <c r="D12" s="91">
        <v>0</v>
      </c>
      <c r="E12" s="90">
        <v>0</v>
      </c>
      <c r="F12" s="90">
        <f t="shared" si="0"/>
        <v>1</v>
      </c>
      <c r="G12"/>
      <c r="H12"/>
    </row>
    <row r="13" spans="1:8" x14ac:dyDescent="0.15">
      <c r="A13">
        <v>12</v>
      </c>
      <c r="B13" s="140" t="s">
        <v>203</v>
      </c>
      <c r="C13" s="91">
        <v>1</v>
      </c>
      <c r="D13" s="91">
        <v>0</v>
      </c>
      <c r="E13" s="90">
        <v>0</v>
      </c>
      <c r="F13" s="90">
        <f t="shared" si="0"/>
        <v>1</v>
      </c>
      <c r="G13"/>
      <c r="H13"/>
    </row>
    <row r="14" spans="1:8" x14ac:dyDescent="0.15">
      <c r="A14">
        <v>13</v>
      </c>
      <c r="B14" s="140" t="s">
        <v>204</v>
      </c>
      <c r="C14" s="91">
        <v>0</v>
      </c>
      <c r="D14" s="91">
        <v>1</v>
      </c>
      <c r="E14" s="90">
        <v>0</v>
      </c>
      <c r="F14" s="90">
        <f t="shared" si="0"/>
        <v>1</v>
      </c>
      <c r="G14"/>
      <c r="H14"/>
    </row>
    <row r="15" spans="1:8" x14ac:dyDescent="0.15">
      <c r="A15">
        <v>14</v>
      </c>
      <c r="B15" s="140" t="s">
        <v>205</v>
      </c>
      <c r="C15" s="91">
        <v>0</v>
      </c>
      <c r="D15" s="91">
        <v>0</v>
      </c>
      <c r="E15" s="90">
        <v>1</v>
      </c>
      <c r="F15" s="90">
        <f t="shared" si="0"/>
        <v>1</v>
      </c>
      <c r="G15"/>
      <c r="H15"/>
    </row>
    <row r="16" spans="1:8" x14ac:dyDescent="0.15">
      <c r="A16">
        <v>15</v>
      </c>
      <c r="B16" s="161" t="s">
        <v>210</v>
      </c>
      <c r="C16" s="91">
        <v>1</v>
      </c>
      <c r="D16" s="91">
        <v>0</v>
      </c>
      <c r="E16" s="90">
        <v>0</v>
      </c>
      <c r="F16" s="90">
        <f t="shared" si="0"/>
        <v>1</v>
      </c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1"/>
      <c r="F36" s="91"/>
      <c r="G36"/>
      <c r="H36"/>
    </row>
    <row r="37" spans="3:8" ht="15" customHeight="1" x14ac:dyDescent="0.15">
      <c r="C37"/>
      <c r="D37"/>
      <c r="E37" s="91"/>
      <c r="F37" s="91"/>
      <c r="G37"/>
      <c r="H37"/>
    </row>
    <row r="38" spans="3:8" ht="15" customHeight="1" x14ac:dyDescent="0.15">
      <c r="C38"/>
      <c r="D38"/>
      <c r="E38" s="91"/>
      <c r="F38" s="91"/>
      <c r="G38"/>
      <c r="H38"/>
    </row>
    <row r="39" spans="3:8" ht="15" customHeight="1" x14ac:dyDescent="0.15">
      <c r="C39"/>
      <c r="D39"/>
      <c r="E39" s="91"/>
      <c r="F39" s="91"/>
      <c r="G39"/>
      <c r="H39"/>
    </row>
    <row r="40" spans="3:8" ht="15" customHeight="1" x14ac:dyDescent="0.15">
      <c r="C40"/>
      <c r="D40"/>
      <c r="E40" s="91"/>
      <c r="F40" s="91"/>
      <c r="G40"/>
      <c r="H40"/>
    </row>
    <row r="41" spans="3:8" ht="15" customHeight="1" x14ac:dyDescent="0.15">
      <c r="C41"/>
      <c r="D41"/>
      <c r="E41" s="91"/>
      <c r="F41" s="91"/>
      <c r="G41"/>
      <c r="H41"/>
    </row>
    <row r="42" spans="3:8" ht="15" customHeight="1" x14ac:dyDescent="0.15">
      <c r="C42"/>
      <c r="D42"/>
      <c r="E42" s="91"/>
      <c r="F42" s="91"/>
      <c r="G42"/>
      <c r="H42"/>
    </row>
    <row r="43" spans="3:8" ht="15" customHeight="1" x14ac:dyDescent="0.15">
      <c r="C43"/>
      <c r="D43"/>
      <c r="E43" s="91"/>
      <c r="F43" s="91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1"/>
      <c r="F46" s="91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" sqref="F1"/>
    </sheetView>
  </sheetViews>
  <sheetFormatPr baseColWidth="10" defaultColWidth="8.83203125" defaultRowHeight="13" x14ac:dyDescent="0.15"/>
  <cols>
    <col min="1" max="1" width="3.33203125" customWidth="1"/>
    <col min="2" max="2" width="14.5" bestFit="1" customWidth="1"/>
    <col min="3" max="4" width="2.33203125" bestFit="1" customWidth="1"/>
    <col min="5" max="5" width="12.1640625" bestFit="1" customWidth="1"/>
  </cols>
  <sheetData>
    <row r="1" spans="1:5" s="92" customFormat="1" ht="112" x14ac:dyDescent="0.15">
      <c r="A1" s="5" t="s">
        <v>21</v>
      </c>
      <c r="B1" s="3" t="s">
        <v>0</v>
      </c>
      <c r="C1" s="161" t="s">
        <v>210</v>
      </c>
      <c r="D1" s="143" t="s">
        <v>209</v>
      </c>
      <c r="E1"/>
    </row>
    <row r="2" spans="1:5" ht="15" customHeight="1" x14ac:dyDescent="0.15">
      <c r="A2">
        <v>1</v>
      </c>
      <c r="B2" s="142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42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42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42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42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42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42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42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42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42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42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42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42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42" t="s">
        <v>205</v>
      </c>
      <c r="C15">
        <v>0</v>
      </c>
      <c r="D15">
        <v>0</v>
      </c>
    </row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" sqref="F1"/>
    </sheetView>
  </sheetViews>
  <sheetFormatPr baseColWidth="10" defaultColWidth="8.83203125" defaultRowHeight="13" x14ac:dyDescent="0.15"/>
  <cols>
    <col min="1" max="1" width="3.33203125" customWidth="1"/>
    <col min="2" max="2" width="14.5" bestFit="1" customWidth="1"/>
    <col min="3" max="4" width="2.33203125" bestFit="1" customWidth="1"/>
    <col min="5" max="5" width="12.1640625" bestFit="1" customWidth="1"/>
  </cols>
  <sheetData>
    <row r="1" spans="1:4" s="92" customFormat="1" ht="112" x14ac:dyDescent="0.15">
      <c r="A1" s="5" t="s">
        <v>22</v>
      </c>
      <c r="B1" s="3" t="s">
        <v>0</v>
      </c>
      <c r="C1" s="161" t="s">
        <v>210</v>
      </c>
      <c r="D1" s="145" t="s">
        <v>209</v>
      </c>
    </row>
    <row r="2" spans="1:4" x14ac:dyDescent="0.15">
      <c r="A2">
        <v>1</v>
      </c>
      <c r="B2" s="144" t="s">
        <v>192</v>
      </c>
      <c r="C2">
        <v>0</v>
      </c>
      <c r="D2">
        <v>0</v>
      </c>
    </row>
    <row r="3" spans="1:4" x14ac:dyDescent="0.15">
      <c r="A3">
        <v>2</v>
      </c>
      <c r="B3" s="144" t="s">
        <v>193</v>
      </c>
      <c r="C3">
        <v>0</v>
      </c>
      <c r="D3">
        <v>0</v>
      </c>
    </row>
    <row r="4" spans="1:4" x14ac:dyDescent="0.15">
      <c r="A4">
        <v>3</v>
      </c>
      <c r="B4" s="144" t="s">
        <v>194</v>
      </c>
      <c r="C4">
        <v>0</v>
      </c>
      <c r="D4">
        <v>0</v>
      </c>
    </row>
    <row r="5" spans="1:4" x14ac:dyDescent="0.15">
      <c r="A5">
        <v>4</v>
      </c>
      <c r="B5" s="144" t="s">
        <v>195</v>
      </c>
      <c r="C5">
        <v>0</v>
      </c>
      <c r="D5">
        <v>0</v>
      </c>
    </row>
    <row r="6" spans="1:4" x14ac:dyDescent="0.15">
      <c r="A6">
        <v>5</v>
      </c>
      <c r="B6" s="144" t="s">
        <v>196</v>
      </c>
      <c r="C6">
        <v>0</v>
      </c>
      <c r="D6">
        <v>0</v>
      </c>
    </row>
    <row r="7" spans="1:4" x14ac:dyDescent="0.15">
      <c r="A7">
        <v>6</v>
      </c>
      <c r="B7" s="144" t="s">
        <v>197</v>
      </c>
      <c r="C7">
        <v>0</v>
      </c>
      <c r="D7">
        <v>0</v>
      </c>
    </row>
    <row r="8" spans="1:4" x14ac:dyDescent="0.15">
      <c r="A8">
        <v>7</v>
      </c>
      <c r="B8" s="144" t="s">
        <v>198</v>
      </c>
      <c r="C8">
        <v>0</v>
      </c>
      <c r="D8">
        <v>0</v>
      </c>
    </row>
    <row r="9" spans="1:4" x14ac:dyDescent="0.15">
      <c r="A9">
        <v>8</v>
      </c>
      <c r="B9" s="144" t="s">
        <v>199</v>
      </c>
      <c r="C9">
        <v>0</v>
      </c>
      <c r="D9">
        <v>0</v>
      </c>
    </row>
    <row r="10" spans="1:4" x14ac:dyDescent="0.15">
      <c r="A10">
        <v>9</v>
      </c>
      <c r="B10" s="144" t="s">
        <v>200</v>
      </c>
      <c r="C10">
        <v>0</v>
      </c>
      <c r="D10">
        <v>0</v>
      </c>
    </row>
    <row r="11" spans="1:4" x14ac:dyDescent="0.15">
      <c r="A11">
        <v>10</v>
      </c>
      <c r="B11" s="144" t="s">
        <v>201</v>
      </c>
      <c r="C11">
        <v>0</v>
      </c>
      <c r="D11">
        <v>0</v>
      </c>
    </row>
    <row r="12" spans="1:4" x14ac:dyDescent="0.15">
      <c r="A12">
        <v>11</v>
      </c>
      <c r="B12" s="144" t="s">
        <v>202</v>
      </c>
      <c r="C12">
        <v>0</v>
      </c>
      <c r="D12">
        <v>0</v>
      </c>
    </row>
    <row r="13" spans="1:4" x14ac:dyDescent="0.15">
      <c r="A13">
        <v>12</v>
      </c>
      <c r="B13" s="144" t="s">
        <v>203</v>
      </c>
      <c r="C13">
        <v>0</v>
      </c>
      <c r="D13">
        <v>0</v>
      </c>
    </row>
    <row r="14" spans="1:4" x14ac:dyDescent="0.15">
      <c r="A14">
        <v>13</v>
      </c>
      <c r="B14" s="144" t="s">
        <v>204</v>
      </c>
      <c r="C14">
        <v>0</v>
      </c>
      <c r="D14">
        <v>0</v>
      </c>
    </row>
    <row r="15" spans="1:4" x14ac:dyDescent="0.15">
      <c r="A15">
        <v>14</v>
      </c>
      <c r="B15" s="144" t="s">
        <v>205</v>
      </c>
      <c r="C15">
        <v>0</v>
      </c>
      <c r="D1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.5" bestFit="1" customWidth="1"/>
    <col min="6" max="6" width="4.83203125" bestFit="1" customWidth="1"/>
    <col min="7" max="9" width="3.83203125" bestFit="1" customWidth="1"/>
    <col min="10" max="11" width="4.83203125" style="9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3" customFormat="1" ht="14" thickBot="1" x14ac:dyDescent="0.2">
      <c r="D1" s="94" t="s">
        <v>8</v>
      </c>
      <c r="E1" s="94" t="s">
        <v>0</v>
      </c>
      <c r="F1" s="95" t="s">
        <v>99</v>
      </c>
      <c r="G1" s="96" t="s">
        <v>84</v>
      </c>
      <c r="H1" s="96" t="s">
        <v>85</v>
      </c>
      <c r="I1" s="96" t="s">
        <v>86</v>
      </c>
      <c r="J1" s="96" t="s">
        <v>87</v>
      </c>
      <c r="K1" s="96" t="s">
        <v>88</v>
      </c>
      <c r="L1" s="97" t="s">
        <v>89</v>
      </c>
      <c r="M1" s="97" t="s">
        <v>93</v>
      </c>
      <c r="N1" s="97" t="s">
        <v>92</v>
      </c>
      <c r="O1" s="97" t="s">
        <v>90</v>
      </c>
      <c r="P1" s="97" t="s">
        <v>91</v>
      </c>
      <c r="Q1" s="98" t="s">
        <v>94</v>
      </c>
      <c r="R1" s="98" t="s">
        <v>95</v>
      </c>
      <c r="S1" s="98" t="s">
        <v>96</v>
      </c>
      <c r="T1" s="98" t="s">
        <v>97</v>
      </c>
      <c r="U1" s="98" t="s">
        <v>98</v>
      </c>
      <c r="V1" s="96" t="s">
        <v>100</v>
      </c>
      <c r="W1" s="96" t="s">
        <v>101</v>
      </c>
      <c r="X1" s="96" t="s">
        <v>102</v>
      </c>
      <c r="Y1" s="96" t="s">
        <v>134</v>
      </c>
      <c r="Z1" s="97" t="s">
        <v>103</v>
      </c>
      <c r="AA1" s="97" t="s">
        <v>104</v>
      </c>
      <c r="AB1" s="97" t="s">
        <v>105</v>
      </c>
      <c r="AC1" s="99" t="s">
        <v>135</v>
      </c>
      <c r="AD1" s="98" t="s">
        <v>106</v>
      </c>
      <c r="AE1" s="98" t="s">
        <v>107</v>
      </c>
      <c r="AF1" s="98" t="s">
        <v>108</v>
      </c>
      <c r="AG1" s="98" t="s">
        <v>136</v>
      </c>
      <c r="AH1" s="96" t="s">
        <v>109</v>
      </c>
      <c r="AI1" s="96" t="s">
        <v>111</v>
      </c>
      <c r="AJ1" s="96" t="s">
        <v>110</v>
      </c>
      <c r="AK1" s="97" t="s">
        <v>115</v>
      </c>
      <c r="AL1" s="97" t="s">
        <v>116</v>
      </c>
      <c r="AM1" s="97" t="s">
        <v>117</v>
      </c>
      <c r="AN1" s="98" t="s">
        <v>112</v>
      </c>
      <c r="AO1" s="98" t="s">
        <v>113</v>
      </c>
      <c r="AP1" s="98" t="s">
        <v>114</v>
      </c>
    </row>
    <row r="2" spans="1:42" x14ac:dyDescent="0.15">
      <c r="A2" s="100" t="s">
        <v>74</v>
      </c>
      <c r="B2" s="101">
        <v>1</v>
      </c>
      <c r="D2">
        <v>1</v>
      </c>
      <c r="E2" s="146" t="s">
        <v>192</v>
      </c>
      <c r="F2">
        <v>0.98</v>
      </c>
      <c r="G2">
        <v>0.8</v>
      </c>
      <c r="H2">
        <v>0.8</v>
      </c>
      <c r="I2">
        <v>0.8</v>
      </c>
      <c r="J2" s="91">
        <v>0.25</v>
      </c>
      <c r="K2" s="91">
        <v>0.05</v>
      </c>
    </row>
    <row r="3" spans="1:42" x14ac:dyDescent="0.15">
      <c r="A3" s="100" t="s">
        <v>75</v>
      </c>
      <c r="B3" s="102">
        <v>1</v>
      </c>
      <c r="D3">
        <v>2</v>
      </c>
      <c r="E3" s="146" t="s">
        <v>193</v>
      </c>
      <c r="F3">
        <v>0.98</v>
      </c>
      <c r="G3">
        <v>0.8</v>
      </c>
      <c r="H3">
        <v>0.8</v>
      </c>
      <c r="I3">
        <v>0.8</v>
      </c>
      <c r="J3" s="91">
        <v>0.25</v>
      </c>
      <c r="K3" s="91">
        <v>0.05</v>
      </c>
    </row>
    <row r="4" spans="1:42" x14ac:dyDescent="0.15">
      <c r="A4" s="100" t="s">
        <v>76</v>
      </c>
      <c r="B4" s="102">
        <v>1</v>
      </c>
      <c r="D4">
        <v>3</v>
      </c>
      <c r="E4" s="146" t="s">
        <v>194</v>
      </c>
      <c r="F4">
        <v>0.98</v>
      </c>
      <c r="G4">
        <v>0.8</v>
      </c>
      <c r="H4">
        <v>0.8</v>
      </c>
      <c r="I4">
        <v>0.8</v>
      </c>
      <c r="J4" s="91">
        <v>0.25</v>
      </c>
      <c r="K4" s="91">
        <v>0.05</v>
      </c>
    </row>
    <row r="5" spans="1:42" x14ac:dyDescent="0.15">
      <c r="A5" s="100" t="s">
        <v>77</v>
      </c>
      <c r="B5" s="102">
        <v>1</v>
      </c>
      <c r="D5">
        <v>4</v>
      </c>
      <c r="E5" s="146" t="s">
        <v>195</v>
      </c>
      <c r="F5">
        <v>0.98</v>
      </c>
      <c r="G5">
        <v>0.8</v>
      </c>
      <c r="H5">
        <v>0.8</v>
      </c>
      <c r="I5">
        <v>0.8</v>
      </c>
      <c r="J5" s="91">
        <v>0.25</v>
      </c>
      <c r="K5" s="91">
        <v>0.05</v>
      </c>
    </row>
    <row r="6" spans="1:42" x14ac:dyDescent="0.15">
      <c r="A6" s="100" t="s">
        <v>78</v>
      </c>
      <c r="B6" s="102">
        <v>1</v>
      </c>
      <c r="D6">
        <v>5</v>
      </c>
      <c r="E6" s="146" t="s">
        <v>196</v>
      </c>
      <c r="F6">
        <v>0.98</v>
      </c>
      <c r="G6">
        <v>0.8</v>
      </c>
      <c r="H6">
        <v>0.8</v>
      </c>
      <c r="I6">
        <v>0.8</v>
      </c>
      <c r="J6" s="91">
        <v>0.25</v>
      </c>
      <c r="K6" s="91">
        <v>0.05</v>
      </c>
    </row>
    <row r="7" spans="1:42" x14ac:dyDescent="0.15">
      <c r="A7" s="100" t="s">
        <v>79</v>
      </c>
      <c r="B7" s="102">
        <v>1</v>
      </c>
      <c r="D7">
        <v>6</v>
      </c>
      <c r="E7" s="146" t="s">
        <v>197</v>
      </c>
      <c r="F7">
        <v>0.98</v>
      </c>
      <c r="G7">
        <v>0.8</v>
      </c>
      <c r="H7">
        <v>0.8</v>
      </c>
      <c r="I7">
        <v>0.8</v>
      </c>
      <c r="J7" s="91">
        <v>0.25</v>
      </c>
      <c r="K7" s="91">
        <v>0.05</v>
      </c>
    </row>
    <row r="8" spans="1:42" x14ac:dyDescent="0.15">
      <c r="A8" s="100" t="s">
        <v>80</v>
      </c>
      <c r="B8" s="102">
        <v>1</v>
      </c>
      <c r="D8">
        <v>7</v>
      </c>
      <c r="E8" s="146" t="s">
        <v>198</v>
      </c>
      <c r="F8">
        <v>0.98</v>
      </c>
      <c r="G8">
        <v>0.8</v>
      </c>
      <c r="H8">
        <v>0.8</v>
      </c>
      <c r="I8">
        <v>0.8</v>
      </c>
      <c r="J8" s="91">
        <v>0.25</v>
      </c>
      <c r="K8" s="91">
        <v>0.05</v>
      </c>
    </row>
    <row r="9" spans="1:42" x14ac:dyDescent="0.15">
      <c r="A9" s="100" t="s">
        <v>81</v>
      </c>
      <c r="B9" s="102">
        <v>0.1</v>
      </c>
      <c r="C9" s="53" t="s">
        <v>150</v>
      </c>
      <c r="D9">
        <v>8</v>
      </c>
      <c r="E9" s="146" t="s">
        <v>199</v>
      </c>
      <c r="F9">
        <v>0.98</v>
      </c>
      <c r="G9">
        <v>0.8</v>
      </c>
      <c r="H9">
        <v>0.8</v>
      </c>
      <c r="I9">
        <v>0.8</v>
      </c>
      <c r="J9" s="91">
        <v>0.25</v>
      </c>
      <c r="K9" s="91">
        <v>0.05</v>
      </c>
    </row>
    <row r="10" spans="1:42" ht="14" thickBot="1" x14ac:dyDescent="0.2">
      <c r="A10" s="100" t="s">
        <v>149</v>
      </c>
      <c r="B10" s="103">
        <f>1/3</f>
        <v>0.33333333333333331</v>
      </c>
      <c r="C10" s="53" t="s">
        <v>150</v>
      </c>
      <c r="D10">
        <v>9</v>
      </c>
      <c r="E10" s="146" t="s">
        <v>200</v>
      </c>
      <c r="F10">
        <v>0.98</v>
      </c>
      <c r="G10">
        <v>0.8</v>
      </c>
      <c r="H10">
        <v>0.8</v>
      </c>
      <c r="I10">
        <v>0.8</v>
      </c>
      <c r="J10" s="91">
        <v>0.25</v>
      </c>
      <c r="K10" s="91">
        <v>0.05</v>
      </c>
    </row>
    <row r="11" spans="1:42" x14ac:dyDescent="0.15">
      <c r="D11">
        <v>10</v>
      </c>
      <c r="E11" s="146" t="s">
        <v>201</v>
      </c>
      <c r="F11">
        <v>0.98</v>
      </c>
      <c r="G11">
        <v>0.8</v>
      </c>
      <c r="H11">
        <v>0.8</v>
      </c>
      <c r="I11">
        <v>0.8</v>
      </c>
      <c r="J11" s="91">
        <v>0.25</v>
      </c>
      <c r="K11" s="91">
        <v>0.05</v>
      </c>
    </row>
    <row r="12" spans="1:42" x14ac:dyDescent="0.15">
      <c r="D12">
        <v>11</v>
      </c>
      <c r="E12" s="146" t="s">
        <v>202</v>
      </c>
      <c r="F12">
        <v>0.98</v>
      </c>
      <c r="G12">
        <v>0.8</v>
      </c>
      <c r="H12">
        <v>0.8</v>
      </c>
      <c r="I12">
        <v>0.8</v>
      </c>
      <c r="J12" s="91">
        <v>0.25</v>
      </c>
      <c r="K12" s="91">
        <v>0.05</v>
      </c>
    </row>
    <row r="13" spans="1:42" x14ac:dyDescent="0.15">
      <c r="D13">
        <v>12</v>
      </c>
      <c r="E13" s="146" t="s">
        <v>203</v>
      </c>
      <c r="F13">
        <v>0.98</v>
      </c>
      <c r="G13">
        <v>0.8</v>
      </c>
      <c r="H13">
        <v>0.8</v>
      </c>
      <c r="I13">
        <v>0</v>
      </c>
      <c r="J13" s="91">
        <v>0</v>
      </c>
      <c r="K13" s="91">
        <v>0</v>
      </c>
    </row>
    <row r="14" spans="1:42" x14ac:dyDescent="0.15">
      <c r="D14">
        <v>13</v>
      </c>
      <c r="E14" s="146" t="s">
        <v>204</v>
      </c>
      <c r="F14">
        <v>0.98</v>
      </c>
      <c r="G14">
        <v>0.8</v>
      </c>
      <c r="H14">
        <v>0</v>
      </c>
      <c r="I14">
        <v>0</v>
      </c>
      <c r="J14" s="91">
        <v>0</v>
      </c>
      <c r="K14" s="91">
        <v>0</v>
      </c>
    </row>
    <row r="15" spans="1:42" x14ac:dyDescent="0.15">
      <c r="D15">
        <v>14</v>
      </c>
      <c r="E15" s="146" t="s">
        <v>205</v>
      </c>
      <c r="F15">
        <v>0.98</v>
      </c>
      <c r="G15">
        <v>0.8</v>
      </c>
      <c r="H15">
        <v>0</v>
      </c>
      <c r="I15">
        <v>0</v>
      </c>
      <c r="J15" s="91">
        <v>0</v>
      </c>
      <c r="K15" s="91">
        <v>0</v>
      </c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9" bestFit="1" customWidth="1"/>
    <col min="2" max="12" width="3.83203125" style="89" customWidth="1"/>
    <col min="13" max="15" width="2.33203125" style="89" customWidth="1"/>
    <col min="16" max="16384" width="10.83203125" style="89"/>
  </cols>
  <sheetData>
    <row r="1" spans="1:30" x14ac:dyDescent="0.15">
      <c r="A1" s="55" t="s">
        <v>118</v>
      </c>
      <c r="B1" s="148" t="s">
        <v>192</v>
      </c>
      <c r="C1" s="148" t="s">
        <v>193</v>
      </c>
      <c r="D1" s="148" t="s">
        <v>194</v>
      </c>
      <c r="E1" s="148" t="s">
        <v>195</v>
      </c>
      <c r="F1" s="148" t="s">
        <v>196</v>
      </c>
      <c r="G1" s="148" t="s">
        <v>197</v>
      </c>
      <c r="H1" s="148" t="s">
        <v>198</v>
      </c>
      <c r="I1" s="148" t="s">
        <v>199</v>
      </c>
      <c r="J1" s="148" t="s">
        <v>200</v>
      </c>
      <c r="K1" s="148" t="s">
        <v>201</v>
      </c>
      <c r="L1" s="148" t="s">
        <v>202</v>
      </c>
      <c r="M1" s="148" t="s">
        <v>203</v>
      </c>
      <c r="N1" s="148" t="s">
        <v>204</v>
      </c>
      <c r="O1" s="148" t="s">
        <v>205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47" t="s">
        <v>192</v>
      </c>
      <c r="B2" s="89">
        <v>0</v>
      </c>
      <c r="C2" s="89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89">
        <v>0</v>
      </c>
      <c r="L2" s="89">
        <v>0</v>
      </c>
      <c r="M2" s="89">
        <v>0</v>
      </c>
      <c r="N2" s="89">
        <v>0</v>
      </c>
      <c r="O2" s="89">
        <v>0</v>
      </c>
    </row>
    <row r="3" spans="1:30" customFormat="1" x14ac:dyDescent="0.15">
      <c r="A3" s="147" t="s">
        <v>193</v>
      </c>
      <c r="B3" s="89">
        <v>0</v>
      </c>
      <c r="C3" s="89">
        <v>0</v>
      </c>
      <c r="D3" s="89">
        <v>0</v>
      </c>
      <c r="E3" s="89">
        <v>0</v>
      </c>
      <c r="F3" s="89">
        <v>0</v>
      </c>
      <c r="G3" s="89">
        <v>0</v>
      </c>
      <c r="H3" s="89">
        <v>0</v>
      </c>
      <c r="I3" s="89">
        <v>0</v>
      </c>
      <c r="J3" s="89">
        <v>0</v>
      </c>
      <c r="K3" s="89">
        <v>0</v>
      </c>
      <c r="L3" s="89">
        <v>0</v>
      </c>
      <c r="M3" s="89">
        <v>0</v>
      </c>
      <c r="N3" s="89">
        <v>0</v>
      </c>
      <c r="O3" s="89">
        <v>0</v>
      </c>
    </row>
    <row r="4" spans="1:30" customFormat="1" x14ac:dyDescent="0.15">
      <c r="A4" s="147" t="s">
        <v>194</v>
      </c>
      <c r="B4" s="89">
        <v>0.8</v>
      </c>
      <c r="C4" s="89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89">
        <v>0</v>
      </c>
      <c r="L4" s="89">
        <v>0</v>
      </c>
      <c r="M4" s="89">
        <v>0</v>
      </c>
      <c r="N4" s="89">
        <v>0</v>
      </c>
      <c r="O4" s="89">
        <v>0</v>
      </c>
    </row>
    <row r="5" spans="1:30" customFormat="1" x14ac:dyDescent="0.15">
      <c r="A5" s="147" t="s">
        <v>195</v>
      </c>
      <c r="B5" s="89">
        <v>0.8</v>
      </c>
      <c r="C5" s="89">
        <v>0.8</v>
      </c>
      <c r="D5" s="89">
        <v>0.8</v>
      </c>
      <c r="E5" s="89">
        <v>0</v>
      </c>
      <c r="F5" s="89">
        <v>0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89">
        <v>0</v>
      </c>
      <c r="M5" s="89">
        <v>0</v>
      </c>
      <c r="N5" s="89">
        <v>0</v>
      </c>
      <c r="O5" s="89">
        <v>0</v>
      </c>
    </row>
    <row r="6" spans="1:30" customFormat="1" x14ac:dyDescent="0.15">
      <c r="A6" s="147" t="s">
        <v>196</v>
      </c>
      <c r="B6" s="89">
        <v>0.8</v>
      </c>
      <c r="C6" s="89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89">
        <v>0</v>
      </c>
      <c r="M6" s="89">
        <v>0</v>
      </c>
      <c r="N6" s="89">
        <v>0</v>
      </c>
      <c r="O6" s="89">
        <v>0</v>
      </c>
    </row>
    <row r="7" spans="1:30" customFormat="1" x14ac:dyDescent="0.15">
      <c r="A7" s="147" t="s">
        <v>197</v>
      </c>
      <c r="B7" s="89">
        <v>0.8</v>
      </c>
      <c r="C7" s="89">
        <v>0</v>
      </c>
      <c r="D7" s="89">
        <v>0</v>
      </c>
      <c r="E7" s="89">
        <v>0.8</v>
      </c>
      <c r="F7" s="89">
        <v>0</v>
      </c>
      <c r="G7" s="89">
        <v>0</v>
      </c>
      <c r="H7" s="89">
        <v>0</v>
      </c>
      <c r="I7" s="89">
        <v>0</v>
      </c>
      <c r="J7" s="89">
        <v>0.8</v>
      </c>
      <c r="K7" s="89">
        <v>0</v>
      </c>
      <c r="L7" s="89">
        <v>0</v>
      </c>
      <c r="M7" s="89">
        <v>0</v>
      </c>
      <c r="N7" s="89">
        <v>0</v>
      </c>
      <c r="O7" s="89">
        <v>0</v>
      </c>
    </row>
    <row r="8" spans="1:30" customFormat="1" x14ac:dyDescent="0.15">
      <c r="A8" s="147" t="s">
        <v>198</v>
      </c>
      <c r="B8" s="89">
        <v>0.8</v>
      </c>
      <c r="C8" s="89">
        <v>0.8</v>
      </c>
      <c r="D8" s="89">
        <v>0.8</v>
      </c>
      <c r="E8" s="89">
        <v>0.8</v>
      </c>
      <c r="F8" s="89">
        <v>0.8</v>
      </c>
      <c r="G8" s="89">
        <v>0.8</v>
      </c>
      <c r="H8" s="89">
        <v>0</v>
      </c>
      <c r="I8" s="89">
        <v>0</v>
      </c>
      <c r="J8" s="89">
        <v>0</v>
      </c>
      <c r="K8" s="89">
        <v>0</v>
      </c>
      <c r="L8" s="89">
        <v>0</v>
      </c>
      <c r="M8" s="89">
        <v>0</v>
      </c>
      <c r="N8" s="89">
        <v>0</v>
      </c>
      <c r="O8" s="89">
        <v>0</v>
      </c>
    </row>
    <row r="9" spans="1:30" customFormat="1" x14ac:dyDescent="0.15">
      <c r="A9" s="147" t="s">
        <v>199</v>
      </c>
      <c r="B9" s="89">
        <v>0.8</v>
      </c>
      <c r="C9" s="89">
        <v>0.8</v>
      </c>
      <c r="D9" s="89">
        <v>0.8</v>
      </c>
      <c r="E9" s="89">
        <v>0.8</v>
      </c>
      <c r="F9" s="89">
        <v>0.8</v>
      </c>
      <c r="G9" s="89">
        <v>0.8</v>
      </c>
      <c r="H9" s="89">
        <v>0.8</v>
      </c>
      <c r="I9" s="89">
        <v>0.8</v>
      </c>
      <c r="J9" s="89">
        <v>0.8</v>
      </c>
      <c r="K9" s="89">
        <v>0</v>
      </c>
      <c r="L9" s="89">
        <v>0</v>
      </c>
      <c r="M9" s="89">
        <v>0</v>
      </c>
      <c r="N9" s="89">
        <v>0</v>
      </c>
      <c r="O9" s="89">
        <v>0</v>
      </c>
    </row>
    <row r="10" spans="1:30" customFormat="1" x14ac:dyDescent="0.15">
      <c r="A10" s="147" t="s">
        <v>200</v>
      </c>
      <c r="B10" s="89">
        <v>0</v>
      </c>
      <c r="C10" s="89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  <c r="O10" s="89">
        <v>0</v>
      </c>
    </row>
    <row r="11" spans="1:30" customFormat="1" x14ac:dyDescent="0.15">
      <c r="A11" s="147" t="s">
        <v>201</v>
      </c>
      <c r="B11" s="89">
        <v>0.8</v>
      </c>
      <c r="C11" s="89">
        <v>0.8</v>
      </c>
      <c r="D11" s="89">
        <v>0.8</v>
      </c>
      <c r="E11" s="89">
        <v>0.8</v>
      </c>
      <c r="F11" s="89">
        <v>0.8</v>
      </c>
      <c r="G11" s="89">
        <v>0.8</v>
      </c>
      <c r="H11" s="89">
        <v>0.8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</row>
    <row r="12" spans="1:30" customFormat="1" x14ac:dyDescent="0.15">
      <c r="A12" s="147" t="s">
        <v>202</v>
      </c>
      <c r="B12" s="89">
        <v>0.8</v>
      </c>
      <c r="C12" s="89">
        <v>0.8</v>
      </c>
      <c r="D12" s="89">
        <v>0.8</v>
      </c>
      <c r="E12" s="89">
        <v>0.8</v>
      </c>
      <c r="F12" s="89">
        <v>0.8</v>
      </c>
      <c r="G12" s="89">
        <v>0.8</v>
      </c>
      <c r="H12" s="89">
        <v>0</v>
      </c>
      <c r="I12" s="89">
        <v>0</v>
      </c>
      <c r="J12" s="89">
        <v>0</v>
      </c>
      <c r="K12" s="89">
        <v>0</v>
      </c>
      <c r="L12" s="89">
        <v>0</v>
      </c>
      <c r="M12" s="89">
        <v>0</v>
      </c>
      <c r="N12" s="89">
        <v>0</v>
      </c>
      <c r="O12" s="89">
        <v>0</v>
      </c>
    </row>
    <row r="13" spans="1:30" customFormat="1" x14ac:dyDescent="0.15">
      <c r="A13" s="147" t="s">
        <v>203</v>
      </c>
      <c r="B13" s="89">
        <v>0.8</v>
      </c>
      <c r="C13" s="89">
        <v>0.8</v>
      </c>
      <c r="D13" s="89">
        <v>0.8</v>
      </c>
      <c r="E13" s="89">
        <v>0.8</v>
      </c>
      <c r="F13" s="89">
        <v>0.8</v>
      </c>
      <c r="G13" s="89">
        <v>0</v>
      </c>
      <c r="H13" s="89">
        <v>0.8</v>
      </c>
      <c r="I13" s="89">
        <v>0.8</v>
      </c>
      <c r="J13" s="89">
        <v>0.8</v>
      </c>
      <c r="K13" s="89">
        <v>0.8</v>
      </c>
      <c r="L13" s="89">
        <v>0.8</v>
      </c>
      <c r="M13" s="89">
        <v>0</v>
      </c>
      <c r="N13" s="89">
        <v>0</v>
      </c>
      <c r="O13" s="89">
        <v>0</v>
      </c>
    </row>
    <row r="14" spans="1:30" customFormat="1" x14ac:dyDescent="0.15">
      <c r="A14" s="147" t="s">
        <v>204</v>
      </c>
      <c r="B14" s="89">
        <v>0.8</v>
      </c>
      <c r="C14" s="89">
        <v>0.8</v>
      </c>
      <c r="D14" s="89">
        <v>0.8</v>
      </c>
      <c r="E14" s="89">
        <v>0.8</v>
      </c>
      <c r="F14" s="89">
        <v>0.8</v>
      </c>
      <c r="G14" s="89">
        <v>0.8</v>
      </c>
      <c r="H14" s="89">
        <v>0.8</v>
      </c>
      <c r="I14" s="89">
        <v>0.8</v>
      </c>
      <c r="J14" s="89">
        <v>0.8</v>
      </c>
      <c r="K14" s="89">
        <v>0</v>
      </c>
      <c r="L14" s="89">
        <v>0.8</v>
      </c>
      <c r="M14" s="89">
        <v>0</v>
      </c>
      <c r="N14" s="89">
        <v>0</v>
      </c>
      <c r="O14" s="89">
        <v>0</v>
      </c>
    </row>
    <row r="15" spans="1:30" customFormat="1" x14ac:dyDescent="0.15">
      <c r="A15" s="147" t="s">
        <v>205</v>
      </c>
      <c r="B15" s="89">
        <v>0</v>
      </c>
      <c r="C15" s="89">
        <v>0</v>
      </c>
      <c r="D15" s="89">
        <v>0</v>
      </c>
      <c r="E15" s="89">
        <v>0</v>
      </c>
      <c r="F15" s="89">
        <v>0</v>
      </c>
      <c r="G15" s="89">
        <v>0</v>
      </c>
      <c r="H15" s="89">
        <v>0</v>
      </c>
      <c r="I15" s="89">
        <v>0</v>
      </c>
      <c r="J15" s="89">
        <v>0</v>
      </c>
      <c r="K15" s="89">
        <v>0</v>
      </c>
      <c r="L15" s="89">
        <v>0</v>
      </c>
      <c r="M15" s="89">
        <v>0</v>
      </c>
      <c r="N15" s="89">
        <v>0</v>
      </c>
      <c r="O15" s="89">
        <v>0</v>
      </c>
    </row>
    <row r="16" spans="1:30" customFormat="1" x14ac:dyDescent="0.15">
      <c r="A16" s="147" t="s">
        <v>206</v>
      </c>
      <c r="B16" s="89">
        <v>0</v>
      </c>
      <c r="C16" s="89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89">
        <v>0</v>
      </c>
      <c r="L16" s="89">
        <v>0</v>
      </c>
      <c r="M16" s="89">
        <v>0</v>
      </c>
      <c r="N16" s="89">
        <v>0</v>
      </c>
      <c r="O16" s="89">
        <v>0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9" bestFit="1" customWidth="1"/>
    <col min="2" max="15" width="2.33203125" style="89" customWidth="1"/>
    <col min="16" max="16384" width="10.83203125" style="89"/>
  </cols>
  <sheetData>
    <row r="1" spans="1:31" x14ac:dyDescent="0.15">
      <c r="A1" s="55" t="s">
        <v>139</v>
      </c>
      <c r="B1" s="150" t="s">
        <v>192</v>
      </c>
      <c r="C1" s="150" t="s">
        <v>193</v>
      </c>
      <c r="D1" s="150" t="s">
        <v>194</v>
      </c>
      <c r="E1" s="150" t="s">
        <v>195</v>
      </c>
      <c r="F1" s="150" t="s">
        <v>196</v>
      </c>
      <c r="G1" s="150" t="s">
        <v>197</v>
      </c>
      <c r="H1" s="150" t="s">
        <v>198</v>
      </c>
      <c r="I1" s="150" t="s">
        <v>199</v>
      </c>
      <c r="J1" s="150" t="s">
        <v>200</v>
      </c>
      <c r="K1" s="150" t="s">
        <v>201</v>
      </c>
      <c r="L1" s="150" t="s">
        <v>202</v>
      </c>
      <c r="M1" s="150" t="s">
        <v>203</v>
      </c>
      <c r="N1" s="150" t="s">
        <v>204</v>
      </c>
      <c r="O1" s="150" t="s">
        <v>205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49" t="s">
        <v>192</v>
      </c>
      <c r="B2" s="89">
        <v>0</v>
      </c>
      <c r="C2" s="89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89">
        <v>0</v>
      </c>
      <c r="L2" s="89">
        <v>0</v>
      </c>
      <c r="M2" s="89">
        <v>0</v>
      </c>
      <c r="N2" s="89">
        <v>0</v>
      </c>
      <c r="O2" s="89">
        <v>0</v>
      </c>
    </row>
    <row r="3" spans="1:31" customFormat="1" x14ac:dyDescent="0.15">
      <c r="A3" s="149" t="s">
        <v>193</v>
      </c>
      <c r="B3" s="89">
        <v>0</v>
      </c>
      <c r="C3" s="89">
        <v>0</v>
      </c>
      <c r="D3" s="89">
        <v>0</v>
      </c>
      <c r="E3" s="89">
        <v>0</v>
      </c>
      <c r="F3" s="89">
        <v>0</v>
      </c>
      <c r="G3" s="89">
        <v>0</v>
      </c>
      <c r="H3" s="89">
        <v>0</v>
      </c>
      <c r="I3" s="89">
        <v>0</v>
      </c>
      <c r="J3" s="89">
        <v>0</v>
      </c>
      <c r="K3" s="89">
        <v>0</v>
      </c>
      <c r="L3" s="89">
        <v>0</v>
      </c>
      <c r="M3" s="89">
        <v>0</v>
      </c>
      <c r="N3" s="89">
        <v>0</v>
      </c>
      <c r="O3" s="89">
        <v>0</v>
      </c>
    </row>
    <row r="4" spans="1:31" customFormat="1" x14ac:dyDescent="0.15">
      <c r="A4" s="149" t="s">
        <v>194</v>
      </c>
      <c r="B4" s="89">
        <v>1</v>
      </c>
      <c r="C4" s="89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89">
        <v>0</v>
      </c>
      <c r="L4" s="89">
        <v>0</v>
      </c>
      <c r="M4" s="89">
        <v>0</v>
      </c>
      <c r="N4" s="89">
        <v>0</v>
      </c>
      <c r="O4" s="89">
        <v>0</v>
      </c>
    </row>
    <row r="5" spans="1:31" customFormat="1" x14ac:dyDescent="0.15">
      <c r="A5" s="149" t="s">
        <v>195</v>
      </c>
      <c r="B5" s="89">
        <v>1</v>
      </c>
      <c r="C5" s="89">
        <v>1</v>
      </c>
      <c r="D5" s="89">
        <v>1</v>
      </c>
      <c r="E5" s="89">
        <v>0</v>
      </c>
      <c r="F5" s="89">
        <v>0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89">
        <v>0</v>
      </c>
      <c r="M5" s="89">
        <v>0</v>
      </c>
      <c r="N5" s="89">
        <v>0</v>
      </c>
      <c r="O5" s="89">
        <v>0</v>
      </c>
    </row>
    <row r="6" spans="1:31" customFormat="1" x14ac:dyDescent="0.15">
      <c r="A6" s="149" t="s">
        <v>196</v>
      </c>
      <c r="B6" s="89">
        <v>1</v>
      </c>
      <c r="C6" s="89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89">
        <v>0</v>
      </c>
      <c r="M6" s="89">
        <v>0</v>
      </c>
      <c r="N6" s="89">
        <v>0</v>
      </c>
      <c r="O6" s="89">
        <v>0</v>
      </c>
    </row>
    <row r="7" spans="1:31" customFormat="1" x14ac:dyDescent="0.15">
      <c r="A7" s="149" t="s">
        <v>197</v>
      </c>
      <c r="B7" s="89">
        <v>1</v>
      </c>
      <c r="C7" s="89">
        <v>0</v>
      </c>
      <c r="D7" s="89">
        <v>0</v>
      </c>
      <c r="E7" s="89">
        <v>1</v>
      </c>
      <c r="F7" s="89">
        <v>0</v>
      </c>
      <c r="G7" s="89">
        <v>0</v>
      </c>
      <c r="H7" s="89">
        <v>0</v>
      </c>
      <c r="I7" s="89">
        <v>0</v>
      </c>
      <c r="J7" s="89">
        <v>1</v>
      </c>
      <c r="K7" s="89">
        <v>0</v>
      </c>
      <c r="L7" s="89">
        <v>0</v>
      </c>
      <c r="M7" s="89">
        <v>0</v>
      </c>
      <c r="N7" s="89">
        <v>0</v>
      </c>
      <c r="O7" s="89">
        <v>0</v>
      </c>
    </row>
    <row r="8" spans="1:31" customFormat="1" x14ac:dyDescent="0.15">
      <c r="A8" s="149" t="s">
        <v>198</v>
      </c>
      <c r="B8" s="89">
        <v>1</v>
      </c>
      <c r="C8" s="89">
        <v>1</v>
      </c>
      <c r="D8" s="89">
        <v>1</v>
      </c>
      <c r="E8" s="89">
        <v>1</v>
      </c>
      <c r="F8" s="89">
        <v>1</v>
      </c>
      <c r="G8" s="89">
        <v>1</v>
      </c>
      <c r="H8" s="89">
        <v>0</v>
      </c>
      <c r="I8" s="89">
        <v>0</v>
      </c>
      <c r="J8" s="89">
        <v>0</v>
      </c>
      <c r="K8" s="89">
        <v>0</v>
      </c>
      <c r="L8" s="89">
        <v>0</v>
      </c>
      <c r="M8" s="89">
        <v>0</v>
      </c>
      <c r="N8" s="89">
        <v>0</v>
      </c>
      <c r="O8" s="89">
        <v>0</v>
      </c>
    </row>
    <row r="9" spans="1:31" customFormat="1" x14ac:dyDescent="0.15">
      <c r="A9" s="149" t="s">
        <v>199</v>
      </c>
      <c r="B9" s="89">
        <v>1</v>
      </c>
      <c r="C9" s="89">
        <v>1</v>
      </c>
      <c r="D9" s="89">
        <v>1</v>
      </c>
      <c r="E9" s="89">
        <v>1</v>
      </c>
      <c r="F9" s="89">
        <v>1</v>
      </c>
      <c r="G9" s="89">
        <v>1</v>
      </c>
      <c r="H9" s="89">
        <v>1</v>
      </c>
      <c r="I9" s="89">
        <v>1</v>
      </c>
      <c r="J9" s="89">
        <v>1</v>
      </c>
      <c r="K9" s="89">
        <v>0</v>
      </c>
      <c r="L9" s="89">
        <v>0</v>
      </c>
      <c r="M9" s="89">
        <v>0</v>
      </c>
      <c r="N9" s="89">
        <v>0</v>
      </c>
      <c r="O9" s="89">
        <v>0</v>
      </c>
    </row>
    <row r="10" spans="1:31" customFormat="1" x14ac:dyDescent="0.15">
      <c r="A10" s="149" t="s">
        <v>200</v>
      </c>
      <c r="B10" s="89">
        <v>0</v>
      </c>
      <c r="C10" s="89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  <c r="O10" s="89">
        <v>0</v>
      </c>
    </row>
    <row r="11" spans="1:31" customFormat="1" x14ac:dyDescent="0.15">
      <c r="A11" s="149" t="s">
        <v>201</v>
      </c>
      <c r="B11" s="89">
        <v>1</v>
      </c>
      <c r="C11" s="89">
        <v>1</v>
      </c>
      <c r="D11" s="89">
        <v>1</v>
      </c>
      <c r="E11" s="89">
        <v>1</v>
      </c>
      <c r="F11" s="89">
        <v>1</v>
      </c>
      <c r="G11" s="89">
        <v>1</v>
      </c>
      <c r="H11" s="89">
        <v>1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</row>
    <row r="12" spans="1:31" customFormat="1" x14ac:dyDescent="0.15">
      <c r="A12" s="149" t="s">
        <v>202</v>
      </c>
      <c r="B12" s="89">
        <v>1</v>
      </c>
      <c r="C12" s="89">
        <v>1</v>
      </c>
      <c r="D12" s="89">
        <v>1</v>
      </c>
      <c r="E12" s="89">
        <v>1</v>
      </c>
      <c r="F12" s="89">
        <v>1</v>
      </c>
      <c r="G12" s="89">
        <v>1</v>
      </c>
      <c r="H12" s="89">
        <v>0</v>
      </c>
      <c r="I12" s="89">
        <v>0</v>
      </c>
      <c r="J12" s="89">
        <v>0</v>
      </c>
      <c r="K12" s="89">
        <v>0</v>
      </c>
      <c r="L12" s="89">
        <v>0</v>
      </c>
      <c r="M12" s="89">
        <v>0</v>
      </c>
      <c r="N12" s="89">
        <v>0</v>
      </c>
      <c r="O12" s="89">
        <v>0</v>
      </c>
    </row>
    <row r="13" spans="1:31" customFormat="1" x14ac:dyDescent="0.15">
      <c r="A13" s="149" t="s">
        <v>203</v>
      </c>
      <c r="B13" s="89">
        <v>1</v>
      </c>
      <c r="C13" s="89">
        <v>1</v>
      </c>
      <c r="D13" s="89">
        <v>1</v>
      </c>
      <c r="E13" s="89">
        <v>1</v>
      </c>
      <c r="F13" s="89">
        <v>1</v>
      </c>
      <c r="G13" s="89">
        <v>0</v>
      </c>
      <c r="H13" s="89">
        <v>1</v>
      </c>
      <c r="I13" s="89">
        <v>1</v>
      </c>
      <c r="J13" s="89">
        <v>1</v>
      </c>
      <c r="K13" s="89">
        <v>1</v>
      </c>
      <c r="L13" s="89">
        <v>1</v>
      </c>
      <c r="M13" s="89">
        <v>0</v>
      </c>
      <c r="N13" s="89">
        <v>0</v>
      </c>
      <c r="O13" s="89">
        <v>0</v>
      </c>
    </row>
    <row r="14" spans="1:31" customFormat="1" x14ac:dyDescent="0.15">
      <c r="A14" s="149" t="s">
        <v>204</v>
      </c>
      <c r="B14" s="89">
        <v>1</v>
      </c>
      <c r="C14" s="89">
        <v>1</v>
      </c>
      <c r="D14" s="89">
        <v>1</v>
      </c>
      <c r="E14" s="89">
        <v>1</v>
      </c>
      <c r="F14" s="89">
        <v>1</v>
      </c>
      <c r="G14" s="89">
        <v>1</v>
      </c>
      <c r="H14" s="89">
        <v>1</v>
      </c>
      <c r="I14" s="89">
        <v>1</v>
      </c>
      <c r="J14" s="89">
        <v>1</v>
      </c>
      <c r="K14" s="89">
        <v>0</v>
      </c>
      <c r="L14" s="89">
        <v>1</v>
      </c>
      <c r="M14" s="89">
        <v>0</v>
      </c>
      <c r="N14" s="89">
        <v>0</v>
      </c>
      <c r="O14" s="89">
        <v>0</v>
      </c>
    </row>
    <row r="15" spans="1:31" customFormat="1" x14ac:dyDescent="0.15">
      <c r="A15" s="149" t="s">
        <v>205</v>
      </c>
      <c r="B15" s="89">
        <v>0</v>
      </c>
      <c r="C15" s="89">
        <v>0</v>
      </c>
      <c r="D15" s="89">
        <v>0</v>
      </c>
      <c r="E15" s="89">
        <v>0</v>
      </c>
      <c r="F15" s="89">
        <v>0</v>
      </c>
      <c r="G15" s="89">
        <v>0</v>
      </c>
      <c r="H15" s="89">
        <v>0</v>
      </c>
      <c r="I15" s="89">
        <v>0</v>
      </c>
      <c r="J15" s="89">
        <v>0</v>
      </c>
      <c r="K15" s="89">
        <v>0</v>
      </c>
      <c r="L15" s="89">
        <v>0</v>
      </c>
      <c r="M15" s="89">
        <v>0</v>
      </c>
      <c r="N15" s="89">
        <v>0</v>
      </c>
      <c r="O15" s="89">
        <v>0</v>
      </c>
    </row>
    <row r="16" spans="1:31" customFormat="1" x14ac:dyDescent="0.15">
      <c r="A16" s="149" t="s">
        <v>206</v>
      </c>
      <c r="B16" s="89">
        <v>0</v>
      </c>
      <c r="C16" s="89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89">
        <v>0</v>
      </c>
      <c r="L16" s="89">
        <v>0</v>
      </c>
      <c r="M16" s="89">
        <v>0</v>
      </c>
      <c r="N16" s="89">
        <v>0</v>
      </c>
      <c r="O16" s="89">
        <v>0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D1" sqref="D1"/>
    </sheetView>
  </sheetViews>
  <sheetFormatPr baseColWidth="10" defaultRowHeight="13" x14ac:dyDescent="0.15"/>
  <cols>
    <col min="1" max="1" width="3.33203125" customWidth="1"/>
    <col min="2" max="2" width="14.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1" t="s">
        <v>210</v>
      </c>
    </row>
    <row r="2" spans="1:3" x14ac:dyDescent="0.15">
      <c r="A2">
        <v>1</v>
      </c>
      <c r="B2" s="151" t="s">
        <v>192</v>
      </c>
      <c r="C2">
        <v>0</v>
      </c>
    </row>
    <row r="3" spans="1:3" x14ac:dyDescent="0.15">
      <c r="A3">
        <v>2</v>
      </c>
      <c r="B3" s="151" t="s">
        <v>193</v>
      </c>
      <c r="C3">
        <v>0</v>
      </c>
    </row>
    <row r="4" spans="1:3" x14ac:dyDescent="0.15">
      <c r="A4">
        <v>3</v>
      </c>
      <c r="B4" s="151" t="s">
        <v>194</v>
      </c>
      <c r="C4">
        <v>0</v>
      </c>
    </row>
    <row r="5" spans="1:3" x14ac:dyDescent="0.15">
      <c r="A5">
        <v>4</v>
      </c>
      <c r="B5" s="151" t="s">
        <v>195</v>
      </c>
      <c r="C5">
        <v>0</v>
      </c>
    </row>
    <row r="6" spans="1:3" x14ac:dyDescent="0.15">
      <c r="A6">
        <v>5</v>
      </c>
      <c r="B6" s="151" t="s">
        <v>196</v>
      </c>
      <c r="C6">
        <v>0</v>
      </c>
    </row>
    <row r="7" spans="1:3" x14ac:dyDescent="0.15">
      <c r="A7">
        <v>6</v>
      </c>
      <c r="B7" s="151" t="s">
        <v>197</v>
      </c>
      <c r="C7">
        <v>0</v>
      </c>
    </row>
    <row r="8" spans="1:3" x14ac:dyDescent="0.15">
      <c r="A8">
        <v>7</v>
      </c>
      <c r="B8" s="151" t="s">
        <v>198</v>
      </c>
      <c r="C8">
        <v>0</v>
      </c>
    </row>
    <row r="9" spans="1:3" x14ac:dyDescent="0.15">
      <c r="A9">
        <v>8</v>
      </c>
      <c r="B9" s="151" t="s">
        <v>199</v>
      </c>
      <c r="C9">
        <v>0</v>
      </c>
    </row>
    <row r="10" spans="1:3" x14ac:dyDescent="0.15">
      <c r="A10">
        <v>9</v>
      </c>
      <c r="B10" s="151" t="s">
        <v>200</v>
      </c>
      <c r="C10">
        <v>0</v>
      </c>
    </row>
    <row r="11" spans="1:3" x14ac:dyDescent="0.15">
      <c r="A11">
        <v>10</v>
      </c>
      <c r="B11" s="151" t="s">
        <v>201</v>
      </c>
      <c r="C11">
        <v>0</v>
      </c>
    </row>
    <row r="12" spans="1:3" x14ac:dyDescent="0.15">
      <c r="A12">
        <v>11</v>
      </c>
      <c r="B12" s="151" t="s">
        <v>202</v>
      </c>
      <c r="C12">
        <v>0</v>
      </c>
    </row>
    <row r="13" spans="1:3" x14ac:dyDescent="0.15">
      <c r="A13">
        <v>12</v>
      </c>
      <c r="B13" s="151" t="s">
        <v>203</v>
      </c>
      <c r="C13">
        <v>0</v>
      </c>
    </row>
    <row r="14" spans="1:3" x14ac:dyDescent="0.15">
      <c r="A14">
        <v>13</v>
      </c>
      <c r="B14" s="151" t="s">
        <v>204</v>
      </c>
      <c r="C14">
        <v>0</v>
      </c>
    </row>
    <row r="15" spans="1:3" x14ac:dyDescent="0.15">
      <c r="A15">
        <v>14</v>
      </c>
      <c r="B15" s="151" t="s">
        <v>205</v>
      </c>
      <c r="C1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5"/>
  <sheetViews>
    <sheetView workbookViewId="0">
      <selection activeCell="D1" sqref="D1"/>
    </sheetView>
  </sheetViews>
  <sheetFormatPr baseColWidth="10" defaultRowHeight="13" x14ac:dyDescent="0.15"/>
  <cols>
    <col min="1" max="1" width="3.33203125" customWidth="1"/>
    <col min="2" max="2" width="14.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1" t="s">
        <v>210</v>
      </c>
    </row>
    <row r="2" spans="1:3" x14ac:dyDescent="0.15">
      <c r="A2">
        <v>1</v>
      </c>
      <c r="B2" s="152" t="s">
        <v>192</v>
      </c>
      <c r="C2">
        <v>0</v>
      </c>
    </row>
    <row r="3" spans="1:3" x14ac:dyDescent="0.15">
      <c r="A3">
        <v>2</v>
      </c>
      <c r="B3" s="152" t="s">
        <v>193</v>
      </c>
      <c r="C3">
        <v>0</v>
      </c>
    </row>
    <row r="4" spans="1:3" x14ac:dyDescent="0.15">
      <c r="A4">
        <v>3</v>
      </c>
      <c r="B4" s="152" t="s">
        <v>194</v>
      </c>
      <c r="C4">
        <v>0</v>
      </c>
    </row>
    <row r="5" spans="1:3" x14ac:dyDescent="0.15">
      <c r="A5">
        <v>4</v>
      </c>
      <c r="B5" s="152" t="s">
        <v>195</v>
      </c>
      <c r="C5">
        <v>0</v>
      </c>
    </row>
    <row r="6" spans="1:3" x14ac:dyDescent="0.15">
      <c r="A6">
        <v>5</v>
      </c>
      <c r="B6" s="152" t="s">
        <v>196</v>
      </c>
      <c r="C6">
        <v>0</v>
      </c>
    </row>
    <row r="7" spans="1:3" x14ac:dyDescent="0.15">
      <c r="A7">
        <v>6</v>
      </c>
      <c r="B7" s="152" t="s">
        <v>197</v>
      </c>
      <c r="C7">
        <v>0</v>
      </c>
    </row>
    <row r="8" spans="1:3" x14ac:dyDescent="0.15">
      <c r="A8">
        <v>7</v>
      </c>
      <c r="B8" s="152" t="s">
        <v>198</v>
      </c>
      <c r="C8">
        <v>0</v>
      </c>
    </row>
    <row r="9" spans="1:3" x14ac:dyDescent="0.15">
      <c r="A9">
        <v>8</v>
      </c>
      <c r="B9" s="152" t="s">
        <v>199</v>
      </c>
      <c r="C9">
        <v>0</v>
      </c>
    </row>
    <row r="10" spans="1:3" x14ac:dyDescent="0.15">
      <c r="A10">
        <v>9</v>
      </c>
      <c r="B10" s="152" t="s">
        <v>200</v>
      </c>
      <c r="C10">
        <v>0</v>
      </c>
    </row>
    <row r="11" spans="1:3" x14ac:dyDescent="0.15">
      <c r="A11">
        <v>10</v>
      </c>
      <c r="B11" s="152" t="s">
        <v>201</v>
      </c>
      <c r="C11">
        <v>0</v>
      </c>
    </row>
    <row r="12" spans="1:3" x14ac:dyDescent="0.15">
      <c r="A12">
        <v>11</v>
      </c>
      <c r="B12" s="152" t="s">
        <v>202</v>
      </c>
      <c r="C12">
        <v>0</v>
      </c>
    </row>
    <row r="13" spans="1:3" x14ac:dyDescent="0.15">
      <c r="A13">
        <v>12</v>
      </c>
      <c r="B13" s="152" t="s">
        <v>203</v>
      </c>
      <c r="C13">
        <v>0</v>
      </c>
    </row>
    <row r="14" spans="1:3" x14ac:dyDescent="0.15">
      <c r="A14">
        <v>13</v>
      </c>
      <c r="B14" s="152" t="s">
        <v>204</v>
      </c>
      <c r="C14">
        <v>0</v>
      </c>
    </row>
    <row r="15" spans="1:3" x14ac:dyDescent="0.15">
      <c r="A15">
        <v>14</v>
      </c>
      <c r="B15" s="152" t="s">
        <v>205</v>
      </c>
      <c r="C1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65"/>
    <col min="2" max="2" width="41.83203125" style="65" bestFit="1" customWidth="1"/>
    <col min="3" max="3" width="9.33203125" style="65" bestFit="1" customWidth="1"/>
    <col min="4" max="4" width="13" style="65" bestFit="1" customWidth="1"/>
    <col min="5" max="6" width="9.33203125" style="65" bestFit="1" customWidth="1"/>
    <col min="7" max="7" width="9.33203125" style="81" bestFit="1" customWidth="1"/>
    <col min="8" max="8" width="9.33203125" style="65" bestFit="1" customWidth="1"/>
    <col min="9" max="9" width="11" style="65" customWidth="1"/>
    <col min="10" max="10" width="8.83203125" style="65"/>
    <col min="15" max="16384" width="8.83203125" style="6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7" t="s">
        <v>14</v>
      </c>
      <c r="H1" s="1" t="s">
        <v>26</v>
      </c>
      <c r="I1" s="1" t="s">
        <v>24</v>
      </c>
    </row>
    <row r="2" spans="1:10" ht="15" customHeight="1" x14ac:dyDescent="0.15">
      <c r="A2" s="121">
        <v>1</v>
      </c>
      <c r="B2" s="121" t="s">
        <v>192</v>
      </c>
      <c r="C2" s="8">
        <v>3.4370341300964355</v>
      </c>
      <c r="D2" s="9">
        <v>1.0700000450015068E-2</v>
      </c>
      <c r="E2" s="9">
        <v>0.30000001192092896</v>
      </c>
      <c r="F2" s="9">
        <v>3</v>
      </c>
      <c r="G2" s="7">
        <v>0</v>
      </c>
      <c r="H2" s="9">
        <v>0.10000000149011612</v>
      </c>
      <c r="I2">
        <v>0</v>
      </c>
      <c r="J2"/>
    </row>
    <row r="3" spans="1:10" ht="15" customHeight="1" x14ac:dyDescent="0.15">
      <c r="A3" s="122">
        <v>2</v>
      </c>
      <c r="B3" s="122" t="s">
        <v>193</v>
      </c>
      <c r="C3" s="8">
        <v>3.239171028137207</v>
      </c>
      <c r="D3" s="9">
        <v>4.9400001764297485E-2</v>
      </c>
      <c r="E3" s="9">
        <v>0.30000001192092896</v>
      </c>
      <c r="F3" s="9">
        <v>2</v>
      </c>
      <c r="G3" s="7">
        <v>0</v>
      </c>
      <c r="H3" s="9">
        <v>0.15000000596046448</v>
      </c>
      <c r="I3">
        <v>0</v>
      </c>
      <c r="J3"/>
    </row>
    <row r="4" spans="1:10" ht="15" customHeight="1" x14ac:dyDescent="0.15">
      <c r="A4" s="123">
        <v>3</v>
      </c>
      <c r="B4" s="123" t="s">
        <v>194</v>
      </c>
      <c r="C4" s="8">
        <v>3.1584866046905518</v>
      </c>
      <c r="D4" s="9">
        <v>0.51800000667572021</v>
      </c>
      <c r="E4" s="9">
        <v>0.37999999523162842</v>
      </c>
      <c r="F4" s="9">
        <v>5.8689999580383301</v>
      </c>
      <c r="G4" s="9">
        <v>1.4318128116428852E-2</v>
      </c>
      <c r="H4" s="9">
        <v>6.4746975898742676E-2</v>
      </c>
      <c r="I4">
        <v>0</v>
      </c>
      <c r="J4"/>
    </row>
    <row r="5" spans="1:10" ht="15" customHeight="1" x14ac:dyDescent="0.15">
      <c r="A5" s="124">
        <v>4</v>
      </c>
      <c r="B5" s="124" t="s">
        <v>195</v>
      </c>
      <c r="C5" s="8">
        <v>3.033322811126709</v>
      </c>
      <c r="D5" s="9">
        <v>0.60811233520507812</v>
      </c>
      <c r="E5" s="9">
        <v>0.60000002384185791</v>
      </c>
      <c r="F5" s="9">
        <v>8.7779998779296875</v>
      </c>
      <c r="G5" s="9">
        <v>0.20000000298023224</v>
      </c>
      <c r="H5" s="9">
        <v>6.8352706730365753E-2</v>
      </c>
      <c r="I5">
        <v>0</v>
      </c>
      <c r="J5"/>
    </row>
    <row r="6" spans="1:10" ht="15" customHeight="1" x14ac:dyDescent="0.15">
      <c r="A6" s="125">
        <v>5</v>
      </c>
      <c r="B6" s="125" t="s">
        <v>196</v>
      </c>
      <c r="C6" s="8">
        <v>2.9382729530334473</v>
      </c>
      <c r="D6" s="9">
        <v>2.3399999365210533E-2</v>
      </c>
      <c r="E6" s="9">
        <v>1.3799999952316284</v>
      </c>
      <c r="F6" s="9">
        <v>6.124000072479248</v>
      </c>
      <c r="G6" s="9">
        <v>8.7277971208095551E-2</v>
      </c>
      <c r="H6" s="9">
        <v>0.22534291446208954</v>
      </c>
      <c r="I6">
        <v>0</v>
      </c>
      <c r="J6"/>
    </row>
    <row r="7" spans="1:10" ht="15" customHeight="1" x14ac:dyDescent="0.15">
      <c r="A7" s="126">
        <v>6</v>
      </c>
      <c r="B7" s="126" t="s">
        <v>197</v>
      </c>
      <c r="C7" s="8">
        <v>2.7988889217376709</v>
      </c>
      <c r="D7" s="9">
        <v>3</v>
      </c>
      <c r="E7" s="9">
        <v>0.40000000596046448</v>
      </c>
      <c r="F7" s="9">
        <v>3</v>
      </c>
      <c r="G7" s="9">
        <v>7.1862988173961639E-2</v>
      </c>
      <c r="H7" s="9">
        <v>0.13333334028720856</v>
      </c>
      <c r="I7">
        <v>0</v>
      </c>
      <c r="J7"/>
    </row>
    <row r="8" spans="1:10" ht="15" customHeight="1" x14ac:dyDescent="0.15">
      <c r="A8" s="127">
        <v>7</v>
      </c>
      <c r="B8" s="127" t="s">
        <v>198</v>
      </c>
      <c r="C8" s="8">
        <v>2.6555557250976562</v>
      </c>
      <c r="D8" s="9">
        <v>0.80000001192092896</v>
      </c>
      <c r="E8" s="9">
        <v>7.5729999542236328</v>
      </c>
      <c r="F8" s="9">
        <v>19.221000671386719</v>
      </c>
      <c r="G8" s="9">
        <v>0.38630089163780212</v>
      </c>
      <c r="H8" s="9">
        <v>0.39399611949920654</v>
      </c>
      <c r="I8">
        <v>0</v>
      </c>
      <c r="J8"/>
    </row>
    <row r="9" spans="1:10" ht="15" customHeight="1" x14ac:dyDescent="0.15">
      <c r="A9" s="128">
        <v>8</v>
      </c>
      <c r="B9" s="128" t="s">
        <v>199</v>
      </c>
      <c r="C9" s="8">
        <v>2.1111111640930176</v>
      </c>
      <c r="D9" s="9">
        <v>10.763132095336914</v>
      </c>
      <c r="E9" s="9">
        <v>4</v>
      </c>
      <c r="F9" s="9">
        <v>25</v>
      </c>
      <c r="G9" s="9">
        <v>0.94999992847442627</v>
      </c>
      <c r="H9" s="9">
        <v>0.15999999642372131</v>
      </c>
      <c r="I9">
        <v>0</v>
      </c>
      <c r="J9"/>
    </row>
    <row r="10" spans="1:10" ht="15" customHeight="1" x14ac:dyDescent="0.15">
      <c r="A10" s="129">
        <v>9</v>
      </c>
      <c r="B10" s="129" t="s">
        <v>200</v>
      </c>
      <c r="C10" s="8">
        <v>2.0684020519256592</v>
      </c>
      <c r="D10" s="9">
        <v>0.93120002746582031</v>
      </c>
      <c r="E10" s="9">
        <v>1</v>
      </c>
      <c r="F10" s="9">
        <v>4.5</v>
      </c>
      <c r="G10" s="7">
        <v>0</v>
      </c>
      <c r="H10" s="9">
        <v>0.2222222238779068</v>
      </c>
      <c r="I10">
        <v>0</v>
      </c>
      <c r="J10"/>
    </row>
    <row r="11" spans="1:10" ht="15" customHeight="1" x14ac:dyDescent="0.15">
      <c r="A11" s="130">
        <v>10</v>
      </c>
      <c r="B11" s="130" t="s">
        <v>201</v>
      </c>
      <c r="C11" s="8">
        <v>2</v>
      </c>
      <c r="D11" s="9">
        <v>1.1277741193771362</v>
      </c>
      <c r="E11" s="9">
        <v>5</v>
      </c>
      <c r="F11" s="9">
        <v>60</v>
      </c>
      <c r="G11" s="9">
        <v>0.94999998807907104</v>
      </c>
      <c r="H11" s="9">
        <v>8.3333335816860199E-2</v>
      </c>
      <c r="I11">
        <v>0</v>
      </c>
      <c r="J11"/>
    </row>
    <row r="12" spans="1:10" ht="15" customHeight="1" x14ac:dyDescent="0.15">
      <c r="A12" s="131">
        <v>11</v>
      </c>
      <c r="B12" s="131" t="s">
        <v>202</v>
      </c>
      <c r="C12" s="8">
        <v>2</v>
      </c>
      <c r="D12" s="9">
        <v>0.75979441404342651</v>
      </c>
      <c r="E12" s="9">
        <v>2.5</v>
      </c>
      <c r="F12" s="9">
        <v>8.5</v>
      </c>
      <c r="G12" s="9">
        <v>0.94999998807907104</v>
      </c>
      <c r="H12" s="9">
        <v>0.29411765933036804</v>
      </c>
      <c r="I12">
        <v>0</v>
      </c>
      <c r="J12"/>
    </row>
    <row r="13" spans="1:10" ht="15" customHeight="1" x14ac:dyDescent="0.15">
      <c r="A13" s="132">
        <v>12</v>
      </c>
      <c r="B13" s="132" t="s">
        <v>203</v>
      </c>
      <c r="C13" s="8">
        <v>1</v>
      </c>
      <c r="D13" s="9">
        <v>2.5</v>
      </c>
      <c r="E13" s="9">
        <v>102.55799865722656</v>
      </c>
      <c r="F13" s="10"/>
      <c r="G13" s="9">
        <v>0.607338547706604</v>
      </c>
      <c r="H13" s="10"/>
      <c r="I13">
        <v>0</v>
      </c>
      <c r="J13"/>
    </row>
    <row r="14" spans="1:10" ht="15" customHeight="1" x14ac:dyDescent="0.15">
      <c r="A14" s="133">
        <v>13</v>
      </c>
      <c r="B14" s="133" t="s">
        <v>204</v>
      </c>
      <c r="C14" s="8">
        <v>1</v>
      </c>
      <c r="D14" s="9">
        <v>10</v>
      </c>
      <c r="E14" s="10"/>
      <c r="F14" s="10"/>
      <c r="G14" s="9">
        <v>0.93830674886703491</v>
      </c>
      <c r="H14" s="10"/>
      <c r="I14">
        <v>0</v>
      </c>
      <c r="J14"/>
    </row>
    <row r="15" spans="1:10" ht="15" customHeight="1" x14ac:dyDescent="0.15">
      <c r="A15" s="134">
        <v>14</v>
      </c>
      <c r="B15" s="134" t="s">
        <v>205</v>
      </c>
      <c r="C15" s="8">
        <v>1</v>
      </c>
      <c r="D15" s="9">
        <v>5</v>
      </c>
      <c r="E15" s="10"/>
      <c r="F15" s="10"/>
      <c r="G15" s="7">
        <v>0</v>
      </c>
      <c r="H15" s="10"/>
      <c r="I15">
        <v>0</v>
      </c>
      <c r="J15"/>
    </row>
    <row r="16" spans="1:10" ht="15" customHeight="1" x14ac:dyDescent="0.15">
      <c r="A16" s="135">
        <v>15</v>
      </c>
      <c r="B16" s="135" t="s">
        <v>210</v>
      </c>
      <c r="C16" s="8">
        <v>1</v>
      </c>
      <c r="D16" s="10"/>
      <c r="E16" s="10"/>
      <c r="F16" s="10"/>
      <c r="G16" s="10"/>
      <c r="H16" s="10"/>
      <c r="I16">
        <v>0</v>
      </c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5" bestFit="1" customWidth="1"/>
    <col min="2" max="4" width="9.5" style="65" bestFit="1" customWidth="1"/>
    <col min="5" max="7" width="9" style="65" bestFit="1" customWidth="1"/>
    <col min="8" max="16" width="12.6640625" style="65" bestFit="1" customWidth="1"/>
    <col min="17" max="17" width="12.33203125" style="65" bestFit="1" customWidth="1"/>
    <col min="18" max="18" width="8.83203125" style="65"/>
    <col min="19" max="21" width="9.33203125" style="65" bestFit="1" customWidth="1"/>
    <col min="22" max="23" width="8.83203125" style="65"/>
    <col min="24" max="24" width="9.33203125" style="65" bestFit="1" customWidth="1"/>
    <col min="25" max="27" width="8.83203125" style="65"/>
    <col min="28" max="58" width="9" style="65" bestFit="1" customWidth="1"/>
    <col min="59" max="59" width="12.33203125" style="65" bestFit="1" customWidth="1"/>
    <col min="60" max="60" width="9" style="65" bestFit="1" customWidth="1"/>
    <col min="61" max="61" width="11.33203125" style="65" bestFit="1" customWidth="1"/>
    <col min="62" max="77" width="9" style="65" bestFit="1" customWidth="1"/>
    <col min="78" max="78" width="12.33203125" style="65" bestFit="1" customWidth="1"/>
    <col min="79" max="79" width="9" style="65" bestFit="1" customWidth="1"/>
    <col min="80" max="80" width="12.33203125" style="65" bestFit="1" customWidth="1"/>
    <col min="81" max="107" width="9" style="65" bestFit="1" customWidth="1"/>
    <col min="108" max="108" width="11.33203125" style="65" bestFit="1" customWidth="1"/>
    <col min="109" max="124" width="9" style="65" bestFit="1" customWidth="1"/>
    <col min="125" max="125" width="10.33203125" style="65" bestFit="1" customWidth="1"/>
    <col min="126" max="129" width="9.33203125" style="65" bestFit="1" customWidth="1"/>
    <col min="130" max="130" width="9" style="65" bestFit="1" customWidth="1"/>
    <col min="131" max="134" width="9.33203125" style="65" bestFit="1" customWidth="1"/>
    <col min="135" max="165" width="9" style="65" bestFit="1" customWidth="1"/>
    <col min="166" max="166" width="12.33203125" style="65" bestFit="1" customWidth="1"/>
    <col min="167" max="170" width="9" style="65" bestFit="1" customWidth="1"/>
    <col min="171" max="176" width="8.83203125" style="65"/>
    <col min="177" max="177" width="13.83203125" style="65" bestFit="1" customWidth="1"/>
    <col min="178" max="16384" width="8.83203125" style="6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212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0.30000001192092896</v>
      </c>
      <c r="C2">
        <v>0.30000001192092896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0.30000001192092896</v>
      </c>
      <c r="C3">
        <v>0.30000001192092896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0.37999999523162842</v>
      </c>
      <c r="C4">
        <v>0.37455910444259644</v>
      </c>
      <c r="D4"/>
      <c r="E4" s="15">
        <v>5.4408884607255459E-3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0.60000002384185791</v>
      </c>
      <c r="C5">
        <v>0.48000001907348633</v>
      </c>
      <c r="D5"/>
      <c r="E5" s="14">
        <v>9.2692747712135315E-3</v>
      </c>
      <c r="F5" s="20">
        <v>1.5743844211101532E-2</v>
      </c>
      <c r="G5" s="165">
        <v>9.4986885786056519E-2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1.3799999952316284</v>
      </c>
      <c r="C6">
        <v>1.2595564126968384</v>
      </c>
      <c r="D6"/>
      <c r="E6" s="164">
        <v>0.12044360488653183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0.40000000596046448</v>
      </c>
      <c r="C7">
        <v>0.37125480175018311</v>
      </c>
      <c r="D7"/>
      <c r="E7" s="13">
        <v>9.3946006381884217E-4</v>
      </c>
      <c r="F7"/>
      <c r="G7"/>
      <c r="H7" s="56">
        <v>2.473277784883976E-2</v>
      </c>
      <c r="I7"/>
      <c r="J7"/>
      <c r="K7"/>
      <c r="L7"/>
      <c r="M7" s="18">
        <v>3.0729600694030523E-3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7.5729999542236328</v>
      </c>
      <c r="C8">
        <v>4.6475434303283691</v>
      </c>
      <c r="D8"/>
      <c r="E8" s="11">
        <v>1.4043750707060099E-3</v>
      </c>
      <c r="F8" s="12">
        <v>2.640259638428688E-2</v>
      </c>
      <c r="G8" s="168">
        <v>0.82539856433868408</v>
      </c>
      <c r="H8" s="169">
        <v>0.94349324703216553</v>
      </c>
      <c r="I8" s="11">
        <v>3.7579089403152466E-3</v>
      </c>
      <c r="J8" s="171">
        <v>1.125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4</v>
      </c>
      <c r="C9">
        <v>0.20000028610229492</v>
      </c>
      <c r="D9"/>
      <c r="E9" s="11">
        <v>2.6304798666387796E-4</v>
      </c>
      <c r="F9" s="11">
        <v>3.6222741473466158E-3</v>
      </c>
      <c r="G9" s="173">
        <v>0.15396831929683685</v>
      </c>
      <c r="H9" s="21">
        <v>0.14427278935909271</v>
      </c>
      <c r="I9" s="13">
        <v>1.0108618997037411E-2</v>
      </c>
      <c r="J9" s="56">
        <v>0.25085633993148804</v>
      </c>
      <c r="K9" s="176">
        <v>0.71432739496231079</v>
      </c>
      <c r="L9" s="177">
        <v>2.5</v>
      </c>
      <c r="M9" s="19">
        <v>2.2581085562705994E-2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</v>
      </c>
      <c r="C10">
        <v>1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5</v>
      </c>
      <c r="C11">
        <v>0.25000005960464478</v>
      </c>
      <c r="D11"/>
      <c r="E11" s="13">
        <v>6.6717616282403469E-3</v>
      </c>
      <c r="F11" s="12">
        <v>1.6891105100512505E-2</v>
      </c>
      <c r="G11" s="17">
        <v>9.4349540770053864E-2</v>
      </c>
      <c r="H11" s="175">
        <v>1.6679888963699341</v>
      </c>
      <c r="I11" s="11">
        <v>4.56980150192976E-3</v>
      </c>
      <c r="J11" s="174">
        <v>1.5960643291473389</v>
      </c>
      <c r="K11" s="172">
        <v>1.3634647130966187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2.5</v>
      </c>
      <c r="C12">
        <v>0.12500002980232239</v>
      </c>
      <c r="D12"/>
      <c r="E12" s="13">
        <v>7.2667035274207592E-3</v>
      </c>
      <c r="F12" s="12">
        <v>7.4046002700924873E-3</v>
      </c>
      <c r="G12" s="166">
        <v>0.47855177521705627</v>
      </c>
      <c r="H12" s="167">
        <v>0.69272387027740479</v>
      </c>
      <c r="I12" s="13">
        <v>4.5220158062875271E-3</v>
      </c>
      <c r="J12" s="170">
        <v>1.1845309734344482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102.55799865722656</v>
      </c>
      <c r="C13">
        <v>40.270572662353516</v>
      </c>
      <c r="D13"/>
      <c r="E13" s="11">
        <v>2.8633201145567E-4</v>
      </c>
      <c r="F13" s="11">
        <v>1.579220755957067E-3</v>
      </c>
      <c r="G13" s="11">
        <v>4.2561985552310944E-2</v>
      </c>
      <c r="H13" s="11">
        <v>8.7116323411464691E-2</v>
      </c>
      <c r="I13" s="11">
        <v>7.7305557206273079E-3</v>
      </c>
      <c r="J13"/>
      <c r="K13" s="16">
        <v>1.8452161550521851</v>
      </c>
      <c r="L13" s="179">
        <v>32.289398193359375</v>
      </c>
      <c r="M13" s="13">
        <v>0.17197403311729431</v>
      </c>
      <c r="N13" s="178">
        <v>27.066579818725586</v>
      </c>
      <c r="O13" s="18">
        <v>0.77499032020568848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/>
      <c r="C14">
        <v>0.93830674886703491</v>
      </c>
      <c r="D14"/>
      <c r="E14" s="9">
        <v>2.921100240200758E-4</v>
      </c>
      <c r="F14" s="9">
        <v>4.9350649351254106E-4</v>
      </c>
      <c r="G14" s="9">
        <v>8.846813440322876E-2</v>
      </c>
      <c r="H14" s="9">
        <v>0.33095660805702209</v>
      </c>
      <c r="I14" s="9">
        <v>3.5789608955383301E-3</v>
      </c>
      <c r="J14" s="9">
        <v>2.7000000476837158</v>
      </c>
      <c r="K14" s="9">
        <v>1.5376801490783691</v>
      </c>
      <c r="L14" s="9">
        <v>161.44699096679688</v>
      </c>
      <c r="M14" s="9">
        <v>3.5082030296325684</v>
      </c>
      <c r="N14"/>
      <c r="O14" s="9">
        <v>4.5207767486572266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/>
      <c r="C15">
        <v>0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25" sqref="D2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6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4" t="s">
        <v>166</v>
      </c>
    </row>
    <row r="2" spans="1:12" x14ac:dyDescent="0.15">
      <c r="A2" s="1" t="s">
        <v>37</v>
      </c>
      <c r="B2" s="31">
        <v>3</v>
      </c>
      <c r="C2" s="29"/>
      <c r="D2" t="s">
        <v>38</v>
      </c>
      <c r="E2">
        <v>1</v>
      </c>
      <c r="F2">
        <v>1</v>
      </c>
      <c r="G2">
        <v>1</v>
      </c>
      <c r="H2" t="s">
        <v>38</v>
      </c>
      <c r="J2" s="47"/>
      <c r="K2" s="48"/>
      <c r="L2" s="54" t="s">
        <v>167</v>
      </c>
    </row>
    <row r="3" spans="1:12" ht="14" thickBot="1" x14ac:dyDescent="0.2">
      <c r="A3" s="1" t="s">
        <v>39</v>
      </c>
      <c r="B3" s="32">
        <v>0</v>
      </c>
      <c r="C3" s="29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9"/>
      <c r="K3" s="50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9"/>
      <c r="K4" s="50"/>
    </row>
    <row r="5" spans="1:12" x14ac:dyDescent="0.15">
      <c r="D5" s="153" t="s">
        <v>192</v>
      </c>
      <c r="E5">
        <v>4</v>
      </c>
      <c r="F5">
        <v>0</v>
      </c>
      <c r="G5">
        <v>4</v>
      </c>
      <c r="H5" s="154" t="s">
        <v>192</v>
      </c>
      <c r="J5" s="49"/>
      <c r="K5" s="50"/>
    </row>
    <row r="6" spans="1:12" ht="14" thickBot="1" x14ac:dyDescent="0.2">
      <c r="A6" s="33" t="s">
        <v>121</v>
      </c>
      <c r="D6" s="153" t="s">
        <v>193</v>
      </c>
      <c r="E6">
        <v>5</v>
      </c>
      <c r="F6">
        <v>0</v>
      </c>
      <c r="G6">
        <v>5</v>
      </c>
      <c r="H6" s="154" t="s">
        <v>193</v>
      </c>
      <c r="J6" s="49"/>
      <c r="K6" s="50"/>
    </row>
    <row r="7" spans="1:12" x14ac:dyDescent="0.15">
      <c r="A7" s="28" t="s">
        <v>126</v>
      </c>
      <c r="B7" s="35">
        <v>1</v>
      </c>
      <c r="C7" s="30"/>
      <c r="D7" s="153" t="s">
        <v>194</v>
      </c>
      <c r="E7">
        <v>6</v>
      </c>
      <c r="F7">
        <v>3.11</v>
      </c>
      <c r="G7">
        <v>6</v>
      </c>
      <c r="H7" s="154" t="s">
        <v>194</v>
      </c>
      <c r="J7" s="49"/>
      <c r="K7" s="50"/>
    </row>
    <row r="8" spans="1:12" x14ac:dyDescent="0.15">
      <c r="A8" s="28" t="s">
        <v>38</v>
      </c>
      <c r="B8" s="36">
        <v>1</v>
      </c>
      <c r="C8" s="30"/>
      <c r="D8" s="153" t="s">
        <v>195</v>
      </c>
      <c r="E8">
        <v>7</v>
      </c>
      <c r="F8">
        <v>3.14</v>
      </c>
      <c r="G8">
        <v>7</v>
      </c>
      <c r="H8" s="154" t="s">
        <v>195</v>
      </c>
      <c r="J8" s="49"/>
      <c r="K8" s="50"/>
    </row>
    <row r="9" spans="1:12" x14ac:dyDescent="0.15">
      <c r="A9" s="28" t="s">
        <v>40</v>
      </c>
      <c r="B9" s="36">
        <v>1.1000000000000001</v>
      </c>
      <c r="C9" s="30"/>
      <c r="D9" s="153" t="s">
        <v>196</v>
      </c>
      <c r="E9">
        <v>8</v>
      </c>
      <c r="F9">
        <v>0</v>
      </c>
      <c r="G9">
        <v>8</v>
      </c>
      <c r="H9" s="154" t="s">
        <v>196</v>
      </c>
      <c r="J9" s="49"/>
      <c r="K9" s="50"/>
    </row>
    <row r="10" spans="1:12" x14ac:dyDescent="0.15">
      <c r="A10" s="28" t="s">
        <v>41</v>
      </c>
      <c r="B10" s="36">
        <v>1.2</v>
      </c>
      <c r="C10" s="30"/>
      <c r="D10" s="153" t="s">
        <v>197</v>
      </c>
      <c r="E10">
        <v>9</v>
      </c>
      <c r="F10">
        <v>3.04</v>
      </c>
      <c r="G10">
        <v>9</v>
      </c>
      <c r="H10" s="154" t="s">
        <v>197</v>
      </c>
      <c r="J10" s="49"/>
      <c r="K10" s="50"/>
    </row>
    <row r="11" spans="1:12" ht="12" customHeight="1" x14ac:dyDescent="0.15">
      <c r="A11" s="34" t="s">
        <v>127</v>
      </c>
      <c r="B11" s="36">
        <v>2</v>
      </c>
      <c r="C11" s="30"/>
      <c r="D11" s="153" t="s">
        <v>198</v>
      </c>
      <c r="E11">
        <v>10</v>
      </c>
      <c r="F11">
        <v>3.02</v>
      </c>
      <c r="G11">
        <v>10</v>
      </c>
      <c r="H11" s="154" t="s">
        <v>198</v>
      </c>
      <c r="J11" s="49"/>
      <c r="K11" s="50"/>
    </row>
    <row r="12" spans="1:12" x14ac:dyDescent="0.15">
      <c r="A12" s="28" t="s">
        <v>42</v>
      </c>
      <c r="B12" s="36">
        <v>2.1</v>
      </c>
      <c r="C12" s="30"/>
      <c r="D12" s="153" t="s">
        <v>199</v>
      </c>
      <c r="E12">
        <v>11</v>
      </c>
      <c r="F12">
        <v>3.21</v>
      </c>
      <c r="G12">
        <v>11</v>
      </c>
      <c r="H12" s="154" t="s">
        <v>199</v>
      </c>
      <c r="J12" s="49"/>
      <c r="K12" s="50"/>
    </row>
    <row r="13" spans="1:12" x14ac:dyDescent="0.15">
      <c r="A13" s="28" t="s">
        <v>43</v>
      </c>
      <c r="B13" s="36">
        <v>2.2000000000000002</v>
      </c>
      <c r="C13" s="30"/>
      <c r="D13" s="153" t="s">
        <v>200</v>
      </c>
      <c r="E13">
        <v>12</v>
      </c>
      <c r="F13">
        <v>0</v>
      </c>
      <c r="G13">
        <v>12</v>
      </c>
      <c r="H13" s="154" t="s">
        <v>200</v>
      </c>
      <c r="J13" s="49"/>
      <c r="K13" s="50"/>
    </row>
    <row r="14" spans="1:12" x14ac:dyDescent="0.15">
      <c r="A14" s="28" t="s">
        <v>67</v>
      </c>
      <c r="B14" s="36">
        <v>2.2999999999999998</v>
      </c>
      <c r="C14" s="30"/>
      <c r="D14" s="153" t="s">
        <v>201</v>
      </c>
      <c r="E14">
        <v>13</v>
      </c>
      <c r="F14">
        <v>3.11</v>
      </c>
      <c r="G14">
        <v>13</v>
      </c>
      <c r="H14" s="154" t="s">
        <v>201</v>
      </c>
      <c r="J14" s="49"/>
      <c r="K14" s="50"/>
    </row>
    <row r="15" spans="1:12" x14ac:dyDescent="0.15">
      <c r="A15" s="34" t="s">
        <v>128</v>
      </c>
      <c r="B15" s="36">
        <v>3</v>
      </c>
      <c r="C15" s="30"/>
      <c r="D15" s="153" t="s">
        <v>202</v>
      </c>
      <c r="E15">
        <v>14</v>
      </c>
      <c r="F15">
        <v>0</v>
      </c>
      <c r="G15">
        <v>14</v>
      </c>
      <c r="H15" s="154" t="s">
        <v>202</v>
      </c>
      <c r="J15" s="49"/>
      <c r="K15" s="50"/>
    </row>
    <row r="16" spans="1:12" x14ac:dyDescent="0.15">
      <c r="A16" s="28" t="s">
        <v>62</v>
      </c>
      <c r="B16" s="36">
        <v>3.11</v>
      </c>
      <c r="C16" s="30"/>
      <c r="D16" s="153" t="s">
        <v>203</v>
      </c>
      <c r="E16">
        <v>15</v>
      </c>
      <c r="F16">
        <v>2.1</v>
      </c>
      <c r="G16">
        <v>15</v>
      </c>
      <c r="H16" s="154" t="s">
        <v>203</v>
      </c>
      <c r="J16" s="49"/>
      <c r="K16" s="50"/>
    </row>
    <row r="17" spans="1:12" x14ac:dyDescent="0.15">
      <c r="A17" s="28" t="s">
        <v>61</v>
      </c>
      <c r="B17" s="36">
        <v>3.12</v>
      </c>
      <c r="C17" s="30"/>
      <c r="D17" s="153" t="s">
        <v>204</v>
      </c>
      <c r="E17">
        <v>16</v>
      </c>
      <c r="F17">
        <v>4.0999999999999996</v>
      </c>
      <c r="G17">
        <v>16</v>
      </c>
      <c r="H17" s="154" t="s">
        <v>204</v>
      </c>
      <c r="J17" s="49"/>
      <c r="K17" s="50"/>
    </row>
    <row r="18" spans="1:12" x14ac:dyDescent="0.15">
      <c r="A18" s="28" t="s">
        <v>68</v>
      </c>
      <c r="B18" s="36">
        <v>3.13</v>
      </c>
      <c r="C18" s="30"/>
      <c r="D18" s="153" t="s">
        <v>205</v>
      </c>
      <c r="E18">
        <v>17</v>
      </c>
      <c r="F18">
        <v>4.3</v>
      </c>
      <c r="G18">
        <v>17</v>
      </c>
      <c r="H18" s="154" t="s">
        <v>205</v>
      </c>
      <c r="J18" s="49"/>
      <c r="K18" s="50"/>
    </row>
    <row r="19" spans="1:12" x14ac:dyDescent="0.15">
      <c r="A19" s="28" t="s">
        <v>66</v>
      </c>
      <c r="B19" s="36">
        <v>3.21</v>
      </c>
      <c r="C19" s="30"/>
      <c r="D19" s="162" t="s">
        <v>210</v>
      </c>
      <c r="E19">
        <v>18</v>
      </c>
      <c r="F19">
        <v>5</v>
      </c>
      <c r="G19">
        <v>18</v>
      </c>
      <c r="H19" s="162" t="s">
        <v>210</v>
      </c>
      <c r="J19" s="49"/>
      <c r="K19" s="50"/>
    </row>
    <row r="20" spans="1:12" x14ac:dyDescent="0.15">
      <c r="A20" s="28" t="s">
        <v>63</v>
      </c>
      <c r="B20" s="36">
        <v>3.22</v>
      </c>
      <c r="C20" s="30"/>
      <c r="D20" s="153" t="s">
        <v>138</v>
      </c>
      <c r="E20">
        <v>19</v>
      </c>
      <c r="F20">
        <v>6.1</v>
      </c>
      <c r="G20">
        <v>19</v>
      </c>
      <c r="H20" s="154" t="s">
        <v>138</v>
      </c>
      <c r="J20" s="49"/>
      <c r="K20" s="50"/>
    </row>
    <row r="21" spans="1:12" ht="14" thickBot="1" x14ac:dyDescent="0.2">
      <c r="A21" s="28" t="s">
        <v>69</v>
      </c>
      <c r="B21" s="36">
        <v>3.23</v>
      </c>
      <c r="C21" s="30"/>
      <c r="D21" s="153" t="s">
        <v>45</v>
      </c>
      <c r="E21">
        <v>20</v>
      </c>
      <c r="F21">
        <v>6.2</v>
      </c>
      <c r="G21">
        <v>20</v>
      </c>
      <c r="H21" s="154" t="s">
        <v>45</v>
      </c>
      <c r="J21" s="51"/>
      <c r="K21" s="52"/>
      <c r="L21" s="54" t="s">
        <v>152</v>
      </c>
    </row>
    <row r="22" spans="1:12" x14ac:dyDescent="0.15">
      <c r="A22" s="28" t="s">
        <v>64</v>
      </c>
      <c r="B22" s="36">
        <v>8</v>
      </c>
      <c r="C22" s="30"/>
    </row>
    <row r="23" spans="1:12" x14ac:dyDescent="0.15">
      <c r="A23" s="28" t="s">
        <v>129</v>
      </c>
      <c r="B23" s="36">
        <v>4</v>
      </c>
      <c r="C23" s="30"/>
    </row>
    <row r="24" spans="1:12" x14ac:dyDescent="0.15">
      <c r="A24" s="28" t="s">
        <v>122</v>
      </c>
      <c r="B24" s="36">
        <v>4.0999999999999996</v>
      </c>
      <c r="C24" s="30"/>
    </row>
    <row r="25" spans="1:12" x14ac:dyDescent="0.15">
      <c r="A25" s="28" t="s">
        <v>70</v>
      </c>
      <c r="B25" s="36">
        <v>4.2</v>
      </c>
      <c r="C25" s="30"/>
    </row>
    <row r="26" spans="1:12" x14ac:dyDescent="0.15">
      <c r="A26" s="28" t="s">
        <v>123</v>
      </c>
      <c r="B26" s="36">
        <v>4.3</v>
      </c>
      <c r="C26" s="30"/>
    </row>
    <row r="27" spans="1:12" x14ac:dyDescent="0.15">
      <c r="A27" s="28" t="s">
        <v>125</v>
      </c>
      <c r="B27" s="36">
        <v>6.1</v>
      </c>
    </row>
    <row r="28" spans="1:12" x14ac:dyDescent="0.15">
      <c r="A28" s="28" t="s">
        <v>124</v>
      </c>
      <c r="B28" s="36">
        <v>6.2</v>
      </c>
    </row>
    <row r="29" spans="1:12" x14ac:dyDescent="0.15">
      <c r="A29" s="28" t="s">
        <v>44</v>
      </c>
      <c r="B29" s="36">
        <v>5</v>
      </c>
    </row>
    <row r="30" spans="1:12" x14ac:dyDescent="0.15">
      <c r="A30" s="28" t="s">
        <v>73</v>
      </c>
      <c r="B30" s="36">
        <v>7</v>
      </c>
    </row>
    <row r="31" spans="1:12" x14ac:dyDescent="0.15">
      <c r="A31" s="28" t="s">
        <v>169</v>
      </c>
      <c r="B31" s="36">
        <v>3.14</v>
      </c>
    </row>
    <row r="32" spans="1:12" ht="12" customHeight="1" thickBot="1" x14ac:dyDescent="0.2">
      <c r="A32" s="34" t="s">
        <v>170</v>
      </c>
      <c r="B32" s="37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10" activePane="bottomLeft" state="frozen"/>
      <selection pane="bottomLeft" activeCell="O34" sqref="O34"/>
    </sheetView>
  </sheetViews>
  <sheetFormatPr baseColWidth="10" defaultColWidth="11.5" defaultRowHeight="15" customHeight="1" x14ac:dyDescent="0.15"/>
  <cols>
    <col min="1" max="1" width="40.1640625" style="66" bestFit="1" customWidth="1"/>
    <col min="2" max="2" width="3.83203125" style="65" customWidth="1"/>
    <col min="3" max="3" width="13.1640625" style="65" customWidth="1"/>
    <col min="4" max="4" width="39.6640625" style="65" customWidth="1"/>
    <col min="5" max="5" width="8.1640625" style="65" customWidth="1"/>
    <col min="6" max="6" width="14.5" style="65" bestFit="1" customWidth="1"/>
    <col min="7" max="9" width="2.33203125" style="65" customWidth="1"/>
    <col min="10" max="10" width="2.33203125" style="65" bestFit="1" customWidth="1"/>
    <col min="11" max="15" width="2.33203125" style="65" customWidth="1"/>
    <col min="16" max="16" width="2.33203125" style="58" customWidth="1"/>
    <col min="17" max="17" width="2.33203125" style="65" customWidth="1"/>
    <col min="18" max="18" width="2.33203125" style="59" customWidth="1"/>
    <col min="19" max="16384" width="11.5" style="65"/>
  </cols>
  <sheetData>
    <row r="1" spans="1:23" ht="15" customHeight="1" thickBot="1" x14ac:dyDescent="0.2">
      <c r="F1" s="1"/>
      <c r="G1" s="57" t="s">
        <v>46</v>
      </c>
      <c r="H1" s="57" t="s">
        <v>47</v>
      </c>
      <c r="I1" s="57" t="s">
        <v>120</v>
      </c>
      <c r="J1" s="57" t="s">
        <v>132</v>
      </c>
      <c r="K1" s="67" t="s">
        <v>48</v>
      </c>
      <c r="L1" s="59"/>
      <c r="M1" s="67" t="s">
        <v>119</v>
      </c>
      <c r="N1" s="59"/>
      <c r="O1" s="67" t="s">
        <v>49</v>
      </c>
      <c r="P1" s="60"/>
      <c r="Q1" s="67" t="s">
        <v>50</v>
      </c>
      <c r="R1" s="57" t="s">
        <v>154</v>
      </c>
    </row>
    <row r="2" spans="1:23" ht="15" customHeight="1" x14ac:dyDescent="0.15">
      <c r="A2" s="67" t="s">
        <v>51</v>
      </c>
      <c r="B2" s="68">
        <v>0.5</v>
      </c>
      <c r="C2" s="66" t="s">
        <v>52</v>
      </c>
      <c r="D2" s="69"/>
      <c r="F2" s="1"/>
      <c r="G2" s="70"/>
      <c r="H2" s="70"/>
      <c r="I2" s="70" t="s">
        <v>133</v>
      </c>
      <c r="J2" s="70" t="s">
        <v>133</v>
      </c>
      <c r="K2" s="70" t="s">
        <v>52</v>
      </c>
      <c r="L2" s="70" t="s">
        <v>53</v>
      </c>
      <c r="M2" s="70" t="s">
        <v>52</v>
      </c>
      <c r="N2" s="70" t="s">
        <v>53</v>
      </c>
      <c r="O2" s="70" t="s">
        <v>52</v>
      </c>
      <c r="P2" s="71" t="s">
        <v>53</v>
      </c>
      <c r="Q2" s="70"/>
      <c r="R2" s="72" t="s">
        <v>155</v>
      </c>
    </row>
    <row r="3" spans="1:23" ht="15" customHeight="1" thickBot="1" x14ac:dyDescent="0.2">
      <c r="A3" s="67" t="s">
        <v>54</v>
      </c>
      <c r="B3" s="73">
        <v>0.5</v>
      </c>
      <c r="C3" s="66" t="s">
        <v>53</v>
      </c>
      <c r="D3" s="6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8">
        <v>0</v>
      </c>
      <c r="R3" s="30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8">
        <v>0</v>
      </c>
      <c r="R4" s="90">
        <v>0</v>
      </c>
    </row>
    <row r="5" spans="1:23" ht="15" customHeight="1" x14ac:dyDescent="0.15">
      <c r="A5" s="67" t="s">
        <v>55</v>
      </c>
      <c r="B5" s="74">
        <v>0.5</v>
      </c>
      <c r="C5" s="66" t="s">
        <v>52</v>
      </c>
      <c r="D5" s="6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8">
        <v>0</v>
      </c>
      <c r="R5" s="90">
        <v>0</v>
      </c>
    </row>
    <row r="6" spans="1:23" ht="15" customHeight="1" thickBot="1" x14ac:dyDescent="0.2">
      <c r="A6" s="67"/>
      <c r="B6" s="75">
        <v>0.5</v>
      </c>
      <c r="C6" s="66" t="s">
        <v>53</v>
      </c>
      <c r="D6" s="69"/>
      <c r="F6" s="155" t="s">
        <v>192</v>
      </c>
      <c r="G6" s="65">
        <v>0</v>
      </c>
      <c r="H6" s="65">
        <v>0</v>
      </c>
      <c r="I6" s="65">
        <v>0</v>
      </c>
      <c r="J6" s="65">
        <v>0</v>
      </c>
      <c r="K6" s="65">
        <v>1</v>
      </c>
      <c r="L6" s="65">
        <v>0</v>
      </c>
      <c r="M6" s="65">
        <v>1</v>
      </c>
      <c r="N6" s="65">
        <v>0</v>
      </c>
      <c r="O6" s="65">
        <v>1</v>
      </c>
      <c r="P6" s="58">
        <v>0</v>
      </c>
      <c r="Q6" s="65">
        <v>0</v>
      </c>
      <c r="R6" s="59">
        <v>1</v>
      </c>
      <c r="S6"/>
      <c r="T6"/>
    </row>
    <row r="7" spans="1:23" ht="15" customHeight="1" thickBot="1" x14ac:dyDescent="0.2">
      <c r="F7" s="155" t="s">
        <v>193</v>
      </c>
      <c r="G7" s="65">
        <v>0</v>
      </c>
      <c r="H7" s="65">
        <v>0</v>
      </c>
      <c r="I7" s="65">
        <v>0</v>
      </c>
      <c r="J7" s="65">
        <v>0</v>
      </c>
      <c r="K7" s="65">
        <v>1</v>
      </c>
      <c r="L7" s="65">
        <v>0</v>
      </c>
      <c r="M7" s="65">
        <v>1</v>
      </c>
      <c r="N7" s="65">
        <v>0</v>
      </c>
      <c r="O7" s="65">
        <v>1</v>
      </c>
      <c r="P7" s="58">
        <v>0</v>
      </c>
      <c r="Q7" s="65">
        <v>0</v>
      </c>
      <c r="R7" s="59">
        <v>1</v>
      </c>
      <c r="S7"/>
      <c r="T7"/>
    </row>
    <row r="8" spans="1:23" ht="15" customHeight="1" x14ac:dyDescent="0.15">
      <c r="A8" s="67" t="s">
        <v>56</v>
      </c>
      <c r="B8" s="74">
        <v>1</v>
      </c>
      <c r="C8" s="156" t="s">
        <v>203</v>
      </c>
      <c r="D8" s="69" t="s">
        <v>160</v>
      </c>
      <c r="F8" s="155" t="s">
        <v>194</v>
      </c>
      <c r="G8" s="65">
        <v>0</v>
      </c>
      <c r="H8" s="65">
        <v>0</v>
      </c>
      <c r="I8" s="65">
        <v>0</v>
      </c>
      <c r="J8" s="65">
        <v>0</v>
      </c>
      <c r="K8" s="65">
        <v>1</v>
      </c>
      <c r="L8" s="65">
        <v>0</v>
      </c>
      <c r="M8" s="65">
        <v>1</v>
      </c>
      <c r="N8" s="65">
        <v>0</v>
      </c>
      <c r="O8" s="65">
        <v>1</v>
      </c>
      <c r="P8" s="58">
        <v>0</v>
      </c>
      <c r="Q8" s="65">
        <v>0</v>
      </c>
      <c r="R8" s="59">
        <v>1</v>
      </c>
      <c r="S8"/>
      <c r="T8"/>
      <c r="W8"/>
    </row>
    <row r="9" spans="1:23" ht="15" customHeight="1" x14ac:dyDescent="0.15">
      <c r="A9" s="104" t="s">
        <v>168</v>
      </c>
      <c r="B9" s="76"/>
      <c r="C9" s="64"/>
      <c r="D9" s="69" t="s">
        <v>160</v>
      </c>
      <c r="F9" s="155" t="s">
        <v>195</v>
      </c>
      <c r="G9" s="65">
        <v>0</v>
      </c>
      <c r="H9" s="65">
        <v>0</v>
      </c>
      <c r="I9" s="65">
        <v>0</v>
      </c>
      <c r="J9" s="65">
        <v>0</v>
      </c>
      <c r="K9" s="65">
        <v>1</v>
      </c>
      <c r="L9" s="65">
        <v>0</v>
      </c>
      <c r="M9" s="65">
        <v>1</v>
      </c>
      <c r="N9" s="65">
        <v>0</v>
      </c>
      <c r="O9" s="65">
        <v>1</v>
      </c>
      <c r="P9" s="58">
        <v>0</v>
      </c>
      <c r="Q9" s="65">
        <v>0</v>
      </c>
      <c r="R9" s="59">
        <v>1</v>
      </c>
      <c r="S9"/>
      <c r="T9"/>
      <c r="W9"/>
    </row>
    <row r="10" spans="1:23" ht="15" customHeight="1" x14ac:dyDescent="0.15">
      <c r="B10" s="76"/>
      <c r="C10" s="64"/>
      <c r="D10" s="69" t="s">
        <v>160</v>
      </c>
      <c r="F10" s="155" t="s">
        <v>196</v>
      </c>
      <c r="G10" s="65">
        <v>0</v>
      </c>
      <c r="H10" s="65">
        <v>0</v>
      </c>
      <c r="I10" s="65">
        <v>0</v>
      </c>
      <c r="J10" s="65">
        <v>0</v>
      </c>
      <c r="K10" s="65">
        <v>1</v>
      </c>
      <c r="L10" s="65">
        <v>0</v>
      </c>
      <c r="M10" s="65">
        <v>1</v>
      </c>
      <c r="N10" s="65">
        <v>0</v>
      </c>
      <c r="O10" s="65">
        <v>1</v>
      </c>
      <c r="P10" s="58">
        <v>0</v>
      </c>
      <c r="Q10" s="65">
        <v>0</v>
      </c>
      <c r="R10" s="59">
        <v>1</v>
      </c>
      <c r="S10"/>
      <c r="T10"/>
      <c r="W10"/>
    </row>
    <row r="11" spans="1:23" ht="15" customHeight="1" x14ac:dyDescent="0.15">
      <c r="A11" s="67"/>
      <c r="B11" s="76"/>
      <c r="C11" s="79"/>
      <c r="D11" s="69" t="s">
        <v>160</v>
      </c>
      <c r="F11" s="155" t="s">
        <v>197</v>
      </c>
      <c r="G11" s="65">
        <v>0</v>
      </c>
      <c r="H11" s="65">
        <v>0</v>
      </c>
      <c r="I11" s="65">
        <v>0</v>
      </c>
      <c r="J11" s="65">
        <v>0</v>
      </c>
      <c r="K11" s="65">
        <v>1</v>
      </c>
      <c r="L11" s="65">
        <v>0</v>
      </c>
      <c r="M11" s="65">
        <v>1</v>
      </c>
      <c r="N11" s="65">
        <v>0</v>
      </c>
      <c r="O11" s="65">
        <v>1</v>
      </c>
      <c r="P11" s="58">
        <v>0</v>
      </c>
      <c r="Q11" s="65">
        <v>0</v>
      </c>
      <c r="R11" s="59">
        <v>1</v>
      </c>
      <c r="S11"/>
      <c r="T11"/>
      <c r="W11"/>
    </row>
    <row r="12" spans="1:23" ht="15" customHeight="1" x14ac:dyDescent="0.15">
      <c r="B12" s="76"/>
      <c r="C12" s="80"/>
      <c r="D12" s="69" t="s">
        <v>160</v>
      </c>
      <c r="F12" s="155" t="s">
        <v>198</v>
      </c>
      <c r="G12" s="65">
        <v>0</v>
      </c>
      <c r="H12" s="65">
        <v>0</v>
      </c>
      <c r="I12" s="65">
        <v>0</v>
      </c>
      <c r="J12" s="65">
        <v>0</v>
      </c>
      <c r="K12" s="65">
        <v>1</v>
      </c>
      <c r="L12" s="65">
        <v>0</v>
      </c>
      <c r="M12" s="65">
        <v>1</v>
      </c>
      <c r="N12" s="65">
        <v>0</v>
      </c>
      <c r="O12" s="65">
        <v>1</v>
      </c>
      <c r="P12" s="58">
        <v>0</v>
      </c>
      <c r="Q12" s="65">
        <v>0</v>
      </c>
      <c r="R12" s="59">
        <v>1</v>
      </c>
      <c r="S12"/>
      <c r="T12"/>
      <c r="W12"/>
    </row>
    <row r="13" spans="1:23" ht="15" customHeight="1" x14ac:dyDescent="0.15">
      <c r="B13" s="76"/>
      <c r="C13" s="80"/>
      <c r="D13" s="69" t="s">
        <v>160</v>
      </c>
      <c r="F13" s="155" t="s">
        <v>199</v>
      </c>
      <c r="G13" s="65">
        <v>0</v>
      </c>
      <c r="H13" s="65">
        <v>0</v>
      </c>
      <c r="I13" s="65">
        <v>0</v>
      </c>
      <c r="J13" s="65">
        <v>0</v>
      </c>
      <c r="K13" s="65">
        <v>1</v>
      </c>
      <c r="L13" s="65">
        <v>0</v>
      </c>
      <c r="M13" s="65">
        <v>1</v>
      </c>
      <c r="N13" s="65">
        <v>0</v>
      </c>
      <c r="O13" s="65">
        <v>1</v>
      </c>
      <c r="P13" s="58">
        <v>0</v>
      </c>
      <c r="Q13" s="65">
        <v>0</v>
      </c>
      <c r="R13" s="59">
        <v>1</v>
      </c>
      <c r="S13"/>
      <c r="T13"/>
      <c r="W13"/>
    </row>
    <row r="14" spans="1:23" ht="15" customHeight="1" x14ac:dyDescent="0.15">
      <c r="B14" s="76"/>
      <c r="C14" s="64"/>
      <c r="D14" s="69" t="s">
        <v>160</v>
      </c>
      <c r="F14" s="155" t="s">
        <v>200</v>
      </c>
      <c r="G14" s="65">
        <v>0</v>
      </c>
      <c r="H14" s="65">
        <v>0</v>
      </c>
      <c r="I14" s="65">
        <v>0</v>
      </c>
      <c r="J14" s="65">
        <v>0</v>
      </c>
      <c r="K14" s="65">
        <v>1</v>
      </c>
      <c r="L14" s="65">
        <v>0</v>
      </c>
      <c r="M14" s="65">
        <v>1</v>
      </c>
      <c r="N14" s="65">
        <v>0</v>
      </c>
      <c r="O14" s="65">
        <v>1</v>
      </c>
      <c r="P14" s="58">
        <v>0</v>
      </c>
      <c r="Q14" s="65">
        <v>0</v>
      </c>
      <c r="R14" s="59">
        <v>1</v>
      </c>
      <c r="S14"/>
      <c r="T14"/>
      <c r="W14"/>
    </row>
    <row r="15" spans="1:23" ht="15" customHeight="1" x14ac:dyDescent="0.15">
      <c r="B15" s="76"/>
      <c r="C15" s="64"/>
      <c r="D15" s="69" t="s">
        <v>160</v>
      </c>
      <c r="F15" s="155" t="s">
        <v>201</v>
      </c>
      <c r="G15" s="65">
        <v>0</v>
      </c>
      <c r="H15" s="65">
        <v>0</v>
      </c>
      <c r="I15" s="65">
        <v>0</v>
      </c>
      <c r="J15" s="65">
        <v>0</v>
      </c>
      <c r="K15" s="65">
        <v>1</v>
      </c>
      <c r="L15" s="65">
        <v>0</v>
      </c>
      <c r="M15" s="65">
        <v>1</v>
      </c>
      <c r="N15" s="65">
        <v>0</v>
      </c>
      <c r="O15" s="65">
        <v>1</v>
      </c>
      <c r="P15" s="58">
        <v>0</v>
      </c>
      <c r="Q15" s="65">
        <v>0</v>
      </c>
      <c r="R15" s="59">
        <v>1</v>
      </c>
      <c r="S15"/>
      <c r="T15"/>
      <c r="W15"/>
    </row>
    <row r="16" spans="1:23" ht="15" customHeight="1" x14ac:dyDescent="0.15">
      <c r="B16" s="76"/>
      <c r="C16" s="64"/>
      <c r="D16" s="69" t="s">
        <v>160</v>
      </c>
      <c r="F16" s="155" t="s">
        <v>202</v>
      </c>
      <c r="G16" s="65">
        <v>0</v>
      </c>
      <c r="H16" s="65">
        <v>0</v>
      </c>
      <c r="I16" s="65">
        <v>0</v>
      </c>
      <c r="J16" s="65">
        <v>0</v>
      </c>
      <c r="K16" s="65">
        <v>1</v>
      </c>
      <c r="L16" s="65">
        <v>0</v>
      </c>
      <c r="M16" s="65">
        <v>1</v>
      </c>
      <c r="N16" s="65">
        <v>0</v>
      </c>
      <c r="O16" s="65">
        <v>1</v>
      </c>
      <c r="P16" s="58">
        <v>0</v>
      </c>
      <c r="Q16" s="65">
        <v>0</v>
      </c>
      <c r="R16" s="59">
        <v>1</v>
      </c>
      <c r="S16"/>
      <c r="T16"/>
    </row>
    <row r="17" spans="1:20" ht="15" customHeight="1" thickBot="1" x14ac:dyDescent="0.2">
      <c r="B17" s="75"/>
      <c r="C17" s="64"/>
      <c r="D17" s="69" t="s">
        <v>160</v>
      </c>
      <c r="F17" s="155" t="s">
        <v>203</v>
      </c>
      <c r="G17" s="65">
        <v>0</v>
      </c>
      <c r="H17" s="65">
        <v>0</v>
      </c>
      <c r="I17" s="65">
        <v>0</v>
      </c>
      <c r="J17" s="65">
        <v>0</v>
      </c>
      <c r="K17" s="65">
        <v>0</v>
      </c>
      <c r="L17" s="65">
        <v>0</v>
      </c>
      <c r="M17" s="65">
        <v>1</v>
      </c>
      <c r="N17" s="65">
        <v>0</v>
      </c>
      <c r="O17" s="65">
        <v>0</v>
      </c>
      <c r="P17" s="58">
        <v>0</v>
      </c>
      <c r="Q17" s="65">
        <v>0</v>
      </c>
      <c r="R17" s="59">
        <v>1</v>
      </c>
      <c r="S17"/>
      <c r="T17"/>
    </row>
    <row r="18" spans="1:20" ht="15" customHeight="1" thickBot="1" x14ac:dyDescent="0.2">
      <c r="B18" s="77"/>
      <c r="F18" s="155" t="s">
        <v>204</v>
      </c>
      <c r="G18" s="65">
        <v>0</v>
      </c>
      <c r="H18" s="65">
        <v>0</v>
      </c>
      <c r="I18" s="65">
        <v>0</v>
      </c>
      <c r="J18" s="65">
        <v>0</v>
      </c>
      <c r="K18" s="65">
        <v>0</v>
      </c>
      <c r="L18" s="65">
        <v>1</v>
      </c>
      <c r="M18" s="65">
        <v>0</v>
      </c>
      <c r="N18" s="65">
        <v>1</v>
      </c>
      <c r="O18" s="65">
        <v>0</v>
      </c>
      <c r="P18" s="58">
        <v>1</v>
      </c>
      <c r="Q18" s="65">
        <v>0</v>
      </c>
      <c r="R18" s="59">
        <v>1</v>
      </c>
      <c r="S18"/>
      <c r="T18"/>
    </row>
    <row r="19" spans="1:20" ht="15" customHeight="1" x14ac:dyDescent="0.15">
      <c r="A19" s="67" t="s">
        <v>57</v>
      </c>
      <c r="B19" s="74">
        <v>1</v>
      </c>
      <c r="C19" s="157" t="s">
        <v>203</v>
      </c>
      <c r="D19" s="69" t="s">
        <v>160</v>
      </c>
      <c r="F19" s="155" t="s">
        <v>205</v>
      </c>
      <c r="G19" s="65">
        <v>0</v>
      </c>
      <c r="H19" s="65">
        <v>0</v>
      </c>
      <c r="I19" s="65">
        <v>0</v>
      </c>
      <c r="J19" s="65">
        <v>0</v>
      </c>
      <c r="K19" s="65">
        <v>0</v>
      </c>
      <c r="L19" s="65">
        <v>1</v>
      </c>
      <c r="M19" s="65">
        <v>0</v>
      </c>
      <c r="N19" s="65">
        <v>1</v>
      </c>
      <c r="O19" s="65">
        <v>0</v>
      </c>
      <c r="P19" s="58">
        <v>1</v>
      </c>
      <c r="Q19" s="65">
        <v>0</v>
      </c>
      <c r="R19" s="59">
        <v>1</v>
      </c>
      <c r="S19"/>
      <c r="T19"/>
    </row>
    <row r="20" spans="1:20" ht="15" customHeight="1" x14ac:dyDescent="0.15">
      <c r="A20" s="104" t="s">
        <v>168</v>
      </c>
      <c r="B20" s="76"/>
      <c r="C20" s="64"/>
      <c r="D20" s="69" t="s">
        <v>160</v>
      </c>
      <c r="F20" s="161" t="s">
        <v>210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 s="91">
        <v>1</v>
      </c>
      <c r="S20"/>
      <c r="T20"/>
    </row>
    <row r="21" spans="1:20" ht="15" customHeight="1" x14ac:dyDescent="0.15">
      <c r="B21" s="76"/>
      <c r="C21" s="64"/>
      <c r="D21" s="69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65"/>
      <c r="B22" s="76"/>
      <c r="C22" s="79"/>
      <c r="D22" s="69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65"/>
      <c r="B23" s="76"/>
      <c r="C23" s="80"/>
      <c r="D23" s="69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65"/>
      <c r="B24" s="76"/>
      <c r="C24" s="80"/>
      <c r="D24" s="69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5"/>
      <c r="B25" s="76"/>
      <c r="C25" s="64"/>
      <c r="D25" s="69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6"/>
      <c r="C26" s="64"/>
      <c r="D26" s="69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6"/>
      <c r="C27" s="64"/>
      <c r="D27" s="69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5"/>
      <c r="C28" s="64"/>
      <c r="D28" s="69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5"/>
      <c r="B31" s="116" t="s">
        <v>17</v>
      </c>
      <c r="C31" s="116" t="s">
        <v>1</v>
      </c>
      <c r="D31" s="116" t="s">
        <v>161</v>
      </c>
      <c r="E31" s="117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58" t="s">
        <v>203</v>
      </c>
      <c r="B32" s="77">
        <v>2.5</v>
      </c>
      <c r="C32" s="77">
        <v>102.55800000000001</v>
      </c>
      <c r="D32" s="77">
        <v>256.39500000000004</v>
      </c>
      <c r="E32" s="107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06"/>
      <c r="B33" s="77"/>
      <c r="C33" s="77"/>
      <c r="D33" s="77"/>
      <c r="E33" s="107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8"/>
      <c r="B34" s="77"/>
      <c r="C34" s="77"/>
      <c r="D34" s="77"/>
      <c r="E34" s="10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9"/>
      <c r="B35" s="77"/>
      <c r="C35" s="77"/>
      <c r="D35" s="77"/>
      <c r="E35" s="10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0"/>
      <c r="B36" s="77"/>
      <c r="C36" s="77"/>
      <c r="D36" s="77"/>
      <c r="E36" s="107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0"/>
      <c r="B37" s="77"/>
      <c r="C37" s="77"/>
      <c r="D37" s="77"/>
      <c r="E37" s="10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1"/>
      <c r="B38" s="77"/>
      <c r="C38" s="77"/>
      <c r="D38" s="77"/>
      <c r="E38" s="10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1"/>
      <c r="B39" s="77"/>
      <c r="C39" s="77"/>
      <c r="D39" s="77"/>
      <c r="E39" s="10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1"/>
      <c r="B40" s="77"/>
      <c r="C40" s="77"/>
      <c r="D40" s="77"/>
      <c r="E40" s="10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1"/>
      <c r="B41" s="77"/>
      <c r="C41" s="77"/>
      <c r="D41" s="78"/>
      <c r="E41" s="112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3"/>
      <c r="B42" s="114"/>
      <c r="C42" s="114" t="s">
        <v>162</v>
      </c>
      <c r="D42" s="114">
        <f>SUM(D32:D41)</f>
        <v>256.39500000000004</v>
      </c>
      <c r="E42" s="115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5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5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5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5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5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5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5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5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21" sqref="A21"/>
    </sheetView>
  </sheetViews>
  <sheetFormatPr baseColWidth="10" defaultColWidth="8.83203125" defaultRowHeight="13" x14ac:dyDescent="0.15"/>
  <cols>
    <col min="1" max="1" width="14.5" bestFit="1" customWidth="1"/>
    <col min="2" max="2" width="2.33203125" style="90" customWidth="1"/>
    <col min="3" max="5" width="7.83203125" style="90" customWidth="1"/>
    <col min="6" max="8" width="8.83203125" style="6"/>
    <col min="9" max="9" width="9.5" style="6" customWidth="1"/>
    <col min="10" max="10" width="8.83203125" style="6" customWidth="1"/>
    <col min="11" max="11" width="11.83203125" style="6" customWidth="1"/>
    <col min="12" max="12" width="9.6640625" style="6" customWidth="1"/>
    <col min="13" max="13" width="9.83203125" style="6" customWidth="1"/>
    <col min="14" max="14" width="11.33203125" style="6" customWidth="1"/>
    <col min="15" max="15" width="7.1640625" style="6" customWidth="1"/>
    <col min="16" max="16" width="8.1640625" style="6" customWidth="1"/>
    <col min="17" max="17" width="10.1640625" style="6" customWidth="1"/>
    <col min="18" max="18" width="11.33203125" style="6" customWidth="1"/>
    <col min="19" max="19" width="14.5" style="6" customWidth="1"/>
    <col min="20" max="20" width="13.1640625" style="6" customWidth="1"/>
    <col min="21" max="21" width="7.6640625" style="6" customWidth="1"/>
    <col min="22" max="22" width="21.6640625" style="6" customWidth="1"/>
    <col min="23" max="38" width="8.83203125" style="6"/>
    <col min="81" max="81" width="22.1640625" bestFit="1" customWidth="1"/>
  </cols>
  <sheetData>
    <row r="1" spans="1:38" x14ac:dyDescent="0.15">
      <c r="A1" s="4" t="s">
        <v>156</v>
      </c>
      <c r="B1" s="29" t="s">
        <v>157</v>
      </c>
      <c r="C1" s="29" t="s">
        <v>17</v>
      </c>
      <c r="D1" s="29" t="s">
        <v>158</v>
      </c>
      <c r="E1" s="29" t="s">
        <v>159</v>
      </c>
      <c r="F1"/>
      <c r="G1"/>
      <c r="H1"/>
      <c r="I1" s="160" t="s">
        <v>192</v>
      </c>
      <c r="J1" s="160" t="s">
        <v>193</v>
      </c>
      <c r="K1" s="160" t="s">
        <v>194</v>
      </c>
      <c r="L1" s="160" t="s">
        <v>195</v>
      </c>
      <c r="M1" s="160" t="s">
        <v>196</v>
      </c>
      <c r="N1" s="160" t="s">
        <v>197</v>
      </c>
      <c r="O1" s="160" t="s">
        <v>198</v>
      </c>
      <c r="P1" s="160" t="s">
        <v>199</v>
      </c>
      <c r="Q1" s="160" t="s">
        <v>200</v>
      </c>
      <c r="R1" s="160" t="s">
        <v>201</v>
      </c>
      <c r="S1" s="160" t="s">
        <v>202</v>
      </c>
      <c r="T1" s="160" t="s">
        <v>203</v>
      </c>
      <c r="U1" s="160" t="s">
        <v>204</v>
      </c>
      <c r="V1" s="160" t="s">
        <v>205</v>
      </c>
      <c r="W1" s="163" t="s">
        <v>210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59" t="s">
        <v>192</v>
      </c>
      <c r="B5" s="9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59" t="s">
        <v>193</v>
      </c>
      <c r="B6" s="9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59" t="s">
        <v>194</v>
      </c>
      <c r="B7" s="9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59" t="s">
        <v>195</v>
      </c>
      <c r="B8" s="9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59" t="s">
        <v>196</v>
      </c>
      <c r="B9" s="9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59" t="s">
        <v>197</v>
      </c>
      <c r="B10" s="9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59" t="s">
        <v>198</v>
      </c>
      <c r="B11" s="9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59" t="s">
        <v>199</v>
      </c>
      <c r="B12" s="9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59" t="s">
        <v>200</v>
      </c>
      <c r="B13" s="9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59" t="s">
        <v>201</v>
      </c>
      <c r="B14" s="9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59" t="s">
        <v>202</v>
      </c>
      <c r="B15" s="9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59" t="s">
        <v>203</v>
      </c>
      <c r="B16" s="9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59" t="s">
        <v>204</v>
      </c>
      <c r="B17" s="9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59" t="s">
        <v>205</v>
      </c>
      <c r="B18" s="9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1" t="s">
        <v>210</v>
      </c>
      <c r="B19" s="9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2023-08-14T23:30:12Z</dcterms:modified>
</cp:coreProperties>
</file>