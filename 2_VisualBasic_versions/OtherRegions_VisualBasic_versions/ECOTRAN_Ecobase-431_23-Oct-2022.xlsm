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C3E48B3A-4807-7C46-8F6B-608D242D896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Diets!$B$2:$AH$37</definedName>
    <definedName name="matDiscards">Discards!$C$2:$J$36</definedName>
    <definedName name="matFishery">Fishing!$C$2:$J$36</definedName>
    <definedName name="matFishing">Fishing!#REF!</definedName>
    <definedName name="matMort">Mortalities!$A$1:$AT$36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<sst xmlns="http://schemas.openxmlformats.org/spreadsheetml/2006/main" count="1137" uniqueCount="247">
  <si>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</si>
  <si>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</si>
  <si>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</si>
  <si>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</si>
  <si>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</si>
  <si>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</si>
  <si>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</si>
  <si>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</si>
  <si>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</si>
  <si>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</si>
  <si>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</si>
  <si>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</si>
  <si>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</si>
  <si>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</si>
  <si>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</si>
  <si>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</si>
  <si>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</si>
  <si>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</si>
  <si>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</si>
  <si>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</si>
  <si>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</si>
  <si>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</si>
  <si>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</si>
  <si>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</si>
  <si>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</si>
  <si>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</si>
  <si>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</si>
  <si>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</si>
  <si>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</si>
  <si>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</si>
  <si>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</si>
  <si>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</si>
  <si>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</si>
  <si>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</si>
  <si>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</si>
  <si>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</si>
  <si>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</si>
  <si>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</si>
  <si>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</si>
  <si>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</si>
  <si>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</si>
  <si>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</si>
  <si>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</si>
  <si>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</si>
  <si>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</si>
  <si>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</si>
  <si>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</si>
  <si>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</si>
  <si>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</si>
  <si>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</si>
  <si>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</si>
  <si>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</si>
  <si>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</si>
  <si>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</si>
  <si>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</si>
  <si>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</si>
  <si>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</si>
  <si>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</si>
  <si>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</si>
  <si>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</si>
  <si>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</si>
  <si>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</si>
  <si>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</si>
  <si>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</si>
  <si>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</si>
  <si>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</si>
  <si>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</si>
  <si>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</si>
  <si>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</si>
  <si>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</si>
  <si>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</si>
  <si>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</si>
  <si>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</si>
  <si>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</si>
  <si>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</si>
  <si>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</si>
  <si>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</si>
  <si>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</si>
  <si>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</si>
  <si>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</si>
  <si>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</si>
  <si>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</si>
  <si>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</si>
  <si>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</si>
  <si>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</si>
  <si>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</si>
  <si>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</si>
  <si>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</si>
  <si>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</si>
  <si>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</si>
  <si>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</si>
  <si>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</si>
  <si>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</si>
  <si>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</si>
  <si>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</si>
  <si>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</si>
  <si>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</si>
  <si>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</si>
  <si>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</si>
  <si>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</si>
  <si>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</si>
  <si>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</si>
  <si>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</si>
  <si>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</si>
  <si>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</si>
  <si>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</si>
  <si>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</si>
  <si>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</si>
  <si>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</si>
  <si>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</si>
  <si>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</si>
  <si>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</si>
  <si>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</si>
  <si>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</si>
  <si>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</si>
  <si>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</si>
  <si>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</si>
  <si>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</si>
  <si>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</si>
  <si>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</si>
  <si>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</si>
  <si>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</si>
  <si>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</si>
  <si>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</si>
  <si>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</si>
  <si>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</si>
  <si>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</si>
  <si>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</si>
  <si>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</si>
  <si>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</si>
  <si>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</si>
  <si>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</si>
  <si>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</si>
  <si>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</si>
  <si>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</si>
  <si>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</si>
  <si>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</si>
  <si>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</si>
  <si>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</si>
  <si>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</si>
  <si>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</si>
  <si>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</si>
  <si>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</si>
  <si>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</si>
  <si>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</si>
  <si>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</si>
  <si>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</si>
  <si>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</si>
  <si>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</si>
  <si>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</si>
  <si>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</si>
  <si>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</si>
  <si>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</si>
  <si>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</si>
  <si>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</si>
  <si>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</si>
  <si>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</si>
  <si>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</si>
  <si>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</si>
  <si>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</si>
  <si>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</si>
  <si>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</si>
  <si>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</si>
  <si>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</si>
  <si>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</si>
  <si>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</si>
  <si>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</si>
  <si>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</si>
  <si>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</si>
  <si>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</si>
  <si>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</si>
  <si>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</si>
  <si>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</si>
  <si>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</si>
  <si>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</si>
  <si>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</si>
  <si>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</si>
  <si>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</si>
  <si>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</si>
  <si>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</si>
  <si>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</si>
  <si>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</si>
  <si>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</si>
  <si>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</si>
  <si>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</si>
  <si>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Port Phillip Bay</t>
  </si>
  <si>
    <t>Australia</t>
  </si>
  <si>
    <t>BOX(144.338939929964 -38.395136203309,145.16573916478 -37.7734775173739)</t>
  </si>
  <si>
    <t>bay/fjord</t>
  </si>
  <si>
    <t>WetWeight</t>
  </si>
  <si>
    <t>; 07/18/2000 10:27:37; 07/18/2000 4:55:45; 07/18/2000 5:06:24; 07/19/2000 4:16:47; 07/19/2000 5:00:04; 07/19/2000 7:21:09; 07/20/2000 1:59:09; 07/21/2000 6:19:48; 11/04/01 15:10:29</t>
  </si>
  <si>
    <t>Fulton E.A.,Smith T.(2002). Ecosim Case Study: Port Phillip Bay, Australia The Use of Ecosystem Models to Investigate Multispecies Management Strategies for Capture Fisheries. pp 83-93. In Pitcher T.,Cochrane K.</t>
  </si>
  <si>
    <t>Phytoplankton</t>
  </si>
  <si>
    <t>Small zooplankton</t>
  </si>
  <si>
    <t>Large zooplankton</t>
  </si>
  <si>
    <t>Deposit Feeders</t>
  </si>
  <si>
    <t>Scallops and mussels</t>
  </si>
  <si>
    <t>Filter Feeders</t>
  </si>
  <si>
    <t>Inf. Predators</t>
  </si>
  <si>
    <t>Epi. Predators</t>
  </si>
  <si>
    <t>Sth Rock Lobster</t>
  </si>
  <si>
    <t>Abalone</t>
  </si>
  <si>
    <t>Other Grazers</t>
  </si>
  <si>
    <t>Scavengers</t>
  </si>
  <si>
    <t>Microphytobenthos</t>
  </si>
  <si>
    <t>Seagrass</t>
  </si>
  <si>
    <t>Macroalgae</t>
  </si>
  <si>
    <t>Clupeoids</t>
  </si>
  <si>
    <t>Juvenile Snapper</t>
  </si>
  <si>
    <t>Snapper</t>
  </si>
  <si>
    <t>Juvenile Flatfish</t>
  </si>
  <si>
    <t>Flatfish</t>
  </si>
  <si>
    <t>Juvenile KG Whiting</t>
  </si>
  <si>
    <t>KG Whiting</t>
  </si>
  <si>
    <t>Juvenile Piscivores</t>
  </si>
  <si>
    <t>Piscivores</t>
  </si>
  <si>
    <t>Juvenile Mullet</t>
  </si>
  <si>
    <t>Mullet and Garfish</t>
  </si>
  <si>
    <t>Other demersals</t>
  </si>
  <si>
    <t>Southern calamari</t>
  </si>
  <si>
    <t>Other cepahalopods</t>
  </si>
  <si>
    <t>Rays</t>
  </si>
  <si>
    <t>Sharks</t>
  </si>
  <si>
    <t>Birds</t>
  </si>
  <si>
    <t>Marine mammals</t>
  </si>
  <si>
    <t>Detritus</t>
  </si>
  <si>
    <t>detritus_TerminalBenthic</t>
  </si>
  <si>
    <t>Purse seine</t>
  </si>
  <si>
    <t>Scallop Dredge</t>
  </si>
  <si>
    <t>Haul seine</t>
  </si>
  <si>
    <t>Longline</t>
  </si>
  <si>
    <t>Mesh nets</t>
  </si>
  <si>
    <t>Dive</t>
  </si>
  <si>
    <t>Aquaculture</t>
  </si>
  <si>
    <t>Pots</t>
  </si>
  <si>
    <t>Import</t>
  </si>
  <si>
    <t>export</t>
  </si>
  <si>
    <t>sum</t>
  </si>
  <si>
    <t>TOTAL</t>
  </si>
  <si>
    <t>F Purse seine</t>
  </si>
  <si>
    <t>F Scallop Dredge</t>
  </si>
  <si>
    <t>F Haul seine</t>
  </si>
  <si>
    <t>F Longline</t>
  </si>
  <si>
    <t>F Mesh nets</t>
  </si>
  <si>
    <t>F Dive</t>
  </si>
  <si>
    <t>F Aquaculture</t>
  </si>
  <si>
    <t>F Pots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</si>
</sst>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91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0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5" t="s">
        <v>171</v>
      </c>
      <c r="C53" s="110">
        <v>431</v>
      </c>
      <c r="D53" s="110"/>
    </row>
    <row r="54" spans="2:4" x14ac:dyDescent="0.15">
      <c r="B54" s="175" t="s">
        <v>172</v>
      </c>
      <c r="C54" s="175" t="s">
        <v>185</v>
      </c>
      <c r="D54" s="110"/>
    </row>
    <row r="55" spans="2:4" x14ac:dyDescent="0.15">
      <c r="B55" s="175" t="s">
        <v>173</v>
      </c>
      <c r="C55" s="175" t="s">
        <v>186</v>
      </c>
      <c r="D55" s="110"/>
    </row>
    <row r="56" spans="2:4" x14ac:dyDescent="0.15">
      <c r="B56" s="175" t="s">
        <v>174</v>
      </c>
      <c r="C56" s="110">
        <v>1930</v>
      </c>
      <c r="D56" s="110"/>
    </row>
    <row r="57" spans="2:4" x14ac:dyDescent="0.15">
      <c r="B57" s="175" t="s">
        <v>175</v>
      </c>
      <c r="C57" s="175" t="s">
        <v>187</v>
      </c>
      <c r="D57" s="110"/>
    </row>
    <row r="58" spans="2:4" x14ac:dyDescent="0.15">
      <c r="B58" s="175" t="s">
        <v>176</v>
      </c>
      <c r="C58" s="175" t="s">
        <v>188</v>
      </c>
      <c r="D58" s="110"/>
    </row>
    <row r="59" spans="2:4" x14ac:dyDescent="0.15">
      <c r="B59" s="175" t="s">
        <v>177</v>
      </c>
      <c r="C59" s="175" t="s">
        <v>189</v>
      </c>
      <c r="D59" s="110"/>
    </row>
    <row r="60" spans="2:4" x14ac:dyDescent="0.15">
      <c r="B60" s="175" t="s">
        <v>178</v>
      </c>
      <c r="C60" s="175" t="s">
        <v>190</v>
      </c>
      <c r="D60" s="110"/>
    </row>
    <row r="61" spans="2:4" x14ac:dyDescent="0.15">
      <c r="B61" s="175" t="s">
        <v>179</v>
      </c>
      <c r="C61" s="110">
        <v>34</v>
      </c>
      <c r="D61" s="110"/>
    </row>
    <row r="62" spans="2:4" x14ac:dyDescent="0.15">
      <c r="B62" s="175" t="s">
        <v>180</v>
      </c>
      <c r="C62" s="110">
        <v>8</v>
      </c>
      <c r="D62" s="110"/>
    </row>
    <row r="63" spans="2:4" x14ac:dyDescent="0.15">
      <c r="B63" s="175" t="s">
        <v>181</v>
      </c>
      <c r="C63" s="110">
        <v>1994</v>
      </c>
      <c r="D63" s="110"/>
    </row>
    <row r="64" spans="2:4" x14ac:dyDescent="0.15">
      <c r="B64" s="175" t="s">
        <v>182</v>
      </c>
      <c r="C64" s="110">
        <v>1</v>
      </c>
      <c r="D64" s="110"/>
    </row>
    <row r="65" spans="2:4" x14ac:dyDescent="0.15">
      <c r="B65" s="175" t="s">
        <v>183</v>
      </c>
      <c r="C65" s="175" t="s">
        <v>191</v>
      </c>
      <c r="D65" s="110"/>
    </row>
    <row r="66" spans="2:4" x14ac:dyDescent="0.15">
      <c r="B66" s="175" t="s">
        <v>184</v>
      </c>
      <c r="D66" s="110"/>
    </row>
    <row r="67" spans="2:4" x14ac:dyDescent="0.15">
      <c r="B67" s="110"/>
      <c r="C67" s="110"/>
      <c r="D67" s="110"/>
    </row>
    <row r="68" spans="2:4" x14ac:dyDescent="0.15">
      <c r="B68" s="110"/>
      <c r="C68" s="110"/>
      <c r="D68" s="11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1.6640625" style="83" bestFit="1" customWidth="1"/>
    <col min="6" max="6" width="2.33203125" style="83" bestFit="1" customWidth="1"/>
    <col min="7" max="7" width="12.83203125" style="83" bestFit="1" customWidth="1"/>
    <col min="8" max="8" width="7.83203125" style="83" customWidth="1"/>
    <col min="9" max="9" width="6.83203125" style="83" customWidth="1"/>
    <col min="10" max="10" width="13.83203125" style="83" customWidth="1"/>
    <col min="11" max="11" width="12.83203125" style="83" customWidth="1"/>
    <col min="12" max="12" width="2.33203125" style="83" customWidth="1"/>
    <col min="13" max="13" width="4.83203125" style="83" customWidth="1"/>
    <col min="14" max="14" width="6.8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99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6" t="s">
        <v>192</v>
      </c>
      <c r="F2" s="83">
        <v>1</v>
      </c>
      <c r="G2" s="83">
        <v>7.6165799999999999</v>
      </c>
      <c r="H2" s="83">
        <v>250</v>
      </c>
      <c r="I2" s="6">
        <v>0</v>
      </c>
      <c r="J2" s="6">
        <v>0.68401086300000002</v>
      </c>
      <c r="K2" s="6">
        <v>0</v>
      </c>
      <c r="L2" s="6">
        <v>0</v>
      </c>
      <c r="M2" s="83">
        <v>0</v>
      </c>
      <c r="N2" s="83">
        <v>0</v>
      </c>
    </row>
    <row r="3" spans="1:46" ht="15" customHeight="1" x14ac:dyDescent="0.15">
      <c r="A3" s="1" t="s">
        <v>9</v>
      </c>
      <c r="B3" s="4">
        <v>33</v>
      </c>
      <c r="C3" s="83">
        <v>2</v>
      </c>
      <c r="D3"/>
      <c r="E3" s="176" t="s">
        <v>193</v>
      </c>
      <c r="F3" s="83">
        <v>0</v>
      </c>
      <c r="G3" s="83">
        <v>6.4766839999999997</v>
      </c>
      <c r="H3" s="83">
        <v>36.799999999999997</v>
      </c>
      <c r="I3" s="83">
        <v>74.725999999999999</v>
      </c>
      <c r="J3" s="83">
        <v>0.79644703900000002</v>
      </c>
      <c r="K3" s="83">
        <v>0.492465824</v>
      </c>
      <c r="L3" s="83">
        <v>0</v>
      </c>
      <c r="M3" s="83">
        <v>0.3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76" t="s">
        <v>194</v>
      </c>
      <c r="F4" s="83">
        <v>0</v>
      </c>
      <c r="G4" s="83">
        <v>9.9740929999999999</v>
      </c>
      <c r="H4" s="83">
        <v>23.8</v>
      </c>
      <c r="I4" s="83">
        <v>48.261000000000003</v>
      </c>
      <c r="J4" s="83">
        <v>0.58078926799999997</v>
      </c>
      <c r="K4" s="83">
        <v>0.49315178399999998</v>
      </c>
      <c r="L4" s="83">
        <v>0</v>
      </c>
      <c r="M4" s="83">
        <v>0.3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83">
        <v>4</v>
      </c>
      <c r="D5"/>
      <c r="E5" s="176" t="s">
        <v>195</v>
      </c>
      <c r="F5" s="83">
        <v>0</v>
      </c>
      <c r="G5" s="83">
        <v>58.406578099999997</v>
      </c>
      <c r="H5" s="83">
        <v>4.8</v>
      </c>
      <c r="I5" s="83">
        <v>66.7</v>
      </c>
      <c r="J5" s="83">
        <v>0.66957330000000004</v>
      </c>
      <c r="K5" s="83">
        <v>7.1964025500000001E-2</v>
      </c>
      <c r="L5" s="83">
        <v>0</v>
      </c>
      <c r="M5" s="83">
        <v>0.3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76" t="s">
        <v>196</v>
      </c>
      <c r="F6" s="83">
        <v>0</v>
      </c>
      <c r="G6" s="83">
        <v>4.1098699999999999</v>
      </c>
      <c r="H6" s="83">
        <v>3.1</v>
      </c>
      <c r="I6" s="83">
        <v>10.9</v>
      </c>
      <c r="J6" s="83">
        <v>0.2808872</v>
      </c>
      <c r="K6" s="83">
        <v>0.28440368199999999</v>
      </c>
      <c r="L6" s="83">
        <v>0</v>
      </c>
      <c r="M6" s="83">
        <v>0.3</v>
      </c>
      <c r="N6" s="83">
        <v>0</v>
      </c>
      <c r="P6" s="72"/>
      <c r="Q6" s="72"/>
      <c r="R6" s="72"/>
      <c r="W6" s="36" t="s">
        <v>31</v>
      </c>
      <c r="X6" s="52">
        <f>MAX(MainOutputs!G:G)</f>
        <v>0.99781978130340576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337</v>
      </c>
      <c r="C7" s="83">
        <v>6</v>
      </c>
      <c r="D7"/>
      <c r="E7" s="176" t="s">
        <v>197</v>
      </c>
      <c r="F7" s="83">
        <v>0</v>
      </c>
      <c r="G7" s="83">
        <v>62.484352100000002</v>
      </c>
      <c r="H7" s="83">
        <v>2.8</v>
      </c>
      <c r="I7" s="83">
        <v>11.8</v>
      </c>
      <c r="J7" s="83">
        <v>0.72307765499999999</v>
      </c>
      <c r="K7" s="83">
        <v>0.23728813200000001</v>
      </c>
      <c r="L7" s="83">
        <v>0</v>
      </c>
      <c r="M7" s="83">
        <v>0.3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80</v>
      </c>
      <c r="C8" s="83">
        <v>7</v>
      </c>
      <c r="D8"/>
      <c r="E8" s="176" t="s">
        <v>198</v>
      </c>
      <c r="F8" s="83">
        <v>0</v>
      </c>
      <c r="G8" s="83">
        <v>5.43005228</v>
      </c>
      <c r="H8" s="83">
        <v>5.4</v>
      </c>
      <c r="I8" s="83">
        <v>58.4</v>
      </c>
      <c r="J8" s="83">
        <v>0.799655</v>
      </c>
      <c r="K8" s="83">
        <v>9.2465749999999999E-2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76" t="s">
        <v>199</v>
      </c>
      <c r="F9" s="83">
        <v>0</v>
      </c>
      <c r="G9" s="83">
        <v>0.94507759999999996</v>
      </c>
      <c r="H9" s="83">
        <v>2.9</v>
      </c>
      <c r="I9" s="83">
        <v>21.9</v>
      </c>
      <c r="J9" s="83">
        <v>0.92932020000000004</v>
      </c>
      <c r="K9" s="83">
        <v>0.13242010000000001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76" t="s">
        <v>200</v>
      </c>
      <c r="F10" s="83">
        <v>0</v>
      </c>
      <c r="G10" s="83">
        <v>2.5160001599999999E-2</v>
      </c>
      <c r="H10" s="83">
        <v>0.73</v>
      </c>
      <c r="I10" s="83">
        <v>12.41</v>
      </c>
      <c r="J10" s="83">
        <v>0.69283600000000001</v>
      </c>
      <c r="K10" s="83">
        <v>5.8823533400000003E-2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76" t="s">
        <v>201</v>
      </c>
      <c r="F11" s="83">
        <v>0</v>
      </c>
      <c r="G11" s="83">
        <v>0.25863000000000003</v>
      </c>
      <c r="H11" s="83">
        <v>0.73</v>
      </c>
      <c r="I11" s="83">
        <v>12.41</v>
      </c>
      <c r="J11" s="83">
        <v>0.73400825300000005</v>
      </c>
      <c r="K11" s="83">
        <v>5.8823533400000003E-2</v>
      </c>
      <c r="L11" s="83">
        <v>0</v>
      </c>
      <c r="M11" s="83">
        <v>0.3</v>
      </c>
      <c r="N11" s="83">
        <v>0</v>
      </c>
    </row>
    <row r="12" spans="1:46" ht="15" customHeight="1" x14ac:dyDescent="0.15">
      <c r="C12" s="83">
        <v>11</v>
      </c>
      <c r="D12"/>
      <c r="E12" s="176" t="s">
        <v>202</v>
      </c>
      <c r="F12" s="83">
        <v>0</v>
      </c>
      <c r="G12" s="83">
        <v>0.89959999999999996</v>
      </c>
      <c r="H12" s="83">
        <v>0.88</v>
      </c>
      <c r="I12" s="83">
        <v>11.68</v>
      </c>
      <c r="J12" s="83">
        <v>0.59418950000000004</v>
      </c>
      <c r="K12" s="83">
        <v>7.534246E-2</v>
      </c>
      <c r="L12" s="83">
        <v>0</v>
      </c>
      <c r="M12" s="83">
        <v>0.3</v>
      </c>
      <c r="N12" s="83">
        <v>0</v>
      </c>
    </row>
    <row r="13" spans="1:46" ht="15" customHeight="1" x14ac:dyDescent="0.15">
      <c r="C13" s="83">
        <v>12</v>
      </c>
      <c r="D13"/>
      <c r="E13" s="176" t="s">
        <v>203</v>
      </c>
      <c r="F13" s="83">
        <v>0</v>
      </c>
      <c r="G13" s="83">
        <v>3.7305698399999998</v>
      </c>
      <c r="H13" s="83">
        <v>6.86</v>
      </c>
      <c r="I13" s="83">
        <v>55.48</v>
      </c>
      <c r="J13" s="83">
        <v>0.49342644200000002</v>
      </c>
      <c r="K13" s="83">
        <v>0.123648167</v>
      </c>
      <c r="L13" s="83">
        <v>0</v>
      </c>
      <c r="M13" s="83">
        <v>0.25</v>
      </c>
      <c r="N13" s="83">
        <v>0</v>
      </c>
    </row>
    <row r="14" spans="1:46" ht="15" customHeight="1" x14ac:dyDescent="0.15">
      <c r="C14" s="83">
        <v>13</v>
      </c>
      <c r="D14"/>
      <c r="E14" s="176" t="s">
        <v>204</v>
      </c>
      <c r="F14" s="83">
        <v>1</v>
      </c>
      <c r="G14" s="83">
        <v>18.134720000000002</v>
      </c>
      <c r="H14" s="83">
        <v>44</v>
      </c>
      <c r="I14" s="83">
        <v>0</v>
      </c>
      <c r="J14" s="83">
        <v>0.13963335800000001</v>
      </c>
      <c r="K14" s="83">
        <v>0</v>
      </c>
      <c r="L14" s="83">
        <v>0</v>
      </c>
      <c r="M14" s="83">
        <v>0</v>
      </c>
      <c r="N14" s="83">
        <v>0</v>
      </c>
    </row>
    <row r="15" spans="1:46" ht="15" customHeight="1" x14ac:dyDescent="0.15">
      <c r="C15" s="83">
        <v>14</v>
      </c>
      <c r="D15"/>
      <c r="E15" s="176" t="s">
        <v>205</v>
      </c>
      <c r="F15" s="83">
        <v>1</v>
      </c>
      <c r="G15" s="83">
        <v>0.2590674</v>
      </c>
      <c r="H15" s="83">
        <v>24</v>
      </c>
      <c r="I15" s="83">
        <v>0</v>
      </c>
      <c r="J15" s="83">
        <v>0.32206059999999997</v>
      </c>
      <c r="K15" s="83">
        <v>0</v>
      </c>
      <c r="L15" s="83">
        <v>0</v>
      </c>
      <c r="M15" s="83">
        <v>0</v>
      </c>
      <c r="N15" s="83">
        <v>0</v>
      </c>
    </row>
    <row r="16" spans="1:46" ht="15" customHeight="1" x14ac:dyDescent="0.15">
      <c r="C16" s="83">
        <v>15</v>
      </c>
      <c r="D16"/>
      <c r="E16" s="176" t="s">
        <v>206</v>
      </c>
      <c r="F16" s="83">
        <v>1</v>
      </c>
      <c r="G16" s="83">
        <v>18.134717899999998</v>
      </c>
      <c r="H16" s="83">
        <v>20</v>
      </c>
      <c r="I16" s="83">
        <v>0</v>
      </c>
      <c r="J16" s="83">
        <v>0.30038544499999997</v>
      </c>
      <c r="K16" s="83">
        <v>0</v>
      </c>
      <c r="L16" s="83">
        <v>0</v>
      </c>
      <c r="M16" s="83">
        <v>0</v>
      </c>
      <c r="N16" s="83">
        <v>0</v>
      </c>
    </row>
    <row r="17" spans="1:22" ht="15" customHeight="1" x14ac:dyDescent="0.15">
      <c r="C17" s="83">
        <v>16</v>
      </c>
      <c r="D17"/>
      <c r="E17" s="176" t="s">
        <v>207</v>
      </c>
      <c r="F17" s="83">
        <v>0</v>
      </c>
      <c r="G17" s="83">
        <v>2.8497409999999999</v>
      </c>
      <c r="H17" s="83">
        <v>1.1499999999999999</v>
      </c>
      <c r="I17" s="83">
        <v>30.15</v>
      </c>
      <c r="J17" s="83">
        <v>0.96974269999999996</v>
      </c>
      <c r="K17" s="83">
        <v>3.8142620000000002E-2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76" t="s">
        <v>208</v>
      </c>
      <c r="F18" s="83">
        <v>0</v>
      </c>
      <c r="G18" s="83">
        <v>0.32823833800000002</v>
      </c>
      <c r="H18" s="83">
        <v>0.54749999999999999</v>
      </c>
      <c r="I18" s="83">
        <v>2.7374999999999998</v>
      </c>
      <c r="J18" s="83">
        <v>0.95349806500000001</v>
      </c>
      <c r="K18" s="83">
        <v>0.2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76" t="s">
        <v>209</v>
      </c>
      <c r="F19" s="83">
        <v>0</v>
      </c>
      <c r="G19" s="83">
        <v>0.26295337099999999</v>
      </c>
      <c r="H19" s="83">
        <v>0.49249999999999999</v>
      </c>
      <c r="I19" s="83">
        <v>2.7374999999999998</v>
      </c>
      <c r="J19" s="83">
        <v>0.95273160000000001</v>
      </c>
      <c r="K19" s="83">
        <v>0.17990867799999999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76" t="s">
        <v>210</v>
      </c>
      <c r="F20" s="83">
        <v>0</v>
      </c>
      <c r="G20" s="83">
        <v>1.7389895900000001</v>
      </c>
      <c r="H20" s="83">
        <v>0.82125000000000004</v>
      </c>
      <c r="I20" s="83">
        <v>2.7374999999999998</v>
      </c>
      <c r="J20" s="83">
        <v>0.90206444299999999</v>
      </c>
      <c r="K20" s="83">
        <v>0.3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0"/>
      <c r="C21" s="83">
        <v>20</v>
      </c>
      <c r="D21"/>
      <c r="E21" s="176" t="s">
        <v>211</v>
      </c>
      <c r="F21" s="83">
        <v>0</v>
      </c>
      <c r="G21" s="83">
        <v>1.7137305700000001</v>
      </c>
      <c r="H21" s="83">
        <v>0.41075</v>
      </c>
      <c r="I21" s="83">
        <v>2.7374999999999998</v>
      </c>
      <c r="J21" s="83">
        <v>0.7932342</v>
      </c>
      <c r="K21" s="83">
        <v>0.150045663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1" t="s">
        <v>58</v>
      </c>
      <c r="B22" s="102">
        <v>0</v>
      </c>
      <c r="C22" s="83">
        <v>21</v>
      </c>
      <c r="D22"/>
      <c r="E22" s="176" t="s">
        <v>212</v>
      </c>
      <c r="F22" s="83">
        <v>0</v>
      </c>
      <c r="G22" s="83">
        <v>0.113989644</v>
      </c>
      <c r="H22" s="83">
        <v>0.82125000000000004</v>
      </c>
      <c r="I22" s="83">
        <v>2.7374999999999998</v>
      </c>
      <c r="J22" s="83">
        <v>0.89624184399999995</v>
      </c>
      <c r="K22" s="83">
        <v>0.3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1" t="s">
        <v>59</v>
      </c>
      <c r="B23" s="102">
        <v>1</v>
      </c>
      <c r="C23" s="83">
        <v>22</v>
      </c>
      <c r="D23"/>
      <c r="E23" s="176" t="s">
        <v>213</v>
      </c>
      <c r="F23" s="83">
        <v>0</v>
      </c>
      <c r="G23" s="83">
        <v>9.3264244499999996E-2</v>
      </c>
      <c r="H23" s="83">
        <v>0.54749999999999999</v>
      </c>
      <c r="I23" s="83">
        <v>2.7374999999999998</v>
      </c>
      <c r="J23" s="83">
        <v>0.949342668</v>
      </c>
      <c r="K23" s="83">
        <v>0.2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1" t="s">
        <v>60</v>
      </c>
      <c r="B24" s="102">
        <v>2</v>
      </c>
      <c r="C24" s="83">
        <v>23</v>
      </c>
      <c r="D24"/>
      <c r="E24" s="176" t="s">
        <v>214</v>
      </c>
      <c r="F24" s="83">
        <v>0</v>
      </c>
      <c r="G24" s="83">
        <v>0.40849745300000001</v>
      </c>
      <c r="H24" s="83">
        <v>0.82125000000000004</v>
      </c>
      <c r="I24" s="83">
        <v>2.7374999999999998</v>
      </c>
      <c r="J24" s="83">
        <v>0.63964563600000002</v>
      </c>
      <c r="K24" s="83">
        <v>0.3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3" t="s">
        <v>44</v>
      </c>
      <c r="B25" s="104">
        <v>3</v>
      </c>
      <c r="C25" s="83">
        <v>24</v>
      </c>
      <c r="D25"/>
      <c r="E25" s="176" t="s">
        <v>215</v>
      </c>
      <c r="F25" s="83">
        <v>0</v>
      </c>
      <c r="G25" s="83">
        <v>0.20704662800000001</v>
      </c>
      <c r="H25" s="83">
        <v>0.41075</v>
      </c>
      <c r="I25" s="83">
        <v>2.7374999999999998</v>
      </c>
      <c r="J25" s="83">
        <v>0.98079353599999997</v>
      </c>
      <c r="K25" s="83">
        <v>0.150045663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5" t="s">
        <v>140</v>
      </c>
      <c r="C26" s="83">
        <v>25</v>
      </c>
      <c r="D26"/>
      <c r="E26" s="176" t="s">
        <v>216</v>
      </c>
      <c r="F26" s="83">
        <v>0</v>
      </c>
      <c r="G26" s="83">
        <v>0.43387305700000001</v>
      </c>
      <c r="H26" s="83">
        <v>0.41075</v>
      </c>
      <c r="I26" s="83">
        <v>2.7374999999999998</v>
      </c>
      <c r="J26" s="83">
        <v>0.87036360000000002</v>
      </c>
      <c r="K26" s="83">
        <v>0.150045663</v>
      </c>
      <c r="L26" s="83">
        <v>0</v>
      </c>
      <c r="M26" s="83">
        <v>0.3</v>
      </c>
      <c r="N26" s="83">
        <v>0</v>
      </c>
    </row>
    <row r="27" spans="1:22" ht="15" customHeight="1" x14ac:dyDescent="0.15">
      <c r="C27" s="83">
        <v>26</v>
      </c>
      <c r="D27"/>
      <c r="E27" s="176" t="s">
        <v>217</v>
      </c>
      <c r="F27" s="83">
        <v>0</v>
      </c>
      <c r="G27" s="83">
        <v>0.316321254</v>
      </c>
      <c r="H27" s="83">
        <v>0.32850000000000001</v>
      </c>
      <c r="I27" s="83">
        <v>2.7374999999999998</v>
      </c>
      <c r="J27" s="83">
        <v>0.93223520000000004</v>
      </c>
      <c r="K27" s="83">
        <v>0.12000000500000001</v>
      </c>
      <c r="L27" s="83">
        <v>0</v>
      </c>
      <c r="M27" s="83">
        <v>0.3</v>
      </c>
      <c r="N27" s="83">
        <v>0</v>
      </c>
    </row>
    <row r="28" spans="1:22" ht="15" customHeight="1" x14ac:dyDescent="0.15">
      <c r="C28" s="83">
        <v>27</v>
      </c>
      <c r="D28"/>
      <c r="E28" s="176" t="s">
        <v>218</v>
      </c>
      <c r="F28" s="83">
        <v>0</v>
      </c>
      <c r="G28" s="83">
        <v>4.7275</v>
      </c>
      <c r="H28" s="83">
        <v>0.54749999999999999</v>
      </c>
      <c r="I28" s="83">
        <v>2.7374999999999998</v>
      </c>
      <c r="J28" s="83">
        <v>0.86919120000000005</v>
      </c>
      <c r="K28" s="83">
        <v>0.2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76" t="s">
        <v>219</v>
      </c>
      <c r="F29" s="83">
        <v>0</v>
      </c>
      <c r="G29" s="83">
        <v>0.29634714099999998</v>
      </c>
      <c r="H29" s="83">
        <v>1.825</v>
      </c>
      <c r="I29" s="83">
        <v>18.25</v>
      </c>
      <c r="J29" s="83">
        <v>0.77736556499999998</v>
      </c>
      <c r="K29" s="83">
        <v>0.1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76" t="s">
        <v>220</v>
      </c>
      <c r="F30" s="83">
        <v>0</v>
      </c>
      <c r="G30" s="83">
        <v>0.39170983399999998</v>
      </c>
      <c r="H30" s="83">
        <v>1.3687499999999999</v>
      </c>
      <c r="I30" s="83">
        <v>9.125</v>
      </c>
      <c r="J30" s="83">
        <v>0.43717977400000002</v>
      </c>
      <c r="K30" s="83">
        <v>0.149999991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76" t="s">
        <v>221</v>
      </c>
      <c r="F31" s="83">
        <v>0</v>
      </c>
      <c r="G31" s="83">
        <v>5.5492224700000001</v>
      </c>
      <c r="H31" s="83">
        <v>0.23400000000000001</v>
      </c>
      <c r="I31" s="83">
        <v>1.56</v>
      </c>
      <c r="J31" s="83">
        <v>2.1657409999999998E-2</v>
      </c>
      <c r="K31" s="83">
        <v>0.15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76" t="s">
        <v>222</v>
      </c>
      <c r="F32" s="83">
        <v>0</v>
      </c>
      <c r="G32" s="83">
        <v>9.1554399999999994E-2</v>
      </c>
      <c r="H32" s="83">
        <v>0.23400000000000001</v>
      </c>
      <c r="I32" s="83">
        <v>1.56</v>
      </c>
      <c r="J32" s="83">
        <v>0.28001759999999998</v>
      </c>
      <c r="K32" s="83">
        <v>0.15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76" t="s">
        <v>223</v>
      </c>
      <c r="F33" s="83">
        <v>0</v>
      </c>
      <c r="G33" s="83">
        <v>1.018135</v>
      </c>
      <c r="H33" s="83">
        <v>7.0000000000000007E-2</v>
      </c>
      <c r="I33" s="83">
        <v>1.69</v>
      </c>
      <c r="J33" s="83">
        <v>0.14514744299999999</v>
      </c>
      <c r="K33" s="83">
        <v>4.1420116999999999E-2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76" t="s">
        <v>224</v>
      </c>
      <c r="F34" s="83">
        <v>0</v>
      </c>
      <c r="G34" s="83">
        <v>1.9689000000000002E-2</v>
      </c>
      <c r="H34" s="83">
        <v>0.09</v>
      </c>
      <c r="I34" s="83">
        <v>19.88</v>
      </c>
      <c r="J34" s="83">
        <v>5.6433086299999997E-3</v>
      </c>
      <c r="K34" s="83">
        <v>4.5271629999999998E-3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76" t="s">
        <v>225</v>
      </c>
      <c r="F35" s="83">
        <v>2</v>
      </c>
      <c r="G35" s="83">
        <v>14766.84</v>
      </c>
      <c r="H35" s="83">
        <v>0</v>
      </c>
      <c r="I35" s="83">
        <v>0</v>
      </c>
      <c r="J35" s="83">
        <v>0.99773909999999999</v>
      </c>
      <c r="K35" s="83">
        <v>0</v>
      </c>
      <c r="L35" s="83">
        <v>0</v>
      </c>
      <c r="M35" s="83">
        <v>0</v>
      </c>
      <c r="N35" s="83">
        <v>418.96</v>
      </c>
    </row>
    <row r="36" spans="3:14" customFormat="1" ht="15" customHeight="1" x14ac:dyDescent="0.15">
      <c r="C36" s="83">
        <v>35</v>
      </c>
      <c r="E36" s="176" t="s">
        <v>226</v>
      </c>
      <c r="F36" s="83">
        <v>2</v>
      </c>
      <c r="G36" s="83">
        <v>5</v>
      </c>
      <c r="H36" s="83">
        <v>0</v>
      </c>
      <c r="I36" s="83">
        <v>0</v>
      </c>
      <c r="J36" s="83">
        <v>0</v>
      </c>
      <c r="K36" s="83">
        <v>0</v>
      </c>
      <c r="L36" s="83">
        <v>0</v>
      </c>
      <c r="M36" s="83">
        <v>0</v>
      </c>
      <c r="N36" s="83">
        <v>0</v>
      </c>
    </row>
    <row r="37" spans="3:14" customFormat="1" ht="15" customHeight="1" x14ac:dyDescent="0.15">
      <c r="C37" s="83">
        <v>36</v>
      </c>
      <c r="E37" s="176" t="s">
        <v>227</v>
      </c>
      <c r="F37" s="83">
        <v>3</v>
      </c>
      <c r="G37" s="83">
        <v>0</v>
      </c>
      <c r="H37" s="83">
        <v>0</v>
      </c>
      <c r="I37" s="83">
        <v>0</v>
      </c>
      <c r="J37" s="83">
        <v>0</v>
      </c>
      <c r="K37" s="83">
        <v>0</v>
      </c>
      <c r="L37" s="83">
        <v>0</v>
      </c>
      <c r="M37" s="83">
        <v>0</v>
      </c>
      <c r="N37" s="83">
        <v>0</v>
      </c>
    </row>
    <row r="38" spans="3:14" customFormat="1" ht="15" customHeight="1" x14ac:dyDescent="0.15">
      <c r="C38" s="83">
        <v>37</v>
      </c>
      <c r="E38" s="176" t="s">
        <v>228</v>
      </c>
      <c r="F38" s="83">
        <v>3</v>
      </c>
      <c r="G38" s="83">
        <v>0</v>
      </c>
      <c r="H38" s="83">
        <v>0</v>
      </c>
      <c r="I38" s="83">
        <v>0</v>
      </c>
      <c r="J38" s="83">
        <v>0</v>
      </c>
      <c r="K38" s="83">
        <v>0</v>
      </c>
      <c r="L38" s="83">
        <v>0</v>
      </c>
      <c r="M38" s="83">
        <v>0</v>
      </c>
      <c r="N38" s="83">
        <v>0</v>
      </c>
    </row>
    <row r="39" spans="3:14" customFormat="1" ht="15" customHeight="1" x14ac:dyDescent="0.15">
      <c r="C39" s="83">
        <v>38</v>
      </c>
      <c r="E39" s="176" t="s">
        <v>229</v>
      </c>
      <c r="F39" s="83">
        <v>3</v>
      </c>
      <c r="G39" s="83">
        <v>0</v>
      </c>
      <c r="H39" s="83">
        <v>0</v>
      </c>
      <c r="I39" s="83">
        <v>0</v>
      </c>
      <c r="J39" s="83">
        <v>0</v>
      </c>
      <c r="K39" s="83">
        <v>0</v>
      </c>
      <c r="L39" s="83">
        <v>0</v>
      </c>
      <c r="M39" s="83">
        <v>0</v>
      </c>
      <c r="N39" s="83">
        <v>0</v>
      </c>
    </row>
    <row r="40" spans="3:14" customFormat="1" ht="15" customHeight="1" x14ac:dyDescent="0.15">
      <c r="C40" s="83">
        <v>39</v>
      </c>
      <c r="E40" s="176" t="s">
        <v>230</v>
      </c>
      <c r="F40" s="83">
        <v>3</v>
      </c>
      <c r="G40" s="83">
        <v>0</v>
      </c>
      <c r="H40" s="83">
        <v>0</v>
      </c>
      <c r="I40" s="83">
        <v>0</v>
      </c>
      <c r="J40" s="83">
        <v>0</v>
      </c>
      <c r="K40" s="83">
        <v>0</v>
      </c>
      <c r="L40" s="83">
        <v>0</v>
      </c>
      <c r="M40" s="83">
        <v>0</v>
      </c>
      <c r="N40" s="83">
        <v>0</v>
      </c>
    </row>
    <row r="41" spans="3:14" customFormat="1" ht="15" customHeight="1" x14ac:dyDescent="0.15">
      <c r="C41" s="83">
        <v>40</v>
      </c>
      <c r="E41" s="176" t="s">
        <v>231</v>
      </c>
      <c r="F41" s="83">
        <v>3</v>
      </c>
      <c r="G41" s="83">
        <v>0</v>
      </c>
      <c r="H41" s="83">
        <v>0</v>
      </c>
      <c r="I41" s="83">
        <v>0</v>
      </c>
      <c r="J41" s="83">
        <v>0</v>
      </c>
      <c r="K41" s="83">
        <v>0</v>
      </c>
      <c r="L41" s="83">
        <v>0</v>
      </c>
      <c r="M41" s="83">
        <v>0</v>
      </c>
      <c r="N41" s="83">
        <v>0</v>
      </c>
    </row>
    <row r="42" spans="3:14" customFormat="1" ht="15" customHeight="1" x14ac:dyDescent="0.15">
      <c r="C42" s="83">
        <v>41</v>
      </c>
      <c r="E42" s="176" t="s">
        <v>232</v>
      </c>
      <c r="F42" s="83">
        <v>3</v>
      </c>
      <c r="G42" s="83">
        <v>0</v>
      </c>
      <c r="H42" s="83">
        <v>0</v>
      </c>
      <c r="I42" s="83">
        <v>0</v>
      </c>
      <c r="J42" s="83">
        <v>0</v>
      </c>
      <c r="K42" s="83">
        <v>0</v>
      </c>
      <c r="L42" s="83">
        <v>0</v>
      </c>
      <c r="M42" s="83">
        <v>0</v>
      </c>
      <c r="N42" s="83">
        <v>0</v>
      </c>
    </row>
    <row r="43" spans="3:14" customFormat="1" ht="15" customHeight="1" x14ac:dyDescent="0.15">
      <c r="C43" s="83">
        <v>42</v>
      </c>
      <c r="E43" s="176" t="s">
        <v>233</v>
      </c>
      <c r="F43" s="83">
        <v>3</v>
      </c>
      <c r="G43" s="83">
        <v>0</v>
      </c>
      <c r="H43" s="83">
        <v>0</v>
      </c>
      <c r="I43" s="83">
        <v>0</v>
      </c>
      <c r="J43" s="83">
        <v>0</v>
      </c>
      <c r="K43" s="83">
        <v>0</v>
      </c>
      <c r="L43" s="83">
        <v>0</v>
      </c>
      <c r="M43" s="83">
        <v>0</v>
      </c>
      <c r="N43" s="83">
        <v>0</v>
      </c>
    </row>
    <row r="44" spans="3:14" customFormat="1" ht="15" customHeight="1" x14ac:dyDescent="0.15">
      <c r="C44" s="83">
        <v>43</v>
      </c>
      <c r="E44" s="176" t="s">
        <v>234</v>
      </c>
      <c r="F44" s="83">
        <v>3</v>
      </c>
      <c r="G44" s="83">
        <v>0</v>
      </c>
      <c r="H44" s="83">
        <v>0</v>
      </c>
      <c r="I44" s="83">
        <v>0</v>
      </c>
      <c r="J44" s="83">
        <v>0</v>
      </c>
      <c r="K44" s="83">
        <v>0</v>
      </c>
      <c r="L44" s="83">
        <v>0</v>
      </c>
      <c r="M44" s="83">
        <v>0</v>
      </c>
      <c r="N44" s="83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J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2" width="2.33203125" style="140" bestFit="1" customWidth="1"/>
    <col min="3" max="3" width="3.83203125" style="140" bestFit="1" customWidth="1"/>
    <col min="4" max="7" width="13.83203125" style="140" bestFit="1" customWidth="1"/>
    <col min="8" max="8" width="12.83203125" style="140" bestFit="1" customWidth="1"/>
    <col min="9" max="10" width="15.83203125" style="140" bestFit="1" customWidth="1"/>
    <col min="11" max="12" width="4.83203125" style="140" bestFit="1" customWidth="1"/>
    <col min="13" max="13" width="13.83203125" style="140" bestFit="1" customWidth="1"/>
    <col min="14" max="16" width="2.33203125" style="140" bestFit="1" customWidth="1"/>
    <col min="17" max="17" width="13.83203125" style="140" bestFit="1" customWidth="1"/>
    <col min="18" max="19" width="15.83203125" style="140" bestFit="1" customWidth="1"/>
    <col min="20" max="20" width="15.5" style="140" bestFit="1" customWidth="1"/>
    <col min="21" max="21" width="15.83203125" style="140" bestFit="1" customWidth="1"/>
    <col min="22" max="23" width="13.83203125" style="140" bestFit="1" customWidth="1"/>
    <col min="24" max="25" width="15.83203125" style="140" bestFit="1" customWidth="1"/>
    <col min="26" max="27" width="13.83203125" style="140" bestFit="1" customWidth="1"/>
    <col min="28" max="29" width="15.83203125" style="140" bestFit="1" customWidth="1"/>
    <col min="30" max="32" width="15.83203125" style="140" customWidth="1"/>
    <col min="33" max="33" width="14.83203125" style="140" customWidth="1"/>
    <col min="34" max="34" width="15.83203125" style="140" customWidth="1"/>
    <col min="35" max="36" width="2.33203125" style="140" customWidth="1"/>
    <col min="37" max="16384" width="8.83203125" style="140"/>
  </cols>
  <sheetData>
    <row r="1" spans="1:36" x14ac:dyDescent="0.15">
      <c r="A1" s="139" t="s">
        <v>19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 s="178" t="s">
        <v>224</v>
      </c>
      <c r="AI1" s="178" t="s">
        <v>225</v>
      </c>
      <c r="AJ1" s="178" t="s">
        <v>226</v>
      </c>
    </row>
    <row r="2" spans="1:36" customFormat="1" x14ac:dyDescent="0.15">
      <c r="A2" s="177" t="s">
        <v>192</v>
      </c>
      <c r="B2" s="140">
        <v>0</v>
      </c>
      <c r="C2" s="140">
        <v>0.9</v>
      </c>
      <c r="D2" s="140">
        <v>0.61999998530600031</v>
      </c>
      <c r="E2" s="140">
        <v>0</v>
      </c>
      <c r="F2" s="140">
        <v>0.49281303660985937</v>
      </c>
      <c r="G2" s="140">
        <v>0.7347398548134989</v>
      </c>
      <c r="H2" s="140">
        <v>0</v>
      </c>
      <c r="I2" s="140">
        <v>0</v>
      </c>
      <c r="J2" s="140">
        <v>0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5.3149311753927286E-2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2.9058116128857715E-2</v>
      </c>
      <c r="AA2" s="140">
        <v>2.4134311546589727E-2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  <c r="AH2" s="140">
        <v>0</v>
      </c>
      <c r="AI2" s="140">
        <v>0</v>
      </c>
      <c r="AJ2" s="140">
        <v>0</v>
      </c>
    </row>
    <row r="3" spans="1:36" customFormat="1" x14ac:dyDescent="0.15">
      <c r="A3" s="177" t="s">
        <v>193</v>
      </c>
      <c r="B3" s="140">
        <v>0</v>
      </c>
      <c r="C3" s="140">
        <v>0.1</v>
      </c>
      <c r="D3" s="140">
        <v>0.20000001325999969</v>
      </c>
      <c r="E3" s="140">
        <v>0</v>
      </c>
      <c r="F3" s="140">
        <v>0.34272717399236657</v>
      </c>
      <c r="G3" s="140">
        <v>2.8066463873912473E-2</v>
      </c>
      <c r="H3" s="140">
        <v>0</v>
      </c>
      <c r="I3" s="140">
        <v>0</v>
      </c>
      <c r="J3" s="140">
        <v>0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0.10602861949894445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</v>
      </c>
      <c r="AF3" s="140">
        <v>0</v>
      </c>
      <c r="AG3" s="140">
        <v>0</v>
      </c>
      <c r="AH3" s="140">
        <v>0</v>
      </c>
      <c r="AI3" s="140">
        <v>0</v>
      </c>
      <c r="AJ3" s="140">
        <v>0</v>
      </c>
    </row>
    <row r="4" spans="1:36" customFormat="1" x14ac:dyDescent="0.15">
      <c r="A4" s="177" t="s">
        <v>194</v>
      </c>
      <c r="B4" s="140">
        <v>0</v>
      </c>
      <c r="C4" s="140">
        <v>0</v>
      </c>
      <c r="D4" s="140">
        <v>8.0000003803999908E-2</v>
      </c>
      <c r="E4" s="140">
        <v>0</v>
      </c>
      <c r="F4" s="140">
        <v>0</v>
      </c>
      <c r="G4" s="140">
        <v>3.5012913546705819E-2</v>
      </c>
      <c r="H4" s="140">
        <v>0</v>
      </c>
      <c r="I4" s="140">
        <v>2.0036088389980078E-3</v>
      </c>
      <c r="J4" s="140">
        <v>0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0.84082206874712828</v>
      </c>
      <c r="R4" s="140">
        <v>0.77522477693450531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0.11700000001170001</v>
      </c>
      <c r="Y4" s="140">
        <v>0</v>
      </c>
      <c r="Z4" s="140">
        <v>0.22845691815791594</v>
      </c>
      <c r="AA4" s="140">
        <v>2.4134311546589727E-2</v>
      </c>
      <c r="AB4" s="140">
        <v>9.9704649941224129E-4</v>
      </c>
      <c r="AC4" s="140">
        <v>1.5004103501649203E-2</v>
      </c>
      <c r="AD4" s="140">
        <v>0</v>
      </c>
      <c r="AE4" s="140">
        <v>0</v>
      </c>
      <c r="AF4" s="140">
        <v>0</v>
      </c>
      <c r="AG4" s="140">
        <v>1.5030059991983959E-2</v>
      </c>
      <c r="AH4" s="140">
        <v>5.4084072982628052E-2</v>
      </c>
      <c r="AI4" s="140">
        <v>0</v>
      </c>
      <c r="AJ4" s="140">
        <v>0</v>
      </c>
    </row>
    <row r="5" spans="1:36" customFormat="1" x14ac:dyDescent="0.15">
      <c r="A5" s="177" t="s">
        <v>195</v>
      </c>
      <c r="B5" s="140">
        <v>0</v>
      </c>
      <c r="C5" s="140">
        <v>0</v>
      </c>
      <c r="D5" s="140">
        <v>0</v>
      </c>
      <c r="E5" s="140">
        <v>0</v>
      </c>
      <c r="F5" s="140">
        <v>0</v>
      </c>
      <c r="G5" s="140">
        <v>0</v>
      </c>
      <c r="H5" s="140">
        <v>0.45497355536962975</v>
      </c>
      <c r="I5" s="140">
        <v>0.27850163762072239</v>
      </c>
      <c r="J5" s="140">
        <v>0.28014008043165617</v>
      </c>
      <c r="K5" s="140">
        <v>0</v>
      </c>
      <c r="L5" s="140">
        <v>0</v>
      </c>
      <c r="M5" s="140">
        <v>0.10189810022977031</v>
      </c>
      <c r="N5" s="140">
        <v>0</v>
      </c>
      <c r="O5" s="140">
        <v>0</v>
      </c>
      <c r="P5" s="140">
        <v>0</v>
      </c>
      <c r="Q5" s="140">
        <v>0</v>
      </c>
      <c r="R5" s="140">
        <v>4.9950050190109861E-2</v>
      </c>
      <c r="S5" s="140">
        <v>0.33396656178410611</v>
      </c>
      <c r="T5" s="140">
        <v>0.38227955494691407</v>
      </c>
      <c r="U5" s="140">
        <v>0.41991069563367567</v>
      </c>
      <c r="V5" s="140">
        <v>0.36536536476876874</v>
      </c>
      <c r="W5" s="140">
        <v>0.56243328886382093</v>
      </c>
      <c r="X5" s="140">
        <v>0</v>
      </c>
      <c r="Y5" s="140">
        <v>0</v>
      </c>
      <c r="Z5" s="140">
        <v>0</v>
      </c>
      <c r="AA5" s="140">
        <v>0</v>
      </c>
      <c r="AB5" s="140">
        <v>0.37788033477723965</v>
      </c>
      <c r="AC5" s="140">
        <v>0.25102396966241447</v>
      </c>
      <c r="AD5" s="140">
        <v>0.24484676539593139</v>
      </c>
      <c r="AE5" s="140">
        <v>0.55485284468949381</v>
      </c>
      <c r="AF5" s="140">
        <v>0</v>
      </c>
      <c r="AG5" s="140">
        <v>0.13727454306011982</v>
      </c>
      <c r="AH5" s="140">
        <v>0</v>
      </c>
      <c r="AI5" s="140">
        <v>0</v>
      </c>
      <c r="AJ5" s="140">
        <v>0</v>
      </c>
    </row>
    <row r="6" spans="1:36" customFormat="1" x14ac:dyDescent="0.15">
      <c r="A6" s="177" t="s">
        <v>196</v>
      </c>
      <c r="B6" s="140">
        <v>0</v>
      </c>
      <c r="C6" s="140">
        <v>0</v>
      </c>
      <c r="D6" s="140">
        <v>0</v>
      </c>
      <c r="E6" s="140">
        <v>0</v>
      </c>
      <c r="F6" s="140">
        <v>0</v>
      </c>
      <c r="G6" s="140">
        <v>0</v>
      </c>
      <c r="H6" s="140">
        <v>0</v>
      </c>
      <c r="I6" s="140">
        <v>7.112811428442925E-2</v>
      </c>
      <c r="J6" s="140">
        <v>7.5037522258479344E-2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6.0002291561259639E-3</v>
      </c>
      <c r="U6" s="140">
        <v>3.499255921947305E-2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2.0005904088206523E-2</v>
      </c>
      <c r="AC6" s="140">
        <v>2.9993344403792053E-4</v>
      </c>
      <c r="AD6" s="140">
        <v>7.0002426968264878E-2</v>
      </c>
      <c r="AE6" s="140">
        <v>3.0010095608443598E-2</v>
      </c>
      <c r="AF6" s="140">
        <v>0</v>
      </c>
      <c r="AG6" s="140">
        <v>0</v>
      </c>
      <c r="AH6" s="140">
        <v>1.9999638771155369E-2</v>
      </c>
      <c r="AI6" s="140">
        <v>0</v>
      </c>
      <c r="AJ6" s="140">
        <v>0</v>
      </c>
    </row>
    <row r="7" spans="1:36" customFormat="1" x14ac:dyDescent="0.15">
      <c r="A7" s="177" t="s">
        <v>197</v>
      </c>
      <c r="B7" s="140">
        <v>0</v>
      </c>
      <c r="C7" s="140">
        <v>0</v>
      </c>
      <c r="D7" s="140">
        <v>0</v>
      </c>
      <c r="E7" s="140">
        <v>0</v>
      </c>
      <c r="F7" s="140">
        <v>0</v>
      </c>
      <c r="G7" s="140">
        <v>0</v>
      </c>
      <c r="H7" s="140">
        <v>0.36335096308691345</v>
      </c>
      <c r="I7" s="140">
        <v>0.31957561232018206</v>
      </c>
      <c r="J7" s="140">
        <v>0.31515757148561263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7.9920091024174595E-3</v>
      </c>
      <c r="S7" s="140">
        <v>3.2996697903818761E-2</v>
      </c>
      <c r="T7" s="140">
        <v>7.8467912041735088E-2</v>
      </c>
      <c r="U7" s="140">
        <v>8.0126670582194318E-2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0.21336778987421973</v>
      </c>
      <c r="AC7" s="140">
        <v>0</v>
      </c>
      <c r="AD7" s="140">
        <v>3.1364670541627483E-2</v>
      </c>
      <c r="AE7" s="140">
        <v>6.9106213111147091E-2</v>
      </c>
      <c r="AF7" s="140">
        <v>0</v>
      </c>
      <c r="AG7" s="140">
        <v>0.17034068324248508</v>
      </c>
      <c r="AH7" s="140">
        <v>0</v>
      </c>
      <c r="AI7" s="140">
        <v>0</v>
      </c>
      <c r="AJ7" s="140">
        <v>0</v>
      </c>
    </row>
    <row r="8" spans="1:36" customFormat="1" x14ac:dyDescent="0.15">
      <c r="A8" s="177" t="s">
        <v>198</v>
      </c>
      <c r="B8" s="140">
        <v>0</v>
      </c>
      <c r="C8" s="140">
        <v>0</v>
      </c>
      <c r="D8" s="140">
        <v>0</v>
      </c>
      <c r="E8" s="140">
        <v>0</v>
      </c>
      <c r="F8" s="140">
        <v>0</v>
      </c>
      <c r="G8" s="140">
        <v>0</v>
      </c>
      <c r="H8" s="140">
        <v>0</v>
      </c>
      <c r="I8" s="140">
        <v>7.4133534042925733E-2</v>
      </c>
      <c r="J8" s="140">
        <v>7.6038012288592111E-2</v>
      </c>
      <c r="K8" s="140">
        <v>0</v>
      </c>
      <c r="L8" s="140">
        <v>0</v>
      </c>
      <c r="M8" s="140">
        <v>8.1918086969030787E-2</v>
      </c>
      <c r="N8" s="140">
        <v>0</v>
      </c>
      <c r="O8" s="140">
        <v>0</v>
      </c>
      <c r="P8" s="140">
        <v>0</v>
      </c>
      <c r="Q8" s="140">
        <v>0</v>
      </c>
      <c r="R8" s="140">
        <v>9.7902093304615911E-2</v>
      </c>
      <c r="S8" s="140">
        <v>0.23497647007264971</v>
      </c>
      <c r="T8" s="140">
        <v>8.0479912094087322E-2</v>
      </c>
      <c r="U8" s="140">
        <v>0.12419634387740149</v>
      </c>
      <c r="V8" s="140">
        <v>0.61461461475075074</v>
      </c>
      <c r="W8" s="140">
        <v>0.38420491639274273</v>
      </c>
      <c r="X8" s="140">
        <v>0</v>
      </c>
      <c r="Y8" s="140">
        <v>0</v>
      </c>
      <c r="Z8" s="140">
        <v>0.16332666897254539</v>
      </c>
      <c r="AA8" s="140">
        <v>3.6726129614375644E-2</v>
      </c>
      <c r="AB8" s="140">
        <v>0.15004429191154892</v>
      </c>
      <c r="AC8" s="140">
        <v>0</v>
      </c>
      <c r="AD8" s="140">
        <v>7.8917566582159107E-2</v>
      </c>
      <c r="AE8" s="140">
        <v>9.2016380827347019E-2</v>
      </c>
      <c r="AF8" s="140">
        <v>0</v>
      </c>
      <c r="AG8" s="140">
        <v>0.10220441174549116</v>
      </c>
      <c r="AH8" s="140">
        <v>0</v>
      </c>
      <c r="AI8" s="140">
        <v>0</v>
      </c>
      <c r="AJ8" s="140">
        <v>0</v>
      </c>
    </row>
    <row r="9" spans="1:36" customFormat="1" x14ac:dyDescent="0.15">
      <c r="A9" s="177" t="s">
        <v>199</v>
      </c>
      <c r="B9" s="140">
        <v>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9.0162392754910767E-3</v>
      </c>
      <c r="J9" s="140">
        <v>7.0035017307913958E-3</v>
      </c>
      <c r="K9" s="140">
        <v>0</v>
      </c>
      <c r="L9" s="140">
        <v>0</v>
      </c>
      <c r="M9" s="140">
        <v>0</v>
      </c>
      <c r="N9" s="140">
        <v>0</v>
      </c>
      <c r="O9" s="140">
        <v>0</v>
      </c>
      <c r="P9" s="140">
        <v>0</v>
      </c>
      <c r="Q9" s="140">
        <v>0</v>
      </c>
      <c r="R9" s="140">
        <v>9.9900098780219913E-3</v>
      </c>
      <c r="S9" s="140">
        <v>3.0996898030860049E-2</v>
      </c>
      <c r="T9" s="140">
        <v>1.2071986114113082E-2</v>
      </c>
      <c r="U9" s="140">
        <v>1.0015833835274291E-2</v>
      </c>
      <c r="V9" s="140">
        <v>2.0020020480480492E-2</v>
      </c>
      <c r="W9" s="140">
        <v>5.3361794743436469E-2</v>
      </c>
      <c r="X9" s="140">
        <v>0</v>
      </c>
      <c r="Y9" s="140">
        <v>0</v>
      </c>
      <c r="Z9" s="140">
        <v>0</v>
      </c>
      <c r="AA9" s="140">
        <v>0</v>
      </c>
      <c r="AB9" s="140">
        <v>1.7946835589420344E-2</v>
      </c>
      <c r="AC9" s="140">
        <v>8.006370734073999E-2</v>
      </c>
      <c r="AD9" s="140">
        <v>0.23595716478093109</v>
      </c>
      <c r="AE9" s="140">
        <v>5.5084662608885365E-2</v>
      </c>
      <c r="AF9" s="140">
        <v>0.45995397199478244</v>
      </c>
      <c r="AG9" s="140">
        <v>6.9138274563126115E-2</v>
      </c>
      <c r="AH9" s="140">
        <v>1.7681332184705405E-2</v>
      </c>
      <c r="AI9" s="140">
        <v>0</v>
      </c>
      <c r="AJ9" s="140">
        <v>0</v>
      </c>
    </row>
    <row r="10" spans="1:36" customFormat="1" x14ac:dyDescent="0.15">
      <c r="A10" s="177" t="s">
        <v>200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0</v>
      </c>
      <c r="I10" s="140">
        <v>2.0016052991590045E-4</v>
      </c>
      <c r="J10" s="140">
        <v>0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1.0008998064158376E-4</v>
      </c>
      <c r="T10" s="140">
        <v>0</v>
      </c>
      <c r="U10" s="140">
        <v>1.0005818934639076E-4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9.9804274141165398E-5</v>
      </c>
      <c r="AC10" s="140">
        <v>5.0010070638950504E-5</v>
      </c>
      <c r="AD10" s="140">
        <v>0</v>
      </c>
      <c r="AE10" s="140">
        <v>4.0021508510455891E-4</v>
      </c>
      <c r="AF10" s="140">
        <v>1.0008998090582131E-4</v>
      </c>
      <c r="AG10" s="140">
        <v>0</v>
      </c>
      <c r="AH10" s="140">
        <v>0</v>
      </c>
      <c r="AI10" s="140">
        <v>0</v>
      </c>
      <c r="AJ10" s="140">
        <v>0</v>
      </c>
    </row>
    <row r="11" spans="1:36" customFormat="1" x14ac:dyDescent="0.15">
      <c r="A11" s="177" t="s">
        <v>201</v>
      </c>
      <c r="B11" s="140">
        <v>0</v>
      </c>
      <c r="C11" s="140">
        <v>0</v>
      </c>
      <c r="D11" s="140">
        <v>0</v>
      </c>
      <c r="E11" s="140">
        <v>0</v>
      </c>
      <c r="F11" s="140">
        <v>0</v>
      </c>
      <c r="G11" s="140">
        <v>0</v>
      </c>
      <c r="H11" s="140">
        <v>0</v>
      </c>
      <c r="I11" s="140">
        <v>1.0008027695794924E-3</v>
      </c>
      <c r="J11" s="140">
        <v>5.0025015705652928E-4</v>
      </c>
      <c r="K11" s="140">
        <v>0</v>
      </c>
      <c r="L11" s="140">
        <v>0</v>
      </c>
      <c r="M11" s="140">
        <v>0</v>
      </c>
      <c r="N11" s="140">
        <v>0</v>
      </c>
      <c r="O11" s="140">
        <v>0</v>
      </c>
      <c r="P11" s="140">
        <v>0</v>
      </c>
      <c r="Q11" s="140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140">
        <v>0</v>
      </c>
      <c r="X11" s="140">
        <v>0</v>
      </c>
      <c r="Y11" s="140">
        <v>0</v>
      </c>
      <c r="Z11" s="140">
        <v>0</v>
      </c>
      <c r="AA11" s="140">
        <v>0</v>
      </c>
      <c r="AB11" s="140">
        <v>3.9921742876466142E-3</v>
      </c>
      <c r="AC11" s="140">
        <v>0</v>
      </c>
      <c r="AD11" s="140">
        <v>5.0487007813458168E-3</v>
      </c>
      <c r="AE11" s="140">
        <v>0</v>
      </c>
      <c r="AF11" s="140">
        <v>0</v>
      </c>
      <c r="AG11" s="140">
        <v>0</v>
      </c>
      <c r="AH11" s="140">
        <v>0</v>
      </c>
      <c r="AI11" s="140">
        <v>0</v>
      </c>
      <c r="AJ11" s="140">
        <v>0</v>
      </c>
    </row>
    <row r="12" spans="1:36" customFormat="1" x14ac:dyDescent="0.15">
      <c r="A12" s="177" t="s">
        <v>202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9.0162392754910767E-3</v>
      </c>
      <c r="J12" s="140">
        <v>6.0030014206783376E-3</v>
      </c>
      <c r="K12" s="140">
        <v>0</v>
      </c>
      <c r="L12" s="140">
        <v>0</v>
      </c>
      <c r="M12" s="140">
        <v>0</v>
      </c>
      <c r="N12" s="140">
        <v>0</v>
      </c>
      <c r="O12" s="140">
        <v>0</v>
      </c>
      <c r="P12" s="140">
        <v>0</v>
      </c>
      <c r="Q12" s="140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140">
        <v>0</v>
      </c>
      <c r="X12" s="140">
        <v>0</v>
      </c>
      <c r="Y12" s="140">
        <v>0</v>
      </c>
      <c r="Z12" s="140">
        <v>0</v>
      </c>
      <c r="AA12" s="140">
        <v>0</v>
      </c>
      <c r="AB12" s="140">
        <v>8.9734179947101728E-3</v>
      </c>
      <c r="AC12" s="140">
        <v>0</v>
      </c>
      <c r="AD12" s="140">
        <v>5.0588187809076169E-3</v>
      </c>
      <c r="AE12" s="140">
        <v>1.7026171302746099E-2</v>
      </c>
      <c r="AF12" s="140">
        <v>0</v>
      </c>
      <c r="AG12" s="140">
        <v>0</v>
      </c>
      <c r="AH12" s="140">
        <v>0</v>
      </c>
      <c r="AI12" s="140">
        <v>0</v>
      </c>
      <c r="AJ12" s="140">
        <v>0</v>
      </c>
    </row>
    <row r="13" spans="1:36" customFormat="1" x14ac:dyDescent="0.15">
      <c r="A13" s="177" t="s">
        <v>203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0.23342044224326691</v>
      </c>
      <c r="J13" s="140">
        <v>0.24012006022713359</v>
      </c>
      <c r="K13" s="140">
        <v>0</v>
      </c>
      <c r="L13" s="140">
        <v>0</v>
      </c>
      <c r="M13" s="140">
        <v>0</v>
      </c>
      <c r="N13" s="140">
        <v>0</v>
      </c>
      <c r="O13" s="140">
        <v>0</v>
      </c>
      <c r="P13" s="140">
        <v>0</v>
      </c>
      <c r="Q13" s="140">
        <v>0</v>
      </c>
      <c r="R13" s="140">
        <v>1.9980020456043902E-2</v>
      </c>
      <c r="S13" s="140">
        <v>0.11398859275864663</v>
      </c>
      <c r="T13" s="140">
        <v>0.34001300884713853</v>
      </c>
      <c r="U13" s="140">
        <v>0.2073277961501801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0.19305695588619295</v>
      </c>
      <c r="AC13" s="140">
        <v>0.34702243247389275</v>
      </c>
      <c r="AD13" s="140">
        <v>6.370371304105589E-2</v>
      </c>
      <c r="AE13" s="140">
        <v>3.5006232810403659E-2</v>
      </c>
      <c r="AF13" s="140">
        <v>0</v>
      </c>
      <c r="AG13" s="140">
        <v>3.3066132182364719E-2</v>
      </c>
      <c r="AH13" s="140">
        <v>0.1719969122519385</v>
      </c>
      <c r="AI13" s="140">
        <v>0</v>
      </c>
      <c r="AJ13" s="140">
        <v>0</v>
      </c>
    </row>
    <row r="14" spans="1:36" customFormat="1" x14ac:dyDescent="0.15">
      <c r="A14" s="177" t="s">
        <v>204</v>
      </c>
      <c r="B14" s="140">
        <v>0</v>
      </c>
      <c r="C14" s="140">
        <v>0</v>
      </c>
      <c r="D14" s="140">
        <v>0</v>
      </c>
      <c r="E14" s="140">
        <v>1.0764262780839614E-2</v>
      </c>
      <c r="F14" s="140">
        <v>9.8484811324243512E-2</v>
      </c>
      <c r="G14" s="140">
        <v>5.3125802932763123E-2</v>
      </c>
      <c r="H14" s="140">
        <v>0</v>
      </c>
      <c r="I14" s="140">
        <v>0</v>
      </c>
      <c r="J14" s="140">
        <v>0</v>
      </c>
      <c r="K14" s="140">
        <v>0.1</v>
      </c>
      <c r="L14" s="140">
        <v>0.25</v>
      </c>
      <c r="M14" s="140">
        <v>0.10889110297102919</v>
      </c>
      <c r="N14" s="140">
        <v>0</v>
      </c>
      <c r="O14" s="140">
        <v>0</v>
      </c>
      <c r="P14" s="140">
        <v>0</v>
      </c>
      <c r="Q14" s="140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140">
        <v>0</v>
      </c>
      <c r="X14" s="140">
        <v>0</v>
      </c>
      <c r="Y14" s="140">
        <v>0</v>
      </c>
      <c r="Z14" s="140">
        <v>0.17134268911843695</v>
      </c>
      <c r="AA14" s="140">
        <v>0.24449106843284379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  <c r="AI14" s="140">
        <v>0</v>
      </c>
      <c r="AJ14" s="140">
        <v>0</v>
      </c>
    </row>
    <row r="15" spans="1:36" customFormat="1" x14ac:dyDescent="0.15">
      <c r="A15" s="177" t="s">
        <v>205</v>
      </c>
      <c r="B15" s="140">
        <v>0</v>
      </c>
      <c r="C15" s="140">
        <v>0</v>
      </c>
      <c r="D15" s="140">
        <v>0</v>
      </c>
      <c r="E15" s="140">
        <v>0</v>
      </c>
      <c r="F15" s="140">
        <v>0</v>
      </c>
      <c r="G15" s="140">
        <v>0</v>
      </c>
      <c r="H15" s="140">
        <v>0</v>
      </c>
      <c r="I15" s="140">
        <v>1.0018043994990057E-3</v>
      </c>
      <c r="J15" s="140">
        <v>0</v>
      </c>
      <c r="K15" s="140">
        <v>0.15</v>
      </c>
      <c r="L15" s="140">
        <v>0.1</v>
      </c>
      <c r="M15" s="140">
        <v>0</v>
      </c>
      <c r="N15" s="140">
        <v>0</v>
      </c>
      <c r="O15" s="140">
        <v>0</v>
      </c>
      <c r="P15" s="140">
        <v>0</v>
      </c>
      <c r="Q15" s="140">
        <v>0</v>
      </c>
      <c r="R15" s="140">
        <v>0</v>
      </c>
      <c r="S15" s="140">
        <v>0</v>
      </c>
      <c r="T15" s="140">
        <v>9.9429532587156451E-5</v>
      </c>
      <c r="U15" s="140">
        <v>7.0040734442473652E-6</v>
      </c>
      <c r="V15" s="140">
        <v>0</v>
      </c>
      <c r="W15" s="140">
        <v>0</v>
      </c>
      <c r="X15" s="140">
        <v>0</v>
      </c>
      <c r="Y15" s="140">
        <v>0</v>
      </c>
      <c r="Z15" s="140">
        <v>0.13727455049839682</v>
      </c>
      <c r="AA15" s="140">
        <v>0.29380902291500521</v>
      </c>
      <c r="AB15" s="140">
        <v>9.9704649941224129E-4</v>
      </c>
      <c r="AC15" s="140">
        <v>0</v>
      </c>
      <c r="AD15" s="140">
        <v>0</v>
      </c>
      <c r="AE15" s="140">
        <v>1.0015395401615302E-3</v>
      </c>
      <c r="AF15" s="140">
        <v>0</v>
      </c>
      <c r="AG15" s="140">
        <v>0</v>
      </c>
      <c r="AH15" s="140">
        <v>0</v>
      </c>
      <c r="AI15" s="140">
        <v>0</v>
      </c>
      <c r="AJ15" s="140">
        <v>0</v>
      </c>
    </row>
    <row r="16" spans="1:36" customFormat="1" x14ac:dyDescent="0.15">
      <c r="A16" s="177" t="s">
        <v>206</v>
      </c>
      <c r="B16" s="140">
        <v>0</v>
      </c>
      <c r="C16" s="140">
        <v>0</v>
      </c>
      <c r="D16" s="140">
        <v>0</v>
      </c>
      <c r="E16" s="140">
        <v>1.0764262780839614E-2</v>
      </c>
      <c r="F16" s="140">
        <v>0</v>
      </c>
      <c r="G16" s="140">
        <v>0</v>
      </c>
      <c r="H16" s="140">
        <v>0.18167548154345672</v>
      </c>
      <c r="I16" s="140">
        <v>1.0018043994990057E-3</v>
      </c>
      <c r="J16" s="140">
        <v>0</v>
      </c>
      <c r="K16" s="140">
        <v>0.75</v>
      </c>
      <c r="L16" s="140">
        <v>0.6</v>
      </c>
      <c r="M16" s="140">
        <v>0</v>
      </c>
      <c r="N16" s="140">
        <v>0</v>
      </c>
      <c r="O16" s="140">
        <v>0</v>
      </c>
      <c r="P16" s="140">
        <v>0</v>
      </c>
      <c r="Q16" s="140">
        <v>0</v>
      </c>
      <c r="R16" s="140">
        <v>0</v>
      </c>
      <c r="S16" s="140">
        <v>0</v>
      </c>
      <c r="T16" s="140">
        <v>1.0059989561760931E-3</v>
      </c>
      <c r="U16" s="140">
        <v>1.0015835935274424E-3</v>
      </c>
      <c r="V16" s="140">
        <v>0</v>
      </c>
      <c r="W16" s="140">
        <v>0</v>
      </c>
      <c r="X16" s="140">
        <v>0</v>
      </c>
      <c r="Y16" s="140">
        <v>0</v>
      </c>
      <c r="Z16" s="140">
        <v>0.25751500468677307</v>
      </c>
      <c r="AA16" s="140">
        <v>0.36621197715477427</v>
      </c>
      <c r="AB16" s="140">
        <v>0</v>
      </c>
      <c r="AC16" s="140">
        <v>0</v>
      </c>
      <c r="AD16" s="140">
        <v>5.0588187809076169E-3</v>
      </c>
      <c r="AE16" s="140">
        <v>1.0015395401615302E-3</v>
      </c>
      <c r="AF16" s="140">
        <v>0</v>
      </c>
      <c r="AG16" s="140">
        <v>0</v>
      </c>
      <c r="AH16" s="140">
        <v>0</v>
      </c>
      <c r="AI16" s="140">
        <v>0</v>
      </c>
      <c r="AJ16" s="140">
        <v>0</v>
      </c>
    </row>
    <row r="17" spans="1:36" customFormat="1" x14ac:dyDescent="0.15">
      <c r="A17" s="177" t="s">
        <v>207</v>
      </c>
      <c r="B17" s="140">
        <v>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3.0969031421868083E-2</v>
      </c>
      <c r="S17" s="140">
        <v>2.9996996694380784E-2</v>
      </c>
      <c r="T17" s="140">
        <v>1.7101980444993534E-2</v>
      </c>
      <c r="U17" s="140">
        <v>2.8044335478768063E-2</v>
      </c>
      <c r="V17" s="140">
        <v>0</v>
      </c>
      <c r="W17" s="140">
        <v>0</v>
      </c>
      <c r="X17" s="140">
        <v>0.40500000004050002</v>
      </c>
      <c r="Y17" s="140">
        <v>0.18997322974505426</v>
      </c>
      <c r="Z17" s="140">
        <v>0</v>
      </c>
      <c r="AA17" s="140">
        <v>0</v>
      </c>
      <c r="AB17" s="140">
        <v>0</v>
      </c>
      <c r="AC17" s="140">
        <v>1.6996250835481421E-2</v>
      </c>
      <c r="AD17" s="140">
        <v>8.0903772496138504E-2</v>
      </c>
      <c r="AE17" s="140">
        <v>9.401673632794158E-2</v>
      </c>
      <c r="AF17" s="140">
        <v>4.2995697382120966E-2</v>
      </c>
      <c r="AG17" s="140">
        <v>0.17034068324248508</v>
      </c>
      <c r="AH17" s="140">
        <v>0.12480939242144853</v>
      </c>
      <c r="AI17" s="140">
        <v>0</v>
      </c>
      <c r="AJ17" s="140">
        <v>0</v>
      </c>
    </row>
    <row r="18" spans="1:36" customFormat="1" x14ac:dyDescent="0.15">
      <c r="A18" s="177" t="s">
        <v>208</v>
      </c>
      <c r="B18" s="140">
        <v>0</v>
      </c>
      <c r="C18" s="140">
        <v>0</v>
      </c>
      <c r="D18" s="140">
        <v>0</v>
      </c>
      <c r="E18" s="140">
        <v>0</v>
      </c>
      <c r="F18" s="140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0</v>
      </c>
      <c r="Q18" s="140">
        <v>0</v>
      </c>
      <c r="R18" s="140">
        <v>9.9900108780218784E-4</v>
      </c>
      <c r="S18" s="140">
        <v>2.2997700039025102E-2</v>
      </c>
      <c r="T18" s="140">
        <v>2.0000765120419908E-3</v>
      </c>
      <c r="U18" s="140">
        <v>1.0015835935274424E-3</v>
      </c>
      <c r="V18" s="140">
        <v>0</v>
      </c>
      <c r="W18" s="140">
        <v>0</v>
      </c>
      <c r="X18" s="140">
        <v>1.10000000011E-2</v>
      </c>
      <c r="Y18" s="140">
        <v>5.9991543603701625E-2</v>
      </c>
      <c r="Z18" s="140">
        <v>0</v>
      </c>
      <c r="AA18" s="140">
        <v>0</v>
      </c>
      <c r="AB18" s="140">
        <v>5.0014763770516303E-4</v>
      </c>
      <c r="AC18" s="140">
        <v>4.0010948671064337E-3</v>
      </c>
      <c r="AD18" s="140">
        <v>7.0817166932979313E-3</v>
      </c>
      <c r="AE18" s="140">
        <v>1.0015395401615302E-3</v>
      </c>
      <c r="AF18" s="140">
        <v>2.0997897421501016E-2</v>
      </c>
      <c r="AG18" s="140">
        <v>0</v>
      </c>
      <c r="AH18" s="140">
        <v>4.1603135140483381E-2</v>
      </c>
      <c r="AI18" s="140">
        <v>0</v>
      </c>
      <c r="AJ18" s="140">
        <v>0</v>
      </c>
    </row>
    <row r="19" spans="1:36" customFormat="1" x14ac:dyDescent="0.15">
      <c r="A19" s="177" t="s">
        <v>209</v>
      </c>
      <c r="B19" s="140">
        <v>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140">
        <v>0</v>
      </c>
      <c r="M19" s="140">
        <v>0</v>
      </c>
      <c r="N19" s="140">
        <v>0</v>
      </c>
      <c r="O19" s="140">
        <v>0</v>
      </c>
      <c r="P19" s="140">
        <v>0</v>
      </c>
      <c r="Q19" s="140">
        <v>0</v>
      </c>
      <c r="R19" s="140">
        <v>0</v>
      </c>
      <c r="S19" s="140">
        <v>2.2997700039025102E-2</v>
      </c>
      <c r="T19" s="140">
        <v>0</v>
      </c>
      <c r="U19" s="140">
        <v>5.0079169176371454E-3</v>
      </c>
      <c r="V19" s="140">
        <v>0</v>
      </c>
      <c r="W19" s="140">
        <v>0</v>
      </c>
      <c r="X19" s="140">
        <v>0</v>
      </c>
      <c r="Y19" s="140">
        <v>9.9921169346404927E-4</v>
      </c>
      <c r="Z19" s="140">
        <v>0</v>
      </c>
      <c r="AA19" s="140">
        <v>0</v>
      </c>
      <c r="AB19" s="140">
        <v>5.0014763770516303E-4</v>
      </c>
      <c r="AC19" s="140">
        <v>4.9988912139653269E-4</v>
      </c>
      <c r="AD19" s="140">
        <v>5.0558502710361798E-4</v>
      </c>
      <c r="AE19" s="140">
        <v>1.0015395401615302E-3</v>
      </c>
      <c r="AF19" s="140">
        <v>4.2995697382120966E-2</v>
      </c>
      <c r="AG19" s="140">
        <v>0</v>
      </c>
      <c r="AH19" s="140">
        <v>5.9971787410114052E-2</v>
      </c>
      <c r="AI19" s="140">
        <v>0</v>
      </c>
      <c r="AJ19" s="140">
        <v>0</v>
      </c>
    </row>
    <row r="20" spans="1:36" customFormat="1" x14ac:dyDescent="0.15">
      <c r="A20" s="177" t="s">
        <v>210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0">
        <v>9.9900108780218784E-4</v>
      </c>
      <c r="S20" s="140">
        <v>2.2997700039025102E-2</v>
      </c>
      <c r="T20" s="140">
        <v>1.8107979071169619E-2</v>
      </c>
      <c r="U20" s="140">
        <v>4.5071258258734696E-2</v>
      </c>
      <c r="V20" s="140">
        <v>0</v>
      </c>
      <c r="W20" s="140">
        <v>0</v>
      </c>
      <c r="X20" s="140">
        <v>1.40000000014E-2</v>
      </c>
      <c r="Y20" s="140">
        <v>1.9997181067900556E-2</v>
      </c>
      <c r="Z20" s="140">
        <v>0</v>
      </c>
      <c r="AA20" s="140">
        <v>0</v>
      </c>
      <c r="AB20" s="140">
        <v>9.9704649941224129E-4</v>
      </c>
      <c r="AC20" s="140">
        <v>0.1160233871463644</v>
      </c>
      <c r="AD20" s="140">
        <v>7.8917566582159107E-2</v>
      </c>
      <c r="AE20" s="140">
        <v>1.0015395401615302E-3</v>
      </c>
      <c r="AF20" s="140">
        <v>2.0997897421501016E-2</v>
      </c>
      <c r="AG20" s="140">
        <v>0</v>
      </c>
      <c r="AH20" s="140">
        <v>1.799797492382978E-2</v>
      </c>
      <c r="AI20" s="140">
        <v>0</v>
      </c>
      <c r="AJ20" s="140">
        <v>0</v>
      </c>
    </row>
    <row r="21" spans="1:36" customFormat="1" x14ac:dyDescent="0.15">
      <c r="A21" s="177" t="s">
        <v>211</v>
      </c>
      <c r="B21" s="140">
        <v>0</v>
      </c>
      <c r="C21" s="140">
        <v>0</v>
      </c>
      <c r="D21" s="140">
        <v>0</v>
      </c>
      <c r="E21" s="140">
        <v>0</v>
      </c>
      <c r="F21" s="140">
        <v>0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0</v>
      </c>
      <c r="Q21" s="140">
        <v>0</v>
      </c>
      <c r="R21" s="140">
        <v>0</v>
      </c>
      <c r="S21" s="140">
        <v>2.2997700039025102E-2</v>
      </c>
      <c r="T21" s="140">
        <v>0</v>
      </c>
      <c r="U21" s="140">
        <v>9.997873634135129E-3</v>
      </c>
      <c r="V21" s="140">
        <v>0</v>
      </c>
      <c r="W21" s="140">
        <v>0</v>
      </c>
      <c r="X21" s="140">
        <v>0</v>
      </c>
      <c r="Y21" s="140">
        <v>9.9921169346404927E-4</v>
      </c>
      <c r="Z21" s="140">
        <v>0</v>
      </c>
      <c r="AA21" s="140">
        <v>0</v>
      </c>
      <c r="AB21" s="140">
        <v>5.0014763770516303E-4</v>
      </c>
      <c r="AC21" s="140">
        <v>2.0006732335490385E-2</v>
      </c>
      <c r="AD21" s="140">
        <v>1.6188219298904408E-2</v>
      </c>
      <c r="AE21" s="140">
        <v>1.6024632602584486E-2</v>
      </c>
      <c r="AF21" s="140">
        <v>0.15298466968522242</v>
      </c>
      <c r="AG21" s="140">
        <v>0</v>
      </c>
      <c r="AH21" s="140">
        <v>1.9761488441729515E-2</v>
      </c>
      <c r="AI21" s="140">
        <v>0</v>
      </c>
      <c r="AJ21" s="140">
        <v>0</v>
      </c>
    </row>
    <row r="22" spans="1:36" customFormat="1" x14ac:dyDescent="0.15">
      <c r="A22" s="177" t="s">
        <v>212</v>
      </c>
      <c r="B22" s="140">
        <v>0</v>
      </c>
      <c r="C22" s="140">
        <v>0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</v>
      </c>
      <c r="R22" s="140">
        <v>9.9900108780218784E-4</v>
      </c>
      <c r="S22" s="140">
        <v>9.9989993647935636E-4</v>
      </c>
      <c r="T22" s="140">
        <v>0</v>
      </c>
      <c r="U22" s="140">
        <v>2.0011637969278158E-4</v>
      </c>
      <c r="V22" s="140">
        <v>0</v>
      </c>
      <c r="W22" s="140">
        <v>0</v>
      </c>
      <c r="X22" s="140">
        <v>9.9999990010000007E-4</v>
      </c>
      <c r="Y22" s="140">
        <v>2.0204277845819896E-3</v>
      </c>
      <c r="Z22" s="140">
        <v>0</v>
      </c>
      <c r="AA22" s="140">
        <v>0</v>
      </c>
      <c r="AB22" s="140">
        <v>4.9902137070582699E-5</v>
      </c>
      <c r="AC22" s="140">
        <v>1.9995588135860534E-3</v>
      </c>
      <c r="AD22" s="140">
        <v>1.0112974162017202E-3</v>
      </c>
      <c r="AE22" s="140">
        <v>2.0010754305227943E-4</v>
      </c>
      <c r="AF22" s="140">
        <v>9.9989983911909826E-4</v>
      </c>
      <c r="AG22" s="140">
        <v>1.0020040661322682E-3</v>
      </c>
      <c r="AH22" s="140">
        <v>1.0400785985121115E-3</v>
      </c>
      <c r="AI22" s="140">
        <v>0</v>
      </c>
      <c r="AJ22" s="140">
        <v>0</v>
      </c>
    </row>
    <row r="23" spans="1:36" customFormat="1" x14ac:dyDescent="0.15">
      <c r="A23" s="177" t="s">
        <v>213</v>
      </c>
      <c r="B23" s="140">
        <v>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</v>
      </c>
      <c r="Q23" s="140">
        <v>0</v>
      </c>
      <c r="R23" s="140">
        <v>0</v>
      </c>
      <c r="S23" s="140">
        <v>9.9989993647935636E-4</v>
      </c>
      <c r="T23" s="140">
        <v>0</v>
      </c>
      <c r="U23" s="140">
        <v>0</v>
      </c>
      <c r="V23" s="140">
        <v>0</v>
      </c>
      <c r="W23" s="140">
        <v>0</v>
      </c>
      <c r="X23" s="140">
        <v>0</v>
      </c>
      <c r="Y23" s="140">
        <v>2.0204277845819896E-3</v>
      </c>
      <c r="Z23" s="140">
        <v>0</v>
      </c>
      <c r="AA23" s="140">
        <v>0</v>
      </c>
      <c r="AB23" s="140">
        <v>9.9804274141165398E-5</v>
      </c>
      <c r="AC23" s="140">
        <v>5.9996361707262838E-3</v>
      </c>
      <c r="AD23" s="140">
        <v>1.0112974162017202E-3</v>
      </c>
      <c r="AE23" s="140">
        <v>0</v>
      </c>
      <c r="AF23" s="140">
        <v>4.2995697382120966E-2</v>
      </c>
      <c r="AG23" s="140">
        <v>1.0020040661322682E-3</v>
      </c>
      <c r="AH23" s="140">
        <v>9.9951542350012568E-4</v>
      </c>
      <c r="AI23" s="140">
        <v>0</v>
      </c>
      <c r="AJ23" s="140">
        <v>0</v>
      </c>
    </row>
    <row r="24" spans="1:36" customFormat="1" x14ac:dyDescent="0.15">
      <c r="A24" s="177" t="s">
        <v>214</v>
      </c>
      <c r="B24" s="140">
        <v>0</v>
      </c>
      <c r="C24" s="140">
        <v>0</v>
      </c>
      <c r="D24" s="140">
        <v>0</v>
      </c>
      <c r="E24" s="140">
        <v>0</v>
      </c>
      <c r="F24" s="140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140">
        <v>0</v>
      </c>
      <c r="M24" s="140">
        <v>0</v>
      </c>
      <c r="N24" s="140">
        <v>0</v>
      </c>
      <c r="O24" s="140">
        <v>0</v>
      </c>
      <c r="P24" s="140">
        <v>0</v>
      </c>
      <c r="Q24" s="140">
        <v>0</v>
      </c>
      <c r="R24" s="140">
        <v>9.9900108780218784E-4</v>
      </c>
      <c r="S24" s="140">
        <v>9.9989998347935344E-3</v>
      </c>
      <c r="T24" s="140">
        <v>0</v>
      </c>
      <c r="U24" s="140">
        <v>0</v>
      </c>
      <c r="V24" s="140">
        <v>0</v>
      </c>
      <c r="W24" s="140">
        <v>0</v>
      </c>
      <c r="X24" s="140">
        <v>6.5000000006499997E-2</v>
      </c>
      <c r="Y24" s="140">
        <v>5.2984489050793782E-2</v>
      </c>
      <c r="Z24" s="140">
        <v>0</v>
      </c>
      <c r="AA24" s="140">
        <v>0</v>
      </c>
      <c r="AB24" s="140">
        <v>0</v>
      </c>
      <c r="AC24" s="140">
        <v>0</v>
      </c>
      <c r="AD24" s="140">
        <v>0</v>
      </c>
      <c r="AE24" s="140">
        <v>1.0015395401615302E-3</v>
      </c>
      <c r="AF24" s="140">
        <v>2.0997897421501016E-2</v>
      </c>
      <c r="AG24" s="140">
        <v>3.3066132182364719E-2</v>
      </c>
      <c r="AH24" s="140">
        <v>8.9954365014761353E-2</v>
      </c>
      <c r="AI24" s="140">
        <v>0</v>
      </c>
      <c r="AJ24" s="140">
        <v>0</v>
      </c>
    </row>
    <row r="25" spans="1:36" customFormat="1" x14ac:dyDescent="0.15">
      <c r="A25" s="177" t="s">
        <v>215</v>
      </c>
      <c r="B25" s="140">
        <v>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0</v>
      </c>
      <c r="L25" s="140">
        <v>0</v>
      </c>
      <c r="M25" s="140">
        <v>0</v>
      </c>
      <c r="N25" s="140">
        <v>0</v>
      </c>
      <c r="O25" s="140">
        <v>0</v>
      </c>
      <c r="P25" s="140">
        <v>0</v>
      </c>
      <c r="Q25" s="140">
        <v>0</v>
      </c>
      <c r="R25" s="140">
        <v>0</v>
      </c>
      <c r="S25" s="140">
        <v>9.9989998347935344E-3</v>
      </c>
      <c r="T25" s="140">
        <v>0</v>
      </c>
      <c r="U25" s="140">
        <v>0</v>
      </c>
      <c r="V25" s="140">
        <v>0</v>
      </c>
      <c r="W25" s="140">
        <v>0</v>
      </c>
      <c r="X25" s="140">
        <v>0</v>
      </c>
      <c r="Y25" s="140">
        <v>6.0991403497096565E-2</v>
      </c>
      <c r="Z25" s="140">
        <v>0</v>
      </c>
      <c r="AA25" s="140">
        <v>0</v>
      </c>
      <c r="AB25" s="140">
        <v>0</v>
      </c>
      <c r="AC25" s="140">
        <v>0</v>
      </c>
      <c r="AD25" s="140">
        <v>0</v>
      </c>
      <c r="AE25" s="140">
        <v>1.0015395401615302E-3</v>
      </c>
      <c r="AF25" s="140">
        <v>4.2995697382120966E-2</v>
      </c>
      <c r="AG25" s="140">
        <v>0</v>
      </c>
      <c r="AH25" s="140">
        <v>6.5998818154813982E-2</v>
      </c>
      <c r="AI25" s="140">
        <v>0</v>
      </c>
      <c r="AJ25" s="140">
        <v>0</v>
      </c>
    </row>
    <row r="26" spans="1:36" customFormat="1" x14ac:dyDescent="0.15">
      <c r="A26" s="177" t="s">
        <v>216</v>
      </c>
      <c r="B26" s="140">
        <v>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140">
        <v>0</v>
      </c>
      <c r="M26" s="140">
        <v>0</v>
      </c>
      <c r="N26" s="140">
        <v>0</v>
      </c>
      <c r="O26" s="140">
        <v>0</v>
      </c>
      <c r="P26" s="140">
        <v>0</v>
      </c>
      <c r="Q26" s="140">
        <v>0</v>
      </c>
      <c r="R26" s="140">
        <v>9.9900108780218784E-4</v>
      </c>
      <c r="S26" s="140">
        <v>9.9989993647935636E-4</v>
      </c>
      <c r="T26" s="140">
        <v>1.0059989561760931E-3</v>
      </c>
      <c r="U26" s="140">
        <v>1.0015835935274424E-3</v>
      </c>
      <c r="V26" s="140">
        <v>0</v>
      </c>
      <c r="W26" s="140">
        <v>0</v>
      </c>
      <c r="X26" s="140">
        <v>3.3000000003300001E-2</v>
      </c>
      <c r="Y26" s="140">
        <v>7.9976601472894759E-3</v>
      </c>
      <c r="Z26" s="140">
        <v>0</v>
      </c>
      <c r="AA26" s="140">
        <v>0</v>
      </c>
      <c r="AB26" s="140">
        <v>9.9704649941224129E-4</v>
      </c>
      <c r="AC26" s="140">
        <v>9.5025996843778014E-3</v>
      </c>
      <c r="AD26" s="140">
        <v>0</v>
      </c>
      <c r="AE26" s="140">
        <v>1.0015395401615302E-3</v>
      </c>
      <c r="AF26" s="140">
        <v>2.0997897421501016E-2</v>
      </c>
      <c r="AG26" s="140">
        <v>0</v>
      </c>
      <c r="AH26" s="140">
        <v>6.7968048398132058E-2</v>
      </c>
      <c r="AI26" s="140">
        <v>0</v>
      </c>
      <c r="AJ26" s="140">
        <v>0</v>
      </c>
    </row>
    <row r="27" spans="1:36" customFormat="1" x14ac:dyDescent="0.15">
      <c r="A27" s="177" t="s">
        <v>217</v>
      </c>
      <c r="B27" s="140">
        <v>0</v>
      </c>
      <c r="C27" s="140">
        <v>0</v>
      </c>
      <c r="D27" s="140">
        <v>0</v>
      </c>
      <c r="E27" s="140">
        <v>0</v>
      </c>
      <c r="F27" s="140">
        <v>0</v>
      </c>
      <c r="G27" s="140">
        <v>0</v>
      </c>
      <c r="H27" s="140">
        <v>0</v>
      </c>
      <c r="I27" s="140">
        <v>0</v>
      </c>
      <c r="J27" s="140">
        <v>0</v>
      </c>
      <c r="K27" s="140">
        <v>0</v>
      </c>
      <c r="L27" s="140">
        <v>0</v>
      </c>
      <c r="M27" s="140">
        <v>0</v>
      </c>
      <c r="N27" s="140">
        <v>0</v>
      </c>
      <c r="O27" s="140">
        <v>0</v>
      </c>
      <c r="P27" s="140">
        <v>0</v>
      </c>
      <c r="Q27" s="140">
        <v>0</v>
      </c>
      <c r="R27" s="140">
        <v>0</v>
      </c>
      <c r="S27" s="140">
        <v>9.9989993647935636E-4</v>
      </c>
      <c r="T27" s="140">
        <v>0</v>
      </c>
      <c r="U27" s="140">
        <v>1.0015835935274424E-3</v>
      </c>
      <c r="V27" s="140">
        <v>0</v>
      </c>
      <c r="W27" s="140">
        <v>0</v>
      </c>
      <c r="X27" s="140">
        <v>0</v>
      </c>
      <c r="Y27" s="140">
        <v>1.4989779601789698E-3</v>
      </c>
      <c r="Z27" s="140">
        <v>0</v>
      </c>
      <c r="AA27" s="140">
        <v>0</v>
      </c>
      <c r="AB27" s="140">
        <v>9.9704649941224129E-4</v>
      </c>
      <c r="AC27" s="140">
        <v>1.0002017667789984E-3</v>
      </c>
      <c r="AD27" s="140">
        <v>0</v>
      </c>
      <c r="AE27" s="140">
        <v>1.0015395401615302E-3</v>
      </c>
      <c r="AF27" s="140">
        <v>4.2995697382120966E-2</v>
      </c>
      <c r="AG27" s="140">
        <v>0</v>
      </c>
      <c r="AH27" s="140">
        <v>1.1440862413632961E-2</v>
      </c>
      <c r="AI27" s="140">
        <v>0</v>
      </c>
      <c r="AJ27" s="140">
        <v>0</v>
      </c>
    </row>
    <row r="28" spans="1:36" customFormat="1" x14ac:dyDescent="0.15">
      <c r="A28" s="177" t="s">
        <v>218</v>
      </c>
      <c r="B28" s="140">
        <v>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0</v>
      </c>
      <c r="O28" s="140">
        <v>0</v>
      </c>
      <c r="P28" s="140">
        <v>0</v>
      </c>
      <c r="Q28" s="140">
        <v>0</v>
      </c>
      <c r="R28" s="140">
        <v>1.9980021856043748E-3</v>
      </c>
      <c r="S28" s="140">
        <v>0.10398959339385307</v>
      </c>
      <c r="T28" s="140">
        <v>5.6335938665861132E-2</v>
      </c>
      <c r="U28" s="140">
        <v>2.9993619802405318E-2</v>
      </c>
      <c r="V28" s="140">
        <v>0</v>
      </c>
      <c r="W28" s="140">
        <v>0</v>
      </c>
      <c r="X28" s="140">
        <v>0.3540000000354</v>
      </c>
      <c r="Y28" s="140">
        <v>0.6005262359718927</v>
      </c>
      <c r="Z28" s="140">
        <v>0</v>
      </c>
      <c r="AA28" s="140">
        <v>0</v>
      </c>
      <c r="AB28" s="140">
        <v>5.0014759970516314E-3</v>
      </c>
      <c r="AC28" s="140">
        <v>8.5022307176043574E-2</v>
      </c>
      <c r="AD28" s="140">
        <v>3.1364670541627483E-2</v>
      </c>
      <c r="AE28" s="140">
        <v>2.40369452038771E-2</v>
      </c>
      <c r="AF28" s="140">
        <v>4.2995697382120966E-2</v>
      </c>
      <c r="AG28" s="140">
        <v>6.9138274563126115E-2</v>
      </c>
      <c r="AH28" s="140">
        <v>4.3683295397507982E-2</v>
      </c>
      <c r="AI28" s="140">
        <v>0</v>
      </c>
      <c r="AJ28" s="140">
        <v>0</v>
      </c>
    </row>
    <row r="29" spans="1:36" customFormat="1" x14ac:dyDescent="0.15">
      <c r="A29" s="177" t="s">
        <v>219</v>
      </c>
      <c r="B29" s="140">
        <v>0</v>
      </c>
      <c r="C29" s="140">
        <v>0</v>
      </c>
      <c r="D29" s="140">
        <v>0</v>
      </c>
      <c r="E29" s="140">
        <v>0</v>
      </c>
      <c r="F29" s="140">
        <v>0</v>
      </c>
      <c r="G29" s="140">
        <v>0</v>
      </c>
      <c r="H29" s="140">
        <v>0</v>
      </c>
      <c r="I29" s="140">
        <v>0</v>
      </c>
      <c r="J29" s="140">
        <v>0</v>
      </c>
      <c r="K29" s="140">
        <v>0</v>
      </c>
      <c r="L29" s="140">
        <v>0</v>
      </c>
      <c r="M29" s="140">
        <v>0</v>
      </c>
      <c r="N29" s="140">
        <v>0</v>
      </c>
      <c r="O29" s="140">
        <v>0</v>
      </c>
      <c r="P29" s="140">
        <v>0</v>
      </c>
      <c r="Q29" s="140">
        <v>0</v>
      </c>
      <c r="R29" s="140">
        <v>0</v>
      </c>
      <c r="S29" s="140">
        <v>1.9997998729587127E-3</v>
      </c>
      <c r="T29" s="140">
        <v>5.0299946608804618E-3</v>
      </c>
      <c r="U29" s="140">
        <v>0</v>
      </c>
      <c r="V29" s="140">
        <v>0</v>
      </c>
      <c r="W29" s="140">
        <v>0</v>
      </c>
      <c r="X29" s="140">
        <v>0</v>
      </c>
      <c r="Y29" s="140">
        <v>0</v>
      </c>
      <c r="Z29" s="140">
        <v>0</v>
      </c>
      <c r="AA29" s="140">
        <v>0</v>
      </c>
      <c r="AB29" s="140">
        <v>9.9704649941224129E-4</v>
      </c>
      <c r="AC29" s="140">
        <v>1.1481983218633963E-2</v>
      </c>
      <c r="AD29" s="140">
        <v>3.8001315854201002E-2</v>
      </c>
      <c r="AE29" s="140">
        <v>1.0015395401615302E-3</v>
      </c>
      <c r="AF29" s="140">
        <v>9.9989983911909826E-4</v>
      </c>
      <c r="AG29" s="140">
        <v>3.3066132182364719E-2</v>
      </c>
      <c r="AH29" s="140">
        <v>0.17577326971854521</v>
      </c>
      <c r="AI29" s="140">
        <v>0</v>
      </c>
      <c r="AJ29" s="140">
        <v>0</v>
      </c>
    </row>
    <row r="30" spans="1:36" customFormat="1" x14ac:dyDescent="0.15">
      <c r="A30" s="177" t="s">
        <v>220</v>
      </c>
      <c r="B30" s="140">
        <v>0</v>
      </c>
      <c r="C30" s="140">
        <v>0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140">
        <v>0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9.9900108780218784E-4</v>
      </c>
      <c r="S30" s="140">
        <v>9.9989993647935636E-4</v>
      </c>
      <c r="T30" s="140">
        <v>0</v>
      </c>
      <c r="U30" s="140">
        <v>1.0015835935274424E-3</v>
      </c>
      <c r="V30" s="140">
        <v>0</v>
      </c>
      <c r="W30" s="140">
        <v>0</v>
      </c>
      <c r="X30" s="140">
        <v>0</v>
      </c>
      <c r="Y30" s="140">
        <v>0</v>
      </c>
      <c r="Z30" s="140">
        <v>0</v>
      </c>
      <c r="AA30" s="140">
        <v>0</v>
      </c>
      <c r="AB30" s="140">
        <v>9.9929349941091676E-4</v>
      </c>
      <c r="AC30" s="140">
        <v>3.4002202370640645E-2</v>
      </c>
      <c r="AD30" s="140">
        <v>5.0559130210334627E-3</v>
      </c>
      <c r="AE30" s="140">
        <v>1.0015395401615302E-3</v>
      </c>
      <c r="AF30" s="140">
        <v>9.9989983911909826E-4</v>
      </c>
      <c r="AG30" s="140">
        <v>1.0020040661322682E-3</v>
      </c>
      <c r="AH30" s="140">
        <v>6.2404692410723793E-3</v>
      </c>
      <c r="AI30" s="140">
        <v>0</v>
      </c>
      <c r="AJ30" s="140">
        <v>0</v>
      </c>
    </row>
    <row r="31" spans="1:36" customFormat="1" x14ac:dyDescent="0.15">
      <c r="A31" s="177" t="s">
        <v>221</v>
      </c>
      <c r="B31" s="140">
        <v>0</v>
      </c>
      <c r="C31" s="140">
        <v>0</v>
      </c>
      <c r="D31" s="140">
        <v>0</v>
      </c>
      <c r="E31" s="140">
        <v>0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140">
        <v>0</v>
      </c>
      <c r="M31" s="140">
        <v>0</v>
      </c>
      <c r="N31" s="140">
        <v>0</v>
      </c>
      <c r="O31" s="140">
        <v>0</v>
      </c>
      <c r="P31" s="140">
        <v>0</v>
      </c>
      <c r="Q31" s="140">
        <v>0</v>
      </c>
      <c r="R31" s="140">
        <v>0</v>
      </c>
      <c r="S31" s="140">
        <v>0</v>
      </c>
      <c r="T31" s="140">
        <v>0</v>
      </c>
      <c r="U31" s="140">
        <v>0</v>
      </c>
      <c r="V31" s="140">
        <v>0</v>
      </c>
      <c r="W31" s="140">
        <v>0</v>
      </c>
      <c r="X31" s="140">
        <v>0</v>
      </c>
      <c r="Y31" s="140">
        <v>0</v>
      </c>
      <c r="Z31" s="140">
        <v>0</v>
      </c>
      <c r="AA31" s="140">
        <v>0</v>
      </c>
      <c r="AB31" s="140">
        <v>9.9929349941091676E-4</v>
      </c>
      <c r="AC31" s="140">
        <v>0</v>
      </c>
      <c r="AD31" s="140">
        <v>0</v>
      </c>
      <c r="AE31" s="140">
        <v>1.0015395401615302E-3</v>
      </c>
      <c r="AF31" s="140">
        <v>2.0997897421501016E-2</v>
      </c>
      <c r="AG31" s="140">
        <v>0</v>
      </c>
      <c r="AH31" s="140">
        <v>8.9955431114893073E-3</v>
      </c>
      <c r="AI31" s="140">
        <v>0</v>
      </c>
      <c r="AJ31" s="140">
        <v>0</v>
      </c>
    </row>
    <row r="32" spans="1:36" customFormat="1" x14ac:dyDescent="0.15">
      <c r="A32" s="177" t="s">
        <v>222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140">
        <v>0</v>
      </c>
      <c r="M32" s="140">
        <v>0</v>
      </c>
      <c r="N32" s="140">
        <v>0</v>
      </c>
      <c r="O32" s="140">
        <v>0</v>
      </c>
      <c r="P32" s="140">
        <v>0</v>
      </c>
      <c r="Q32" s="140">
        <v>0</v>
      </c>
      <c r="R32" s="140">
        <v>0</v>
      </c>
      <c r="S32" s="140">
        <v>0</v>
      </c>
      <c r="T32" s="140">
        <v>0</v>
      </c>
      <c r="U32" s="140">
        <v>0</v>
      </c>
      <c r="V32" s="140">
        <v>0</v>
      </c>
      <c r="W32" s="140">
        <v>0</v>
      </c>
      <c r="X32" s="140">
        <v>0</v>
      </c>
      <c r="Y32" s="140">
        <v>0</v>
      </c>
      <c r="Z32" s="140">
        <v>0</v>
      </c>
      <c r="AA32" s="140">
        <v>0</v>
      </c>
      <c r="AB32" s="140">
        <v>0</v>
      </c>
      <c r="AC32" s="140">
        <v>0</v>
      </c>
      <c r="AD32" s="140">
        <v>0</v>
      </c>
      <c r="AE32" s="140">
        <v>0</v>
      </c>
      <c r="AF32" s="140">
        <v>2.0997897421501016E-2</v>
      </c>
      <c r="AG32" s="140">
        <v>0</v>
      </c>
      <c r="AH32" s="140">
        <v>0</v>
      </c>
      <c r="AI32" s="140">
        <v>0</v>
      </c>
      <c r="AJ32" s="140">
        <v>0</v>
      </c>
    </row>
    <row r="33" spans="1:36" customFormat="1" x14ac:dyDescent="0.15">
      <c r="A33" s="177" t="s">
        <v>223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140">
        <v>0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6.0120243967936096E-3</v>
      </c>
      <c r="AH33" s="140">
        <v>0</v>
      </c>
      <c r="AI33" s="140">
        <v>0</v>
      </c>
      <c r="AJ33" s="140">
        <v>0</v>
      </c>
    </row>
    <row r="34" spans="1:36" customFormat="1" x14ac:dyDescent="0.15">
      <c r="A34" s="177" t="s">
        <v>224</v>
      </c>
      <c r="B34" s="140">
        <v>0</v>
      </c>
      <c r="C34" s="140">
        <v>0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140">
        <v>0</v>
      </c>
      <c r="X34" s="140">
        <v>0</v>
      </c>
      <c r="Y34" s="140">
        <v>0</v>
      </c>
      <c r="Z34" s="140">
        <v>0</v>
      </c>
      <c r="AA34" s="140">
        <v>0</v>
      </c>
      <c r="AB34" s="140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140">
        <v>0</v>
      </c>
      <c r="AI34" s="140">
        <v>0</v>
      </c>
      <c r="AJ34" s="140">
        <v>0</v>
      </c>
    </row>
    <row r="35" spans="1:36" customFormat="1" x14ac:dyDescent="0.15">
      <c r="A35" s="177" t="s">
        <v>225</v>
      </c>
      <c r="B35" s="140">
        <v>0</v>
      </c>
      <c r="C35" s="140">
        <v>0</v>
      </c>
      <c r="D35" s="140">
        <v>9.9999997630000059E-2</v>
      </c>
      <c r="E35" s="140">
        <v>0.97847147443832072</v>
      </c>
      <c r="F35" s="140">
        <v>6.5974978073530643E-2</v>
      </c>
      <c r="G35" s="140">
        <v>0.14905496483311967</v>
      </c>
      <c r="H35" s="140">
        <v>0</v>
      </c>
      <c r="I35" s="140">
        <v>0</v>
      </c>
      <c r="J35" s="140">
        <v>0</v>
      </c>
      <c r="K35" s="140">
        <v>0</v>
      </c>
      <c r="L35" s="140">
        <v>0.05</v>
      </c>
      <c r="M35" s="140">
        <v>0.70729270983016979</v>
      </c>
      <c r="N35" s="140">
        <v>0</v>
      </c>
      <c r="O35" s="140">
        <v>0</v>
      </c>
      <c r="P35" s="140">
        <v>0</v>
      </c>
      <c r="Q35" s="140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  <c r="Z35" s="140">
        <v>1.3026052437074156E-2</v>
      </c>
      <c r="AA35" s="140">
        <v>1.0493178789821624E-2</v>
      </c>
      <c r="AB35" s="140">
        <v>0</v>
      </c>
      <c r="AC35" s="140">
        <v>0</v>
      </c>
      <c r="AD35" s="140">
        <v>0</v>
      </c>
      <c r="AE35" s="140">
        <v>2.0028779703431081E-4</v>
      </c>
      <c r="AF35" s="140">
        <v>0</v>
      </c>
      <c r="AG35" s="140">
        <v>5.3106213505010089E-2</v>
      </c>
      <c r="AH35" s="140">
        <v>0</v>
      </c>
      <c r="AI35" s="140">
        <v>0</v>
      </c>
      <c r="AJ35" s="140">
        <v>0</v>
      </c>
    </row>
    <row r="36" spans="1:36" customFormat="1" x14ac:dyDescent="0.15">
      <c r="A36" s="177" t="s">
        <v>226</v>
      </c>
      <c r="B36" s="140">
        <v>0</v>
      </c>
      <c r="C36" s="140">
        <v>0</v>
      </c>
      <c r="D36" s="140">
        <v>0</v>
      </c>
      <c r="E36" s="140">
        <v>0</v>
      </c>
      <c r="F36" s="140">
        <v>0</v>
      </c>
      <c r="G36" s="140">
        <v>0</v>
      </c>
      <c r="H36" s="140">
        <v>0</v>
      </c>
      <c r="I36" s="140">
        <v>0</v>
      </c>
      <c r="J36" s="140">
        <v>0</v>
      </c>
      <c r="K36" s="140">
        <v>0</v>
      </c>
      <c r="L36" s="140">
        <v>0</v>
      </c>
      <c r="M36" s="140">
        <v>0</v>
      </c>
      <c r="N36" s="140">
        <v>0</v>
      </c>
      <c r="O36" s="140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140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0">
        <v>0</v>
      </c>
      <c r="AJ36" s="140">
        <v>0</v>
      </c>
    </row>
    <row r="37" spans="1:36" customFormat="1" x14ac:dyDescent="0.15">
      <c r="A37" s="177" t="s">
        <v>235</v>
      </c>
      <c r="B37" s="140">
        <v>0</v>
      </c>
      <c r="C37" s="140">
        <v>0</v>
      </c>
      <c r="D37" s="140">
        <v>0</v>
      </c>
      <c r="E37" s="140">
        <v>0</v>
      </c>
      <c r="F37" s="140">
        <v>0</v>
      </c>
      <c r="G37" s="140">
        <v>0</v>
      </c>
      <c r="H37" s="140">
        <v>0</v>
      </c>
      <c r="I37" s="140">
        <v>0</v>
      </c>
      <c r="J37" s="140">
        <v>0</v>
      </c>
      <c r="K37" s="140">
        <v>0</v>
      </c>
      <c r="L37" s="140">
        <v>0</v>
      </c>
      <c r="M37" s="140">
        <v>0</v>
      </c>
      <c r="N37" s="140">
        <v>0</v>
      </c>
      <c r="O37" s="140">
        <v>0</v>
      </c>
      <c r="P37" s="140">
        <v>0</v>
      </c>
      <c r="Q37" s="140">
        <v>0</v>
      </c>
      <c r="R37" s="140">
        <v>0</v>
      </c>
      <c r="S37" s="140">
        <v>0</v>
      </c>
      <c r="T37" s="140">
        <v>0</v>
      </c>
      <c r="U37" s="140">
        <v>0</v>
      </c>
      <c r="V37" s="140">
        <v>0</v>
      </c>
      <c r="W37" s="140">
        <v>0</v>
      </c>
      <c r="X37" s="140">
        <v>0</v>
      </c>
      <c r="Y37" s="140">
        <v>0</v>
      </c>
      <c r="Z37" s="140">
        <v>0</v>
      </c>
      <c r="AA37" s="140">
        <v>0</v>
      </c>
      <c r="AB37" s="140">
        <v>0</v>
      </c>
      <c r="AC37" s="140">
        <v>0</v>
      </c>
      <c r="AD37" s="140">
        <v>0</v>
      </c>
      <c r="AE37" s="140">
        <v>0</v>
      </c>
      <c r="AF37" s="140">
        <v>0</v>
      </c>
      <c r="AG37" s="140">
        <v>0.10521042294388791</v>
      </c>
      <c r="AH37" s="140">
        <v>0</v>
      </c>
      <c r="AI37" s="140">
        <v>1</v>
      </c>
      <c r="AJ37" s="140">
        <v>0</v>
      </c>
    </row>
    <row r="38" spans="1:36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2" customWidth="1"/>
    <col min="5" max="6" width="2.33203125" style="111" bestFit="1" customWidth="1"/>
    <col min="7" max="8" width="8.83203125" style="112"/>
  </cols>
  <sheetData>
    <row r="1" spans="1:8" ht="70" x14ac:dyDescent="0.15">
      <c r="A1" s="5" t="s">
        <v>20</v>
      </c>
      <c r="B1" s="1" t="s">
        <v>0</v>
      </c>
      <c r="C1" s="180" t="s">
        <v>225</v>
      </c>
      <c r="D1" s="180" t="s">
        <v>226</v>
      </c>
      <c r="E1" s="180" t="s">
        <v>236</v>
      </c>
      <c r="F1" s="180" t="s">
        <v>237</v>
      </c>
      <c r="G1"/>
      <c r="H1"/>
    </row>
    <row r="2" spans="1:8" x14ac:dyDescent="0.15">
      <c r="A2">
        <v>1</v>
      </c>
      <c r="B2" s="179" t="s">
        <v>192</v>
      </c>
      <c r="C2" s="112">
        <v>1</v>
      </c>
      <c r="D2" s="112">
        <v>0</v>
      </c>
      <c r="E2" s="111">
        <v>0</v>
      </c>
      <c r="F2" s="111">
        <v>1</v>
      </c>
      <c r="G2"/>
      <c r="H2"/>
    </row>
    <row r="3" spans="1:8" x14ac:dyDescent="0.15">
      <c r="A3">
        <v>2</v>
      </c>
      <c r="B3" s="179" t="s">
        <v>193</v>
      </c>
      <c r="C3" s="112">
        <v>1</v>
      </c>
      <c r="D3" s="112">
        <v>0</v>
      </c>
      <c r="E3" s="111">
        <v>0</v>
      </c>
      <c r="F3" s="111">
        <v>1</v>
      </c>
      <c r="G3"/>
      <c r="H3"/>
    </row>
    <row r="4" spans="1:8" x14ac:dyDescent="0.15">
      <c r="A4">
        <v>3</v>
      </c>
      <c r="B4" s="179" t="s">
        <v>194</v>
      </c>
      <c r="C4" s="112">
        <v>1</v>
      </c>
      <c r="D4" s="112">
        <v>0</v>
      </c>
      <c r="E4" s="111">
        <v>0</v>
      </c>
      <c r="F4" s="111">
        <v>1</v>
      </c>
      <c r="G4"/>
      <c r="H4"/>
    </row>
    <row r="5" spans="1:8" x14ac:dyDescent="0.15">
      <c r="A5">
        <v>4</v>
      </c>
      <c r="B5" s="179" t="s">
        <v>195</v>
      </c>
      <c r="C5" s="112">
        <v>1</v>
      </c>
      <c r="D5" s="112">
        <v>0</v>
      </c>
      <c r="E5" s="111">
        <v>0</v>
      </c>
      <c r="F5" s="111">
        <v>1</v>
      </c>
      <c r="G5"/>
      <c r="H5"/>
    </row>
    <row r="6" spans="1:8" x14ac:dyDescent="0.15">
      <c r="A6">
        <v>5</v>
      </c>
      <c r="B6" s="179" t="s">
        <v>196</v>
      </c>
      <c r="C6" s="112">
        <v>1</v>
      </c>
      <c r="D6" s="112">
        <v>0</v>
      </c>
      <c r="E6" s="111">
        <v>0</v>
      </c>
      <c r="F6" s="111">
        <v>1</v>
      </c>
      <c r="G6"/>
      <c r="H6"/>
    </row>
    <row r="7" spans="1:8" x14ac:dyDescent="0.15">
      <c r="A7">
        <v>6</v>
      </c>
      <c r="B7" s="179" t="s">
        <v>197</v>
      </c>
      <c r="C7" s="112">
        <v>1</v>
      </c>
      <c r="D7" s="112">
        <v>0</v>
      </c>
      <c r="E7" s="111">
        <v>0</v>
      </c>
      <c r="F7" s="111">
        <v>1</v>
      </c>
      <c r="G7"/>
      <c r="H7"/>
    </row>
    <row r="8" spans="1:8" x14ac:dyDescent="0.15">
      <c r="A8">
        <v>7</v>
      </c>
      <c r="B8" s="179" t="s">
        <v>198</v>
      </c>
      <c r="C8" s="112">
        <v>1</v>
      </c>
      <c r="D8" s="112">
        <v>0</v>
      </c>
      <c r="E8" s="111">
        <v>0</v>
      </c>
      <c r="F8" s="111">
        <v>1</v>
      </c>
      <c r="G8"/>
      <c r="H8"/>
    </row>
    <row r="9" spans="1:8" x14ac:dyDescent="0.15">
      <c r="A9">
        <v>8</v>
      </c>
      <c r="B9" s="179" t="s">
        <v>199</v>
      </c>
      <c r="C9" s="112">
        <v>1</v>
      </c>
      <c r="D9" s="112">
        <v>0</v>
      </c>
      <c r="E9" s="111">
        <v>0</v>
      </c>
      <c r="F9" s="111">
        <v>1</v>
      </c>
      <c r="G9"/>
      <c r="H9"/>
    </row>
    <row r="10" spans="1:8" x14ac:dyDescent="0.15">
      <c r="A10">
        <v>9</v>
      </c>
      <c r="B10" s="179" t="s">
        <v>200</v>
      </c>
      <c r="C10" s="112">
        <v>0</v>
      </c>
      <c r="D10" s="112">
        <v>0</v>
      </c>
      <c r="E10" s="111">
        <v>1</v>
      </c>
      <c r="F10" s="111">
        <v>1</v>
      </c>
      <c r="G10"/>
      <c r="H10"/>
    </row>
    <row r="11" spans="1:8" x14ac:dyDescent="0.15">
      <c r="A11">
        <v>10</v>
      </c>
      <c r="B11" s="179" t="s">
        <v>201</v>
      </c>
      <c r="C11" s="112">
        <v>1</v>
      </c>
      <c r="D11" s="112">
        <v>0</v>
      </c>
      <c r="E11" s="111">
        <v>0</v>
      </c>
      <c r="F11" s="111">
        <v>1</v>
      </c>
      <c r="G11"/>
      <c r="H11"/>
    </row>
    <row r="12" spans="1:8" x14ac:dyDescent="0.15">
      <c r="A12">
        <v>11</v>
      </c>
      <c r="B12" s="179" t="s">
        <v>202</v>
      </c>
      <c r="C12" s="112">
        <v>1</v>
      </c>
      <c r="D12" s="112">
        <v>0</v>
      </c>
      <c r="E12" s="111">
        <v>0</v>
      </c>
      <c r="F12" s="111">
        <v>1</v>
      </c>
      <c r="G12"/>
      <c r="H12"/>
    </row>
    <row r="13" spans="1:8" x14ac:dyDescent="0.15">
      <c r="A13">
        <v>12</v>
      </c>
      <c r="B13" s="179" t="s">
        <v>203</v>
      </c>
      <c r="C13" s="112">
        <v>1</v>
      </c>
      <c r="D13" s="112">
        <v>0</v>
      </c>
      <c r="E13" s="111">
        <v>0</v>
      </c>
      <c r="F13" s="111">
        <v>1</v>
      </c>
      <c r="G13"/>
      <c r="H13"/>
    </row>
    <row r="14" spans="1:8" x14ac:dyDescent="0.15">
      <c r="A14">
        <v>13</v>
      </c>
      <c r="B14" s="179" t="s">
        <v>204</v>
      </c>
      <c r="C14" s="112">
        <v>1</v>
      </c>
      <c r="D14" s="112">
        <v>0</v>
      </c>
      <c r="E14" s="111">
        <v>0</v>
      </c>
      <c r="F14" s="111">
        <v>1</v>
      </c>
      <c r="G14"/>
      <c r="H14"/>
    </row>
    <row r="15" spans="1:8" x14ac:dyDescent="0.15">
      <c r="A15">
        <v>14</v>
      </c>
      <c r="B15" s="179" t="s">
        <v>205</v>
      </c>
      <c r="C15" s="112">
        <v>1</v>
      </c>
      <c r="D15" s="112">
        <v>0</v>
      </c>
      <c r="E15" s="111">
        <v>0</v>
      </c>
      <c r="F15" s="111">
        <v>1</v>
      </c>
      <c r="G15"/>
      <c r="H15"/>
    </row>
    <row r="16" spans="1:8" x14ac:dyDescent="0.15">
      <c r="A16">
        <v>15</v>
      </c>
      <c r="B16" s="179" t="s">
        <v>206</v>
      </c>
      <c r="C16" s="112">
        <v>1</v>
      </c>
      <c r="D16" s="112">
        <v>0</v>
      </c>
      <c r="E16" s="111">
        <v>0</v>
      </c>
      <c r="F16" s="111">
        <v>1</v>
      </c>
      <c r="G16"/>
      <c r="H16"/>
    </row>
    <row r="17" spans="1:8" ht="15" customHeight="1" x14ac:dyDescent="0.15">
      <c r="A17">
        <v>16</v>
      </c>
      <c r="B17" s="179" t="s">
        <v>207</v>
      </c>
      <c r="C17" s="112">
        <v>1</v>
      </c>
      <c r="D17" s="112">
        <v>0</v>
      </c>
      <c r="E17" s="111">
        <v>0</v>
      </c>
      <c r="F17" s="111">
        <v>1</v>
      </c>
      <c r="G17"/>
      <c r="H17"/>
    </row>
    <row r="18" spans="1:8" ht="15" customHeight="1" x14ac:dyDescent="0.15">
      <c r="A18">
        <v>17</v>
      </c>
      <c r="B18" s="179" t="s">
        <v>208</v>
      </c>
      <c r="C18" s="112">
        <v>1</v>
      </c>
      <c r="D18" s="112">
        <v>0</v>
      </c>
      <c r="E18" s="111">
        <v>0</v>
      </c>
      <c r="F18" s="111">
        <v>1</v>
      </c>
      <c r="G18"/>
      <c r="H18"/>
    </row>
    <row r="19" spans="1:8" ht="15" customHeight="1" x14ac:dyDescent="0.15">
      <c r="A19">
        <v>18</v>
      </c>
      <c r="B19" s="179" t="s">
        <v>209</v>
      </c>
      <c r="C19" s="112">
        <v>1</v>
      </c>
      <c r="D19" s="112">
        <v>0</v>
      </c>
      <c r="E19" s="111">
        <v>0</v>
      </c>
      <c r="F19" s="111">
        <v>1</v>
      </c>
      <c r="G19"/>
      <c r="H19"/>
    </row>
    <row r="20" spans="1:8" ht="15" customHeight="1" x14ac:dyDescent="0.15">
      <c r="A20">
        <v>19</v>
      </c>
      <c r="B20" s="179" t="s">
        <v>210</v>
      </c>
      <c r="C20" s="112">
        <v>1</v>
      </c>
      <c r="D20" s="112">
        <v>0</v>
      </c>
      <c r="E20" s="111">
        <v>0</v>
      </c>
      <c r="F20" s="111">
        <v>1</v>
      </c>
      <c r="G20"/>
      <c r="H20"/>
    </row>
    <row r="21" spans="1:8" ht="15" customHeight="1" x14ac:dyDescent="0.15">
      <c r="A21">
        <v>20</v>
      </c>
      <c r="B21" s="179" t="s">
        <v>211</v>
      </c>
      <c r="C21" s="112">
        <v>1</v>
      </c>
      <c r="D21" s="112">
        <v>0</v>
      </c>
      <c r="E21" s="111">
        <v>0</v>
      </c>
      <c r="F21" s="111">
        <v>1</v>
      </c>
      <c r="G21"/>
      <c r="H21"/>
    </row>
    <row r="22" spans="1:8" ht="15" customHeight="1" x14ac:dyDescent="0.15">
      <c r="A22">
        <v>21</v>
      </c>
      <c r="B22" s="179" t="s">
        <v>212</v>
      </c>
      <c r="C22" s="112">
        <v>1</v>
      </c>
      <c r="D22" s="112">
        <v>0</v>
      </c>
      <c r="E22" s="111">
        <v>0</v>
      </c>
      <c r="F22" s="111">
        <v>1</v>
      </c>
      <c r="G22"/>
      <c r="H22"/>
    </row>
    <row r="23" spans="1:8" ht="15" customHeight="1" x14ac:dyDescent="0.15">
      <c r="A23">
        <v>22</v>
      </c>
      <c r="B23" s="179" t="s">
        <v>213</v>
      </c>
      <c r="C23" s="112">
        <v>1</v>
      </c>
      <c r="D23" s="112">
        <v>0</v>
      </c>
      <c r="E23" s="111">
        <v>0</v>
      </c>
      <c r="F23" s="111">
        <v>1</v>
      </c>
      <c r="G23"/>
      <c r="H23"/>
    </row>
    <row r="24" spans="1:8" ht="15" customHeight="1" x14ac:dyDescent="0.15">
      <c r="A24">
        <v>23</v>
      </c>
      <c r="B24" s="179" t="s">
        <v>214</v>
      </c>
      <c r="C24" s="112">
        <v>1</v>
      </c>
      <c r="D24" s="112">
        <v>0</v>
      </c>
      <c r="E24" s="111">
        <v>0</v>
      </c>
      <c r="F24" s="111">
        <v>1</v>
      </c>
      <c r="G24"/>
      <c r="H24"/>
    </row>
    <row r="25" spans="1:8" ht="15" customHeight="1" x14ac:dyDescent="0.15">
      <c r="A25">
        <v>24</v>
      </c>
      <c r="B25" s="179" t="s">
        <v>215</v>
      </c>
      <c r="C25" s="112">
        <v>1</v>
      </c>
      <c r="D25" s="112">
        <v>0</v>
      </c>
      <c r="E25" s="111">
        <v>0</v>
      </c>
      <c r="F25" s="111">
        <v>1</v>
      </c>
      <c r="G25"/>
      <c r="H25"/>
    </row>
    <row r="26" spans="1:8" ht="15" customHeight="1" x14ac:dyDescent="0.15">
      <c r="A26">
        <v>25</v>
      </c>
      <c r="B26" s="179" t="s">
        <v>216</v>
      </c>
      <c r="C26" s="112">
        <v>1</v>
      </c>
      <c r="D26" s="112">
        <v>0</v>
      </c>
      <c r="E26" s="111">
        <v>0</v>
      </c>
      <c r="F26" s="111">
        <v>1</v>
      </c>
      <c r="G26"/>
      <c r="H26"/>
    </row>
    <row r="27" spans="1:8" ht="15" customHeight="1" x14ac:dyDescent="0.15">
      <c r="A27">
        <v>26</v>
      </c>
      <c r="B27" s="179" t="s">
        <v>217</v>
      </c>
      <c r="C27" s="112">
        <v>1</v>
      </c>
      <c r="D27" s="112">
        <v>0</v>
      </c>
      <c r="E27" s="111">
        <v>0</v>
      </c>
      <c r="F27" s="111">
        <v>1</v>
      </c>
      <c r="G27"/>
      <c r="H27"/>
    </row>
    <row r="28" spans="1:8" ht="15" customHeight="1" x14ac:dyDescent="0.15">
      <c r="A28">
        <v>27</v>
      </c>
      <c r="B28" s="179" t="s">
        <v>218</v>
      </c>
      <c r="C28" s="112">
        <v>1</v>
      </c>
      <c r="D28" s="112">
        <v>0</v>
      </c>
      <c r="E28" s="111">
        <v>0</v>
      </c>
      <c r="F28" s="111">
        <v>1</v>
      </c>
      <c r="G28"/>
      <c r="H28"/>
    </row>
    <row r="29" spans="1:8" ht="15" customHeight="1" x14ac:dyDescent="0.15">
      <c r="A29">
        <v>28</v>
      </c>
      <c r="B29" s="179" t="s">
        <v>219</v>
      </c>
      <c r="C29" s="112">
        <v>1</v>
      </c>
      <c r="D29" s="112">
        <v>0</v>
      </c>
      <c r="E29" s="111">
        <v>0</v>
      </c>
      <c r="F29" s="111">
        <v>1</v>
      </c>
      <c r="G29"/>
      <c r="H29"/>
    </row>
    <row r="30" spans="1:8" ht="15" customHeight="1" x14ac:dyDescent="0.15">
      <c r="A30">
        <v>29</v>
      </c>
      <c r="B30" s="179" t="s">
        <v>220</v>
      </c>
      <c r="C30" s="112">
        <v>1</v>
      </c>
      <c r="D30" s="112">
        <v>0</v>
      </c>
      <c r="E30" s="111">
        <v>0</v>
      </c>
      <c r="F30" s="111">
        <v>1</v>
      </c>
      <c r="G30"/>
      <c r="H30"/>
    </row>
    <row r="31" spans="1:8" ht="15" customHeight="1" x14ac:dyDescent="0.15">
      <c r="A31">
        <v>30</v>
      </c>
      <c r="B31" s="179" t="s">
        <v>221</v>
      </c>
      <c r="C31" s="112">
        <v>1</v>
      </c>
      <c r="D31" s="112">
        <v>0</v>
      </c>
      <c r="E31" s="111">
        <v>0</v>
      </c>
      <c r="F31" s="111">
        <v>1</v>
      </c>
      <c r="G31"/>
      <c r="H31"/>
    </row>
    <row r="32" spans="1:8" ht="15" customHeight="1" x14ac:dyDescent="0.15">
      <c r="A32">
        <v>31</v>
      </c>
      <c r="B32" s="179" t="s">
        <v>222</v>
      </c>
      <c r="C32" s="112">
        <v>1</v>
      </c>
      <c r="D32" s="112">
        <v>0</v>
      </c>
      <c r="E32" s="111">
        <v>0</v>
      </c>
      <c r="F32" s="111">
        <v>1</v>
      </c>
    </row>
    <row r="33" spans="1:8" ht="15" customHeight="1" x14ac:dyDescent="0.15">
      <c r="A33">
        <v>32</v>
      </c>
      <c r="B33" s="179" t="s">
        <v>223</v>
      </c>
      <c r="C33" s="112">
        <v>1</v>
      </c>
      <c r="D33" s="112">
        <v>0</v>
      </c>
      <c r="E33" s="111">
        <v>0</v>
      </c>
      <c r="F33" s="111">
        <v>1</v>
      </c>
    </row>
    <row r="34" spans="1:8" ht="15" customHeight="1" x14ac:dyDescent="0.15">
      <c r="A34">
        <v>33</v>
      </c>
      <c r="B34" s="179" t="s">
        <v>224</v>
      </c>
      <c r="C34" s="112">
        <v>1</v>
      </c>
      <c r="D34" s="112">
        <v>0</v>
      </c>
      <c r="E34" s="111">
        <v>0</v>
      </c>
      <c r="F34" s="111">
        <v>1</v>
      </c>
    </row>
    <row r="35" spans="1:8" ht="15" customHeight="1" x14ac:dyDescent="0.15">
      <c r="A35">
        <v>34</v>
      </c>
      <c r="B35" s="179" t="s">
        <v>225</v>
      </c>
      <c r="C35" s="112">
        <v>0</v>
      </c>
      <c r="D35" s="112">
        <v>1</v>
      </c>
      <c r="E35" s="111">
        <v>0</v>
      </c>
      <c r="F35" s="111">
        <v>1</v>
      </c>
    </row>
    <row r="36" spans="1:8" ht="15" customHeight="1" x14ac:dyDescent="0.15">
      <c r="A36">
        <v>35</v>
      </c>
      <c r="B36" s="179" t="s">
        <v>226</v>
      </c>
      <c r="C36" s="112">
        <v>0</v>
      </c>
      <c r="D36" s="112">
        <v>0</v>
      </c>
      <c r="E36" s="112">
        <v>1</v>
      </c>
      <c r="F36" s="112">
        <v>1</v>
      </c>
      <c r="G36"/>
      <c r="H36"/>
    </row>
    <row r="37" spans="1:8" ht="15" customHeight="1" x14ac:dyDescent="0.15">
      <c r="A37">
        <v>36</v>
      </c>
      <c r="B37" s="179" t="s">
        <v>227</v>
      </c>
      <c r="C37" s="112">
        <v>0</v>
      </c>
      <c r="D37" s="112">
        <v>1</v>
      </c>
      <c r="E37" s="112">
        <v>0</v>
      </c>
      <c r="F37" s="112">
        <v>1</v>
      </c>
      <c r="G37"/>
      <c r="H37"/>
    </row>
    <row r="38" spans="1:8" ht="15" customHeight="1" x14ac:dyDescent="0.15">
      <c r="A38">
        <v>37</v>
      </c>
      <c r="B38" s="179" t="s">
        <v>228</v>
      </c>
      <c r="C38" s="112">
        <v>0</v>
      </c>
      <c r="D38" s="112">
        <v>1</v>
      </c>
      <c r="E38" s="112">
        <v>0</v>
      </c>
      <c r="F38" s="112">
        <v>1</v>
      </c>
      <c r="G38"/>
      <c r="H38"/>
    </row>
    <row r="39" spans="1:8" ht="15" customHeight="1" x14ac:dyDescent="0.15">
      <c r="A39">
        <v>38</v>
      </c>
      <c r="B39" s="179" t="s">
        <v>229</v>
      </c>
      <c r="C39" s="112">
        <v>0</v>
      </c>
      <c r="D39" s="112">
        <v>1</v>
      </c>
      <c r="E39" s="112">
        <v>0</v>
      </c>
      <c r="F39" s="112">
        <v>1</v>
      </c>
      <c r="G39"/>
      <c r="H39"/>
    </row>
    <row r="40" spans="1:8" ht="15" customHeight="1" x14ac:dyDescent="0.15">
      <c r="A40">
        <v>39</v>
      </c>
      <c r="B40" s="179" t="s">
        <v>230</v>
      </c>
      <c r="C40" s="112">
        <v>0</v>
      </c>
      <c r="D40" s="112">
        <v>1</v>
      </c>
      <c r="E40" s="112">
        <v>0</v>
      </c>
      <c r="F40" s="112">
        <v>1</v>
      </c>
      <c r="G40"/>
      <c r="H40"/>
    </row>
    <row r="41" spans="1:8" ht="15" customHeight="1" x14ac:dyDescent="0.15">
      <c r="A41">
        <v>40</v>
      </c>
      <c r="B41" s="179" t="s">
        <v>231</v>
      </c>
      <c r="C41" s="112">
        <v>0</v>
      </c>
      <c r="D41" s="112">
        <v>1</v>
      </c>
      <c r="E41" s="112">
        <v>0</v>
      </c>
      <c r="F41" s="112">
        <v>1</v>
      </c>
      <c r="G41"/>
      <c r="H41"/>
    </row>
    <row r="42" spans="1:8" ht="15" customHeight="1" x14ac:dyDescent="0.15">
      <c r="A42">
        <v>41</v>
      </c>
      <c r="B42" s="179" t="s">
        <v>232</v>
      </c>
      <c r="C42" s="112">
        <v>0</v>
      </c>
      <c r="D42" s="112">
        <v>1</v>
      </c>
      <c r="E42" s="112">
        <v>0</v>
      </c>
      <c r="F42" s="112">
        <v>1</v>
      </c>
      <c r="G42"/>
      <c r="H42"/>
    </row>
    <row r="43" spans="1:8" ht="15" customHeight="1" x14ac:dyDescent="0.15">
      <c r="A43">
        <v>42</v>
      </c>
      <c r="B43" s="179" t="s">
        <v>233</v>
      </c>
      <c r="C43" s="112">
        <v>0</v>
      </c>
      <c r="D43" s="112">
        <v>1</v>
      </c>
      <c r="E43" s="112">
        <v>0</v>
      </c>
      <c r="F43" s="112">
        <v>1</v>
      </c>
      <c r="G43"/>
      <c r="H43"/>
    </row>
    <row r="44" spans="1:8" ht="15" customHeight="1" x14ac:dyDescent="0.15">
      <c r="A44">
        <v>43</v>
      </c>
      <c r="B44" s="179" t="s">
        <v>234</v>
      </c>
      <c r="C44" s="112">
        <v>0</v>
      </c>
      <c r="D44" s="112">
        <v>1</v>
      </c>
      <c r="E44" s="111">
        <v>0</v>
      </c>
      <c r="F44" s="111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2"/>
      <c r="F46" s="112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4" width="5.83203125" bestFit="1" customWidth="1"/>
    <col min="5" max="5" width="6.83203125" bestFit="1" customWidth="1"/>
    <col min="6" max="6" width="5.83203125" customWidth="1"/>
    <col min="7" max="8" width="6.83203125" customWidth="1"/>
    <col min="9" max="10" width="5.83203125" customWidth="1"/>
    <col min="11" max="11" width="6.83203125" customWidth="1"/>
  </cols>
  <sheetData>
    <row r="1" spans="1:11" s="113" customFormat="1" ht="112" x14ac:dyDescent="0.15">
      <c r="A1" s="5" t="s">
        <v>21</v>
      </c>
      <c r="B1" s="3" t="s">
        <v>0</v>
      </c>
      <c r="C1" s="182" t="s">
        <v>227</v>
      </c>
      <c r="D1" s="182" t="s">
        <v>228</v>
      </c>
      <c r="E1" s="182" t="s">
        <v>229</v>
      </c>
      <c r="F1" s="182" t="s">
        <v>230</v>
      </c>
      <c r="G1" s="182" t="s">
        <v>231</v>
      </c>
      <c r="H1" s="182" t="s">
        <v>232</v>
      </c>
      <c r="I1" s="182" t="s">
        <v>233</v>
      </c>
      <c r="J1" s="182" t="s">
        <v>234</v>
      </c>
      <c r="K1" s="182" t="s">
        <v>238</v>
      </c>
    </row>
    <row r="2" spans="1:11" ht="15" customHeight="1" x14ac:dyDescent="0.15">
      <c r="A2">
        <v>1</v>
      </c>
      <c r="B2" s="18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t="15" customHeight="1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ht="15" customHeight="1" x14ac:dyDescent="0.15">
      <c r="A4">
        <v>3</v>
      </c>
      <c r="B4" s="18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t="15" customHeight="1" x14ac:dyDescent="0.15">
      <c r="A5">
        <v>4</v>
      </c>
      <c r="B5" s="18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ht="15" customHeight="1" x14ac:dyDescent="0.15">
      <c r="A6">
        <v>5</v>
      </c>
      <c r="B6" s="181" t="s">
        <v>196</v>
      </c>
      <c r="C6">
        <v>0</v>
      </c>
      <c r="D6">
        <v>0.55100000000000005</v>
      </c>
      <c r="E6">
        <v>0</v>
      </c>
      <c r="F6">
        <v>0</v>
      </c>
      <c r="G6">
        <v>0</v>
      </c>
      <c r="H6">
        <v>0</v>
      </c>
      <c r="I6">
        <v>0.311</v>
      </c>
      <c r="J6">
        <v>0</v>
      </c>
      <c r="K6">
        <v>0.8620000000000001</v>
      </c>
    </row>
    <row r="7" spans="1:11" ht="15" customHeight="1" x14ac:dyDescent="0.15">
      <c r="A7">
        <v>6</v>
      </c>
      <c r="B7" s="18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ht="15" customHeight="1" x14ac:dyDescent="0.15">
      <c r="A8">
        <v>7</v>
      </c>
      <c r="B8" s="18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ht="15" customHeight="1" x14ac:dyDescent="0.15">
      <c r="A9">
        <v>8</v>
      </c>
      <c r="B9" s="18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ht="15" customHeight="1" x14ac:dyDescent="0.15">
      <c r="A10">
        <v>9</v>
      </c>
      <c r="B10" s="18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3.0000000000000001E-3</v>
      </c>
      <c r="K10">
        <v>3.0000000000000001E-3</v>
      </c>
    </row>
    <row r="11" spans="1:11" ht="15" customHeight="1" x14ac:dyDescent="0.15">
      <c r="A11">
        <v>10</v>
      </c>
      <c r="B11" s="18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4.8000000000000001E-2</v>
      </c>
      <c r="I11">
        <v>0</v>
      </c>
      <c r="J11">
        <v>0</v>
      </c>
      <c r="K11">
        <v>4.8000000000000001E-2</v>
      </c>
    </row>
    <row r="12" spans="1:11" ht="15" customHeight="1" x14ac:dyDescent="0.15">
      <c r="A12">
        <v>11</v>
      </c>
      <c r="B12" s="18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2.9999999999999997E-4</v>
      </c>
      <c r="I12">
        <v>0</v>
      </c>
      <c r="J12">
        <v>0</v>
      </c>
      <c r="K12">
        <v>2.9999999999999997E-4</v>
      </c>
    </row>
    <row r="13" spans="1:11" ht="15" customHeight="1" x14ac:dyDescent="0.15">
      <c r="A13">
        <v>12</v>
      </c>
      <c r="B13" s="18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ht="15" customHeight="1" x14ac:dyDescent="0.15">
      <c r="A14">
        <v>13</v>
      </c>
      <c r="B14" s="18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ht="15" customHeight="1" x14ac:dyDescent="0.15">
      <c r="A15">
        <v>14</v>
      </c>
      <c r="B15" s="181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ht="15" customHeight="1" x14ac:dyDescent="0.15">
      <c r="A16">
        <v>15</v>
      </c>
      <c r="B16" s="18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ht="15" customHeight="1" x14ac:dyDescent="0.15">
      <c r="A17">
        <v>16</v>
      </c>
      <c r="B17" s="181" t="s">
        <v>207</v>
      </c>
      <c r="C17">
        <v>0.81200000000000006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0.81200000000000006</v>
      </c>
    </row>
    <row r="18" spans="1:11" ht="15" customHeight="1" x14ac:dyDescent="0.15">
      <c r="A18">
        <v>17</v>
      </c>
      <c r="B18" s="181" t="s">
        <v>208</v>
      </c>
      <c r="C18">
        <v>0</v>
      </c>
      <c r="D18">
        <v>0</v>
      </c>
      <c r="E18">
        <v>0</v>
      </c>
      <c r="F18">
        <v>0.01</v>
      </c>
      <c r="G18">
        <v>2E-3</v>
      </c>
      <c r="H18">
        <v>0</v>
      </c>
      <c r="I18">
        <v>0</v>
      </c>
      <c r="J18">
        <v>0</v>
      </c>
      <c r="K18">
        <v>1.2E-2</v>
      </c>
    </row>
    <row r="19" spans="1:11" ht="15" customHeight="1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3.1E-2</v>
      </c>
      <c r="G19">
        <v>1.5E-3</v>
      </c>
      <c r="H19">
        <v>0</v>
      </c>
      <c r="I19">
        <v>0</v>
      </c>
      <c r="J19">
        <v>0</v>
      </c>
      <c r="K19">
        <v>3.2500000000000001E-2</v>
      </c>
    </row>
    <row r="20" spans="1:11" ht="15" customHeight="1" x14ac:dyDescent="0.15">
      <c r="A20">
        <v>19</v>
      </c>
      <c r="B20" s="181" t="s">
        <v>210</v>
      </c>
      <c r="C20">
        <v>0</v>
      </c>
      <c r="D20">
        <v>0</v>
      </c>
      <c r="E20">
        <v>0</v>
      </c>
      <c r="F20">
        <v>0</v>
      </c>
      <c r="G20">
        <v>4.0000000000000001E-3</v>
      </c>
      <c r="H20">
        <v>0</v>
      </c>
      <c r="I20">
        <v>0</v>
      </c>
      <c r="J20">
        <v>0</v>
      </c>
      <c r="K20">
        <v>4.0000000000000001E-3</v>
      </c>
    </row>
    <row r="21" spans="1:11" ht="15" customHeight="1" x14ac:dyDescent="0.15">
      <c r="A21">
        <v>20</v>
      </c>
      <c r="B21" s="181" t="s">
        <v>211</v>
      </c>
      <c r="C21">
        <v>0</v>
      </c>
      <c r="D21">
        <v>0</v>
      </c>
      <c r="E21">
        <v>0</v>
      </c>
      <c r="F21">
        <v>0</v>
      </c>
      <c r="G21">
        <v>0.14299999999999999</v>
      </c>
      <c r="H21">
        <v>0</v>
      </c>
      <c r="I21">
        <v>0</v>
      </c>
      <c r="J21">
        <v>0</v>
      </c>
      <c r="K21">
        <v>0.14299999999999999</v>
      </c>
    </row>
    <row r="22" spans="1:11" ht="15" customHeight="1" x14ac:dyDescent="0.15">
      <c r="A22">
        <v>21</v>
      </c>
      <c r="B22" s="181" t="s">
        <v>212</v>
      </c>
      <c r="C22">
        <v>0</v>
      </c>
      <c r="D22">
        <v>0</v>
      </c>
      <c r="E22">
        <v>0.06</v>
      </c>
      <c r="F22">
        <v>0</v>
      </c>
      <c r="G22">
        <v>0</v>
      </c>
      <c r="H22">
        <v>0</v>
      </c>
      <c r="I22">
        <v>0</v>
      </c>
      <c r="J22">
        <v>0</v>
      </c>
      <c r="K22">
        <v>0.06</v>
      </c>
    </row>
    <row r="23" spans="1:11" ht="15" customHeight="1" x14ac:dyDescent="0.15">
      <c r="A23">
        <v>22</v>
      </c>
      <c r="B23" s="181" t="s">
        <v>213</v>
      </c>
      <c r="C23">
        <v>0</v>
      </c>
      <c r="D23">
        <v>0</v>
      </c>
      <c r="E23">
        <v>1E-3</v>
      </c>
      <c r="F23">
        <v>0</v>
      </c>
      <c r="G23">
        <v>0</v>
      </c>
      <c r="H23">
        <v>0</v>
      </c>
      <c r="I23">
        <v>0</v>
      </c>
      <c r="J23">
        <v>0</v>
      </c>
      <c r="K23">
        <v>1E-3</v>
      </c>
    </row>
    <row r="24" spans="1:11" ht="15" customHeight="1" x14ac:dyDescent="0.15">
      <c r="A24">
        <v>23</v>
      </c>
      <c r="B24" s="18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ht="15" customHeight="1" x14ac:dyDescent="0.15">
      <c r="A25">
        <v>24</v>
      </c>
      <c r="B25" s="181" t="s">
        <v>215</v>
      </c>
      <c r="C25">
        <v>0</v>
      </c>
      <c r="D25">
        <v>0</v>
      </c>
      <c r="E25">
        <v>0</v>
      </c>
      <c r="F25">
        <v>0</v>
      </c>
      <c r="G25">
        <v>1E-3</v>
      </c>
      <c r="H25">
        <v>0</v>
      </c>
      <c r="I25">
        <v>0</v>
      </c>
      <c r="J25">
        <v>0</v>
      </c>
      <c r="K25">
        <v>1E-3</v>
      </c>
    </row>
    <row r="26" spans="1:11" ht="15" customHeight="1" x14ac:dyDescent="0.15">
      <c r="A26">
        <v>25</v>
      </c>
      <c r="B26" s="18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ht="15" customHeight="1" x14ac:dyDescent="0.15">
      <c r="A27">
        <v>26</v>
      </c>
      <c r="B27" s="181" t="s">
        <v>217</v>
      </c>
      <c r="C27">
        <v>0</v>
      </c>
      <c r="D27">
        <v>0</v>
      </c>
      <c r="E27">
        <v>5.2999999999999999E-2</v>
      </c>
      <c r="F27">
        <v>0</v>
      </c>
      <c r="G27">
        <v>0</v>
      </c>
      <c r="H27">
        <v>0</v>
      </c>
      <c r="I27">
        <v>0</v>
      </c>
      <c r="J27">
        <v>0</v>
      </c>
      <c r="K27">
        <v>5.2999999999999999E-2</v>
      </c>
    </row>
    <row r="28" spans="1:11" ht="15" customHeight="1" x14ac:dyDescent="0.15">
      <c r="A28">
        <v>27</v>
      </c>
      <c r="B28" s="181" t="s">
        <v>218</v>
      </c>
      <c r="C28">
        <v>0</v>
      </c>
      <c r="D28">
        <v>0</v>
      </c>
      <c r="E28">
        <v>0</v>
      </c>
      <c r="F28">
        <v>0</v>
      </c>
      <c r="G28">
        <v>4.1000000000000002E-2</v>
      </c>
      <c r="H28">
        <v>0</v>
      </c>
      <c r="I28">
        <v>0</v>
      </c>
      <c r="J28">
        <v>0</v>
      </c>
      <c r="K28">
        <v>4.1000000000000002E-2</v>
      </c>
    </row>
    <row r="29" spans="1:11" ht="15" customHeight="1" x14ac:dyDescent="0.15">
      <c r="A29">
        <v>28</v>
      </c>
      <c r="B29" s="181" t="s">
        <v>219</v>
      </c>
      <c r="C29">
        <v>0</v>
      </c>
      <c r="D29">
        <v>0</v>
      </c>
      <c r="E29">
        <v>4.9700000000000001E-2</v>
      </c>
      <c r="F29">
        <v>0</v>
      </c>
      <c r="G29">
        <v>0</v>
      </c>
      <c r="H29">
        <v>0</v>
      </c>
      <c r="I29">
        <v>0</v>
      </c>
      <c r="J29">
        <v>0</v>
      </c>
      <c r="K29">
        <v>4.9700000000000001E-2</v>
      </c>
    </row>
    <row r="30" spans="1:11" ht="15" customHeight="1" x14ac:dyDescent="0.15">
      <c r="A30">
        <v>29</v>
      </c>
      <c r="B30" s="181" t="s">
        <v>220</v>
      </c>
      <c r="C30">
        <v>0</v>
      </c>
      <c r="D30">
        <v>0</v>
      </c>
      <c r="E30">
        <v>2.0000000000000001E-4</v>
      </c>
      <c r="F30">
        <v>0</v>
      </c>
      <c r="G30">
        <v>0</v>
      </c>
      <c r="H30">
        <v>0</v>
      </c>
      <c r="I30">
        <v>0</v>
      </c>
      <c r="J30">
        <v>0</v>
      </c>
      <c r="K30">
        <v>2.0000000000000001E-4</v>
      </c>
    </row>
    <row r="31" spans="1:11" ht="15" customHeight="1" x14ac:dyDescent="0.15">
      <c r="A31">
        <v>30</v>
      </c>
      <c r="B31" s="18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ht="15" customHeight="1" x14ac:dyDescent="0.15">
      <c r="A32">
        <v>31</v>
      </c>
      <c r="B32" s="181" t="s">
        <v>222</v>
      </c>
      <c r="C32">
        <v>0</v>
      </c>
      <c r="D32">
        <v>0</v>
      </c>
      <c r="E32">
        <v>0</v>
      </c>
      <c r="F32">
        <v>0</v>
      </c>
      <c r="G32">
        <v>2E-3</v>
      </c>
      <c r="H32">
        <v>0</v>
      </c>
      <c r="I32">
        <v>0</v>
      </c>
      <c r="J32">
        <v>0</v>
      </c>
      <c r="K32">
        <v>2E-3</v>
      </c>
    </row>
    <row r="33" spans="1:11" ht="15" customHeight="1" x14ac:dyDescent="0.15">
      <c r="A33">
        <v>32</v>
      </c>
      <c r="B33" s="18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ht="15" customHeight="1" x14ac:dyDescent="0.15">
      <c r="A34">
        <v>33</v>
      </c>
      <c r="B34" s="18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ht="15" customHeight="1" x14ac:dyDescent="0.15">
      <c r="A35">
        <v>34</v>
      </c>
      <c r="B35" s="18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ht="15" customHeight="1" x14ac:dyDescent="0.15">
      <c r="A36">
        <v>35</v>
      </c>
      <c r="B36" s="18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ht="15" customHeight="1" x14ac:dyDescent="0.15"/>
    <row r="38" spans="1:11" ht="15" customHeight="1" x14ac:dyDescent="0.15"/>
    <row r="39" spans="1:11" ht="15" customHeight="1" x14ac:dyDescent="0.15"/>
    <row r="40" spans="1:11" ht="15" customHeight="1" x14ac:dyDescent="0.15"/>
    <row r="41" spans="1:11" ht="15" customHeight="1" x14ac:dyDescent="0.15"/>
    <row r="42" spans="1:11" ht="15" customHeight="1" x14ac:dyDescent="0.15"/>
    <row r="43" spans="1:11" ht="15" customHeight="1" x14ac:dyDescent="0.15"/>
    <row r="44" spans="1:11" ht="15" customHeight="1" x14ac:dyDescent="0.15"/>
    <row r="45" spans="1:11" ht="15" customHeight="1" x14ac:dyDescent="0.15"/>
    <row r="46" spans="1:11" ht="15" customHeight="1" x14ac:dyDescent="0.15"/>
    <row r="47" spans="1:11" ht="15" customHeight="1" x14ac:dyDescent="0.15"/>
    <row r="48" spans="1:11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3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3" width="2.33203125" bestFit="1" customWidth="1"/>
    <col min="4" max="4" width="6.83203125" bestFit="1" customWidth="1"/>
    <col min="5" max="5" width="5.83203125" bestFit="1" customWidth="1"/>
    <col min="6" max="7" width="5.83203125" customWidth="1"/>
    <col min="8" max="8" width="6.83203125" customWidth="1"/>
    <col min="9" max="10" width="2.33203125" customWidth="1"/>
    <col min="11" max="11" width="6.83203125" customWidth="1"/>
  </cols>
  <sheetData>
    <row r="1" spans="1:11" s="113" customFormat="1" ht="112" x14ac:dyDescent="0.15">
      <c r="A1" s="5" t="s">
        <v>22</v>
      </c>
      <c r="B1" s="3" t="s">
        <v>0</v>
      </c>
      <c r="C1" s="184" t="s">
        <v>227</v>
      </c>
      <c r="D1" s="184" t="s">
        <v>228</v>
      </c>
      <c r="E1" s="184" t="s">
        <v>229</v>
      </c>
      <c r="F1" s="184" t="s">
        <v>230</v>
      </c>
      <c r="G1" s="184" t="s">
        <v>231</v>
      </c>
      <c r="H1" s="184" t="s">
        <v>232</v>
      </c>
      <c r="I1" s="184" t="s">
        <v>233</v>
      </c>
      <c r="J1" s="184" t="s">
        <v>234</v>
      </c>
      <c r="K1" s="184" t="s">
        <v>238</v>
      </c>
    </row>
    <row r="2" spans="1:11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8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83" t="s">
        <v>196</v>
      </c>
      <c r="C6">
        <v>0</v>
      </c>
      <c r="D6">
        <v>0.25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0.25</v>
      </c>
    </row>
    <row r="7" spans="1:11" x14ac:dyDescent="0.15">
      <c r="A7">
        <v>6</v>
      </c>
      <c r="B7" s="183" t="s">
        <v>197</v>
      </c>
      <c r="C7">
        <v>0</v>
      </c>
      <c r="D7">
        <v>2.5000000000000001E-2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2.5000000000000001E-2</v>
      </c>
    </row>
    <row r="8" spans="1:11" x14ac:dyDescent="0.15">
      <c r="A8">
        <v>7</v>
      </c>
      <c r="B8" s="183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83" t="s">
        <v>199</v>
      </c>
      <c r="C9">
        <v>0</v>
      </c>
      <c r="D9">
        <v>2.5000000000000001E-2</v>
      </c>
      <c r="E9">
        <v>0</v>
      </c>
      <c r="F9">
        <v>0</v>
      </c>
      <c r="G9">
        <v>0</v>
      </c>
      <c r="H9">
        <v>5.0000000000000001E-4</v>
      </c>
      <c r="I9">
        <v>0</v>
      </c>
      <c r="J9">
        <v>0</v>
      </c>
      <c r="K9">
        <v>2.5500000000000002E-2</v>
      </c>
    </row>
    <row r="10" spans="1:11" x14ac:dyDescent="0.15">
      <c r="A10">
        <v>9</v>
      </c>
      <c r="B10" s="183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83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8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83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83" t="s">
        <v>205</v>
      </c>
      <c r="C15">
        <v>0</v>
      </c>
      <c r="D15">
        <v>0.01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0.01</v>
      </c>
    </row>
    <row r="16" spans="1:11" x14ac:dyDescent="0.15">
      <c r="A16">
        <v>15</v>
      </c>
      <c r="B16" s="183" t="s">
        <v>206</v>
      </c>
      <c r="C16">
        <v>0</v>
      </c>
      <c r="D16">
        <v>0.01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0.01</v>
      </c>
    </row>
    <row r="17" spans="1:11" x14ac:dyDescent="0.15">
      <c r="A17">
        <v>16</v>
      </c>
      <c r="B17" s="183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83" t="s">
        <v>209</v>
      </c>
      <c r="C19">
        <v>0</v>
      </c>
      <c r="D19">
        <v>0</v>
      </c>
      <c r="E19">
        <v>1E-3</v>
      </c>
      <c r="F19">
        <v>0</v>
      </c>
      <c r="G19">
        <v>0</v>
      </c>
      <c r="H19">
        <v>0</v>
      </c>
      <c r="I19">
        <v>0</v>
      </c>
      <c r="J19">
        <v>0</v>
      </c>
      <c r="K19">
        <v>1E-3</v>
      </c>
    </row>
    <row r="20" spans="1:11" x14ac:dyDescent="0.15">
      <c r="A20">
        <v>19</v>
      </c>
      <c r="B20" s="183" t="s">
        <v>210</v>
      </c>
      <c r="C20">
        <v>0</v>
      </c>
      <c r="D20">
        <v>0</v>
      </c>
      <c r="E20">
        <v>0</v>
      </c>
      <c r="F20">
        <v>1E-3</v>
      </c>
      <c r="G20">
        <v>0</v>
      </c>
      <c r="H20">
        <v>0</v>
      </c>
      <c r="I20">
        <v>0</v>
      </c>
      <c r="J20">
        <v>0</v>
      </c>
      <c r="K20">
        <v>1E-3</v>
      </c>
    </row>
    <row r="21" spans="1:11" x14ac:dyDescent="0.15">
      <c r="A21">
        <v>20</v>
      </c>
      <c r="B21" s="183" t="s">
        <v>211</v>
      </c>
      <c r="C21">
        <v>0</v>
      </c>
      <c r="D21">
        <v>5.0000000000000001E-4</v>
      </c>
      <c r="E21">
        <v>0</v>
      </c>
      <c r="F21">
        <v>0.01</v>
      </c>
      <c r="G21">
        <v>0</v>
      </c>
      <c r="H21">
        <v>0</v>
      </c>
      <c r="I21">
        <v>0</v>
      </c>
      <c r="J21">
        <v>0</v>
      </c>
      <c r="K21">
        <v>1.0500000000000001E-2</v>
      </c>
    </row>
    <row r="22" spans="1:11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8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83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8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83" t="s">
        <v>222</v>
      </c>
      <c r="C32">
        <v>0</v>
      </c>
      <c r="D32">
        <v>0</v>
      </c>
      <c r="E32">
        <v>0</v>
      </c>
      <c r="F32">
        <v>1E-3</v>
      </c>
      <c r="G32">
        <v>0</v>
      </c>
      <c r="H32">
        <v>0</v>
      </c>
      <c r="I32">
        <v>0</v>
      </c>
      <c r="J32">
        <v>0</v>
      </c>
      <c r="K32">
        <v>1E-3</v>
      </c>
    </row>
    <row r="33" spans="1:11" x14ac:dyDescent="0.15">
      <c r="A33">
        <v>32</v>
      </c>
      <c r="B33" s="183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83" t="s">
        <v>224</v>
      </c>
      <c r="C34">
        <v>0</v>
      </c>
      <c r="D34">
        <v>0</v>
      </c>
      <c r="E34">
        <v>0</v>
      </c>
      <c r="F34">
        <v>0</v>
      </c>
      <c r="G34">
        <v>1.0000000000000001E-5</v>
      </c>
      <c r="H34">
        <v>0</v>
      </c>
      <c r="I34">
        <v>0</v>
      </c>
      <c r="J34">
        <v>0</v>
      </c>
      <c r="K34">
        <v>1.0000000000000001E-5</v>
      </c>
    </row>
    <row r="35" spans="1:11" x14ac:dyDescent="0.15">
      <c r="A35">
        <v>34</v>
      </c>
      <c r="B35" s="18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8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.5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85" t="s">
        <v>192</v>
      </c>
      <c r="F2">
        <v>0.98</v>
      </c>
      <c r="G2">
        <v>0.8</v>
      </c>
      <c r="H2">
        <v>0.8</v>
      </c>
      <c r="I2">
        <v>0</v>
      </c>
      <c r="J2" s="112">
        <v>0</v>
      </c>
      <c r="K2" s="112">
        <v>0</v>
      </c>
    </row>
    <row r="3" spans="1:42" x14ac:dyDescent="0.15">
      <c r="A3" s="121" t="s">
        <v>75</v>
      </c>
      <c r="B3" s="123">
        <v>1</v>
      </c>
      <c r="D3">
        <v>2</v>
      </c>
      <c r="E3" s="185" t="s">
        <v>193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85" t="s">
        <v>194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85" t="s">
        <v>195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85" t="s">
        <v>196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85" t="s">
        <v>197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85" t="s">
        <v>198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1" t="s">
        <v>150</v>
      </c>
      <c r="D9">
        <v>8</v>
      </c>
      <c r="E9" s="185" t="s">
        <v>199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1" t="s">
        <v>150</v>
      </c>
      <c r="D10">
        <v>9</v>
      </c>
      <c r="E10" s="185" t="s">
        <v>200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85" t="s">
        <v>201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85" t="s">
        <v>202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85" t="s">
        <v>203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85" t="s">
        <v>204</v>
      </c>
      <c r="F14">
        <v>0.98</v>
      </c>
      <c r="G14">
        <v>0.8</v>
      </c>
      <c r="H14">
        <v>0.8</v>
      </c>
      <c r="I14">
        <v>0</v>
      </c>
      <c r="J14" s="112">
        <v>0</v>
      </c>
      <c r="K14" s="112">
        <v>0</v>
      </c>
    </row>
    <row r="15" spans="1:42" x14ac:dyDescent="0.15">
      <c r="D15">
        <v>14</v>
      </c>
      <c r="E15" s="185" t="s">
        <v>205</v>
      </c>
      <c r="F15">
        <v>0.98</v>
      </c>
      <c r="G15">
        <v>0.8</v>
      </c>
      <c r="H15">
        <v>0.8</v>
      </c>
      <c r="I15">
        <v>0</v>
      </c>
      <c r="J15" s="112">
        <v>0</v>
      </c>
      <c r="K15" s="112">
        <v>0</v>
      </c>
    </row>
    <row r="16" spans="1:42" x14ac:dyDescent="0.15">
      <c r="D16">
        <v>15</v>
      </c>
      <c r="E16" s="185" t="s">
        <v>206</v>
      </c>
      <c r="F16">
        <v>0.98</v>
      </c>
      <c r="G16">
        <v>0.8</v>
      </c>
      <c r="H16">
        <v>0.8</v>
      </c>
      <c r="I16">
        <v>0</v>
      </c>
      <c r="J16" s="112">
        <v>0</v>
      </c>
      <c r="K16" s="112">
        <v>0</v>
      </c>
    </row>
    <row r="17" spans="4:33" ht="15" customHeight="1" x14ac:dyDescent="0.15">
      <c r="D17">
        <v>16</v>
      </c>
      <c r="E17" s="185" t="s">
        <v>207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85" t="s">
        <v>208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85" t="s">
        <v>209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85" t="s">
        <v>210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85" t="s">
        <v>211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85" t="s">
        <v>212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85" t="s">
        <v>213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85" t="s">
        <v>214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85" t="s">
        <v>215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85" t="s">
        <v>216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85" t="s">
        <v>217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85" t="s">
        <v>218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85" t="s">
        <v>219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85" t="s">
        <v>220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85" t="s">
        <v>221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85" t="s">
        <v>222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85" t="s">
        <v>223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85" t="s">
        <v>224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85" t="s">
        <v>225</v>
      </c>
      <c r="F35">
        <v>0.98</v>
      </c>
      <c r="G35">
        <v>0.8</v>
      </c>
      <c r="H35">
        <v>0</v>
      </c>
      <c r="I35">
        <v>0</v>
      </c>
      <c r="J35" s="112">
        <v>0</v>
      </c>
      <c r="K35" s="112">
        <v>0</v>
      </c>
      <c r="Y35"/>
      <c r="AC35"/>
      <c r="AG35"/>
    </row>
    <row r="36" spans="4:33" ht="15" customHeight="1" x14ac:dyDescent="0.15">
      <c r="D36">
        <v>35</v>
      </c>
      <c r="E36" s="185" t="s">
        <v>226</v>
      </c>
      <c r="F36">
        <v>0.98</v>
      </c>
      <c r="G36">
        <v>0.8</v>
      </c>
      <c r="H36">
        <v>0</v>
      </c>
      <c r="I36">
        <v>0</v>
      </c>
      <c r="J36" s="112">
        <v>0</v>
      </c>
      <c r="K36" s="112">
        <v>0</v>
      </c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1.6640625" style="110" bestFit="1" customWidth="1"/>
    <col min="2" max="2" width="2.33203125" style="110" customWidth="1"/>
    <col min="3" max="13" width="3.83203125" style="110" customWidth="1"/>
    <col min="14" max="16" width="2.33203125" style="110" customWidth="1"/>
    <col min="17" max="34" width="3.83203125" style="110" customWidth="1"/>
    <col min="35" max="36" width="2.33203125" style="110" customWidth="1"/>
    <col min="37" max="16384" width="10.83203125" style="110"/>
  </cols>
  <sheetData>
    <row r="1" spans="1:36" x14ac:dyDescent="0.15">
      <c r="A1" s="63" t="s">
        <v>118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</row>
    <row r="2" spans="1:36" customFormat="1" x14ac:dyDescent="0.15">
      <c r="A2" s="186" t="s">
        <v>192</v>
      </c>
      <c r="B2" s="110">
        <v>0</v>
      </c>
      <c r="C2" s="110">
        <v>0.8</v>
      </c>
      <c r="D2" s="110">
        <v>0.8</v>
      </c>
      <c r="E2" s="110">
        <v>0</v>
      </c>
      <c r="F2" s="110">
        <v>0.8</v>
      </c>
      <c r="G2" s="110">
        <v>0.8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0.8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0.8</v>
      </c>
      <c r="AA2" s="110">
        <v>0.8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</row>
    <row r="3" spans="1:36" customFormat="1" x14ac:dyDescent="0.15">
      <c r="A3" s="186" t="s">
        <v>193</v>
      </c>
      <c r="B3" s="110">
        <v>0</v>
      </c>
      <c r="C3" s="110">
        <v>0.8</v>
      </c>
      <c r="D3" s="110">
        <v>0.8</v>
      </c>
      <c r="E3" s="110">
        <v>0</v>
      </c>
      <c r="F3" s="110">
        <v>0.8</v>
      </c>
      <c r="G3" s="110">
        <v>0.8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0.8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</row>
    <row r="4" spans="1:36" customFormat="1" x14ac:dyDescent="0.15">
      <c r="A4" s="186" t="s">
        <v>194</v>
      </c>
      <c r="B4" s="110">
        <v>0</v>
      </c>
      <c r="C4" s="110">
        <v>0</v>
      </c>
      <c r="D4" s="110">
        <v>0.8</v>
      </c>
      <c r="E4" s="110">
        <v>0</v>
      </c>
      <c r="F4" s="110">
        <v>0</v>
      </c>
      <c r="G4" s="110">
        <v>0.8</v>
      </c>
      <c r="H4" s="110">
        <v>0</v>
      </c>
      <c r="I4" s="110">
        <v>0.8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0.8</v>
      </c>
      <c r="R4" s="110">
        <v>0.8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0.8</v>
      </c>
      <c r="Y4" s="110">
        <v>0</v>
      </c>
      <c r="Z4" s="110">
        <v>0.8</v>
      </c>
      <c r="AA4" s="110">
        <v>0.8</v>
      </c>
      <c r="AB4" s="110">
        <v>0.8</v>
      </c>
      <c r="AC4" s="110">
        <v>0.8</v>
      </c>
      <c r="AD4" s="110">
        <v>0</v>
      </c>
      <c r="AE4" s="110">
        <v>0</v>
      </c>
      <c r="AF4" s="110">
        <v>0</v>
      </c>
      <c r="AG4" s="110">
        <v>0.8</v>
      </c>
      <c r="AH4" s="110">
        <v>0.8</v>
      </c>
      <c r="AI4" s="110">
        <v>0</v>
      </c>
      <c r="AJ4" s="110">
        <v>0</v>
      </c>
    </row>
    <row r="5" spans="1:36" customFormat="1" x14ac:dyDescent="0.15">
      <c r="A5" s="186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0.8</v>
      </c>
      <c r="I5" s="110">
        <v>0.8</v>
      </c>
      <c r="J5" s="110">
        <v>0.8</v>
      </c>
      <c r="K5" s="110">
        <v>0</v>
      </c>
      <c r="L5" s="110">
        <v>0</v>
      </c>
      <c r="M5" s="110">
        <v>0.8</v>
      </c>
      <c r="N5" s="110">
        <v>0</v>
      </c>
      <c r="O5" s="110">
        <v>0</v>
      </c>
      <c r="P5" s="110">
        <v>0</v>
      </c>
      <c r="Q5" s="110">
        <v>0</v>
      </c>
      <c r="R5" s="110">
        <v>0.8</v>
      </c>
      <c r="S5" s="110">
        <v>0.8</v>
      </c>
      <c r="T5" s="110">
        <v>0.8</v>
      </c>
      <c r="U5" s="110">
        <v>0.8</v>
      </c>
      <c r="V5" s="110">
        <v>0.8</v>
      </c>
      <c r="W5" s="110">
        <v>0.8</v>
      </c>
      <c r="X5" s="110">
        <v>0</v>
      </c>
      <c r="Y5" s="110">
        <v>0</v>
      </c>
      <c r="Z5" s="110">
        <v>0</v>
      </c>
      <c r="AA5" s="110">
        <v>0</v>
      </c>
      <c r="AB5" s="110">
        <v>0.8</v>
      </c>
      <c r="AC5" s="110">
        <v>0.8</v>
      </c>
      <c r="AD5" s="110">
        <v>0.8</v>
      </c>
      <c r="AE5" s="110">
        <v>0.8</v>
      </c>
      <c r="AF5" s="110">
        <v>0</v>
      </c>
      <c r="AG5" s="110">
        <v>0.8</v>
      </c>
      <c r="AH5" s="110">
        <v>0</v>
      </c>
      <c r="AI5" s="110">
        <v>0</v>
      </c>
      <c r="AJ5" s="110">
        <v>0</v>
      </c>
    </row>
    <row r="6" spans="1:36" customFormat="1" x14ac:dyDescent="0.15">
      <c r="A6" s="186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0</v>
      </c>
      <c r="H6" s="110">
        <v>0</v>
      </c>
      <c r="I6" s="110">
        <v>0.8</v>
      </c>
      <c r="J6" s="110">
        <v>0.8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0.8</v>
      </c>
      <c r="U6" s="110">
        <v>0.8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0.8</v>
      </c>
      <c r="AC6" s="110">
        <v>0.8</v>
      </c>
      <c r="AD6" s="110">
        <v>0.8</v>
      </c>
      <c r="AE6" s="110">
        <v>0.8</v>
      </c>
      <c r="AF6" s="110">
        <v>0</v>
      </c>
      <c r="AG6" s="110">
        <v>0</v>
      </c>
      <c r="AH6" s="110">
        <v>0.8</v>
      </c>
      <c r="AI6" s="110">
        <v>0</v>
      </c>
      <c r="AJ6" s="110">
        <v>0</v>
      </c>
    </row>
    <row r="7" spans="1:36" customFormat="1" x14ac:dyDescent="0.15">
      <c r="A7" s="186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0.8</v>
      </c>
      <c r="I7" s="110">
        <v>0.8</v>
      </c>
      <c r="J7" s="110">
        <v>0.8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0.8</v>
      </c>
      <c r="S7" s="110">
        <v>0.8</v>
      </c>
      <c r="T7" s="110">
        <v>0.8</v>
      </c>
      <c r="U7" s="110">
        <v>0.8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0.8</v>
      </c>
      <c r="AC7" s="110">
        <v>0</v>
      </c>
      <c r="AD7" s="110">
        <v>0.8</v>
      </c>
      <c r="AE7" s="110">
        <v>0.8</v>
      </c>
      <c r="AF7" s="110">
        <v>0</v>
      </c>
      <c r="AG7" s="110">
        <v>0.8</v>
      </c>
      <c r="AH7" s="110">
        <v>0</v>
      </c>
      <c r="AI7" s="110">
        <v>0</v>
      </c>
      <c r="AJ7" s="110">
        <v>0</v>
      </c>
    </row>
    <row r="8" spans="1:36" customFormat="1" x14ac:dyDescent="0.15">
      <c r="A8" s="186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0</v>
      </c>
      <c r="G8" s="110">
        <v>0</v>
      </c>
      <c r="H8" s="110">
        <v>0</v>
      </c>
      <c r="I8" s="110">
        <v>0.8</v>
      </c>
      <c r="J8" s="110">
        <v>0.8</v>
      </c>
      <c r="K8" s="110">
        <v>0</v>
      </c>
      <c r="L8" s="110">
        <v>0</v>
      </c>
      <c r="M8" s="110">
        <v>0.8</v>
      </c>
      <c r="N8" s="110">
        <v>0</v>
      </c>
      <c r="O8" s="110">
        <v>0</v>
      </c>
      <c r="P8" s="110">
        <v>0</v>
      </c>
      <c r="Q8" s="110">
        <v>0</v>
      </c>
      <c r="R8" s="110">
        <v>0.8</v>
      </c>
      <c r="S8" s="110">
        <v>0.8</v>
      </c>
      <c r="T8" s="110">
        <v>0.8</v>
      </c>
      <c r="U8" s="110">
        <v>0.8</v>
      </c>
      <c r="V8" s="110">
        <v>0.8</v>
      </c>
      <c r="W8" s="110">
        <v>0.8</v>
      </c>
      <c r="X8" s="110">
        <v>0</v>
      </c>
      <c r="Y8" s="110">
        <v>0</v>
      </c>
      <c r="Z8" s="110">
        <v>0.8</v>
      </c>
      <c r="AA8" s="110">
        <v>0.8</v>
      </c>
      <c r="AB8" s="110">
        <v>0.8</v>
      </c>
      <c r="AC8" s="110">
        <v>0</v>
      </c>
      <c r="AD8" s="110">
        <v>0.8</v>
      </c>
      <c r="AE8" s="110">
        <v>0.8</v>
      </c>
      <c r="AF8" s="110">
        <v>0</v>
      </c>
      <c r="AG8" s="110">
        <v>0.8</v>
      </c>
      <c r="AH8" s="110">
        <v>0</v>
      </c>
      <c r="AI8" s="110">
        <v>0</v>
      </c>
      <c r="AJ8" s="110">
        <v>0</v>
      </c>
    </row>
    <row r="9" spans="1:36" customFormat="1" x14ac:dyDescent="0.15">
      <c r="A9" s="186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0.8</v>
      </c>
      <c r="J9" s="110">
        <v>0.8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0.8</v>
      </c>
      <c r="S9" s="110">
        <v>0.8</v>
      </c>
      <c r="T9" s="110">
        <v>0.8</v>
      </c>
      <c r="U9" s="110">
        <v>0.8</v>
      </c>
      <c r="V9" s="110">
        <v>0.8</v>
      </c>
      <c r="W9" s="110">
        <v>0.8</v>
      </c>
      <c r="X9" s="110">
        <v>0</v>
      </c>
      <c r="Y9" s="110">
        <v>0</v>
      </c>
      <c r="Z9" s="110">
        <v>0</v>
      </c>
      <c r="AA9" s="110">
        <v>0</v>
      </c>
      <c r="AB9" s="110">
        <v>0.8</v>
      </c>
      <c r="AC9" s="110">
        <v>0.8</v>
      </c>
      <c r="AD9" s="110">
        <v>0.8</v>
      </c>
      <c r="AE9" s="110">
        <v>0.8</v>
      </c>
      <c r="AF9" s="110">
        <v>0.8</v>
      </c>
      <c r="AG9" s="110">
        <v>0.8</v>
      </c>
      <c r="AH9" s="110">
        <v>0.8</v>
      </c>
      <c r="AI9" s="110">
        <v>0</v>
      </c>
      <c r="AJ9" s="110">
        <v>0</v>
      </c>
    </row>
    <row r="10" spans="1:36" customFormat="1" x14ac:dyDescent="0.15">
      <c r="A10" s="186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0.8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0.8</v>
      </c>
      <c r="T10" s="110">
        <v>0</v>
      </c>
      <c r="U10" s="110">
        <v>0.8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0.8</v>
      </c>
      <c r="AC10" s="110">
        <v>0.8</v>
      </c>
      <c r="AD10" s="110">
        <v>0</v>
      </c>
      <c r="AE10" s="110">
        <v>0.8</v>
      </c>
      <c r="AF10" s="110">
        <v>0.8</v>
      </c>
      <c r="AG10" s="110">
        <v>0</v>
      </c>
      <c r="AH10" s="110">
        <v>0</v>
      </c>
      <c r="AI10" s="110">
        <v>0</v>
      </c>
      <c r="AJ10" s="110">
        <v>0</v>
      </c>
    </row>
    <row r="11" spans="1:36" customFormat="1" x14ac:dyDescent="0.15">
      <c r="A11" s="186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0.8</v>
      </c>
      <c r="J11" s="110">
        <v>0.8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0.8</v>
      </c>
      <c r="AC11" s="110">
        <v>0</v>
      </c>
      <c r="AD11" s="110">
        <v>0.8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</row>
    <row r="12" spans="1:36" customFormat="1" x14ac:dyDescent="0.15">
      <c r="A12" s="186" t="s">
        <v>202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0.8</v>
      </c>
      <c r="J12" s="110">
        <v>0.8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0.8</v>
      </c>
      <c r="AC12" s="110">
        <v>0</v>
      </c>
      <c r="AD12" s="110">
        <v>0.8</v>
      </c>
      <c r="AE12" s="110">
        <v>0.8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</row>
    <row r="13" spans="1:36" customFormat="1" x14ac:dyDescent="0.15">
      <c r="A13" s="186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0.8</v>
      </c>
      <c r="J13" s="110">
        <v>0.8</v>
      </c>
      <c r="K13" s="110">
        <v>0</v>
      </c>
      <c r="L13" s="110">
        <v>0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0.8</v>
      </c>
      <c r="S13" s="110">
        <v>0.8</v>
      </c>
      <c r="T13" s="110">
        <v>0.8</v>
      </c>
      <c r="U13" s="110">
        <v>0.8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0.8</v>
      </c>
      <c r="AC13" s="110">
        <v>0.8</v>
      </c>
      <c r="AD13" s="110">
        <v>0.8</v>
      </c>
      <c r="AE13" s="110">
        <v>0.8</v>
      </c>
      <c r="AF13" s="110">
        <v>0</v>
      </c>
      <c r="AG13" s="110">
        <v>0.8</v>
      </c>
      <c r="AH13" s="110">
        <v>0.8</v>
      </c>
      <c r="AI13" s="110">
        <v>0</v>
      </c>
      <c r="AJ13" s="110">
        <v>0</v>
      </c>
    </row>
    <row r="14" spans="1:36" customFormat="1" x14ac:dyDescent="0.15">
      <c r="A14" s="186" t="s">
        <v>204</v>
      </c>
      <c r="B14" s="110">
        <v>0</v>
      </c>
      <c r="C14" s="110">
        <v>0</v>
      </c>
      <c r="D14" s="110">
        <v>0</v>
      </c>
      <c r="E14" s="110">
        <v>0.8</v>
      </c>
      <c r="F14" s="110">
        <v>0.8</v>
      </c>
      <c r="G14" s="110">
        <v>0.8</v>
      </c>
      <c r="H14" s="110">
        <v>0</v>
      </c>
      <c r="I14" s="110">
        <v>0</v>
      </c>
      <c r="J14" s="110">
        <v>0</v>
      </c>
      <c r="K14" s="110">
        <v>0.8</v>
      </c>
      <c r="L14" s="110">
        <v>0.8</v>
      </c>
      <c r="M14" s="110">
        <v>0.8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0.8</v>
      </c>
      <c r="AA14" s="110">
        <v>0.8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</row>
    <row r="15" spans="1:36" customFormat="1" x14ac:dyDescent="0.15">
      <c r="A15" s="186" t="s">
        <v>205</v>
      </c>
      <c r="B15" s="110">
        <v>0</v>
      </c>
      <c r="C15" s="110">
        <v>0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0.8</v>
      </c>
      <c r="J15" s="110">
        <v>0</v>
      </c>
      <c r="K15" s="110">
        <v>0.8</v>
      </c>
      <c r="L15" s="110">
        <v>0.8</v>
      </c>
      <c r="M15" s="110">
        <v>0</v>
      </c>
      <c r="N15" s="110">
        <v>0</v>
      </c>
      <c r="O15" s="110">
        <v>0</v>
      </c>
      <c r="P15" s="110">
        <v>0</v>
      </c>
      <c r="Q15" s="110">
        <v>0</v>
      </c>
      <c r="R15" s="110">
        <v>0</v>
      </c>
      <c r="S15" s="110">
        <v>0</v>
      </c>
      <c r="T15" s="110">
        <v>0.8</v>
      </c>
      <c r="U15" s="110">
        <v>0.8</v>
      </c>
      <c r="V15" s="110">
        <v>0</v>
      </c>
      <c r="W15" s="110">
        <v>0</v>
      </c>
      <c r="X15" s="110">
        <v>0</v>
      </c>
      <c r="Y15" s="110">
        <v>0</v>
      </c>
      <c r="Z15" s="110">
        <v>0.8</v>
      </c>
      <c r="AA15" s="110">
        <v>0.8</v>
      </c>
      <c r="AB15" s="110">
        <v>0.8</v>
      </c>
      <c r="AC15" s="110">
        <v>0</v>
      </c>
      <c r="AD15" s="110">
        <v>0</v>
      </c>
      <c r="AE15" s="110">
        <v>0.8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</row>
    <row r="16" spans="1:36" customFormat="1" x14ac:dyDescent="0.15">
      <c r="A16" s="186" t="s">
        <v>206</v>
      </c>
      <c r="B16" s="110">
        <v>0</v>
      </c>
      <c r="C16" s="110">
        <v>0</v>
      </c>
      <c r="D16" s="110">
        <v>0</v>
      </c>
      <c r="E16" s="110">
        <v>0.8</v>
      </c>
      <c r="F16" s="110">
        <v>0</v>
      </c>
      <c r="G16" s="110">
        <v>0</v>
      </c>
      <c r="H16" s="110">
        <v>0.8</v>
      </c>
      <c r="I16" s="110">
        <v>0.8</v>
      </c>
      <c r="J16" s="110">
        <v>0</v>
      </c>
      <c r="K16" s="110">
        <v>0.8</v>
      </c>
      <c r="L16" s="110">
        <v>0.8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0.8</v>
      </c>
      <c r="U16" s="110">
        <v>0.8</v>
      </c>
      <c r="V16" s="110">
        <v>0</v>
      </c>
      <c r="W16" s="110">
        <v>0</v>
      </c>
      <c r="X16" s="110">
        <v>0</v>
      </c>
      <c r="Y16" s="110">
        <v>0</v>
      </c>
      <c r="Z16" s="110">
        <v>0.8</v>
      </c>
      <c r="AA16" s="110">
        <v>0.8</v>
      </c>
      <c r="AB16" s="110">
        <v>0</v>
      </c>
      <c r="AC16" s="110">
        <v>0</v>
      </c>
      <c r="AD16" s="110">
        <v>0.8</v>
      </c>
      <c r="AE16" s="110">
        <v>0.8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</row>
    <row r="17" spans="1:36" customFormat="1" x14ac:dyDescent="0.15">
      <c r="A17" s="186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0.8</v>
      </c>
      <c r="S17" s="110">
        <v>0.8</v>
      </c>
      <c r="T17" s="110">
        <v>0.8</v>
      </c>
      <c r="U17" s="110">
        <v>0.8</v>
      </c>
      <c r="V17" s="110">
        <v>0</v>
      </c>
      <c r="W17" s="110">
        <v>0</v>
      </c>
      <c r="X17" s="110">
        <v>0.8</v>
      </c>
      <c r="Y17" s="110">
        <v>0.8</v>
      </c>
      <c r="Z17" s="110">
        <v>0</v>
      </c>
      <c r="AA17" s="110">
        <v>0</v>
      </c>
      <c r="AB17" s="110">
        <v>0</v>
      </c>
      <c r="AC17" s="110">
        <v>0.8</v>
      </c>
      <c r="AD17" s="110">
        <v>0.8</v>
      </c>
      <c r="AE17" s="110">
        <v>0.8</v>
      </c>
      <c r="AF17" s="110">
        <v>0.8</v>
      </c>
      <c r="AG17" s="110">
        <v>0.8</v>
      </c>
      <c r="AH17" s="110">
        <v>0.8</v>
      </c>
      <c r="AI17" s="110">
        <v>0</v>
      </c>
      <c r="AJ17" s="110">
        <v>0</v>
      </c>
    </row>
    <row r="18" spans="1:36" customFormat="1" x14ac:dyDescent="0.15">
      <c r="A18" s="186" t="s">
        <v>208</v>
      </c>
      <c r="B18" s="110">
        <v>0</v>
      </c>
      <c r="C18" s="110">
        <v>0</v>
      </c>
      <c r="D18" s="110">
        <v>0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0.8</v>
      </c>
      <c r="S18" s="110">
        <v>0.8</v>
      </c>
      <c r="T18" s="110">
        <v>0.8</v>
      </c>
      <c r="U18" s="110">
        <v>0.8</v>
      </c>
      <c r="V18" s="110">
        <v>0</v>
      </c>
      <c r="W18" s="110">
        <v>0</v>
      </c>
      <c r="X18" s="110">
        <v>0.8</v>
      </c>
      <c r="Y18" s="110">
        <v>0.8</v>
      </c>
      <c r="Z18" s="110">
        <v>0</v>
      </c>
      <c r="AA18" s="110">
        <v>0</v>
      </c>
      <c r="AB18" s="110">
        <v>0.8</v>
      </c>
      <c r="AC18" s="110">
        <v>0.8</v>
      </c>
      <c r="AD18" s="110">
        <v>0.8</v>
      </c>
      <c r="AE18" s="110">
        <v>0.8</v>
      </c>
      <c r="AF18" s="110">
        <v>0.8</v>
      </c>
      <c r="AG18" s="110">
        <v>0</v>
      </c>
      <c r="AH18" s="110">
        <v>0.8</v>
      </c>
      <c r="AI18" s="110">
        <v>0</v>
      </c>
      <c r="AJ18" s="110">
        <v>0</v>
      </c>
    </row>
    <row r="19" spans="1:36" customFormat="1" x14ac:dyDescent="0.15">
      <c r="A19" s="186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0.8</v>
      </c>
      <c r="T19" s="110">
        <v>0</v>
      </c>
      <c r="U19" s="110">
        <v>0.8</v>
      </c>
      <c r="V19" s="110">
        <v>0</v>
      </c>
      <c r="W19" s="110">
        <v>0</v>
      </c>
      <c r="X19" s="110">
        <v>0</v>
      </c>
      <c r="Y19" s="110">
        <v>0.8</v>
      </c>
      <c r="Z19" s="110">
        <v>0</v>
      </c>
      <c r="AA19" s="110">
        <v>0</v>
      </c>
      <c r="AB19" s="110">
        <v>0.8</v>
      </c>
      <c r="AC19" s="110">
        <v>0.8</v>
      </c>
      <c r="AD19" s="110">
        <v>0.8</v>
      </c>
      <c r="AE19" s="110">
        <v>0.8</v>
      </c>
      <c r="AF19" s="110">
        <v>0.8</v>
      </c>
      <c r="AG19" s="110">
        <v>0</v>
      </c>
      <c r="AH19" s="110">
        <v>0.8</v>
      </c>
      <c r="AI19" s="110">
        <v>0</v>
      </c>
      <c r="AJ19" s="110">
        <v>0</v>
      </c>
    </row>
    <row r="20" spans="1:36" customFormat="1" x14ac:dyDescent="0.15">
      <c r="A20" s="186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0.8</v>
      </c>
      <c r="S20" s="110">
        <v>0.8</v>
      </c>
      <c r="T20" s="110">
        <v>0.8</v>
      </c>
      <c r="U20" s="110">
        <v>0.8</v>
      </c>
      <c r="V20" s="110">
        <v>0</v>
      </c>
      <c r="W20" s="110">
        <v>0</v>
      </c>
      <c r="X20" s="110">
        <v>0.8</v>
      </c>
      <c r="Y20" s="110">
        <v>0.8</v>
      </c>
      <c r="Z20" s="110">
        <v>0</v>
      </c>
      <c r="AA20" s="110">
        <v>0</v>
      </c>
      <c r="AB20" s="110">
        <v>0.8</v>
      </c>
      <c r="AC20" s="110">
        <v>0.8</v>
      </c>
      <c r="AD20" s="110">
        <v>0.8</v>
      </c>
      <c r="AE20" s="110">
        <v>0.8</v>
      </c>
      <c r="AF20" s="110">
        <v>0.8</v>
      </c>
      <c r="AG20" s="110">
        <v>0</v>
      </c>
      <c r="AH20" s="110">
        <v>0.8</v>
      </c>
      <c r="AI20" s="110">
        <v>0</v>
      </c>
      <c r="AJ20" s="110">
        <v>0</v>
      </c>
    </row>
    <row r="21" spans="1:36" customFormat="1" x14ac:dyDescent="0.15">
      <c r="A21" s="186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0.8</v>
      </c>
      <c r="T21" s="110">
        <v>0</v>
      </c>
      <c r="U21" s="110">
        <v>0.8</v>
      </c>
      <c r="V21" s="110">
        <v>0</v>
      </c>
      <c r="W21" s="110">
        <v>0</v>
      </c>
      <c r="X21" s="110">
        <v>0</v>
      </c>
      <c r="Y21" s="110">
        <v>0.8</v>
      </c>
      <c r="Z21" s="110">
        <v>0</v>
      </c>
      <c r="AA21" s="110">
        <v>0</v>
      </c>
      <c r="AB21" s="110">
        <v>0.8</v>
      </c>
      <c r="AC21" s="110">
        <v>0.8</v>
      </c>
      <c r="AD21" s="110">
        <v>0.8</v>
      </c>
      <c r="AE21" s="110">
        <v>0.8</v>
      </c>
      <c r="AF21" s="110">
        <v>0.8</v>
      </c>
      <c r="AG21" s="110">
        <v>0</v>
      </c>
      <c r="AH21" s="110">
        <v>0.8</v>
      </c>
      <c r="AI21" s="110">
        <v>0</v>
      </c>
      <c r="AJ21" s="110">
        <v>0</v>
      </c>
    </row>
    <row r="22" spans="1:36" customFormat="1" x14ac:dyDescent="0.15">
      <c r="A22" s="186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0.8</v>
      </c>
      <c r="S22" s="110">
        <v>0.8</v>
      </c>
      <c r="T22" s="110">
        <v>0</v>
      </c>
      <c r="U22" s="110">
        <v>0.8</v>
      </c>
      <c r="V22" s="110">
        <v>0</v>
      </c>
      <c r="W22" s="110">
        <v>0</v>
      </c>
      <c r="X22" s="110">
        <v>0.8</v>
      </c>
      <c r="Y22" s="110">
        <v>0.8</v>
      </c>
      <c r="Z22" s="110">
        <v>0</v>
      </c>
      <c r="AA22" s="110">
        <v>0</v>
      </c>
      <c r="AB22" s="110">
        <v>0.8</v>
      </c>
      <c r="AC22" s="110">
        <v>0.8</v>
      </c>
      <c r="AD22" s="110">
        <v>0.8</v>
      </c>
      <c r="AE22" s="110">
        <v>0.8</v>
      </c>
      <c r="AF22" s="110">
        <v>0.8</v>
      </c>
      <c r="AG22" s="110">
        <v>0.8</v>
      </c>
      <c r="AH22" s="110">
        <v>0.8</v>
      </c>
      <c r="AI22" s="110">
        <v>0</v>
      </c>
      <c r="AJ22" s="110">
        <v>0</v>
      </c>
    </row>
    <row r="23" spans="1:36" customFormat="1" x14ac:dyDescent="0.15">
      <c r="A23" s="186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0.8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0.8</v>
      </c>
      <c r="Z23" s="110">
        <v>0</v>
      </c>
      <c r="AA23" s="110">
        <v>0</v>
      </c>
      <c r="AB23" s="110">
        <v>0.8</v>
      </c>
      <c r="AC23" s="110">
        <v>0.8</v>
      </c>
      <c r="AD23" s="110">
        <v>0.8</v>
      </c>
      <c r="AE23" s="110">
        <v>0</v>
      </c>
      <c r="AF23" s="110">
        <v>0.8</v>
      </c>
      <c r="AG23" s="110">
        <v>0.8</v>
      </c>
      <c r="AH23" s="110">
        <v>0.8</v>
      </c>
      <c r="AI23" s="110">
        <v>0</v>
      </c>
      <c r="AJ23" s="110">
        <v>0</v>
      </c>
    </row>
    <row r="24" spans="1:36" customFormat="1" x14ac:dyDescent="0.15">
      <c r="A24" s="186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0.8</v>
      </c>
      <c r="S24" s="110">
        <v>0.8</v>
      </c>
      <c r="T24" s="110">
        <v>0</v>
      </c>
      <c r="U24" s="110">
        <v>0</v>
      </c>
      <c r="V24" s="110">
        <v>0</v>
      </c>
      <c r="W24" s="110">
        <v>0</v>
      </c>
      <c r="X24" s="110">
        <v>0.8</v>
      </c>
      <c r="Y24" s="110">
        <v>0.8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0.8</v>
      </c>
      <c r="AF24" s="110">
        <v>0.8</v>
      </c>
      <c r="AG24" s="110">
        <v>0.8</v>
      </c>
      <c r="AH24" s="110">
        <v>0.8</v>
      </c>
      <c r="AI24" s="110">
        <v>0</v>
      </c>
      <c r="AJ24" s="110">
        <v>0</v>
      </c>
    </row>
    <row r="25" spans="1:36" customFormat="1" x14ac:dyDescent="0.15">
      <c r="A25" s="186" t="s">
        <v>215</v>
      </c>
      <c r="B25" s="110">
        <v>0</v>
      </c>
      <c r="C25" s="110">
        <v>0</v>
      </c>
      <c r="D25" s="110">
        <v>0</v>
      </c>
      <c r="E25" s="110">
        <v>0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0.8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0.8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0.8</v>
      </c>
      <c r="AF25" s="110">
        <v>0.8</v>
      </c>
      <c r="AG25" s="110">
        <v>0</v>
      </c>
      <c r="AH25" s="110">
        <v>0.8</v>
      </c>
      <c r="AI25" s="110">
        <v>0</v>
      </c>
      <c r="AJ25" s="110">
        <v>0</v>
      </c>
    </row>
    <row r="26" spans="1:36" customFormat="1" x14ac:dyDescent="0.15">
      <c r="A26" s="186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0.8</v>
      </c>
      <c r="S26" s="110">
        <v>0.8</v>
      </c>
      <c r="T26" s="110">
        <v>0.8</v>
      </c>
      <c r="U26" s="110">
        <v>0.8</v>
      </c>
      <c r="V26" s="110">
        <v>0</v>
      </c>
      <c r="W26" s="110">
        <v>0</v>
      </c>
      <c r="X26" s="110">
        <v>0.8</v>
      </c>
      <c r="Y26" s="110">
        <v>0.8</v>
      </c>
      <c r="Z26" s="110">
        <v>0</v>
      </c>
      <c r="AA26" s="110">
        <v>0</v>
      </c>
      <c r="AB26" s="110">
        <v>0.8</v>
      </c>
      <c r="AC26" s="110">
        <v>0.8</v>
      </c>
      <c r="AD26" s="110">
        <v>0</v>
      </c>
      <c r="AE26" s="110">
        <v>0.8</v>
      </c>
      <c r="AF26" s="110">
        <v>0.8</v>
      </c>
      <c r="AG26" s="110">
        <v>0</v>
      </c>
      <c r="AH26" s="110">
        <v>0.8</v>
      </c>
      <c r="AI26" s="110">
        <v>0</v>
      </c>
      <c r="AJ26" s="110">
        <v>0</v>
      </c>
    </row>
    <row r="27" spans="1:36" customFormat="1" x14ac:dyDescent="0.15">
      <c r="A27" s="186" t="s">
        <v>217</v>
      </c>
      <c r="B27" s="110">
        <v>0</v>
      </c>
      <c r="C27" s="110">
        <v>0</v>
      </c>
      <c r="D27" s="110">
        <v>0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110">
        <v>0</v>
      </c>
      <c r="R27" s="110">
        <v>0</v>
      </c>
      <c r="S27" s="110">
        <v>0.8</v>
      </c>
      <c r="T27" s="110">
        <v>0</v>
      </c>
      <c r="U27" s="110">
        <v>0.8</v>
      </c>
      <c r="V27" s="110">
        <v>0</v>
      </c>
      <c r="W27" s="110">
        <v>0</v>
      </c>
      <c r="X27" s="110">
        <v>0</v>
      </c>
      <c r="Y27" s="110">
        <v>0.8</v>
      </c>
      <c r="Z27" s="110">
        <v>0</v>
      </c>
      <c r="AA27" s="110">
        <v>0</v>
      </c>
      <c r="AB27" s="110">
        <v>0.8</v>
      </c>
      <c r="AC27" s="110">
        <v>0.8</v>
      </c>
      <c r="AD27" s="110">
        <v>0</v>
      </c>
      <c r="AE27" s="110">
        <v>0.8</v>
      </c>
      <c r="AF27" s="110">
        <v>0.8</v>
      </c>
      <c r="AG27" s="110">
        <v>0</v>
      </c>
      <c r="AH27" s="110">
        <v>0.8</v>
      </c>
      <c r="AI27" s="110">
        <v>0</v>
      </c>
      <c r="AJ27" s="110">
        <v>0</v>
      </c>
    </row>
    <row r="28" spans="1:36" customFormat="1" x14ac:dyDescent="0.15">
      <c r="A28" s="186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0.8</v>
      </c>
      <c r="S28" s="110">
        <v>0.8</v>
      </c>
      <c r="T28" s="110">
        <v>0.8</v>
      </c>
      <c r="U28" s="110">
        <v>0.8</v>
      </c>
      <c r="V28" s="110">
        <v>0</v>
      </c>
      <c r="W28" s="110">
        <v>0</v>
      </c>
      <c r="X28" s="110">
        <v>0.8</v>
      </c>
      <c r="Y28" s="110">
        <v>0.8</v>
      </c>
      <c r="Z28" s="110">
        <v>0</v>
      </c>
      <c r="AA28" s="110">
        <v>0</v>
      </c>
      <c r="AB28" s="110">
        <v>0.8</v>
      </c>
      <c r="AC28" s="110">
        <v>0.8</v>
      </c>
      <c r="AD28" s="110">
        <v>0.8</v>
      </c>
      <c r="AE28" s="110">
        <v>0.8</v>
      </c>
      <c r="AF28" s="110">
        <v>0.8</v>
      </c>
      <c r="AG28" s="110">
        <v>0.8</v>
      </c>
      <c r="AH28" s="110">
        <v>0.8</v>
      </c>
      <c r="AI28" s="110">
        <v>0</v>
      </c>
      <c r="AJ28" s="110">
        <v>0</v>
      </c>
    </row>
    <row r="29" spans="1:36" customFormat="1" x14ac:dyDescent="0.15">
      <c r="A29" s="186" t="s">
        <v>219</v>
      </c>
      <c r="B29" s="110">
        <v>0</v>
      </c>
      <c r="C29" s="110">
        <v>0</v>
      </c>
      <c r="D29" s="110">
        <v>0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0.8</v>
      </c>
      <c r="T29" s="110">
        <v>0.8</v>
      </c>
      <c r="U29" s="110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0</v>
      </c>
      <c r="AA29" s="110">
        <v>0</v>
      </c>
      <c r="AB29" s="110">
        <v>0.8</v>
      </c>
      <c r="AC29" s="110">
        <v>0.8</v>
      </c>
      <c r="AD29" s="110">
        <v>0.8</v>
      </c>
      <c r="AE29" s="110">
        <v>0.8</v>
      </c>
      <c r="AF29" s="110">
        <v>0.8</v>
      </c>
      <c r="AG29" s="110">
        <v>0.8</v>
      </c>
      <c r="AH29" s="110">
        <v>0.8</v>
      </c>
      <c r="AI29" s="110">
        <v>0</v>
      </c>
      <c r="AJ29" s="110">
        <v>0</v>
      </c>
    </row>
    <row r="30" spans="1:36" customFormat="1" x14ac:dyDescent="0.15">
      <c r="A30" s="186" t="s">
        <v>220</v>
      </c>
      <c r="B30" s="110">
        <v>0</v>
      </c>
      <c r="C30" s="110">
        <v>0</v>
      </c>
      <c r="D30" s="110">
        <v>0</v>
      </c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0.8</v>
      </c>
      <c r="S30" s="110">
        <v>0.8</v>
      </c>
      <c r="T30" s="110">
        <v>0</v>
      </c>
      <c r="U30" s="110">
        <v>0.8</v>
      </c>
      <c r="V30" s="110">
        <v>0</v>
      </c>
      <c r="W30" s="110">
        <v>0</v>
      </c>
      <c r="X30" s="110">
        <v>0</v>
      </c>
      <c r="Y30" s="110">
        <v>0</v>
      </c>
      <c r="Z30" s="110">
        <v>0</v>
      </c>
      <c r="AA30" s="110">
        <v>0</v>
      </c>
      <c r="AB30" s="110">
        <v>0.8</v>
      </c>
      <c r="AC30" s="110">
        <v>0.8</v>
      </c>
      <c r="AD30" s="110">
        <v>0.8</v>
      </c>
      <c r="AE30" s="110">
        <v>0.8</v>
      </c>
      <c r="AF30" s="110">
        <v>0.8</v>
      </c>
      <c r="AG30" s="110">
        <v>0.8</v>
      </c>
      <c r="AH30" s="110">
        <v>0.8</v>
      </c>
      <c r="AI30" s="110">
        <v>0</v>
      </c>
      <c r="AJ30" s="110">
        <v>0</v>
      </c>
    </row>
    <row r="31" spans="1:36" customFormat="1" x14ac:dyDescent="0.15">
      <c r="A31" s="186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0</v>
      </c>
      <c r="V31" s="110">
        <v>0</v>
      </c>
      <c r="W31" s="110">
        <v>0</v>
      </c>
      <c r="X31" s="110">
        <v>0</v>
      </c>
      <c r="Y31" s="110">
        <v>0</v>
      </c>
      <c r="Z31" s="110">
        <v>0</v>
      </c>
      <c r="AA31" s="110">
        <v>0</v>
      </c>
      <c r="AB31" s="110">
        <v>0.8</v>
      </c>
      <c r="AC31" s="110">
        <v>0</v>
      </c>
      <c r="AD31" s="110">
        <v>0</v>
      </c>
      <c r="AE31" s="110">
        <v>0.8</v>
      </c>
      <c r="AF31" s="110">
        <v>0.8</v>
      </c>
      <c r="AG31" s="110">
        <v>0</v>
      </c>
      <c r="AH31" s="110">
        <v>0.8</v>
      </c>
      <c r="AI31" s="110">
        <v>0</v>
      </c>
      <c r="AJ31" s="110">
        <v>0</v>
      </c>
    </row>
    <row r="32" spans="1:36" customFormat="1" x14ac:dyDescent="0.15">
      <c r="A32" s="186" t="s">
        <v>222</v>
      </c>
      <c r="B32" s="110">
        <v>0</v>
      </c>
      <c r="C32" s="110">
        <v>0</v>
      </c>
      <c r="D32" s="110">
        <v>0</v>
      </c>
      <c r="E32" s="110">
        <v>0</v>
      </c>
      <c r="F32" s="110">
        <v>0</v>
      </c>
      <c r="G32" s="110">
        <v>0</v>
      </c>
      <c r="H32" s="110">
        <v>0</v>
      </c>
      <c r="I32" s="110">
        <v>0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0</v>
      </c>
      <c r="T32" s="110">
        <v>0</v>
      </c>
      <c r="U32" s="110">
        <v>0</v>
      </c>
      <c r="V32" s="110">
        <v>0</v>
      </c>
      <c r="W32" s="110">
        <v>0</v>
      </c>
      <c r="X32" s="110">
        <v>0</v>
      </c>
      <c r="Y32" s="110">
        <v>0</v>
      </c>
      <c r="Z32" s="110">
        <v>0</v>
      </c>
      <c r="AA32" s="110">
        <v>0</v>
      </c>
      <c r="AB32" s="110">
        <v>0</v>
      </c>
      <c r="AC32" s="110">
        <v>0</v>
      </c>
      <c r="AD32" s="110">
        <v>0</v>
      </c>
      <c r="AE32" s="110">
        <v>0</v>
      </c>
      <c r="AF32" s="110">
        <v>0.8</v>
      </c>
      <c r="AG32" s="110">
        <v>0</v>
      </c>
      <c r="AH32" s="110">
        <v>0</v>
      </c>
      <c r="AI32" s="110">
        <v>0</v>
      </c>
      <c r="AJ32" s="110">
        <v>0</v>
      </c>
    </row>
    <row r="33" spans="1:36" x14ac:dyDescent="0.15">
      <c r="A33" s="186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0</v>
      </c>
      <c r="G33" s="110">
        <v>0</v>
      </c>
      <c r="H33" s="110">
        <v>0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0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0.8</v>
      </c>
      <c r="AH33" s="110">
        <v>0</v>
      </c>
      <c r="AI33" s="110">
        <v>0</v>
      </c>
      <c r="AJ33" s="110">
        <v>0</v>
      </c>
    </row>
    <row r="34" spans="1:36" x14ac:dyDescent="0.15">
      <c r="A34" s="186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0</v>
      </c>
    </row>
    <row r="35" spans="1:36" x14ac:dyDescent="0.15">
      <c r="A35" s="186" t="s">
        <v>225</v>
      </c>
      <c r="B35" s="110">
        <v>0</v>
      </c>
      <c r="C35" s="110">
        <v>0</v>
      </c>
      <c r="D35" s="110">
        <v>0.8</v>
      </c>
      <c r="E35" s="110">
        <v>0.8</v>
      </c>
      <c r="F35" s="110">
        <v>0.8</v>
      </c>
      <c r="G35" s="110">
        <v>0.8</v>
      </c>
      <c r="H35" s="110">
        <v>0</v>
      </c>
      <c r="I35" s="110">
        <v>0</v>
      </c>
      <c r="J35" s="110">
        <v>0</v>
      </c>
      <c r="K35" s="110">
        <v>0</v>
      </c>
      <c r="L35" s="110">
        <v>0.8</v>
      </c>
      <c r="M35" s="110">
        <v>0.8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0.8</v>
      </c>
      <c r="AA35" s="110">
        <v>0.8</v>
      </c>
      <c r="AB35" s="110">
        <v>0</v>
      </c>
      <c r="AC35" s="110">
        <v>0</v>
      </c>
      <c r="AD35" s="110">
        <v>0</v>
      </c>
      <c r="AE35" s="110">
        <v>0.8</v>
      </c>
      <c r="AF35" s="110">
        <v>0</v>
      </c>
      <c r="AG35" s="110">
        <v>0.8</v>
      </c>
      <c r="AH35" s="110">
        <v>0</v>
      </c>
      <c r="AI35" s="110">
        <v>0</v>
      </c>
      <c r="AJ35" s="110">
        <v>0</v>
      </c>
    </row>
    <row r="36" spans="1:36" x14ac:dyDescent="0.15">
      <c r="A36" s="186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</row>
    <row r="37" spans="1:36" x14ac:dyDescent="0.15">
      <c r="A37" s="186" t="s">
        <v>235</v>
      </c>
      <c r="B37" s="110">
        <v>0</v>
      </c>
      <c r="C37" s="110">
        <v>0</v>
      </c>
      <c r="D37" s="110">
        <v>0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0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0.8</v>
      </c>
      <c r="AH37" s="110">
        <v>0</v>
      </c>
      <c r="AI37" s="110">
        <v>0.8</v>
      </c>
      <c r="AJ37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1.6640625" style="110" bestFit="1" customWidth="1"/>
    <col min="2" max="36" width="2.33203125" style="110" customWidth="1"/>
    <col min="37" max="16384" width="10.83203125" style="110"/>
  </cols>
  <sheetData>
    <row r="1" spans="1:36" x14ac:dyDescent="0.15">
      <c r="A1" s="63" t="s">
        <v>139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</row>
    <row r="2" spans="1:36" customFormat="1" x14ac:dyDescent="0.15">
      <c r="A2" s="188" t="s">
        <v>192</v>
      </c>
      <c r="B2" s="110">
        <v>0</v>
      </c>
      <c r="C2" s="110">
        <v>1</v>
      </c>
      <c r="D2" s="110">
        <v>1</v>
      </c>
      <c r="E2" s="110">
        <v>0</v>
      </c>
      <c r="F2" s="110">
        <v>1</v>
      </c>
      <c r="G2" s="110">
        <v>1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1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1</v>
      </c>
      <c r="AA2" s="110">
        <v>1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</row>
    <row r="3" spans="1:36" customFormat="1" x14ac:dyDescent="0.15">
      <c r="A3" s="188" t="s">
        <v>193</v>
      </c>
      <c r="B3" s="110">
        <v>0</v>
      </c>
      <c r="C3" s="110">
        <v>1</v>
      </c>
      <c r="D3" s="110">
        <v>1</v>
      </c>
      <c r="E3" s="110">
        <v>0</v>
      </c>
      <c r="F3" s="110">
        <v>1</v>
      </c>
      <c r="G3" s="110">
        <v>1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1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</row>
    <row r="4" spans="1:36" customFormat="1" x14ac:dyDescent="0.15">
      <c r="A4" s="188" t="s">
        <v>194</v>
      </c>
      <c r="B4" s="110">
        <v>0</v>
      </c>
      <c r="C4" s="110">
        <v>0</v>
      </c>
      <c r="D4" s="110">
        <v>1</v>
      </c>
      <c r="E4" s="110">
        <v>0</v>
      </c>
      <c r="F4" s="110">
        <v>0</v>
      </c>
      <c r="G4" s="110">
        <v>1</v>
      </c>
      <c r="H4" s="110">
        <v>0</v>
      </c>
      <c r="I4" s="110">
        <v>1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1</v>
      </c>
      <c r="R4" s="110">
        <v>1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1</v>
      </c>
      <c r="Y4" s="110">
        <v>0</v>
      </c>
      <c r="Z4" s="110">
        <v>1</v>
      </c>
      <c r="AA4" s="110">
        <v>1</v>
      </c>
      <c r="AB4" s="110">
        <v>1</v>
      </c>
      <c r="AC4" s="110">
        <v>1</v>
      </c>
      <c r="AD4" s="110">
        <v>0</v>
      </c>
      <c r="AE4" s="110">
        <v>0</v>
      </c>
      <c r="AF4" s="110">
        <v>0</v>
      </c>
      <c r="AG4" s="110">
        <v>1</v>
      </c>
      <c r="AH4" s="110">
        <v>1</v>
      </c>
      <c r="AI4" s="110">
        <v>0</v>
      </c>
      <c r="AJ4" s="110">
        <v>0</v>
      </c>
    </row>
    <row r="5" spans="1:36" customFormat="1" x14ac:dyDescent="0.15">
      <c r="A5" s="188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1</v>
      </c>
      <c r="I5" s="110">
        <v>1</v>
      </c>
      <c r="J5" s="110">
        <v>1</v>
      </c>
      <c r="K5" s="110">
        <v>0</v>
      </c>
      <c r="L5" s="110">
        <v>0</v>
      </c>
      <c r="M5" s="110">
        <v>1</v>
      </c>
      <c r="N5" s="110">
        <v>0</v>
      </c>
      <c r="O5" s="110">
        <v>0</v>
      </c>
      <c r="P5" s="110">
        <v>0</v>
      </c>
      <c r="Q5" s="110">
        <v>0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0</v>
      </c>
      <c r="Y5" s="110">
        <v>0</v>
      </c>
      <c r="Z5" s="110">
        <v>0</v>
      </c>
      <c r="AA5" s="110">
        <v>0</v>
      </c>
      <c r="AB5" s="110">
        <v>1</v>
      </c>
      <c r="AC5" s="110">
        <v>1</v>
      </c>
      <c r="AD5" s="110">
        <v>1</v>
      </c>
      <c r="AE5" s="110">
        <v>1</v>
      </c>
      <c r="AF5" s="110">
        <v>0</v>
      </c>
      <c r="AG5" s="110">
        <v>1</v>
      </c>
      <c r="AH5" s="110">
        <v>0</v>
      </c>
      <c r="AI5" s="110">
        <v>0</v>
      </c>
      <c r="AJ5" s="110">
        <v>0</v>
      </c>
    </row>
    <row r="6" spans="1:36" customFormat="1" x14ac:dyDescent="0.15">
      <c r="A6" s="188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0</v>
      </c>
      <c r="H6" s="110">
        <v>0</v>
      </c>
      <c r="I6" s="110">
        <v>1</v>
      </c>
      <c r="J6" s="110">
        <v>1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1</v>
      </c>
      <c r="U6" s="110">
        <v>1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1</v>
      </c>
      <c r="AC6" s="110">
        <v>1</v>
      </c>
      <c r="AD6" s="110">
        <v>1</v>
      </c>
      <c r="AE6" s="110">
        <v>1</v>
      </c>
      <c r="AF6" s="110">
        <v>0</v>
      </c>
      <c r="AG6" s="110">
        <v>0</v>
      </c>
      <c r="AH6" s="110">
        <v>1</v>
      </c>
      <c r="AI6" s="110">
        <v>0</v>
      </c>
      <c r="AJ6" s="110">
        <v>0</v>
      </c>
    </row>
    <row r="7" spans="1:36" customFormat="1" x14ac:dyDescent="0.15">
      <c r="A7" s="188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1</v>
      </c>
      <c r="I7" s="110">
        <v>1</v>
      </c>
      <c r="J7" s="110">
        <v>1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1</v>
      </c>
      <c r="S7" s="110">
        <v>1</v>
      </c>
      <c r="T7" s="110">
        <v>1</v>
      </c>
      <c r="U7" s="110">
        <v>1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1</v>
      </c>
      <c r="AC7" s="110">
        <v>0</v>
      </c>
      <c r="AD7" s="110">
        <v>1</v>
      </c>
      <c r="AE7" s="110">
        <v>1</v>
      </c>
      <c r="AF7" s="110">
        <v>0</v>
      </c>
      <c r="AG7" s="110">
        <v>1</v>
      </c>
      <c r="AH7" s="110">
        <v>0</v>
      </c>
      <c r="AI7" s="110">
        <v>0</v>
      </c>
      <c r="AJ7" s="110">
        <v>0</v>
      </c>
    </row>
    <row r="8" spans="1:36" customFormat="1" x14ac:dyDescent="0.15">
      <c r="A8" s="188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0</v>
      </c>
      <c r="G8" s="110">
        <v>0</v>
      </c>
      <c r="H8" s="110">
        <v>0</v>
      </c>
      <c r="I8" s="110">
        <v>1</v>
      </c>
      <c r="J8" s="110">
        <v>1</v>
      </c>
      <c r="K8" s="110">
        <v>0</v>
      </c>
      <c r="L8" s="110">
        <v>0</v>
      </c>
      <c r="M8" s="110">
        <v>1</v>
      </c>
      <c r="N8" s="110">
        <v>0</v>
      </c>
      <c r="O8" s="110">
        <v>0</v>
      </c>
      <c r="P8" s="110">
        <v>0</v>
      </c>
      <c r="Q8" s="110">
        <v>0</v>
      </c>
      <c r="R8" s="110">
        <v>1</v>
      </c>
      <c r="S8" s="110">
        <v>1</v>
      </c>
      <c r="T8" s="110">
        <v>1</v>
      </c>
      <c r="U8" s="110">
        <v>1</v>
      </c>
      <c r="V8" s="110">
        <v>1</v>
      </c>
      <c r="W8" s="110">
        <v>1</v>
      </c>
      <c r="X8" s="110">
        <v>0</v>
      </c>
      <c r="Y8" s="110">
        <v>0</v>
      </c>
      <c r="Z8" s="110">
        <v>1</v>
      </c>
      <c r="AA8" s="110">
        <v>1</v>
      </c>
      <c r="AB8" s="110">
        <v>1</v>
      </c>
      <c r="AC8" s="110">
        <v>0</v>
      </c>
      <c r="AD8" s="110">
        <v>1</v>
      </c>
      <c r="AE8" s="110">
        <v>1</v>
      </c>
      <c r="AF8" s="110">
        <v>0</v>
      </c>
      <c r="AG8" s="110">
        <v>1</v>
      </c>
      <c r="AH8" s="110">
        <v>0</v>
      </c>
      <c r="AI8" s="110">
        <v>0</v>
      </c>
      <c r="AJ8" s="110">
        <v>0</v>
      </c>
    </row>
    <row r="9" spans="1:36" customFormat="1" x14ac:dyDescent="0.15">
      <c r="A9" s="188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1</v>
      </c>
      <c r="J9" s="110">
        <v>1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1</v>
      </c>
      <c r="S9" s="110">
        <v>1</v>
      </c>
      <c r="T9" s="110">
        <v>1</v>
      </c>
      <c r="U9" s="110">
        <v>1</v>
      </c>
      <c r="V9" s="110">
        <v>1</v>
      </c>
      <c r="W9" s="110">
        <v>1</v>
      </c>
      <c r="X9" s="110">
        <v>0</v>
      </c>
      <c r="Y9" s="110">
        <v>0</v>
      </c>
      <c r="Z9" s="110">
        <v>0</v>
      </c>
      <c r="AA9" s="110">
        <v>0</v>
      </c>
      <c r="AB9" s="110">
        <v>1</v>
      </c>
      <c r="AC9" s="110">
        <v>1</v>
      </c>
      <c r="AD9" s="110">
        <v>1</v>
      </c>
      <c r="AE9" s="110">
        <v>1</v>
      </c>
      <c r="AF9" s="110">
        <v>1</v>
      </c>
      <c r="AG9" s="110">
        <v>1</v>
      </c>
      <c r="AH9" s="110">
        <v>1</v>
      </c>
      <c r="AI9" s="110">
        <v>0</v>
      </c>
      <c r="AJ9" s="110">
        <v>0</v>
      </c>
    </row>
    <row r="10" spans="1:36" customFormat="1" x14ac:dyDescent="0.15">
      <c r="A10" s="188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1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1</v>
      </c>
      <c r="T10" s="110">
        <v>0</v>
      </c>
      <c r="U10" s="110">
        <v>1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1</v>
      </c>
      <c r="AC10" s="110">
        <v>1</v>
      </c>
      <c r="AD10" s="110">
        <v>0</v>
      </c>
      <c r="AE10" s="110">
        <v>1</v>
      </c>
      <c r="AF10" s="110">
        <v>1</v>
      </c>
      <c r="AG10" s="110">
        <v>0</v>
      </c>
      <c r="AH10" s="110">
        <v>0</v>
      </c>
      <c r="AI10" s="110">
        <v>0</v>
      </c>
      <c r="AJ10" s="110">
        <v>0</v>
      </c>
    </row>
    <row r="11" spans="1:36" customFormat="1" x14ac:dyDescent="0.15">
      <c r="A11" s="188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1</v>
      </c>
      <c r="J11" s="110">
        <v>1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1</v>
      </c>
      <c r="AC11" s="110">
        <v>0</v>
      </c>
      <c r="AD11" s="110">
        <v>1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</row>
    <row r="12" spans="1:36" customFormat="1" x14ac:dyDescent="0.15">
      <c r="A12" s="188" t="s">
        <v>202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1</v>
      </c>
      <c r="J12" s="110">
        <v>1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1</v>
      </c>
      <c r="AC12" s="110">
        <v>0</v>
      </c>
      <c r="AD12" s="110">
        <v>1</v>
      </c>
      <c r="AE12" s="110">
        <v>1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</row>
    <row r="13" spans="1:36" customFormat="1" x14ac:dyDescent="0.15">
      <c r="A13" s="188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1</v>
      </c>
      <c r="J13" s="110">
        <v>1</v>
      </c>
      <c r="K13" s="110">
        <v>0</v>
      </c>
      <c r="L13" s="110">
        <v>0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1</v>
      </c>
      <c r="S13" s="110">
        <v>1</v>
      </c>
      <c r="T13" s="110">
        <v>1</v>
      </c>
      <c r="U13" s="110">
        <v>1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1</v>
      </c>
      <c r="AC13" s="110">
        <v>1</v>
      </c>
      <c r="AD13" s="110">
        <v>1</v>
      </c>
      <c r="AE13" s="110">
        <v>1</v>
      </c>
      <c r="AF13" s="110">
        <v>0</v>
      </c>
      <c r="AG13" s="110">
        <v>1</v>
      </c>
      <c r="AH13" s="110">
        <v>1</v>
      </c>
      <c r="AI13" s="110">
        <v>0</v>
      </c>
      <c r="AJ13" s="110">
        <v>0</v>
      </c>
    </row>
    <row r="14" spans="1:36" customFormat="1" x14ac:dyDescent="0.15">
      <c r="A14" s="188" t="s">
        <v>204</v>
      </c>
      <c r="B14" s="110">
        <v>0</v>
      </c>
      <c r="C14" s="110">
        <v>0</v>
      </c>
      <c r="D14" s="110">
        <v>0</v>
      </c>
      <c r="E14" s="110">
        <v>1</v>
      </c>
      <c r="F14" s="110">
        <v>1</v>
      </c>
      <c r="G14" s="110">
        <v>1</v>
      </c>
      <c r="H14" s="110">
        <v>0</v>
      </c>
      <c r="I14" s="110">
        <v>0</v>
      </c>
      <c r="J14" s="110">
        <v>0</v>
      </c>
      <c r="K14" s="110">
        <v>1</v>
      </c>
      <c r="L14" s="110">
        <v>1</v>
      </c>
      <c r="M14" s="110">
        <v>1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1</v>
      </c>
      <c r="AA14" s="110">
        <v>1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</row>
    <row r="15" spans="1:36" customFormat="1" x14ac:dyDescent="0.15">
      <c r="A15" s="188" t="s">
        <v>205</v>
      </c>
      <c r="B15" s="110">
        <v>0</v>
      </c>
      <c r="C15" s="110">
        <v>0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1</v>
      </c>
      <c r="J15" s="110">
        <v>0</v>
      </c>
      <c r="K15" s="110">
        <v>1</v>
      </c>
      <c r="L15" s="110">
        <v>1</v>
      </c>
      <c r="M15" s="110">
        <v>0</v>
      </c>
      <c r="N15" s="110">
        <v>0</v>
      </c>
      <c r="O15" s="110">
        <v>0</v>
      </c>
      <c r="P15" s="110">
        <v>0</v>
      </c>
      <c r="Q15" s="110">
        <v>0</v>
      </c>
      <c r="R15" s="110">
        <v>0</v>
      </c>
      <c r="S15" s="110">
        <v>0</v>
      </c>
      <c r="T15" s="110">
        <v>1</v>
      </c>
      <c r="U15" s="110">
        <v>1</v>
      </c>
      <c r="V15" s="110">
        <v>0</v>
      </c>
      <c r="W15" s="110">
        <v>0</v>
      </c>
      <c r="X15" s="110">
        <v>0</v>
      </c>
      <c r="Y15" s="110">
        <v>0</v>
      </c>
      <c r="Z15" s="110">
        <v>1</v>
      </c>
      <c r="AA15" s="110">
        <v>1</v>
      </c>
      <c r="AB15" s="110">
        <v>1</v>
      </c>
      <c r="AC15" s="110">
        <v>0</v>
      </c>
      <c r="AD15" s="110">
        <v>0</v>
      </c>
      <c r="AE15" s="110">
        <v>1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</row>
    <row r="16" spans="1:36" customFormat="1" x14ac:dyDescent="0.15">
      <c r="A16" s="188" t="s">
        <v>206</v>
      </c>
      <c r="B16" s="110">
        <v>0</v>
      </c>
      <c r="C16" s="110">
        <v>0</v>
      </c>
      <c r="D16" s="110">
        <v>0</v>
      </c>
      <c r="E16" s="110">
        <v>1</v>
      </c>
      <c r="F16" s="110">
        <v>0</v>
      </c>
      <c r="G16" s="110">
        <v>0</v>
      </c>
      <c r="H16" s="110">
        <v>1</v>
      </c>
      <c r="I16" s="110">
        <v>1</v>
      </c>
      <c r="J16" s="110">
        <v>0</v>
      </c>
      <c r="K16" s="110">
        <v>1</v>
      </c>
      <c r="L16" s="110">
        <v>1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1</v>
      </c>
      <c r="U16" s="110">
        <v>1</v>
      </c>
      <c r="V16" s="110">
        <v>0</v>
      </c>
      <c r="W16" s="110">
        <v>0</v>
      </c>
      <c r="X16" s="110">
        <v>0</v>
      </c>
      <c r="Y16" s="110">
        <v>0</v>
      </c>
      <c r="Z16" s="110">
        <v>1</v>
      </c>
      <c r="AA16" s="110">
        <v>1</v>
      </c>
      <c r="AB16" s="110">
        <v>0</v>
      </c>
      <c r="AC16" s="110">
        <v>0</v>
      </c>
      <c r="AD16" s="110">
        <v>1</v>
      </c>
      <c r="AE16" s="110">
        <v>1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</row>
    <row r="17" spans="1:36" customFormat="1" x14ac:dyDescent="0.15">
      <c r="A17" s="188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1</v>
      </c>
      <c r="S17" s="110">
        <v>1</v>
      </c>
      <c r="T17" s="110">
        <v>1</v>
      </c>
      <c r="U17" s="110">
        <v>1</v>
      </c>
      <c r="V17" s="110">
        <v>0</v>
      </c>
      <c r="W17" s="110">
        <v>0</v>
      </c>
      <c r="X17" s="110">
        <v>1</v>
      </c>
      <c r="Y17" s="110">
        <v>1</v>
      </c>
      <c r="Z17" s="110">
        <v>0</v>
      </c>
      <c r="AA17" s="110">
        <v>0</v>
      </c>
      <c r="AB17" s="110">
        <v>0</v>
      </c>
      <c r="AC17" s="110">
        <v>1</v>
      </c>
      <c r="AD17" s="110">
        <v>1</v>
      </c>
      <c r="AE17" s="110">
        <v>1</v>
      </c>
      <c r="AF17" s="110">
        <v>1</v>
      </c>
      <c r="AG17" s="110">
        <v>1</v>
      </c>
      <c r="AH17" s="110">
        <v>1</v>
      </c>
      <c r="AI17" s="110">
        <v>0</v>
      </c>
      <c r="AJ17" s="110">
        <v>0</v>
      </c>
    </row>
    <row r="18" spans="1:36" customFormat="1" x14ac:dyDescent="0.15">
      <c r="A18" s="188" t="s">
        <v>208</v>
      </c>
      <c r="B18" s="110">
        <v>0</v>
      </c>
      <c r="C18" s="110">
        <v>0</v>
      </c>
      <c r="D18" s="110">
        <v>0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1</v>
      </c>
      <c r="S18" s="110">
        <v>1</v>
      </c>
      <c r="T18" s="110">
        <v>1</v>
      </c>
      <c r="U18" s="110">
        <v>1</v>
      </c>
      <c r="V18" s="110">
        <v>0</v>
      </c>
      <c r="W18" s="110">
        <v>0</v>
      </c>
      <c r="X18" s="110">
        <v>1</v>
      </c>
      <c r="Y18" s="110">
        <v>1</v>
      </c>
      <c r="Z18" s="110">
        <v>0</v>
      </c>
      <c r="AA18" s="110">
        <v>0</v>
      </c>
      <c r="AB18" s="110">
        <v>1</v>
      </c>
      <c r="AC18" s="110">
        <v>1</v>
      </c>
      <c r="AD18" s="110">
        <v>1</v>
      </c>
      <c r="AE18" s="110">
        <v>1</v>
      </c>
      <c r="AF18" s="110">
        <v>1</v>
      </c>
      <c r="AG18" s="110">
        <v>0</v>
      </c>
      <c r="AH18" s="110">
        <v>1</v>
      </c>
      <c r="AI18" s="110">
        <v>0</v>
      </c>
      <c r="AJ18" s="110">
        <v>0</v>
      </c>
    </row>
    <row r="19" spans="1:36" customFormat="1" x14ac:dyDescent="0.15">
      <c r="A19" s="188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1</v>
      </c>
      <c r="T19" s="110">
        <v>0</v>
      </c>
      <c r="U19" s="110">
        <v>1</v>
      </c>
      <c r="V19" s="110">
        <v>0</v>
      </c>
      <c r="W19" s="110">
        <v>0</v>
      </c>
      <c r="X19" s="110">
        <v>0</v>
      </c>
      <c r="Y19" s="110">
        <v>1</v>
      </c>
      <c r="Z19" s="110">
        <v>0</v>
      </c>
      <c r="AA19" s="110">
        <v>0</v>
      </c>
      <c r="AB19" s="110">
        <v>1</v>
      </c>
      <c r="AC19" s="110">
        <v>1</v>
      </c>
      <c r="AD19" s="110">
        <v>1</v>
      </c>
      <c r="AE19" s="110">
        <v>1</v>
      </c>
      <c r="AF19" s="110">
        <v>1</v>
      </c>
      <c r="AG19" s="110">
        <v>0</v>
      </c>
      <c r="AH19" s="110">
        <v>1</v>
      </c>
      <c r="AI19" s="110">
        <v>0</v>
      </c>
      <c r="AJ19" s="110">
        <v>0</v>
      </c>
    </row>
    <row r="20" spans="1:36" customFormat="1" x14ac:dyDescent="0.15">
      <c r="A20" s="188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1</v>
      </c>
      <c r="S20" s="110">
        <v>1</v>
      </c>
      <c r="T20" s="110">
        <v>1</v>
      </c>
      <c r="U20" s="110">
        <v>1</v>
      </c>
      <c r="V20" s="110">
        <v>0</v>
      </c>
      <c r="W20" s="110">
        <v>0</v>
      </c>
      <c r="X20" s="110">
        <v>1</v>
      </c>
      <c r="Y20" s="110">
        <v>1</v>
      </c>
      <c r="Z20" s="110">
        <v>0</v>
      </c>
      <c r="AA20" s="110">
        <v>0</v>
      </c>
      <c r="AB20" s="110">
        <v>1</v>
      </c>
      <c r="AC20" s="110">
        <v>1</v>
      </c>
      <c r="AD20" s="110">
        <v>1</v>
      </c>
      <c r="AE20" s="110">
        <v>1</v>
      </c>
      <c r="AF20" s="110">
        <v>1</v>
      </c>
      <c r="AG20" s="110">
        <v>0</v>
      </c>
      <c r="AH20" s="110">
        <v>1</v>
      </c>
      <c r="AI20" s="110">
        <v>0</v>
      </c>
      <c r="AJ20" s="110">
        <v>0</v>
      </c>
    </row>
    <row r="21" spans="1:36" customFormat="1" x14ac:dyDescent="0.15">
      <c r="A21" s="188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1</v>
      </c>
      <c r="T21" s="110">
        <v>0</v>
      </c>
      <c r="U21" s="110">
        <v>1</v>
      </c>
      <c r="V21" s="110">
        <v>0</v>
      </c>
      <c r="W21" s="110">
        <v>0</v>
      </c>
      <c r="X21" s="110">
        <v>0</v>
      </c>
      <c r="Y21" s="110">
        <v>1</v>
      </c>
      <c r="Z21" s="110">
        <v>0</v>
      </c>
      <c r="AA21" s="110">
        <v>0</v>
      </c>
      <c r="AB21" s="110">
        <v>1</v>
      </c>
      <c r="AC21" s="110">
        <v>1</v>
      </c>
      <c r="AD21" s="110">
        <v>1</v>
      </c>
      <c r="AE21" s="110">
        <v>1</v>
      </c>
      <c r="AF21" s="110">
        <v>1</v>
      </c>
      <c r="AG21" s="110">
        <v>0</v>
      </c>
      <c r="AH21" s="110">
        <v>1</v>
      </c>
      <c r="AI21" s="110">
        <v>0</v>
      </c>
      <c r="AJ21" s="110">
        <v>0</v>
      </c>
    </row>
    <row r="22" spans="1:36" customFormat="1" x14ac:dyDescent="0.15">
      <c r="A22" s="188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1</v>
      </c>
      <c r="S22" s="110">
        <v>1</v>
      </c>
      <c r="T22" s="110">
        <v>0</v>
      </c>
      <c r="U22" s="110">
        <v>1</v>
      </c>
      <c r="V22" s="110">
        <v>0</v>
      </c>
      <c r="W22" s="110">
        <v>0</v>
      </c>
      <c r="X22" s="110">
        <v>1</v>
      </c>
      <c r="Y22" s="110">
        <v>1</v>
      </c>
      <c r="Z22" s="110">
        <v>0</v>
      </c>
      <c r="AA22" s="110">
        <v>0</v>
      </c>
      <c r="AB22" s="110">
        <v>1</v>
      </c>
      <c r="AC22" s="110">
        <v>1</v>
      </c>
      <c r="AD22" s="110">
        <v>1</v>
      </c>
      <c r="AE22" s="110">
        <v>1</v>
      </c>
      <c r="AF22" s="110">
        <v>1</v>
      </c>
      <c r="AG22" s="110">
        <v>1</v>
      </c>
      <c r="AH22" s="110">
        <v>1</v>
      </c>
      <c r="AI22" s="110">
        <v>0</v>
      </c>
      <c r="AJ22" s="110">
        <v>0</v>
      </c>
    </row>
    <row r="23" spans="1:36" customFormat="1" x14ac:dyDescent="0.15">
      <c r="A23" s="188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1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1</v>
      </c>
      <c r="Z23" s="110">
        <v>0</v>
      </c>
      <c r="AA23" s="110">
        <v>0</v>
      </c>
      <c r="AB23" s="110">
        <v>1</v>
      </c>
      <c r="AC23" s="110">
        <v>1</v>
      </c>
      <c r="AD23" s="110">
        <v>1</v>
      </c>
      <c r="AE23" s="110">
        <v>0</v>
      </c>
      <c r="AF23" s="110">
        <v>1</v>
      </c>
      <c r="AG23" s="110">
        <v>1</v>
      </c>
      <c r="AH23" s="110">
        <v>1</v>
      </c>
      <c r="AI23" s="110">
        <v>0</v>
      </c>
      <c r="AJ23" s="110">
        <v>0</v>
      </c>
    </row>
    <row r="24" spans="1:36" customFormat="1" x14ac:dyDescent="0.15">
      <c r="A24" s="188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1</v>
      </c>
      <c r="S24" s="110">
        <v>1</v>
      </c>
      <c r="T24" s="110">
        <v>0</v>
      </c>
      <c r="U24" s="110">
        <v>0</v>
      </c>
      <c r="V24" s="110">
        <v>0</v>
      </c>
      <c r="W24" s="110">
        <v>0</v>
      </c>
      <c r="X24" s="110">
        <v>1</v>
      </c>
      <c r="Y24" s="110">
        <v>1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1</v>
      </c>
      <c r="AF24" s="110">
        <v>1</v>
      </c>
      <c r="AG24" s="110">
        <v>1</v>
      </c>
      <c r="AH24" s="110">
        <v>1</v>
      </c>
      <c r="AI24" s="110">
        <v>0</v>
      </c>
      <c r="AJ24" s="110">
        <v>0</v>
      </c>
    </row>
    <row r="25" spans="1:36" customFormat="1" x14ac:dyDescent="0.15">
      <c r="A25" s="188" t="s">
        <v>215</v>
      </c>
      <c r="B25" s="110">
        <v>0</v>
      </c>
      <c r="C25" s="110">
        <v>0</v>
      </c>
      <c r="D25" s="110">
        <v>0</v>
      </c>
      <c r="E25" s="110">
        <v>0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1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1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1</v>
      </c>
      <c r="AF25" s="110">
        <v>1</v>
      </c>
      <c r="AG25" s="110">
        <v>0</v>
      </c>
      <c r="AH25" s="110">
        <v>1</v>
      </c>
      <c r="AI25" s="110">
        <v>0</v>
      </c>
      <c r="AJ25" s="110">
        <v>0</v>
      </c>
    </row>
    <row r="26" spans="1:36" customFormat="1" x14ac:dyDescent="0.15">
      <c r="A26" s="188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1</v>
      </c>
      <c r="S26" s="110">
        <v>1</v>
      </c>
      <c r="T26" s="110">
        <v>1</v>
      </c>
      <c r="U26" s="110">
        <v>1</v>
      </c>
      <c r="V26" s="110">
        <v>0</v>
      </c>
      <c r="W26" s="110">
        <v>0</v>
      </c>
      <c r="X26" s="110">
        <v>1</v>
      </c>
      <c r="Y26" s="110">
        <v>1</v>
      </c>
      <c r="Z26" s="110">
        <v>0</v>
      </c>
      <c r="AA26" s="110">
        <v>0</v>
      </c>
      <c r="AB26" s="110">
        <v>1</v>
      </c>
      <c r="AC26" s="110">
        <v>1</v>
      </c>
      <c r="AD26" s="110">
        <v>0</v>
      </c>
      <c r="AE26" s="110">
        <v>1</v>
      </c>
      <c r="AF26" s="110">
        <v>1</v>
      </c>
      <c r="AG26" s="110">
        <v>0</v>
      </c>
      <c r="AH26" s="110">
        <v>1</v>
      </c>
      <c r="AI26" s="110">
        <v>0</v>
      </c>
      <c r="AJ26" s="110">
        <v>0</v>
      </c>
    </row>
    <row r="27" spans="1:36" customFormat="1" x14ac:dyDescent="0.15">
      <c r="A27" s="188" t="s">
        <v>217</v>
      </c>
      <c r="B27" s="110">
        <v>0</v>
      </c>
      <c r="C27" s="110">
        <v>0</v>
      </c>
      <c r="D27" s="110">
        <v>0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110">
        <v>0</v>
      </c>
      <c r="R27" s="110">
        <v>0</v>
      </c>
      <c r="S27" s="110">
        <v>1</v>
      </c>
      <c r="T27" s="110">
        <v>0</v>
      </c>
      <c r="U27" s="110">
        <v>1</v>
      </c>
      <c r="V27" s="110">
        <v>0</v>
      </c>
      <c r="W27" s="110">
        <v>0</v>
      </c>
      <c r="X27" s="110">
        <v>0</v>
      </c>
      <c r="Y27" s="110">
        <v>1</v>
      </c>
      <c r="Z27" s="110">
        <v>0</v>
      </c>
      <c r="AA27" s="110">
        <v>0</v>
      </c>
      <c r="AB27" s="110">
        <v>1</v>
      </c>
      <c r="AC27" s="110">
        <v>1</v>
      </c>
      <c r="AD27" s="110">
        <v>0</v>
      </c>
      <c r="AE27" s="110">
        <v>1</v>
      </c>
      <c r="AF27" s="110">
        <v>1</v>
      </c>
      <c r="AG27" s="110">
        <v>0</v>
      </c>
      <c r="AH27" s="110">
        <v>1</v>
      </c>
      <c r="AI27" s="110">
        <v>0</v>
      </c>
      <c r="AJ27" s="110">
        <v>0</v>
      </c>
    </row>
    <row r="28" spans="1:36" customFormat="1" x14ac:dyDescent="0.15">
      <c r="A28" s="188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1</v>
      </c>
      <c r="S28" s="110">
        <v>1</v>
      </c>
      <c r="T28" s="110">
        <v>1</v>
      </c>
      <c r="U28" s="110">
        <v>1</v>
      </c>
      <c r="V28" s="110">
        <v>0</v>
      </c>
      <c r="W28" s="110">
        <v>0</v>
      </c>
      <c r="X28" s="110">
        <v>1</v>
      </c>
      <c r="Y28" s="110">
        <v>1</v>
      </c>
      <c r="Z28" s="110">
        <v>0</v>
      </c>
      <c r="AA28" s="110">
        <v>0</v>
      </c>
      <c r="AB28" s="110">
        <v>1</v>
      </c>
      <c r="AC28" s="110">
        <v>1</v>
      </c>
      <c r="AD28" s="110">
        <v>1</v>
      </c>
      <c r="AE28" s="110">
        <v>1</v>
      </c>
      <c r="AF28" s="110">
        <v>1</v>
      </c>
      <c r="AG28" s="110">
        <v>1</v>
      </c>
      <c r="AH28" s="110">
        <v>1</v>
      </c>
      <c r="AI28" s="110">
        <v>0</v>
      </c>
      <c r="AJ28" s="110">
        <v>0</v>
      </c>
    </row>
    <row r="29" spans="1:36" customFormat="1" x14ac:dyDescent="0.15">
      <c r="A29" s="188" t="s">
        <v>219</v>
      </c>
      <c r="B29" s="110">
        <v>0</v>
      </c>
      <c r="C29" s="110">
        <v>0</v>
      </c>
      <c r="D29" s="110">
        <v>0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1</v>
      </c>
      <c r="T29" s="110">
        <v>1</v>
      </c>
      <c r="U29" s="110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0</v>
      </c>
      <c r="AA29" s="110">
        <v>0</v>
      </c>
      <c r="AB29" s="110">
        <v>1</v>
      </c>
      <c r="AC29" s="110">
        <v>1</v>
      </c>
      <c r="AD29" s="110">
        <v>1</v>
      </c>
      <c r="AE29" s="110">
        <v>1</v>
      </c>
      <c r="AF29" s="110">
        <v>1</v>
      </c>
      <c r="AG29" s="110">
        <v>1</v>
      </c>
      <c r="AH29" s="110">
        <v>1</v>
      </c>
      <c r="AI29" s="110">
        <v>0</v>
      </c>
      <c r="AJ29" s="110">
        <v>0</v>
      </c>
    </row>
    <row r="30" spans="1:36" customFormat="1" x14ac:dyDescent="0.15">
      <c r="A30" s="188" t="s">
        <v>220</v>
      </c>
      <c r="B30" s="110">
        <v>0</v>
      </c>
      <c r="C30" s="110">
        <v>0</v>
      </c>
      <c r="D30" s="110">
        <v>0</v>
      </c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1</v>
      </c>
      <c r="S30" s="110">
        <v>1</v>
      </c>
      <c r="T30" s="110">
        <v>0</v>
      </c>
      <c r="U30" s="110">
        <v>1</v>
      </c>
      <c r="V30" s="110">
        <v>0</v>
      </c>
      <c r="W30" s="110">
        <v>0</v>
      </c>
      <c r="X30" s="110">
        <v>0</v>
      </c>
      <c r="Y30" s="110">
        <v>0</v>
      </c>
      <c r="Z30" s="110">
        <v>0</v>
      </c>
      <c r="AA30" s="110">
        <v>0</v>
      </c>
      <c r="AB30" s="110">
        <v>1</v>
      </c>
      <c r="AC30" s="110">
        <v>1</v>
      </c>
      <c r="AD30" s="110">
        <v>1</v>
      </c>
      <c r="AE30" s="110">
        <v>1</v>
      </c>
      <c r="AF30" s="110">
        <v>1</v>
      </c>
      <c r="AG30" s="110">
        <v>1</v>
      </c>
      <c r="AH30" s="110">
        <v>1</v>
      </c>
      <c r="AI30" s="110">
        <v>0</v>
      </c>
      <c r="AJ30" s="110">
        <v>0</v>
      </c>
    </row>
    <row r="31" spans="1:36" customFormat="1" x14ac:dyDescent="0.15">
      <c r="A31" s="188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0</v>
      </c>
      <c r="V31" s="110">
        <v>0</v>
      </c>
      <c r="W31" s="110">
        <v>0</v>
      </c>
      <c r="X31" s="110">
        <v>0</v>
      </c>
      <c r="Y31" s="110">
        <v>0</v>
      </c>
      <c r="Z31" s="110">
        <v>0</v>
      </c>
      <c r="AA31" s="110">
        <v>0</v>
      </c>
      <c r="AB31" s="110">
        <v>1</v>
      </c>
      <c r="AC31" s="110">
        <v>0</v>
      </c>
      <c r="AD31" s="110">
        <v>0</v>
      </c>
      <c r="AE31" s="110">
        <v>1</v>
      </c>
      <c r="AF31" s="110">
        <v>1</v>
      </c>
      <c r="AG31" s="110">
        <v>0</v>
      </c>
      <c r="AH31" s="110">
        <v>1</v>
      </c>
      <c r="AI31" s="110">
        <v>0</v>
      </c>
      <c r="AJ31" s="110">
        <v>0</v>
      </c>
    </row>
    <row r="32" spans="1:36" x14ac:dyDescent="0.15">
      <c r="A32" s="188" t="s">
        <v>222</v>
      </c>
      <c r="B32" s="110">
        <v>0</v>
      </c>
      <c r="C32" s="110">
        <v>0</v>
      </c>
      <c r="D32" s="110">
        <v>0</v>
      </c>
      <c r="E32" s="110">
        <v>0</v>
      </c>
      <c r="F32" s="110">
        <v>0</v>
      </c>
      <c r="G32" s="110">
        <v>0</v>
      </c>
      <c r="H32" s="110">
        <v>0</v>
      </c>
      <c r="I32" s="110">
        <v>0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0</v>
      </c>
      <c r="T32" s="110">
        <v>0</v>
      </c>
      <c r="U32" s="110">
        <v>0</v>
      </c>
      <c r="V32" s="110">
        <v>0</v>
      </c>
      <c r="W32" s="110">
        <v>0</v>
      </c>
      <c r="X32" s="110">
        <v>0</v>
      </c>
      <c r="Y32" s="110">
        <v>0</v>
      </c>
      <c r="Z32" s="110">
        <v>0</v>
      </c>
      <c r="AA32" s="110">
        <v>0</v>
      </c>
      <c r="AB32" s="110">
        <v>0</v>
      </c>
      <c r="AC32" s="110">
        <v>0</v>
      </c>
      <c r="AD32" s="110">
        <v>0</v>
      </c>
      <c r="AE32" s="110">
        <v>0</v>
      </c>
      <c r="AF32" s="110">
        <v>1</v>
      </c>
      <c r="AG32" s="110">
        <v>0</v>
      </c>
      <c r="AH32" s="110">
        <v>0</v>
      </c>
      <c r="AI32" s="110">
        <v>0</v>
      </c>
      <c r="AJ32" s="110">
        <v>0</v>
      </c>
    </row>
    <row r="33" spans="1:36" x14ac:dyDescent="0.15">
      <c r="A33" s="188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0</v>
      </c>
      <c r="G33" s="110">
        <v>0</v>
      </c>
      <c r="H33" s="110">
        <v>0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0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1</v>
      </c>
      <c r="AH33" s="110">
        <v>0</v>
      </c>
      <c r="AI33" s="110">
        <v>0</v>
      </c>
      <c r="AJ33" s="110">
        <v>0</v>
      </c>
    </row>
    <row r="34" spans="1:36" x14ac:dyDescent="0.15">
      <c r="A34" s="188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0</v>
      </c>
    </row>
    <row r="35" spans="1:36" x14ac:dyDescent="0.15">
      <c r="A35" s="188" t="s">
        <v>225</v>
      </c>
      <c r="B35" s="110">
        <v>0</v>
      </c>
      <c r="C35" s="110">
        <v>0</v>
      </c>
      <c r="D35" s="110">
        <v>1</v>
      </c>
      <c r="E35" s="110">
        <v>1</v>
      </c>
      <c r="F35" s="110">
        <v>1</v>
      </c>
      <c r="G35" s="110">
        <v>1</v>
      </c>
      <c r="H35" s="110">
        <v>0</v>
      </c>
      <c r="I35" s="110">
        <v>0</v>
      </c>
      <c r="J35" s="110">
        <v>0</v>
      </c>
      <c r="K35" s="110">
        <v>0</v>
      </c>
      <c r="L35" s="110">
        <v>1</v>
      </c>
      <c r="M35" s="110">
        <v>1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1</v>
      </c>
      <c r="AA35" s="110">
        <v>1</v>
      </c>
      <c r="AB35" s="110">
        <v>0</v>
      </c>
      <c r="AC35" s="110">
        <v>0</v>
      </c>
      <c r="AD35" s="110">
        <v>0</v>
      </c>
      <c r="AE35" s="110">
        <v>1</v>
      </c>
      <c r="AF35" s="110">
        <v>0</v>
      </c>
      <c r="AG35" s="110">
        <v>1</v>
      </c>
      <c r="AH35" s="110">
        <v>0</v>
      </c>
      <c r="AI35" s="110">
        <v>0</v>
      </c>
      <c r="AJ35" s="110">
        <v>0</v>
      </c>
    </row>
    <row r="36" spans="1:36" x14ac:dyDescent="0.15">
      <c r="A36" s="188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</row>
    <row r="37" spans="1:36" x14ac:dyDescent="0.15">
      <c r="A37" s="188" t="s">
        <v>235</v>
      </c>
      <c r="B37" s="110">
        <v>0</v>
      </c>
      <c r="C37" s="110">
        <v>0</v>
      </c>
      <c r="D37" s="110">
        <v>0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0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1</v>
      </c>
      <c r="AH37" s="110">
        <v>0</v>
      </c>
      <c r="AI37" s="110">
        <v>1</v>
      </c>
      <c r="AJ37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91" t="s">
        <v>227</v>
      </c>
      <c r="D1" s="191" t="s">
        <v>228</v>
      </c>
      <c r="E1" s="191" t="s">
        <v>229</v>
      </c>
      <c r="F1" s="191" t="s">
        <v>230</v>
      </c>
      <c r="G1" s="191" t="s">
        <v>231</v>
      </c>
      <c r="H1" s="191" t="s">
        <v>232</v>
      </c>
      <c r="I1" s="191" t="s">
        <v>233</v>
      </c>
      <c r="J1" s="191" t="s">
        <v>234</v>
      </c>
    </row>
    <row r="2" spans="1:10" x14ac:dyDescent="0.15">
      <c r="A2">
        <v>1</v>
      </c>
      <c r="B2" s="19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0" t="s">
        <v>196</v>
      </c>
      <c r="C6">
        <v>0</v>
      </c>
      <c r="D6">
        <v>0.8</v>
      </c>
      <c r="E6">
        <v>0</v>
      </c>
      <c r="F6">
        <v>0</v>
      </c>
      <c r="G6">
        <v>0</v>
      </c>
      <c r="H6">
        <v>0</v>
      </c>
      <c r="I6">
        <v>0.8</v>
      </c>
      <c r="J6">
        <v>0</v>
      </c>
    </row>
    <row r="7" spans="1:10" x14ac:dyDescent="0.15">
      <c r="A7">
        <v>6</v>
      </c>
      <c r="B7" s="190" t="s">
        <v>197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90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90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</row>
    <row r="10" spans="1:10" x14ac:dyDescent="0.15">
      <c r="A10">
        <v>9</v>
      </c>
      <c r="B10" s="19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0.8</v>
      </c>
    </row>
    <row r="11" spans="1:10" x14ac:dyDescent="0.15">
      <c r="A11">
        <v>10</v>
      </c>
      <c r="B11" s="19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</row>
    <row r="12" spans="1:10" x14ac:dyDescent="0.15">
      <c r="A12">
        <v>11</v>
      </c>
      <c r="B12" s="190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0.8</v>
      </c>
      <c r="I12">
        <v>0</v>
      </c>
      <c r="J12">
        <v>0</v>
      </c>
    </row>
    <row r="13" spans="1:10" x14ac:dyDescent="0.15">
      <c r="A13">
        <v>12</v>
      </c>
      <c r="B13" s="19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9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90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0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90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0.8</v>
      </c>
      <c r="G18">
        <v>0.8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90" t="s">
        <v>209</v>
      </c>
      <c r="C19">
        <v>0</v>
      </c>
      <c r="D19">
        <v>0</v>
      </c>
      <c r="E19">
        <v>0.8</v>
      </c>
      <c r="F19">
        <v>0.8</v>
      </c>
      <c r="G19">
        <v>0.8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90" t="s">
        <v>211</v>
      </c>
      <c r="C21">
        <v>0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90" t="s">
        <v>212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90" t="s">
        <v>213</v>
      </c>
      <c r="C23">
        <v>0</v>
      </c>
      <c r="D23">
        <v>0</v>
      </c>
      <c r="E23">
        <v>0.8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9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90" t="s">
        <v>215</v>
      </c>
      <c r="C25">
        <v>0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9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90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90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90" t="s">
        <v>219</v>
      </c>
      <c r="C29">
        <v>0</v>
      </c>
      <c r="D29">
        <v>0</v>
      </c>
      <c r="E29">
        <v>0.8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15">
      <c r="A30">
        <v>29</v>
      </c>
      <c r="B30" s="190" t="s">
        <v>220</v>
      </c>
      <c r="C30">
        <v>0</v>
      </c>
      <c r="D30">
        <v>0</v>
      </c>
      <c r="E30">
        <v>0.8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90" t="s">
        <v>222</v>
      </c>
      <c r="C32">
        <v>0</v>
      </c>
      <c r="D32">
        <v>0</v>
      </c>
      <c r="E32">
        <v>0</v>
      </c>
      <c r="F32">
        <v>0.8</v>
      </c>
      <c r="G32">
        <v>0.8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0.8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3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93" t="s">
        <v>227</v>
      </c>
      <c r="D1" s="193" t="s">
        <v>228</v>
      </c>
      <c r="E1" s="193" t="s">
        <v>229</v>
      </c>
      <c r="F1" s="193" t="s">
        <v>230</v>
      </c>
      <c r="G1" s="193" t="s">
        <v>231</v>
      </c>
      <c r="H1" s="193" t="s">
        <v>232</v>
      </c>
      <c r="I1" s="193" t="s">
        <v>233</v>
      </c>
      <c r="J1" s="193" t="s">
        <v>234</v>
      </c>
    </row>
    <row r="2" spans="1:10" x14ac:dyDescent="0.15">
      <c r="A2">
        <v>1</v>
      </c>
      <c r="B2" s="19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2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2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2" t="s">
        <v>196</v>
      </c>
      <c r="C6">
        <v>0</v>
      </c>
      <c r="D6">
        <v>0.8</v>
      </c>
      <c r="E6">
        <v>0</v>
      </c>
      <c r="F6">
        <v>0</v>
      </c>
      <c r="G6">
        <v>0</v>
      </c>
      <c r="H6">
        <v>0</v>
      </c>
      <c r="I6">
        <v>0.8</v>
      </c>
      <c r="J6">
        <v>0</v>
      </c>
    </row>
    <row r="7" spans="1:10" x14ac:dyDescent="0.15">
      <c r="A7">
        <v>6</v>
      </c>
      <c r="B7" s="192" t="s">
        <v>197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92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92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</row>
    <row r="10" spans="1:10" x14ac:dyDescent="0.15">
      <c r="A10">
        <v>9</v>
      </c>
      <c r="B10" s="192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0.8</v>
      </c>
    </row>
    <row r="11" spans="1:10" x14ac:dyDescent="0.15">
      <c r="A11">
        <v>10</v>
      </c>
      <c r="B11" s="192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</row>
    <row r="12" spans="1:10" x14ac:dyDescent="0.15">
      <c r="A12">
        <v>11</v>
      </c>
      <c r="B12" s="19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0.8</v>
      </c>
      <c r="I12">
        <v>0</v>
      </c>
      <c r="J12">
        <v>0</v>
      </c>
    </row>
    <row r="13" spans="1:10" x14ac:dyDescent="0.15">
      <c r="A13">
        <v>12</v>
      </c>
      <c r="B13" s="19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92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92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2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92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92" t="s">
        <v>208</v>
      </c>
      <c r="C18">
        <v>0</v>
      </c>
      <c r="D18">
        <v>0</v>
      </c>
      <c r="E18">
        <v>0</v>
      </c>
      <c r="F18">
        <v>0.8</v>
      </c>
      <c r="G18">
        <v>0.8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92" t="s">
        <v>209</v>
      </c>
      <c r="C19">
        <v>0</v>
      </c>
      <c r="D19">
        <v>0</v>
      </c>
      <c r="E19">
        <v>0.8</v>
      </c>
      <c r="F19">
        <v>0.8</v>
      </c>
      <c r="G19">
        <v>0.8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92" t="s">
        <v>210</v>
      </c>
      <c r="C20">
        <v>0</v>
      </c>
      <c r="D20">
        <v>0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92" t="s">
        <v>211</v>
      </c>
      <c r="C21">
        <v>0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92" t="s">
        <v>212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92" t="s">
        <v>213</v>
      </c>
      <c r="C23">
        <v>0</v>
      </c>
      <c r="D23">
        <v>0</v>
      </c>
      <c r="E23">
        <v>0.8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92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92" t="s">
        <v>215</v>
      </c>
      <c r="C25">
        <v>0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9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92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92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92" t="s">
        <v>219</v>
      </c>
      <c r="C29">
        <v>0</v>
      </c>
      <c r="D29">
        <v>0</v>
      </c>
      <c r="E29">
        <v>0.8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15">
      <c r="A30">
        <v>29</v>
      </c>
      <c r="B30" s="192" t="s">
        <v>220</v>
      </c>
      <c r="C30">
        <v>0</v>
      </c>
      <c r="D30">
        <v>0</v>
      </c>
      <c r="E30">
        <v>0.8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92" t="s">
        <v>222</v>
      </c>
      <c r="C32">
        <v>0</v>
      </c>
      <c r="D32">
        <v>0</v>
      </c>
      <c r="E32">
        <v>0</v>
      </c>
      <c r="F32">
        <v>0.8</v>
      </c>
      <c r="G32">
        <v>0.8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2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92" t="s">
        <v>224</v>
      </c>
      <c r="C34">
        <v>0</v>
      </c>
      <c r="D34">
        <v>0</v>
      </c>
      <c r="E34">
        <v>0</v>
      </c>
      <c r="F34">
        <v>0</v>
      </c>
      <c r="G34">
        <v>0.8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9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9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10" sqref="L10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8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192</v>
      </c>
      <c r="C2" s="8">
        <v>1</v>
      </c>
      <c r="D2" s="9">
        <v>7.6165800094604492</v>
      </c>
      <c r="E2" s="9">
        <v>250</v>
      </c>
      <c r="F2" s="10"/>
      <c r="G2" s="9">
        <v>0.68401086330413818</v>
      </c>
      <c r="H2" s="10"/>
      <c r="I2">
        <v>0</v>
      </c>
      <c r="J2"/>
    </row>
    <row r="3" spans="1:10" ht="15" customHeight="1" x14ac:dyDescent="0.15">
      <c r="A3" s="146">
        <v>2</v>
      </c>
      <c r="B3" s="146" t="s">
        <v>193</v>
      </c>
      <c r="C3" s="8">
        <v>2.1111111640930176</v>
      </c>
      <c r="D3" s="9">
        <v>6.4766840934753418</v>
      </c>
      <c r="E3" s="9">
        <v>36.799999237060547</v>
      </c>
      <c r="F3" s="9">
        <v>74.725997924804688</v>
      </c>
      <c r="G3" s="9">
        <v>0.7964470386505127</v>
      </c>
      <c r="H3" s="9">
        <v>0.49246582388877869</v>
      </c>
      <c r="I3">
        <v>0</v>
      </c>
      <c r="J3"/>
    </row>
    <row r="4" spans="1:10" ht="15" customHeight="1" x14ac:dyDescent="0.15">
      <c r="A4" s="147">
        <v>3</v>
      </c>
      <c r="B4" s="147" t="s">
        <v>194</v>
      </c>
      <c r="C4" s="8">
        <v>2.3285026550292969</v>
      </c>
      <c r="D4" s="9">
        <v>9.9740934371948242</v>
      </c>
      <c r="E4" s="9">
        <v>23.799999237060547</v>
      </c>
      <c r="F4" s="9">
        <v>48.261001586914062</v>
      </c>
      <c r="G4" s="9">
        <v>0.58078926801681519</v>
      </c>
      <c r="H4" s="9">
        <v>0.49315178394317627</v>
      </c>
      <c r="I4">
        <v>0</v>
      </c>
      <c r="J4"/>
    </row>
    <row r="5" spans="1:10" ht="15" customHeight="1" x14ac:dyDescent="0.15">
      <c r="A5" s="148">
        <v>4</v>
      </c>
      <c r="B5" s="148" t="s">
        <v>195</v>
      </c>
      <c r="C5" s="8">
        <v>2</v>
      </c>
      <c r="D5" s="9">
        <v>58.406578063964844</v>
      </c>
      <c r="E5" s="9">
        <v>4.8000001907348633</v>
      </c>
      <c r="F5" s="9">
        <v>66.699996948242188</v>
      </c>
      <c r="G5" s="9">
        <v>0.66957330703735352</v>
      </c>
      <c r="H5" s="9">
        <v>7.1964025497436523E-2</v>
      </c>
      <c r="I5">
        <v>0</v>
      </c>
      <c r="J5"/>
    </row>
    <row r="6" spans="1:10" ht="15" customHeight="1" x14ac:dyDescent="0.15">
      <c r="A6" s="149">
        <v>5</v>
      </c>
      <c r="B6" s="149" t="s">
        <v>196</v>
      </c>
      <c r="C6" s="8">
        <v>2.3808081150054932</v>
      </c>
      <c r="D6" s="9">
        <v>4.1098699569702148</v>
      </c>
      <c r="E6" s="9">
        <v>3.0999999046325684</v>
      </c>
      <c r="F6" s="9">
        <v>10.899999618530273</v>
      </c>
      <c r="G6" s="9">
        <v>0.28088715672492981</v>
      </c>
      <c r="H6" s="9">
        <v>0.28440368175506592</v>
      </c>
      <c r="I6">
        <v>1.1119999885559082</v>
      </c>
      <c r="J6"/>
    </row>
    <row r="7" spans="1:10" ht="15" customHeight="1" x14ac:dyDescent="0.15">
      <c r="A7" s="150">
        <v>6</v>
      </c>
      <c r="B7" s="150" t="s">
        <v>197</v>
      </c>
      <c r="C7" s="8">
        <v>2.0776998996734619</v>
      </c>
      <c r="D7" s="9">
        <v>62.484352111816406</v>
      </c>
      <c r="E7" s="9">
        <v>2.7999999523162842</v>
      </c>
      <c r="F7" s="9">
        <v>11.800000190734863</v>
      </c>
      <c r="G7" s="9">
        <v>0.72307765483856201</v>
      </c>
      <c r="H7" s="9">
        <v>0.23728813230991364</v>
      </c>
      <c r="I7">
        <v>2.500000037252903E-2</v>
      </c>
      <c r="J7"/>
    </row>
    <row r="8" spans="1:10" ht="15" customHeight="1" x14ac:dyDescent="0.15">
      <c r="A8" s="151">
        <v>7</v>
      </c>
      <c r="B8" s="151" t="s">
        <v>198</v>
      </c>
      <c r="C8" s="8">
        <v>2.8465569019317627</v>
      </c>
      <c r="D8" s="9">
        <v>5.4300522804260254</v>
      </c>
      <c r="E8" s="9">
        <v>5.4000000953674316</v>
      </c>
      <c r="F8" s="9">
        <v>58.400001525878906</v>
      </c>
      <c r="G8" s="9">
        <v>0.79965502023696899</v>
      </c>
      <c r="H8" s="9">
        <v>9.2465750873088837E-2</v>
      </c>
      <c r="I8">
        <v>0</v>
      </c>
      <c r="J8"/>
    </row>
    <row r="9" spans="1:10" ht="15" customHeight="1" x14ac:dyDescent="0.15">
      <c r="A9" s="152">
        <v>8</v>
      </c>
      <c r="B9" s="152" t="s">
        <v>199</v>
      </c>
      <c r="C9" s="8">
        <v>3.183330774307251</v>
      </c>
      <c r="D9" s="9">
        <v>0.94507759809494019</v>
      </c>
      <c r="E9" s="9">
        <v>2.9000000953674316</v>
      </c>
      <c r="F9" s="9">
        <v>21.899999618530273</v>
      </c>
      <c r="G9" s="9">
        <v>0.92932021617889404</v>
      </c>
      <c r="H9" s="9">
        <v>0.13242009282112122</v>
      </c>
      <c r="I9">
        <v>2.5499999523162842E-2</v>
      </c>
      <c r="J9"/>
    </row>
    <row r="10" spans="1:10" ht="15" customHeight="1" x14ac:dyDescent="0.15">
      <c r="A10" s="153">
        <v>9</v>
      </c>
      <c r="B10" s="153" t="s">
        <v>200</v>
      </c>
      <c r="C10" s="8">
        <v>3.1865105628967285</v>
      </c>
      <c r="D10" s="9">
        <v>2.5160001590847969E-2</v>
      </c>
      <c r="E10" s="9">
        <v>0.73000001907348633</v>
      </c>
      <c r="F10" s="9">
        <v>12.409999847412109</v>
      </c>
      <c r="G10" s="9">
        <v>0.69283598661422729</v>
      </c>
      <c r="H10" s="9">
        <v>5.8823533356189728E-2</v>
      </c>
      <c r="I10">
        <v>3.0000000260770321E-3</v>
      </c>
      <c r="J10"/>
    </row>
    <row r="11" spans="1:10" ht="15" customHeight="1" x14ac:dyDescent="0.15">
      <c r="A11" s="154">
        <v>10</v>
      </c>
      <c r="B11" s="154" t="s">
        <v>201</v>
      </c>
      <c r="C11" s="8">
        <v>2</v>
      </c>
      <c r="D11" s="9">
        <v>0.25863000750541687</v>
      </c>
      <c r="E11" s="9">
        <v>0.73000001907348633</v>
      </c>
      <c r="F11" s="9">
        <v>12.409999847412109</v>
      </c>
      <c r="G11" s="9">
        <v>0.73400825262069702</v>
      </c>
      <c r="H11" s="9">
        <v>5.8823533356189728E-2</v>
      </c>
      <c r="I11">
        <v>4.8000000417232513E-2</v>
      </c>
      <c r="J11"/>
    </row>
    <row r="12" spans="1:10" ht="15" customHeight="1" x14ac:dyDescent="0.15">
      <c r="A12" s="155">
        <v>11</v>
      </c>
      <c r="B12" s="155" t="s">
        <v>202</v>
      </c>
      <c r="C12" s="8">
        <v>2</v>
      </c>
      <c r="D12" s="9">
        <v>0.89960002899169922</v>
      </c>
      <c r="E12" s="9">
        <v>0.87999999523162842</v>
      </c>
      <c r="F12" s="9">
        <v>11.680000305175781</v>
      </c>
      <c r="G12" s="9">
        <v>0.59418952465057373</v>
      </c>
      <c r="H12" s="9">
        <v>7.5342461466789246E-2</v>
      </c>
      <c r="I12">
        <v>3.0000001424923539E-4</v>
      </c>
      <c r="J12"/>
    </row>
    <row r="13" spans="1:10" ht="15" customHeight="1" x14ac:dyDescent="0.15">
      <c r="A13" s="156">
        <v>12</v>
      </c>
      <c r="B13" s="156" t="s">
        <v>203</v>
      </c>
      <c r="C13" s="8">
        <v>2.253164529800415</v>
      </c>
      <c r="D13" s="9">
        <v>3.7305698394775391</v>
      </c>
      <c r="E13" s="9">
        <v>6.8600001335144043</v>
      </c>
      <c r="F13" s="9">
        <v>55.479999542236328</v>
      </c>
      <c r="G13" s="9">
        <v>0.49342644214630127</v>
      </c>
      <c r="H13" s="9">
        <v>0.12364816665649414</v>
      </c>
      <c r="I13">
        <v>0</v>
      </c>
      <c r="J13"/>
    </row>
    <row r="14" spans="1:10" ht="15" customHeight="1" x14ac:dyDescent="0.15">
      <c r="A14" s="157">
        <v>13</v>
      </c>
      <c r="B14" s="157" t="s">
        <v>204</v>
      </c>
      <c r="C14" s="8">
        <v>1</v>
      </c>
      <c r="D14" s="9">
        <v>18.134719848632812</v>
      </c>
      <c r="E14" s="9">
        <v>44</v>
      </c>
      <c r="F14" s="10"/>
      <c r="G14" s="9">
        <v>0.13963334262371063</v>
      </c>
      <c r="H14" s="10"/>
      <c r="I14">
        <v>0</v>
      </c>
      <c r="J14"/>
    </row>
    <row r="15" spans="1:10" ht="15" customHeight="1" x14ac:dyDescent="0.15">
      <c r="A15" s="158">
        <v>14</v>
      </c>
      <c r="B15" s="158" t="s">
        <v>205</v>
      </c>
      <c r="C15" s="8">
        <v>1</v>
      </c>
      <c r="D15" s="9">
        <v>0.25906738638877869</v>
      </c>
      <c r="E15" s="9">
        <v>24</v>
      </c>
      <c r="F15" s="10"/>
      <c r="G15" s="9">
        <v>0.32206061482429504</v>
      </c>
      <c r="H15" s="10"/>
      <c r="I15">
        <v>9.9999997764825821E-3</v>
      </c>
      <c r="J15"/>
    </row>
    <row r="16" spans="1:10" ht="15" customHeight="1" x14ac:dyDescent="0.15">
      <c r="A16" s="159">
        <v>15</v>
      </c>
      <c r="B16" s="159" t="s">
        <v>206</v>
      </c>
      <c r="C16" s="8">
        <v>1</v>
      </c>
      <c r="D16" s="9">
        <v>18.13471794128418</v>
      </c>
      <c r="E16" s="9">
        <v>20</v>
      </c>
      <c r="F16" s="10"/>
      <c r="G16" s="9">
        <v>0.30038544535636902</v>
      </c>
      <c r="H16" s="10"/>
      <c r="I16">
        <v>9.9999997764825821E-3</v>
      </c>
      <c r="J16"/>
    </row>
    <row r="17" spans="1:10" ht="15" customHeight="1" x14ac:dyDescent="0.15">
      <c r="A17" s="160">
        <v>16</v>
      </c>
      <c r="B17" s="160" t="s">
        <v>207</v>
      </c>
      <c r="C17" s="8">
        <v>3.2348437309265137</v>
      </c>
      <c r="D17" s="9">
        <v>2.8497409820556641</v>
      </c>
      <c r="E17" s="9">
        <v>1.1499999761581421</v>
      </c>
      <c r="F17" s="9">
        <v>30.149999618530273</v>
      </c>
      <c r="G17" s="9">
        <v>0.96974271535873413</v>
      </c>
      <c r="H17" s="9">
        <v>3.8142621517181396E-2</v>
      </c>
      <c r="I17">
        <v>0.81199997663497925</v>
      </c>
      <c r="J17"/>
    </row>
    <row r="18" spans="1:10" ht="15" customHeight="1" x14ac:dyDescent="0.15">
      <c r="A18" s="161">
        <v>17</v>
      </c>
      <c r="B18" s="161" t="s">
        <v>208</v>
      </c>
      <c r="C18" s="8">
        <v>3.4045064449310303</v>
      </c>
      <c r="D18" s="9">
        <v>0.32823833823204041</v>
      </c>
      <c r="E18" s="9">
        <v>0.54750001430511475</v>
      </c>
      <c r="F18" s="9">
        <v>2.7374999523162842</v>
      </c>
      <c r="G18" s="9">
        <v>0.95349806547164917</v>
      </c>
      <c r="H18" s="9">
        <v>0.20000000298023224</v>
      </c>
      <c r="I18">
        <v>1.2000000104308128E-2</v>
      </c>
      <c r="J18"/>
    </row>
    <row r="19" spans="1:10" ht="15" customHeight="1" x14ac:dyDescent="0.15">
      <c r="A19" s="162">
        <v>18</v>
      </c>
      <c r="B19" s="162" t="s">
        <v>209</v>
      </c>
      <c r="C19" s="8">
        <v>3.6169235706329346</v>
      </c>
      <c r="D19" s="9">
        <v>0.26295337080955505</v>
      </c>
      <c r="E19" s="9">
        <v>0.49250000715255737</v>
      </c>
      <c r="F19" s="9">
        <v>2.7374999523162842</v>
      </c>
      <c r="G19" s="9">
        <v>0.95273160934448242</v>
      </c>
      <c r="H19" s="9">
        <v>0.17990867793560028</v>
      </c>
      <c r="I19">
        <v>3.3499997109174728E-2</v>
      </c>
      <c r="J19"/>
    </row>
    <row r="20" spans="1:10" ht="15" customHeight="1" x14ac:dyDescent="0.15">
      <c r="A20" s="163">
        <v>19</v>
      </c>
      <c r="B20" s="163" t="s">
        <v>210</v>
      </c>
      <c r="C20" s="8">
        <v>3.3015196323394775</v>
      </c>
      <c r="D20" s="9">
        <v>1.7389895915985107</v>
      </c>
      <c r="E20" s="9">
        <v>0.82125002145767212</v>
      </c>
      <c r="F20" s="9">
        <v>2.7374999523162842</v>
      </c>
      <c r="G20" s="9">
        <v>0.90206438302993774</v>
      </c>
      <c r="H20" s="9">
        <v>0.30000001192092896</v>
      </c>
      <c r="I20">
        <v>5.0000003539025784E-3</v>
      </c>
      <c r="J20"/>
    </row>
    <row r="21" spans="1:10" ht="15" customHeight="1" x14ac:dyDescent="0.15">
      <c r="A21" s="164">
        <v>20</v>
      </c>
      <c r="B21" s="164" t="s">
        <v>211</v>
      </c>
      <c r="C21" s="8">
        <v>3.3441987037658691</v>
      </c>
      <c r="D21" s="9">
        <v>1.7137305736541748</v>
      </c>
      <c r="E21" s="9">
        <v>0.41075000166893005</v>
      </c>
      <c r="F21" s="9">
        <v>2.7374999523162842</v>
      </c>
      <c r="G21" s="9">
        <v>0.79323422908782959</v>
      </c>
      <c r="H21" s="9">
        <v>0.15004566311836243</v>
      </c>
      <c r="I21">
        <v>0.15350000560283661</v>
      </c>
      <c r="J21"/>
    </row>
    <row r="22" spans="1:10" ht="15" customHeight="1" x14ac:dyDescent="0.15">
      <c r="A22" s="165">
        <v>21</v>
      </c>
      <c r="B22" s="165" t="s">
        <v>212</v>
      </c>
      <c r="C22" s="8">
        <v>3.5439965724945068</v>
      </c>
      <c r="D22" s="9">
        <v>0.11398964375257492</v>
      </c>
      <c r="E22" s="9">
        <v>0.82125002145767212</v>
      </c>
      <c r="F22" s="9">
        <v>2.7374999523162842</v>
      </c>
      <c r="G22" s="9">
        <v>0.89624184370040894</v>
      </c>
      <c r="H22" s="9">
        <v>0.30000001192092896</v>
      </c>
      <c r="I22">
        <v>5.9999998658895493E-2</v>
      </c>
      <c r="J22"/>
    </row>
    <row r="23" spans="1:10" ht="15" customHeight="1" x14ac:dyDescent="0.15">
      <c r="A23" s="166">
        <v>22</v>
      </c>
      <c r="B23" s="166" t="s">
        <v>213</v>
      </c>
      <c r="C23" s="8">
        <v>3.3883957862854004</v>
      </c>
      <c r="D23" s="9">
        <v>9.3264244496822357E-2</v>
      </c>
      <c r="E23" s="9">
        <v>0.54750001430511475</v>
      </c>
      <c r="F23" s="9">
        <v>2.7374999523162842</v>
      </c>
      <c r="G23" s="9">
        <v>0.94934266805648804</v>
      </c>
      <c r="H23" s="9">
        <v>0.20000000298023224</v>
      </c>
      <c r="I23">
        <v>1.0000000474974513E-3</v>
      </c>
      <c r="J23"/>
    </row>
    <row r="24" spans="1:10" ht="15" customHeight="1" x14ac:dyDescent="0.15">
      <c r="A24" s="167">
        <v>23</v>
      </c>
      <c r="B24" s="167" t="s">
        <v>214</v>
      </c>
      <c r="C24" s="8">
        <v>4.1724953651428223</v>
      </c>
      <c r="D24" s="9">
        <v>0.40849745273590088</v>
      </c>
      <c r="E24" s="9">
        <v>0.82125002145767212</v>
      </c>
      <c r="F24" s="9">
        <v>2.7374999523162842</v>
      </c>
      <c r="G24" s="9">
        <v>0.63964563608169556</v>
      </c>
      <c r="H24" s="9">
        <v>0.30000001192092896</v>
      </c>
      <c r="I24">
        <v>0</v>
      </c>
      <c r="J24"/>
    </row>
    <row r="25" spans="1:10" ht="15" customHeight="1" x14ac:dyDescent="0.15">
      <c r="A25" s="168">
        <v>24</v>
      </c>
      <c r="B25" s="168" t="s">
        <v>215</v>
      </c>
      <c r="C25" s="8">
        <v>4.3600645065307617</v>
      </c>
      <c r="D25" s="9">
        <v>0.20704662799835205</v>
      </c>
      <c r="E25" s="9">
        <v>0.41075000166893005</v>
      </c>
      <c r="F25" s="9">
        <v>2.7374999523162842</v>
      </c>
      <c r="G25" s="9">
        <v>0.9807935357093811</v>
      </c>
      <c r="H25" s="9">
        <v>0.15004566311836243</v>
      </c>
      <c r="I25">
        <v>1.0000000474974513E-3</v>
      </c>
      <c r="J25"/>
    </row>
    <row r="26" spans="1:10" ht="15" customHeight="1" x14ac:dyDescent="0.15">
      <c r="A26" s="169">
        <v>25</v>
      </c>
      <c r="B26" s="169" t="s">
        <v>216</v>
      </c>
      <c r="C26" s="8">
        <v>2.6050972938537598</v>
      </c>
      <c r="D26" s="9">
        <v>0.43387305736541748</v>
      </c>
      <c r="E26" s="9">
        <v>0.41075000166893005</v>
      </c>
      <c r="F26" s="9">
        <v>2.7374999523162842</v>
      </c>
      <c r="G26" s="9">
        <v>0.87036359310150146</v>
      </c>
      <c r="H26" s="9">
        <v>0.15004566311836243</v>
      </c>
      <c r="I26">
        <v>0</v>
      </c>
      <c r="J26"/>
    </row>
    <row r="27" spans="1:10" ht="15" customHeight="1" x14ac:dyDescent="0.15">
      <c r="A27" s="170">
        <v>26</v>
      </c>
      <c r="B27" s="170" t="s">
        <v>217</v>
      </c>
      <c r="C27" s="8">
        <v>2.0998795032501221</v>
      </c>
      <c r="D27" s="9">
        <v>0.31632125377655029</v>
      </c>
      <c r="E27" s="9">
        <v>0.32850000262260437</v>
      </c>
      <c r="F27" s="9">
        <v>2.7374999523162842</v>
      </c>
      <c r="G27" s="9">
        <v>0.9322352409362793</v>
      </c>
      <c r="H27" s="9">
        <v>0.12000000476837158</v>
      </c>
      <c r="I27">
        <v>5.299999937415123E-2</v>
      </c>
      <c r="J27"/>
    </row>
    <row r="28" spans="1:10" ht="15" customHeight="1" x14ac:dyDescent="0.15">
      <c r="A28" s="171">
        <v>27</v>
      </c>
      <c r="B28" s="171" t="s">
        <v>218</v>
      </c>
      <c r="C28" s="8">
        <v>3.236027717590332</v>
      </c>
      <c r="D28" s="9">
        <v>4.7274999618530273</v>
      </c>
      <c r="E28" s="9">
        <v>0.54750001430511475</v>
      </c>
      <c r="F28" s="9">
        <v>2.7374999523162842</v>
      </c>
      <c r="G28" s="9">
        <v>0.86919122934341431</v>
      </c>
      <c r="H28" s="9">
        <v>0.20000000298023224</v>
      </c>
      <c r="I28">
        <v>4.1000001132488251E-2</v>
      </c>
      <c r="J28"/>
    </row>
    <row r="29" spans="1:10" ht="15" customHeight="1" x14ac:dyDescent="0.15">
      <c r="A29" s="172">
        <v>28</v>
      </c>
      <c r="B29" s="172" t="s">
        <v>219</v>
      </c>
      <c r="C29" s="8">
        <v>3.592559814453125</v>
      </c>
      <c r="D29" s="9">
        <v>0.29634714126586914</v>
      </c>
      <c r="E29" s="9">
        <v>1.8250000476837158</v>
      </c>
      <c r="F29" s="9">
        <v>18.25</v>
      </c>
      <c r="G29" s="9">
        <v>0.77736556529998779</v>
      </c>
      <c r="H29" s="9">
        <v>0.10000000149011612</v>
      </c>
      <c r="I29">
        <v>4.9699999392032623E-2</v>
      </c>
      <c r="J29"/>
    </row>
    <row r="30" spans="1:10" ht="15" customHeight="1" x14ac:dyDescent="0.15">
      <c r="A30" s="173">
        <v>29</v>
      </c>
      <c r="B30" s="173" t="s">
        <v>220</v>
      </c>
      <c r="C30" s="8">
        <v>3.7323381900787354</v>
      </c>
      <c r="D30" s="9">
        <v>0.3917098343372345</v>
      </c>
      <c r="E30" s="9">
        <v>1.3687499761581421</v>
      </c>
      <c r="F30" s="9">
        <v>9.125</v>
      </c>
      <c r="G30" s="9">
        <v>0.43717977404594421</v>
      </c>
      <c r="H30" s="9">
        <v>0.14999999105930328</v>
      </c>
      <c r="I30">
        <v>1.9999999494757503E-4</v>
      </c>
      <c r="J30"/>
    </row>
    <row r="31" spans="1:10" ht="15" customHeight="1" x14ac:dyDescent="0.15">
      <c r="A31" s="174">
        <v>30</v>
      </c>
      <c r="B31" s="174" t="s">
        <v>221</v>
      </c>
      <c r="C31" s="8">
        <v>3.348923921585083</v>
      </c>
      <c r="D31" s="9">
        <v>5.549222469329834</v>
      </c>
      <c r="E31" s="9">
        <v>0.23399999737739563</v>
      </c>
      <c r="F31" s="9">
        <v>1.559999942779541</v>
      </c>
      <c r="G31" s="9">
        <v>2.1657409146428108E-2</v>
      </c>
      <c r="H31" s="9">
        <v>0.15000000596046448</v>
      </c>
      <c r="I31">
        <v>0</v>
      </c>
      <c r="J31"/>
    </row>
    <row r="32" spans="1:10" ht="15" customHeight="1" x14ac:dyDescent="0.15">
      <c r="A32" s="202">
        <v>31</v>
      </c>
      <c r="B32" s="202" t="s">
        <v>222</v>
      </c>
      <c r="C32" s="8">
        <v>4.287630558013916</v>
      </c>
      <c r="D32" s="9">
        <v>9.1554403305053711E-2</v>
      </c>
      <c r="E32" s="9">
        <v>0.23399999737739563</v>
      </c>
      <c r="F32" s="9">
        <v>1.559999942779541</v>
      </c>
      <c r="G32" s="9">
        <v>0.28001761436462402</v>
      </c>
      <c r="H32" s="9">
        <v>0.15000000596046448</v>
      </c>
      <c r="I32">
        <v>3.0000000260770321E-3</v>
      </c>
      <c r="J32"/>
    </row>
    <row r="33" spans="1:10" ht="15" customHeight="1" x14ac:dyDescent="0.15">
      <c r="A33" s="203">
        <v>32</v>
      </c>
      <c r="B33" s="203" t="s">
        <v>223</v>
      </c>
      <c r="C33" s="8">
        <v>3.6418392658233643</v>
      </c>
      <c r="D33" s="9">
        <v>1.0181349515914917</v>
      </c>
      <c r="E33" s="9">
        <v>7.0000000298023224E-2</v>
      </c>
      <c r="F33" s="9">
        <v>1.690000057220459</v>
      </c>
      <c r="G33" s="9">
        <v>0.14514744281768799</v>
      </c>
      <c r="H33" s="9">
        <v>4.1420117020606995E-2</v>
      </c>
      <c r="I33">
        <v>0</v>
      </c>
      <c r="J33"/>
    </row>
    <row r="34" spans="1:10" ht="15" customHeight="1" x14ac:dyDescent="0.15">
      <c r="A34" s="204">
        <v>33</v>
      </c>
      <c r="B34" s="204" t="s">
        <v>224</v>
      </c>
      <c r="C34" s="8">
        <v>4.2026777267456055</v>
      </c>
      <c r="D34" s="9">
        <v>1.9688999280333519E-2</v>
      </c>
      <c r="E34" s="9">
        <v>9.0000003576278687E-2</v>
      </c>
      <c r="F34" s="9">
        <v>19.879999160766602</v>
      </c>
      <c r="G34" s="9">
        <v>5.6433086283504963E-3</v>
      </c>
      <c r="H34" s="9">
        <v>4.5271632261574268E-3</v>
      </c>
      <c r="I34">
        <v>9.9999997473787516E-6</v>
      </c>
      <c r="J34"/>
    </row>
    <row r="35" spans="1:10" ht="15" customHeight="1" x14ac:dyDescent="0.15">
      <c r="A35" s="205">
        <v>34</v>
      </c>
      <c r="B35" s="205" t="s">
        <v>225</v>
      </c>
      <c r="C35" s="8">
        <v>1</v>
      </c>
      <c r="D35" s="9">
        <v>14766.83984375</v>
      </c>
      <c r="E35" s="10"/>
      <c r="F35" s="10"/>
      <c r="G35" s="9">
        <v>0.99781978130340576</v>
      </c>
      <c r="H35" s="10"/>
      <c r="I35">
        <v>0</v>
      </c>
      <c r="J35"/>
    </row>
    <row r="36" spans="1:10" ht="15" customHeight="1" x14ac:dyDescent="0.15">
      <c r="A36" s="206">
        <v>35</v>
      </c>
      <c r="B36" s="206" t="s">
        <v>226</v>
      </c>
      <c r="C36" s="8">
        <v>1</v>
      </c>
      <c r="D36" s="9">
        <v>5</v>
      </c>
      <c r="E36" s="10"/>
      <c r="F36" s="10"/>
      <c r="G36" s="7">
        <v>0</v>
      </c>
      <c r="H36" s="10"/>
      <c r="I36">
        <v>0</v>
      </c>
      <c r="J36"/>
    </row>
    <row r="37" spans="1:10" ht="15" customHeight="1" x14ac:dyDescent="0.15">
      <c r="A37" s="207">
        <v>36</v>
      </c>
      <c r="B37" s="207" t="s">
        <v>227</v>
      </c>
      <c r="C37" s="8">
        <v>4.2348437309265137</v>
      </c>
      <c r="D37" s="10"/>
      <c r="E37" s="10"/>
      <c r="F37" s="10"/>
      <c r="G37" s="10"/>
      <c r="H37" s="10"/>
      <c r="I37">
        <v>0.81199997663497925</v>
      </c>
      <c r="J37"/>
    </row>
    <row r="38" spans="1:10" ht="15" customHeight="1" x14ac:dyDescent="0.15">
      <c r="A38" s="208">
        <v>37</v>
      </c>
      <c r="B38" s="208" t="s">
        <v>228</v>
      </c>
      <c r="C38" s="8">
        <v>3.3639993667602539</v>
      </c>
      <c r="D38" s="10"/>
      <c r="E38" s="10"/>
      <c r="F38" s="10"/>
      <c r="G38" s="10"/>
      <c r="H38" s="10"/>
      <c r="I38">
        <v>0.87149995565414429</v>
      </c>
      <c r="J38"/>
    </row>
    <row r="39" spans="1:10" ht="15" customHeight="1" x14ac:dyDescent="0.15">
      <c r="A39" s="209">
        <v>38</v>
      </c>
      <c r="B39" s="209" t="s">
        <v>229</v>
      </c>
      <c r="C39" s="8">
        <v>4.0942106246948242</v>
      </c>
      <c r="D39" s="10"/>
      <c r="E39" s="10"/>
      <c r="F39" s="10"/>
      <c r="G39" s="10"/>
      <c r="H39" s="10"/>
      <c r="I39">
        <v>0.16490000486373901</v>
      </c>
      <c r="J39"/>
    </row>
    <row r="40" spans="1:10" ht="15" customHeight="1" x14ac:dyDescent="0.15">
      <c r="A40" s="210">
        <v>39</v>
      </c>
      <c r="B40" s="210" t="s">
        <v>230</v>
      </c>
      <c r="C40" s="8">
        <v>4.5320911407470703</v>
      </c>
      <c r="D40" s="10"/>
      <c r="E40" s="10"/>
      <c r="F40" s="10"/>
      <c r="G40" s="10"/>
      <c r="H40" s="10"/>
      <c r="I40">
        <v>5.299999937415123E-2</v>
      </c>
      <c r="J40"/>
    </row>
    <row r="41" spans="1:10" ht="15" customHeight="1" x14ac:dyDescent="0.15">
      <c r="A41" s="211">
        <v>40</v>
      </c>
      <c r="B41" s="211" t="s">
        <v>231</v>
      </c>
      <c r="C41" s="8">
        <v>4.3382110595703125</v>
      </c>
      <c r="D41" s="10"/>
      <c r="E41" s="10"/>
      <c r="F41" s="10"/>
      <c r="G41" s="10"/>
      <c r="H41" s="10"/>
      <c r="I41">
        <v>0.19450999796390533</v>
      </c>
      <c r="J41"/>
    </row>
    <row r="42" spans="1:10" ht="15" customHeight="1" x14ac:dyDescent="0.15">
      <c r="A42" s="212">
        <v>41</v>
      </c>
      <c r="B42" s="212" t="s">
        <v>232</v>
      </c>
      <c r="C42" s="8">
        <v>3.0121243000030518</v>
      </c>
      <c r="D42" s="10"/>
      <c r="E42" s="10"/>
      <c r="F42" s="10"/>
      <c r="G42" s="10"/>
      <c r="H42" s="10"/>
      <c r="I42">
        <v>4.8800002783536911E-2</v>
      </c>
      <c r="J42"/>
    </row>
    <row r="43" spans="1:10" ht="15" customHeight="1" x14ac:dyDescent="0.15">
      <c r="A43" s="213">
        <v>42</v>
      </c>
      <c r="B43" s="213" t="s">
        <v>233</v>
      </c>
      <c r="C43" s="8">
        <v>3.3808081150054932</v>
      </c>
      <c r="D43" s="10"/>
      <c r="E43" s="10"/>
      <c r="F43" s="10"/>
      <c r="G43" s="10"/>
      <c r="H43" s="10"/>
      <c r="I43">
        <v>0.31099998950958252</v>
      </c>
      <c r="J43"/>
    </row>
    <row r="44" spans="1:10" ht="15" customHeight="1" x14ac:dyDescent="0.15">
      <c r="A44" s="214">
        <v>43</v>
      </c>
      <c r="B44" s="214" t="s">
        <v>234</v>
      </c>
      <c r="C44" s="8">
        <v>4.1865100860595703</v>
      </c>
      <c r="D44" s="10"/>
      <c r="E44" s="10"/>
      <c r="F44" s="10"/>
      <c r="G44" s="10"/>
      <c r="H44" s="10"/>
      <c r="I44">
        <v>3.0000000260770321E-3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t="s">
        <v>203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250</v>
      </c>
      <c r="C2">
        <v>78.997283935546875</v>
      </c>
      <c r="D2"/>
      <c r="E2"/>
      <c r="F2"/>
      <c r="G2"/>
      <c r="H2"/>
      <c r="I2"/>
      <c r="J2"/>
      <c r="K2"/>
      <c r="L2"/>
      <c r="M2" s="275">
        <v>57.188266754150391</v>
      </c>
      <c r="N2" s="107">
        <v>39.183341979980469</v>
      </c>
      <c r="O2"/>
      <c r="P2" s="18">
        <v>2.8985228538513184</v>
      </c>
      <c r="Q2" s="276">
        <v>71.125762939453125</v>
      </c>
      <c r="R2"/>
      <c r="S2"/>
      <c r="T2"/>
      <c r="U2"/>
      <c r="V2"/>
      <c r="W2"/>
      <c r="X2"/>
      <c r="Y2"/>
      <c r="Z2"/>
      <c r="AA2" s="14">
        <v>0.59955686330795288</v>
      </c>
      <c r="AB2"/>
      <c r="AC2"/>
      <c r="AD2"/>
      <c r="AE2"/>
      <c r="AF2"/>
      <c r="AG2"/>
      <c r="AH2"/>
      <c r="AI2"/>
      <c r="AJ2" s="11">
        <v>4.5313150621950626E-3</v>
      </c>
      <c r="AK2" s="11">
        <v>2.7438313700258732E-3</v>
      </c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36.799999237060547</v>
      </c>
      <c r="C3">
        <v>7.4907488822937012</v>
      </c>
      <c r="D3"/>
      <c r="E3"/>
      <c r="F3"/>
      <c r="G3"/>
      <c r="H3"/>
      <c r="I3"/>
      <c r="J3"/>
      <c r="K3"/>
      <c r="L3"/>
      <c r="M3" s="219">
        <v>7.472599983215332</v>
      </c>
      <c r="N3" s="272">
        <v>14.864389419555664</v>
      </c>
      <c r="O3"/>
      <c r="P3" s="76">
        <v>2.3705570697784424</v>
      </c>
      <c r="Q3" s="269">
        <v>3.1951282024383545</v>
      </c>
      <c r="R3"/>
      <c r="S3"/>
      <c r="T3"/>
      <c r="U3"/>
      <c r="V3"/>
      <c r="W3"/>
      <c r="X3"/>
      <c r="Y3"/>
      <c r="Z3"/>
      <c r="AA3" s="13">
        <v>1.4065756797790527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23.799999237060547</v>
      </c>
      <c r="C4">
        <v>9.9772148132324219</v>
      </c>
      <c r="D4"/>
      <c r="E4"/>
      <c r="F4"/>
      <c r="G4"/>
      <c r="H4"/>
      <c r="I4"/>
      <c r="J4"/>
      <c r="K4"/>
      <c r="L4"/>
      <c r="M4"/>
      <c r="N4" s="221">
        <v>3.8608803749084473</v>
      </c>
      <c r="O4"/>
      <c r="P4"/>
      <c r="Q4" s="271">
        <v>2.5882613658905029</v>
      </c>
      <c r="R4"/>
      <c r="S4" s="11">
        <v>4.1576800867915154E-3</v>
      </c>
      <c r="T4"/>
      <c r="U4"/>
      <c r="V4"/>
      <c r="W4"/>
      <c r="X4"/>
      <c r="Y4"/>
      <c r="Z4"/>
      <c r="AA4" s="241">
        <v>7.2430815696716309</v>
      </c>
      <c r="AB4" s="14">
        <v>6.9838948547840118E-2</v>
      </c>
      <c r="AC4"/>
      <c r="AD4"/>
      <c r="AE4"/>
      <c r="AF4"/>
      <c r="AG4"/>
      <c r="AH4" s="11">
        <v>1.3117645867168903E-2</v>
      </c>
      <c r="AI4"/>
      <c r="AJ4" s="14">
        <v>2.7204932644963264E-2</v>
      </c>
      <c r="AK4" s="11">
        <v>2.0952892955392599E-3</v>
      </c>
      <c r="AL4" s="11">
        <v>1.2936822604387999E-3</v>
      </c>
      <c r="AM4" s="11">
        <v>8.1357993185520172E-3</v>
      </c>
      <c r="AN4"/>
      <c r="AO4"/>
      <c r="AP4"/>
      <c r="AQ4" s="11">
        <v>2.5928614195436239E-3</v>
      </c>
      <c r="AR4" s="11">
        <v>2.1224427036941051E-3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4.8000001907348633</v>
      </c>
      <c r="C5">
        <v>1.5860482454299927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 s="274">
        <v>2.4702517986297607</v>
      </c>
      <c r="S5" s="21">
        <v>9.8691001534461975E-2</v>
      </c>
      <c r="T5" s="11">
        <v>1.4976002275943756E-3</v>
      </c>
      <c r="U5"/>
      <c r="V5"/>
      <c r="W5" s="270">
        <v>0.36109042167663574</v>
      </c>
      <c r="X5"/>
      <c r="Y5"/>
      <c r="Z5"/>
      <c r="AA5"/>
      <c r="AB5" s="11">
        <v>7.6845358125865459E-4</v>
      </c>
      <c r="AC5" s="11">
        <v>4.1159875690937042E-3</v>
      </c>
      <c r="AD5" s="23">
        <v>3.115805983543396E-2</v>
      </c>
      <c r="AE5" s="22">
        <v>3.3728096634149551E-2</v>
      </c>
      <c r="AF5" s="11">
        <v>1.952023827470839E-3</v>
      </c>
      <c r="AG5" s="11">
        <v>2.4585472419857979E-3</v>
      </c>
      <c r="AH5"/>
      <c r="AI5"/>
      <c r="AJ5"/>
      <c r="AK5"/>
      <c r="AL5" s="19">
        <v>8.3729438483715057E-2</v>
      </c>
      <c r="AM5" s="12">
        <v>2.3244330659508705E-2</v>
      </c>
      <c r="AN5" s="12">
        <v>1.4984075911343098E-2</v>
      </c>
      <c r="AO5" s="19">
        <v>8.2238048315048218E-2</v>
      </c>
      <c r="AP5"/>
      <c r="AQ5" s="11">
        <v>4.0440857410430908E-3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3.0999999046325684</v>
      </c>
      <c r="C6">
        <v>2.2292497158050537</v>
      </c>
      <c r="D6"/>
      <c r="E6" s="68">
        <v>0.19489668309688568</v>
      </c>
      <c r="F6"/>
      <c r="G6"/>
      <c r="H6"/>
      <c r="I6"/>
      <c r="J6" s="220">
        <v>7.5671494007110596E-2</v>
      </c>
      <c r="K6"/>
      <c r="L6"/>
      <c r="M6"/>
      <c r="N6"/>
      <c r="O6"/>
      <c r="P6"/>
      <c r="Q6"/>
      <c r="R6"/>
      <c r="S6" s="234">
        <v>0.35819932818412781</v>
      </c>
      <c r="T6" s="14">
        <v>5.7007614523172379E-3</v>
      </c>
      <c r="U6"/>
      <c r="V6"/>
      <c r="W6"/>
      <c r="X6"/>
      <c r="Y6"/>
      <c r="Z6"/>
      <c r="AA6"/>
      <c r="AB6"/>
      <c r="AC6"/>
      <c r="AD6" s="14">
        <v>6.9500971585512161E-3</v>
      </c>
      <c r="AE6" s="17">
        <v>3.9943333715200424E-2</v>
      </c>
      <c r="AF6"/>
      <c r="AG6"/>
      <c r="AH6"/>
      <c r="AI6"/>
      <c r="AJ6"/>
      <c r="AK6"/>
      <c r="AL6" s="21">
        <v>6.2996402382850647E-2</v>
      </c>
      <c r="AM6" s="11">
        <v>3.946938959416002E-4</v>
      </c>
      <c r="AN6" s="21">
        <v>6.0881089419126511E-2</v>
      </c>
      <c r="AO6" s="21">
        <v>6.3211493194103241E-2</v>
      </c>
      <c r="AP6"/>
      <c r="AQ6"/>
      <c r="AR6" s="11">
        <v>1.9047327805310488E-3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2.7999999523162842</v>
      </c>
      <c r="C7">
        <v>0.77538257837295532</v>
      </c>
      <c r="D7"/>
      <c r="E7" s="11">
        <v>4.0010016527958214E-4</v>
      </c>
      <c r="F7"/>
      <c r="G7"/>
      <c r="H7"/>
      <c r="I7"/>
      <c r="J7"/>
      <c r="K7"/>
      <c r="L7"/>
      <c r="M7"/>
      <c r="N7"/>
      <c r="O7"/>
      <c r="P7"/>
      <c r="Q7"/>
      <c r="R7" s="273">
        <v>1.8440465927124023</v>
      </c>
      <c r="S7" s="13">
        <v>0.10585562139749527</v>
      </c>
      <c r="T7" s="11">
        <v>1.5748490113765001E-3</v>
      </c>
      <c r="U7"/>
      <c r="V7"/>
      <c r="W7"/>
      <c r="X7"/>
      <c r="Y7"/>
      <c r="Z7"/>
      <c r="AA7"/>
      <c r="AB7" s="11">
        <v>1.1492861085571349E-4</v>
      </c>
      <c r="AC7" s="11">
        <v>3.8012993172742426E-4</v>
      </c>
      <c r="AD7" s="14">
        <v>5.9782206080853939E-3</v>
      </c>
      <c r="AE7" s="14">
        <v>6.0159261338412762E-3</v>
      </c>
      <c r="AF7"/>
      <c r="AG7"/>
      <c r="AH7"/>
      <c r="AI7"/>
      <c r="AJ7"/>
      <c r="AK7"/>
      <c r="AL7" s="16">
        <v>4.4191956520080566E-2</v>
      </c>
      <c r="AM7"/>
      <c r="AN7" s="11">
        <v>1.7941836267709732E-3</v>
      </c>
      <c r="AO7" s="12">
        <v>9.5742018893361092E-3</v>
      </c>
      <c r="AP7"/>
      <c r="AQ7" s="14">
        <v>4.6907165087759495E-3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5.4000000953674316</v>
      </c>
      <c r="C8">
        <v>1.0818629264831543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 s="228">
        <v>0.28256756067276001</v>
      </c>
      <c r="T8" s="11">
        <v>4.372292198240757E-3</v>
      </c>
      <c r="U8"/>
      <c r="V8"/>
      <c r="W8" s="268">
        <v>3.122391939163208</v>
      </c>
      <c r="X8"/>
      <c r="Y8"/>
      <c r="Z8"/>
      <c r="AA8"/>
      <c r="AB8" s="12">
        <v>1.6200613230466843E-2</v>
      </c>
      <c r="AC8" s="23">
        <v>3.1149651855230331E-2</v>
      </c>
      <c r="AD8" s="17">
        <v>7.0556104183197021E-2</v>
      </c>
      <c r="AE8" s="21">
        <v>0.10730043053627014</v>
      </c>
      <c r="AF8" s="23">
        <v>3.5319812595844269E-2</v>
      </c>
      <c r="AG8" s="12">
        <v>1.8064593896269798E-2</v>
      </c>
      <c r="AH8"/>
      <c r="AI8"/>
      <c r="AJ8" s="23">
        <v>3.5724807530641556E-2</v>
      </c>
      <c r="AK8" s="14">
        <v>5.8567086234688759E-3</v>
      </c>
      <c r="AL8" s="108">
        <v>0.35760298371315002</v>
      </c>
      <c r="AM8"/>
      <c r="AN8" s="15">
        <v>5.1947783678770065E-2</v>
      </c>
      <c r="AO8" s="24">
        <v>0.14669586718082428</v>
      </c>
      <c r="AP8"/>
      <c r="AQ8" s="23">
        <v>3.2386027276515961E-2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2.9000000953674316</v>
      </c>
      <c r="C9">
        <v>0.20497137308120728</v>
      </c>
      <c r="D9"/>
      <c r="E9" s="15">
        <v>2.645285427570343E-2</v>
      </c>
      <c r="F9"/>
      <c r="G9"/>
      <c r="H9"/>
      <c r="I9" s="11">
        <v>5.2905711345374584E-4</v>
      </c>
      <c r="J9"/>
      <c r="K9"/>
      <c r="L9"/>
      <c r="M9"/>
      <c r="N9"/>
      <c r="O9"/>
      <c r="P9"/>
      <c r="Q9"/>
      <c r="R9"/>
      <c r="S9" s="235">
        <v>0.19745562970638275</v>
      </c>
      <c r="T9" s="11">
        <v>2.313823439180851E-3</v>
      </c>
      <c r="U9"/>
      <c r="V9"/>
      <c r="W9"/>
      <c r="X9"/>
      <c r="Y9"/>
      <c r="Z9"/>
      <c r="AA9"/>
      <c r="AB9" s="12">
        <v>9.4982124865055084E-3</v>
      </c>
      <c r="AC9" s="22">
        <v>2.3609327152371407E-2</v>
      </c>
      <c r="AD9" s="65">
        <v>6.0808226466178894E-2</v>
      </c>
      <c r="AE9" s="19">
        <v>4.9718305468559265E-2</v>
      </c>
      <c r="AF9" s="14">
        <v>6.6102300770580769E-3</v>
      </c>
      <c r="AG9" s="23">
        <v>1.4415585435926914E-2</v>
      </c>
      <c r="AH9"/>
      <c r="AI9"/>
      <c r="AJ9"/>
      <c r="AK9"/>
      <c r="AL9" s="231">
        <v>0.24575710296630859</v>
      </c>
      <c r="AM9" s="260">
        <v>0.45817548036575317</v>
      </c>
      <c r="AN9" s="266">
        <v>0.89240717887878418</v>
      </c>
      <c r="AO9" s="263">
        <v>0.50456833839416504</v>
      </c>
      <c r="AP9" s="220">
        <v>6.9510549306869507E-2</v>
      </c>
      <c r="AQ9" s="20">
        <v>0.1258760541677475</v>
      </c>
      <c r="AR9" s="14">
        <v>7.3229745030403137E-3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0.73000001907348633</v>
      </c>
      <c r="C10">
        <v>0.22422973811626434</v>
      </c>
      <c r="D10"/>
      <c r="E10"/>
      <c r="F10"/>
      <c r="G10"/>
      <c r="H10"/>
      <c r="I10"/>
      <c r="J10"/>
      <c r="K10" s="221">
        <v>0.11923687905073166</v>
      </c>
      <c r="L10"/>
      <c r="M10"/>
      <c r="N10"/>
      <c r="O10"/>
      <c r="P10"/>
      <c r="Q10"/>
      <c r="R10"/>
      <c r="S10" s="226">
        <v>0.16465666890144348</v>
      </c>
      <c r="T10"/>
      <c r="U10"/>
      <c r="V10"/>
      <c r="W10"/>
      <c r="X10"/>
      <c r="Y10"/>
      <c r="Z10"/>
      <c r="AA10"/>
      <c r="AB10"/>
      <c r="AC10" s="12">
        <v>2.8636029455810785E-3</v>
      </c>
      <c r="AD10"/>
      <c r="AE10" s="26">
        <v>1.8656862899661064E-2</v>
      </c>
      <c r="AF10"/>
      <c r="AG10"/>
      <c r="AH10"/>
      <c r="AI10"/>
      <c r="AJ10"/>
      <c r="AK10"/>
      <c r="AL10" s="71">
        <v>5.1336247473955154E-2</v>
      </c>
      <c r="AM10" s="16">
        <v>1.0750048793852329E-2</v>
      </c>
      <c r="AN10"/>
      <c r="AO10" s="224">
        <v>0.13770177960395813</v>
      </c>
      <c r="AP10" s="11">
        <v>5.6817720178514719E-4</v>
      </c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0.73000001907348633</v>
      </c>
      <c r="C11">
        <v>0.19417397677898407</v>
      </c>
      <c r="D11"/>
      <c r="E11"/>
      <c r="F11"/>
      <c r="G11"/>
      <c r="H11"/>
      <c r="I11" s="144">
        <v>0.18559332191944122</v>
      </c>
      <c r="J11"/>
      <c r="K11"/>
      <c r="L11"/>
      <c r="M11"/>
      <c r="N11"/>
      <c r="O11"/>
      <c r="P11"/>
      <c r="Q11"/>
      <c r="R11"/>
      <c r="S11" s="239">
        <v>8.0090530216693878E-2</v>
      </c>
      <c r="T11" s="11">
        <v>6.0393573949113488E-4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248">
        <v>0.19976355135440826</v>
      </c>
      <c r="AM11"/>
      <c r="AN11" s="238">
        <v>6.9774717092514038E-2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0.87999999523162842</v>
      </c>
      <c r="C12">
        <v>0.35711321234703064</v>
      </c>
      <c r="D12"/>
      <c r="E12"/>
      <c r="F12"/>
      <c r="G12"/>
      <c r="H12"/>
      <c r="I12" s="11">
        <v>3.3348155557177961E-4</v>
      </c>
      <c r="J12"/>
      <c r="K12"/>
      <c r="L12"/>
      <c r="M12"/>
      <c r="N12"/>
      <c r="O12"/>
      <c r="P12"/>
      <c r="Q12"/>
      <c r="R12"/>
      <c r="S12" s="255">
        <v>0.20743761956691742</v>
      </c>
      <c r="T12" s="14">
        <v>2.0835378672927618E-3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251">
        <v>0.12909044325351715</v>
      </c>
      <c r="AM12"/>
      <c r="AN12" s="220">
        <v>2.0100045949220657E-2</v>
      </c>
      <c r="AO12" s="253">
        <v>0.16384163498878479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6.8600001335144043</v>
      </c>
      <c r="C13">
        <v>3.4750945568084717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224">
        <v>1.2950165271759033</v>
      </c>
      <c r="T13" s="14">
        <v>2.009720541536808E-2</v>
      </c>
      <c r="U13"/>
      <c r="V13"/>
      <c r="W13"/>
      <c r="X13"/>
      <c r="Y13"/>
      <c r="Z13"/>
      <c r="AA13"/>
      <c r="AB13" s="11">
        <v>4.8124277964234352E-3</v>
      </c>
      <c r="AC13" s="12">
        <v>2.1994752809405327E-2</v>
      </c>
      <c r="AD13" s="68">
        <v>0.43388178944587708</v>
      </c>
      <c r="AE13" s="13">
        <v>0.260722815990448</v>
      </c>
      <c r="AF13"/>
      <c r="AG13"/>
      <c r="AH13"/>
      <c r="AI13"/>
      <c r="AJ13"/>
      <c r="AK13"/>
      <c r="AL13" s="267">
        <v>0.66972410678863525</v>
      </c>
      <c r="AM13" s="229">
        <v>0.50309038162231445</v>
      </c>
      <c r="AN13" s="15">
        <v>6.1036132276058197E-2</v>
      </c>
      <c r="AO13" s="18">
        <v>8.1231966614723206E-2</v>
      </c>
      <c r="AP13"/>
      <c r="AQ13" s="14">
        <v>1.5251069329679012E-2</v>
      </c>
      <c r="AR13" s="14">
        <v>1.8046187236905098E-2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44</v>
      </c>
      <c r="C14">
        <v>37.856132507324219</v>
      </c>
      <c r="D14"/>
      <c r="E14"/>
      <c r="F14"/>
      <c r="G14"/>
      <c r="H14"/>
      <c r="I14"/>
      <c r="J14"/>
      <c r="K14"/>
      <c r="L14"/>
      <c r="M14"/>
      <c r="N14"/>
      <c r="O14" s="228">
        <v>2.312389612197876</v>
      </c>
      <c r="P14" s="23">
        <v>0.24328368902206421</v>
      </c>
      <c r="Q14" s="230">
        <v>2.1599712371826172</v>
      </c>
      <c r="R14"/>
      <c r="S14"/>
      <c r="T14"/>
      <c r="U14" s="11">
        <v>1.7698638141155243E-2</v>
      </c>
      <c r="V14" s="12">
        <v>0.14485099911689758</v>
      </c>
      <c r="W14" s="24">
        <v>1.2427768707275391</v>
      </c>
      <c r="X14"/>
      <c r="Y14"/>
      <c r="Z14"/>
      <c r="AA14"/>
      <c r="AB14"/>
      <c r="AC14"/>
      <c r="AD14"/>
      <c r="AE14"/>
      <c r="AF14"/>
      <c r="AG14"/>
      <c r="AH14"/>
      <c r="AI14"/>
      <c r="AJ14" s="11">
        <v>1.1222032830119133E-2</v>
      </c>
      <c r="AK14" s="11">
        <v>1.1674401350319386E-2</v>
      </c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24</v>
      </c>
      <c r="C15">
        <v>16.270545959472656</v>
      </c>
      <c r="D15"/>
      <c r="E15" s="14">
        <v>3.8599994033575058E-2</v>
      </c>
      <c r="F15"/>
      <c r="G15"/>
      <c r="H15"/>
      <c r="I15"/>
      <c r="J15"/>
      <c r="K15"/>
      <c r="L15"/>
      <c r="M15"/>
      <c r="N15"/>
      <c r="O15"/>
      <c r="P15"/>
      <c r="Q15"/>
      <c r="R15"/>
      <c r="S15" s="12">
        <v>8.0035336315631866E-2</v>
      </c>
      <c r="T15"/>
      <c r="U15" s="27">
        <v>1.858357310295105</v>
      </c>
      <c r="V15" s="78">
        <v>4.0558285713195801</v>
      </c>
      <c r="W15"/>
      <c r="X15"/>
      <c r="Y15"/>
      <c r="Z15"/>
      <c r="AA15"/>
      <c r="AB15"/>
      <c r="AC15"/>
      <c r="AD15" s="11">
        <v>1.8270640866830945E-3</v>
      </c>
      <c r="AE15" s="11">
        <v>1.2683369277510792E-4</v>
      </c>
      <c r="AF15"/>
      <c r="AG15"/>
      <c r="AH15"/>
      <c r="AI15"/>
      <c r="AJ15" s="26">
        <v>0.62935268878936768</v>
      </c>
      <c r="AK15" s="66">
        <v>0.98205286264419556</v>
      </c>
      <c r="AL15" s="14">
        <v>4.9806762486696243E-2</v>
      </c>
      <c r="AM15"/>
      <c r="AN15"/>
      <c r="AO15" s="14">
        <v>3.34666408598423E-2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20</v>
      </c>
      <c r="C16">
        <v>13.992291450500488</v>
      </c>
      <c r="D16"/>
      <c r="E16" s="11">
        <v>5.5142847122624516E-4</v>
      </c>
      <c r="F16"/>
      <c r="G16"/>
      <c r="H16"/>
      <c r="I16"/>
      <c r="J16"/>
      <c r="K16"/>
      <c r="L16"/>
      <c r="M16"/>
      <c r="N16"/>
      <c r="O16" s="234">
        <v>2.3123898506164551</v>
      </c>
      <c r="P16"/>
      <c r="Q16"/>
      <c r="R16" s="260">
        <v>3.1768913269042969</v>
      </c>
      <c r="S16" s="11">
        <v>1.1433619074523449E-3</v>
      </c>
      <c r="T16"/>
      <c r="U16" s="23">
        <v>0.13273979723453522</v>
      </c>
      <c r="V16" s="19">
        <v>0.3476424515247345</v>
      </c>
      <c r="W16"/>
      <c r="X16"/>
      <c r="Y16"/>
      <c r="Z16"/>
      <c r="AA16"/>
      <c r="AB16"/>
      <c r="AC16"/>
      <c r="AD16" s="11">
        <v>2.6408140547573566E-4</v>
      </c>
      <c r="AE16" s="11">
        <v>2.5910339900292456E-4</v>
      </c>
      <c r="AF16"/>
      <c r="AG16"/>
      <c r="AH16"/>
      <c r="AI16"/>
      <c r="AJ16" s="11">
        <v>1.6865862533450127E-2</v>
      </c>
      <c r="AK16" s="11">
        <v>1.7486553639173508E-2</v>
      </c>
      <c r="AL16"/>
      <c r="AM16"/>
      <c r="AN16" s="11">
        <v>9.9709315691143274E-4</v>
      </c>
      <c r="AO16" s="11">
        <v>4.7809482202865183E-4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1.1499999761581421</v>
      </c>
      <c r="C17">
        <v>3.479587659239769E-2</v>
      </c>
      <c r="D17" s="215">
        <v>0.28493815660476685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22">
        <v>9.7648520022630692E-3</v>
      </c>
      <c r="AC17" s="23">
        <v>7.5771389529109001E-3</v>
      </c>
      <c r="AD17" s="26">
        <v>2.8568807989358902E-2</v>
      </c>
      <c r="AE17" s="225">
        <v>4.6167507767677307E-2</v>
      </c>
      <c r="AF17"/>
      <c r="AG17"/>
      <c r="AH17" s="261">
        <v>0.15892532467842102</v>
      </c>
      <c r="AI17" s="222">
        <v>3.7784121930599213E-2</v>
      </c>
      <c r="AJ17"/>
      <c r="AK17"/>
      <c r="AL17"/>
      <c r="AM17" s="24">
        <v>3.225606307387352E-2</v>
      </c>
      <c r="AN17" s="258">
        <v>0.10147540271282196</v>
      </c>
      <c r="AO17" s="265">
        <v>0.28559890389442444</v>
      </c>
      <c r="AP17" s="14">
        <v>2.1548818331211805E-3</v>
      </c>
      <c r="AQ17" s="236">
        <v>0.10285018384456635</v>
      </c>
      <c r="AR17" s="16">
        <v>1.7142806202173233E-2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0.54750001430511475</v>
      </c>
      <c r="C18">
        <v>2.5459809228777885E-2</v>
      </c>
      <c r="D18"/>
      <c r="E18"/>
      <c r="F18"/>
      <c r="G18" s="64">
        <v>3.0465666204690933E-2</v>
      </c>
      <c r="H18" s="18">
        <v>6.093133706599474E-3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 s="23">
        <v>2.7347658760845661E-3</v>
      </c>
      <c r="AC18" s="69">
        <v>5.0434526056051254E-2</v>
      </c>
      <c r="AD18" s="228">
        <v>2.9007371515035629E-2</v>
      </c>
      <c r="AE18" s="26">
        <v>1.4315106905996799E-2</v>
      </c>
      <c r="AF18"/>
      <c r="AG18"/>
      <c r="AH18" s="235">
        <v>3.7475451827049255E-2</v>
      </c>
      <c r="AI18" s="224">
        <v>0.10359124094247818</v>
      </c>
      <c r="AJ18"/>
      <c r="AK18"/>
      <c r="AL18" s="28">
        <v>1.9719438627362251E-2</v>
      </c>
      <c r="AM18" s="137">
        <v>6.5925456583499908E-2</v>
      </c>
      <c r="AN18" s="77">
        <v>7.7116377651691437E-2</v>
      </c>
      <c r="AO18" s="230">
        <v>2.6414083316922188E-2</v>
      </c>
      <c r="AP18" s="19">
        <v>9.1367205604910851E-3</v>
      </c>
      <c r="AQ18"/>
      <c r="AR18" s="236">
        <v>4.9610860645771027E-2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0.49250000715255737</v>
      </c>
      <c r="C19">
        <v>2.3279683664441109E-2</v>
      </c>
      <c r="D19"/>
      <c r="E19"/>
      <c r="F19" s="22">
        <v>3.802955849096179E-3</v>
      </c>
      <c r="G19" s="218">
        <v>0.11789162456989288</v>
      </c>
      <c r="H19" s="18">
        <v>5.7044336572289467E-3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237">
        <v>6.2956199049949646E-2</v>
      </c>
      <c r="AD19"/>
      <c r="AE19" s="109">
        <v>8.9345984160900116E-2</v>
      </c>
      <c r="AF19"/>
      <c r="AG19"/>
      <c r="AH19"/>
      <c r="AI19" s="12">
        <v>2.1537786815315485E-3</v>
      </c>
      <c r="AJ19"/>
      <c r="AK19"/>
      <c r="AL19" s="230">
        <v>2.4615298956632614E-2</v>
      </c>
      <c r="AM19" s="65">
        <v>1.0281549766659737E-2</v>
      </c>
      <c r="AN19" s="17">
        <v>6.8724704906344414E-3</v>
      </c>
      <c r="AO19" s="108">
        <v>3.29720638692379E-2</v>
      </c>
      <c r="AP19" s="29">
        <v>2.3353399708867073E-2</v>
      </c>
      <c r="AQ19"/>
      <c r="AR19" s="240">
        <v>8.9270561933517456E-2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0.82125002145767212</v>
      </c>
      <c r="C20">
        <v>8.0429628491401672E-2</v>
      </c>
      <c r="D20"/>
      <c r="E20"/>
      <c r="F20"/>
      <c r="G20" s="11">
        <v>5.7504657888785005E-4</v>
      </c>
      <c r="H20" s="14">
        <v>2.3001863155514002E-3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 s="11">
        <v>5.1619339501485229E-4</v>
      </c>
      <c r="AC20" s="18">
        <v>9.5196347683668137E-3</v>
      </c>
      <c r="AD20" s="142">
        <v>4.9570590257644653E-2</v>
      </c>
      <c r="AE20" s="242">
        <v>0.12159042060375214</v>
      </c>
      <c r="AF20"/>
      <c r="AG20"/>
      <c r="AH20" s="18">
        <v>9.0027358382940292E-3</v>
      </c>
      <c r="AI20" s="22">
        <v>6.5176961943507195E-3</v>
      </c>
      <c r="AJ20"/>
      <c r="AK20"/>
      <c r="AL20" s="15">
        <v>7.4200029484927654E-3</v>
      </c>
      <c r="AM20" s="264">
        <v>0.3608379065990448</v>
      </c>
      <c r="AN20" s="252">
        <v>0.1622086763381958</v>
      </c>
      <c r="AO20" s="23">
        <v>4.9857199192047119E-3</v>
      </c>
      <c r="AP20" s="14">
        <v>1.7245772760361433E-3</v>
      </c>
      <c r="AQ20"/>
      <c r="AR20" s="23">
        <v>4.0510413236916065E-3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0.41075000166893005</v>
      </c>
      <c r="C21">
        <v>8.4929041564464569E-2</v>
      </c>
      <c r="D21"/>
      <c r="E21" s="11">
        <v>2.9176115640439093E-4</v>
      </c>
      <c r="F21"/>
      <c r="G21" s="17">
        <v>5.8352230116724968E-3</v>
      </c>
      <c r="H21" s="219">
        <v>8.3443693816661835E-2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220">
        <v>9.659946896135807E-3</v>
      </c>
      <c r="AD21"/>
      <c r="AE21" s="108">
        <v>2.7369178831577301E-2</v>
      </c>
      <c r="AF21"/>
      <c r="AG21"/>
      <c r="AH21"/>
      <c r="AI21" s="11">
        <v>3.304739948362112E-4</v>
      </c>
      <c r="AJ21"/>
      <c r="AK21"/>
      <c r="AL21" s="15">
        <v>3.7769507616758347E-3</v>
      </c>
      <c r="AM21" s="250">
        <v>6.31389319896698E-2</v>
      </c>
      <c r="AN21" s="249">
        <v>3.3764004707336426E-2</v>
      </c>
      <c r="AO21" s="252">
        <v>8.0947287380695343E-2</v>
      </c>
      <c r="AP21" s="25">
        <v>1.2749971821904182E-2</v>
      </c>
      <c r="AQ21"/>
      <c r="AR21" s="18">
        <v>4.5135379768908024E-3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0.82125002145767212</v>
      </c>
      <c r="C22">
        <v>8.5211388766765594E-2</v>
      </c>
      <c r="D22"/>
      <c r="E22"/>
      <c r="F22" s="216">
        <v>0.52636361122131348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 s="15">
        <v>7.874881848692894E-3</v>
      </c>
      <c r="AC22" s="22">
        <v>6.3142823055386543E-3</v>
      </c>
      <c r="AD22"/>
      <c r="AE22" s="15">
        <v>8.2359537482261658E-3</v>
      </c>
      <c r="AF22"/>
      <c r="AG22"/>
      <c r="AH22" s="18">
        <v>9.8102046176791191E-3</v>
      </c>
      <c r="AI22" s="18">
        <v>1.0046164505183697E-2</v>
      </c>
      <c r="AJ22"/>
      <c r="AK22"/>
      <c r="AL22" s="22">
        <v>5.6655150838196278E-3</v>
      </c>
      <c r="AM22" s="234">
        <v>9.4870768487453461E-2</v>
      </c>
      <c r="AN22" s="225">
        <v>3.1711071729660034E-2</v>
      </c>
      <c r="AO22" s="19">
        <v>1.5196893364191055E-2</v>
      </c>
      <c r="AP22" s="14">
        <v>1.2528381776064634E-3</v>
      </c>
      <c r="AQ22" s="19">
        <v>1.5125025995075703E-2</v>
      </c>
      <c r="AR22" s="12">
        <v>3.5714185796678066E-3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0.54750001430511475</v>
      </c>
      <c r="C23">
        <v>2.7734890580177307E-2</v>
      </c>
      <c r="D23"/>
      <c r="E23"/>
      <c r="F23" s="21">
        <v>1.0722223669290543E-2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17">
        <v>7.7174571342766285E-3</v>
      </c>
      <c r="AD23"/>
      <c r="AE23"/>
      <c r="AF23"/>
      <c r="AG23"/>
      <c r="AH23"/>
      <c r="AI23" s="65">
        <v>1.2278646230697632E-2</v>
      </c>
      <c r="AJ23"/>
      <c r="AK23"/>
      <c r="AL23" s="26">
        <v>1.3849037699401379E-2</v>
      </c>
      <c r="AM23" s="243">
        <v>0.3479151725769043</v>
      </c>
      <c r="AN23" s="71">
        <v>3.8757979869842529E-2</v>
      </c>
      <c r="AO23"/>
      <c r="AP23" s="137">
        <v>6.5843619406223297E-2</v>
      </c>
      <c r="AQ23" s="222">
        <v>1.8486145883798599E-2</v>
      </c>
      <c r="AR23" s="22">
        <v>4.1948296129703522E-3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0.82125002145767212</v>
      </c>
      <c r="C24">
        <v>0.29594102501869202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14">
        <v>2.1974553819745779E-3</v>
      </c>
      <c r="AC24" s="65">
        <v>1.7619762569665909E-2</v>
      </c>
      <c r="AD24"/>
      <c r="AE24"/>
      <c r="AF24"/>
      <c r="AG24"/>
      <c r="AH24" s="138">
        <v>0.17793749272823334</v>
      </c>
      <c r="AI24" s="236">
        <v>7.351597398519516E-2</v>
      </c>
      <c r="AJ24"/>
      <c r="AK24"/>
      <c r="AL24"/>
      <c r="AM24"/>
      <c r="AN24"/>
      <c r="AO24" s="26">
        <v>2.1224403753876686E-2</v>
      </c>
      <c r="AP24" s="15">
        <v>7.3415925726294518E-3</v>
      </c>
      <c r="AQ24" s="78">
        <v>0.13927915692329407</v>
      </c>
      <c r="AR24" s="245">
        <v>8.6193174123764038E-2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0.41075000166893005</v>
      </c>
      <c r="C25">
        <v>7.8890556469559669E-3</v>
      </c>
      <c r="D25"/>
      <c r="E25"/>
      <c r="F25"/>
      <c r="G25"/>
      <c r="H25" s="18">
        <v>4.8298300243914127E-3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31">
        <v>3.4763321280479431E-2</v>
      </c>
      <c r="AD25"/>
      <c r="AE25"/>
      <c r="AF25"/>
      <c r="AG25"/>
      <c r="AH25"/>
      <c r="AI25" s="244">
        <v>0.16696396470069885</v>
      </c>
      <c r="AJ25"/>
      <c r="AK25"/>
      <c r="AL25"/>
      <c r="AM25"/>
      <c r="AN25"/>
      <c r="AO25" s="232">
        <v>4.187517985701561E-2</v>
      </c>
      <c r="AP25" s="229">
        <v>2.9659286141395569E-2</v>
      </c>
      <c r="AQ25"/>
      <c r="AR25" s="241">
        <v>0.12476937472820282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0.41075000166893005</v>
      </c>
      <c r="C26">
        <v>5.3248155862092972E-2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23">
        <v>2.0689344964921474E-3</v>
      </c>
      <c r="AC26" s="12">
        <v>1.6589248552918434E-3</v>
      </c>
      <c r="AD26" s="24">
        <v>1.1037887074053288E-2</v>
      </c>
      <c r="AE26" s="26">
        <v>1.0829819366335869E-2</v>
      </c>
      <c r="AF26"/>
      <c r="AG26"/>
      <c r="AH26" s="246">
        <v>8.5053995251655579E-2</v>
      </c>
      <c r="AI26" s="26">
        <v>1.0447745211422443E-2</v>
      </c>
      <c r="AJ26"/>
      <c r="AK26"/>
      <c r="AL26" s="229">
        <v>2.9739821329712868E-2</v>
      </c>
      <c r="AM26" s="247">
        <v>0.11845226585865021</v>
      </c>
      <c r="AN26"/>
      <c r="AO26" s="230">
        <v>1.9983068108558655E-2</v>
      </c>
      <c r="AP26" s="19">
        <v>6.9122104905545712E-3</v>
      </c>
      <c r="AQ26"/>
      <c r="AR26" s="242">
        <v>6.1317171901464462E-2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0.32850000262260437</v>
      </c>
      <c r="C27">
        <v>2.2260723635554314E-2</v>
      </c>
      <c r="D27"/>
      <c r="E27"/>
      <c r="F27" s="217">
        <v>0.16755117475986481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22">
        <v>2.2754170931875706E-3</v>
      </c>
      <c r="AD27"/>
      <c r="AE27" s="227">
        <v>1.4854414388537407E-2</v>
      </c>
      <c r="AF27"/>
      <c r="AG27"/>
      <c r="AH27"/>
      <c r="AI27" s="22">
        <v>2.6858961209654808E-3</v>
      </c>
      <c r="AJ27"/>
      <c r="AK27"/>
      <c r="AL27" s="106">
        <v>4.0791783481836319E-2</v>
      </c>
      <c r="AM27" s="228">
        <v>1.7101053148508072E-2</v>
      </c>
      <c r="AN27"/>
      <c r="AO27" s="231">
        <v>2.7409207075834274E-2</v>
      </c>
      <c r="AP27" s="67">
        <v>1.9413350149989128E-2</v>
      </c>
      <c r="AQ27"/>
      <c r="AR27" s="20">
        <v>1.4156971126794815E-2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0.54750001430511475</v>
      </c>
      <c r="C28">
        <v>7.161780446767807E-2</v>
      </c>
      <c r="D28"/>
      <c r="E28"/>
      <c r="F28"/>
      <c r="G28"/>
      <c r="H28" s="16">
        <v>8.6726602166891098E-3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 s="11">
        <v>3.7975885788910091E-4</v>
      </c>
      <c r="AC28" s="141">
        <v>1.583402045071125E-2</v>
      </c>
      <c r="AD28" s="257">
        <v>5.6728996336460114E-2</v>
      </c>
      <c r="AE28" s="64">
        <v>2.9764186590909958E-2</v>
      </c>
      <c r="AF28"/>
      <c r="AG28"/>
      <c r="AH28" s="250">
        <v>8.373657613992691E-2</v>
      </c>
      <c r="AI28" s="259">
        <v>7.1998380124568939E-2</v>
      </c>
      <c r="AJ28"/>
      <c r="AK28"/>
      <c r="AL28" s="26">
        <v>1.3691539876163006E-2</v>
      </c>
      <c r="AM28" s="262">
        <v>9.7266875207424164E-2</v>
      </c>
      <c r="AN28" s="20">
        <v>2.3714099079370499E-2</v>
      </c>
      <c r="AO28" s="256">
        <v>4.4015385210514069E-2</v>
      </c>
      <c r="AP28" s="14">
        <v>1.298964605666697E-3</v>
      </c>
      <c r="AQ28" s="227">
        <v>2.5163963437080383E-2</v>
      </c>
      <c r="AR28" s="23">
        <v>3.6167947109788656E-3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1.8250000476837158</v>
      </c>
      <c r="C29">
        <v>0.40630784630775452</v>
      </c>
      <c r="D29"/>
      <c r="E29"/>
      <c r="F29" s="69">
        <v>0.16770872473716736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14">
        <v>4.857565276324749E-3</v>
      </c>
      <c r="AD29" s="227">
        <v>8.0801211297512054E-2</v>
      </c>
      <c r="AE29"/>
      <c r="AF29"/>
      <c r="AG29"/>
      <c r="AH29"/>
      <c r="AI29"/>
      <c r="AJ29"/>
      <c r="AK29"/>
      <c r="AL29" s="220">
        <v>4.3541193008422852E-2</v>
      </c>
      <c r="AM29" s="234">
        <v>0.20954619348049164</v>
      </c>
      <c r="AN29" s="143">
        <v>0.45834794640541077</v>
      </c>
      <c r="AO29" s="16">
        <v>2.9256617650389671E-2</v>
      </c>
      <c r="AP29" s="11">
        <v>4.8190300003625453E-4</v>
      </c>
      <c r="AQ29" s="245">
        <v>0.1919882744550705</v>
      </c>
      <c r="AR29" s="237">
        <v>0.23216250538825989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1.3687499761581421</v>
      </c>
      <c r="C30">
        <v>0.77036017179489136</v>
      </c>
      <c r="D30"/>
      <c r="E30"/>
      <c r="F30" s="11">
        <v>5.1058200187981129E-4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 s="14">
        <v>2.2916323505342007E-3</v>
      </c>
      <c r="AC30" s="14">
        <v>1.8374897772446275E-3</v>
      </c>
      <c r="AD30"/>
      <c r="AE30" s="22">
        <v>1.1995529755949974E-2</v>
      </c>
      <c r="AF30"/>
      <c r="AG30"/>
      <c r="AH30"/>
      <c r="AI30"/>
      <c r="AJ30"/>
      <c r="AK30"/>
      <c r="AL30" s="220">
        <v>3.301522508263588E-2</v>
      </c>
      <c r="AM30" s="254">
        <v>0.46946823596954346</v>
      </c>
      <c r="AN30" s="222">
        <v>4.6135213226079941E-2</v>
      </c>
      <c r="AO30" s="16">
        <v>2.2134024649858475E-2</v>
      </c>
      <c r="AP30" s="11">
        <v>3.6458254908211529E-4</v>
      </c>
      <c r="AQ30" s="12">
        <v>4.401463083922863E-3</v>
      </c>
      <c r="AR30" s="12">
        <v>6.2358090654015541E-3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0.23399999737739563</v>
      </c>
      <c r="C31">
        <v>0.22893215715885162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 s="15">
        <v>2.3304864298552275E-3</v>
      </c>
      <c r="AM31"/>
      <c r="AN31"/>
      <c r="AO31" s="23">
        <v>1.5624017687514424E-3</v>
      </c>
      <c r="AP31" s="14">
        <v>5.4044002899900079E-4</v>
      </c>
      <c r="AQ31"/>
      <c r="AR31" s="14">
        <v>6.3450529705733061E-4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0.23399999737739563</v>
      </c>
      <c r="C32">
        <v>0.16847588121891022</v>
      </c>
      <c r="D32"/>
      <c r="E32"/>
      <c r="F32"/>
      <c r="G32" s="29">
        <v>1.0922468267381191E-2</v>
      </c>
      <c r="H32" s="74">
        <v>2.1844936534762383E-2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 s="223">
        <v>3.275671973824501E-2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7.0000000298023224E-2</v>
      </c>
      <c r="C33">
        <v>5.9839680790901184E-2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233">
        <v>1.0160321369767189E-2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9.0000003576278687E-2</v>
      </c>
      <c r="C34">
        <v>8.9492104947566986E-2</v>
      </c>
      <c r="D34"/>
      <c r="E34"/>
      <c r="F34"/>
      <c r="G34"/>
      <c r="H34" s="23">
        <v>5.0789781380444765E-4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0.99781978130340576</v>
      </c>
      <c r="D35"/>
      <c r="E35"/>
      <c r="F35"/>
      <c r="G35"/>
      <c r="H35"/>
      <c r="I35"/>
      <c r="J35"/>
      <c r="K35"/>
      <c r="L35"/>
      <c r="M35"/>
      <c r="N35" s="9">
        <v>48.135971069335938</v>
      </c>
      <c r="O35" s="9">
        <v>3811.849365234375</v>
      </c>
      <c r="P35" s="9">
        <v>2.955519437789917</v>
      </c>
      <c r="Q35" s="9">
        <v>109.90052032470703</v>
      </c>
      <c r="R35"/>
      <c r="S35"/>
      <c r="T35"/>
      <c r="U35"/>
      <c r="V35" s="9">
        <v>0.52536642551422119</v>
      </c>
      <c r="W35" s="9">
        <v>146.38980102539062</v>
      </c>
      <c r="X35"/>
      <c r="Y35"/>
      <c r="Z35"/>
      <c r="AA35"/>
      <c r="AB35"/>
      <c r="AC35"/>
      <c r="AD35"/>
      <c r="AE35"/>
      <c r="AF35"/>
      <c r="AG35"/>
      <c r="AH35"/>
      <c r="AI35"/>
      <c r="AJ35" s="9">
        <v>1.5471399761736393E-2</v>
      </c>
      <c r="AK35" s="9">
        <v>9.0863518416881561E-3</v>
      </c>
      <c r="AL35"/>
      <c r="AM35"/>
      <c r="AN35"/>
      <c r="AO35" s="9">
        <v>1.7338489415124059E-3</v>
      </c>
      <c r="AP35"/>
      <c r="AQ35" s="9">
        <v>9.1377101838588715E-2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/>
      <c r="C36">
        <v>0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4" t="s">
        <v>192</v>
      </c>
      <c r="E5">
        <v>4</v>
      </c>
      <c r="F5">
        <v>2.1</v>
      </c>
      <c r="G5">
        <v>4</v>
      </c>
      <c r="H5" s="195" t="s">
        <v>192</v>
      </c>
      <c r="J5" s="57"/>
      <c r="K5" s="58"/>
    </row>
    <row r="6" spans="1:12" ht="14" thickBot="1" x14ac:dyDescent="0.2">
      <c r="A6" s="41" t="s">
        <v>121</v>
      </c>
      <c r="D6" s="194" t="s">
        <v>193</v>
      </c>
      <c r="E6">
        <v>5</v>
      </c>
      <c r="F6">
        <v>3.11</v>
      </c>
      <c r="G6">
        <v>5</v>
      </c>
      <c r="H6" s="195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4" t="s">
        <v>194</v>
      </c>
      <c r="E7">
        <v>6</v>
      </c>
      <c r="F7">
        <v>3.11</v>
      </c>
      <c r="G7">
        <v>6</v>
      </c>
      <c r="H7" s="195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4" t="s">
        <v>195</v>
      </c>
      <c r="E8">
        <v>7</v>
      </c>
      <c r="F8">
        <v>3.21</v>
      </c>
      <c r="G8">
        <v>7</v>
      </c>
      <c r="H8" s="195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4" t="s">
        <v>196</v>
      </c>
      <c r="E9">
        <v>8</v>
      </c>
      <c r="F9">
        <v>3.21</v>
      </c>
      <c r="G9">
        <v>8</v>
      </c>
      <c r="H9" s="195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4" t="s">
        <v>197</v>
      </c>
      <c r="E10">
        <v>9</v>
      </c>
      <c r="F10">
        <v>3.21</v>
      </c>
      <c r="G10">
        <v>9</v>
      </c>
      <c r="H10" s="195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4" t="s">
        <v>198</v>
      </c>
      <c r="E11">
        <v>10</v>
      </c>
      <c r="F11">
        <v>3.21</v>
      </c>
      <c r="G11">
        <v>10</v>
      </c>
      <c r="H11" s="195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4" t="s">
        <v>199</v>
      </c>
      <c r="E12">
        <v>11</v>
      </c>
      <c r="F12">
        <v>3.2</v>
      </c>
      <c r="G12">
        <v>11</v>
      </c>
      <c r="H12" s="195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4" t="s">
        <v>200</v>
      </c>
      <c r="E13">
        <v>12</v>
      </c>
      <c r="F13">
        <v>3.21</v>
      </c>
      <c r="G13">
        <v>12</v>
      </c>
      <c r="H13" s="195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4" t="s">
        <v>201</v>
      </c>
      <c r="E14">
        <v>13</v>
      </c>
      <c r="F14">
        <v>3.21</v>
      </c>
      <c r="G14">
        <v>13</v>
      </c>
      <c r="H14" s="195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4" t="s">
        <v>202</v>
      </c>
      <c r="E15">
        <v>14</v>
      </c>
      <c r="F15">
        <v>3.2</v>
      </c>
      <c r="G15">
        <v>14</v>
      </c>
      <c r="H15" s="195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4" t="s">
        <v>203</v>
      </c>
      <c r="E16">
        <v>15</v>
      </c>
      <c r="F16">
        <v>3.2</v>
      </c>
      <c r="G16">
        <v>15</v>
      </c>
      <c r="H16" s="195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4" t="s">
        <v>204</v>
      </c>
      <c r="E17">
        <v>16</v>
      </c>
      <c r="F17">
        <v>2.21</v>
      </c>
      <c r="G17">
        <v>16</v>
      </c>
      <c r="H17" s="195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4" t="s">
        <v>205</v>
      </c>
      <c r="E18">
        <v>17</v>
      </c>
      <c r="F18">
        <v>2.2200000000000002</v>
      </c>
      <c r="G18">
        <v>17</v>
      </c>
      <c r="H18" s="195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4" t="s">
        <v>206</v>
      </c>
      <c r="E19">
        <v>18</v>
      </c>
      <c r="F19">
        <v>2.2200000000000002</v>
      </c>
      <c r="G19">
        <v>18</v>
      </c>
      <c r="H19" s="195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4" t="s">
        <v>207</v>
      </c>
      <c r="E20">
        <v>19</v>
      </c>
      <c r="F20">
        <v>3.14</v>
      </c>
      <c r="G20">
        <v>19</v>
      </c>
      <c r="H20" s="195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4" t="s">
        <v>208</v>
      </c>
      <c r="E21">
        <v>20</v>
      </c>
      <c r="F21">
        <v>3.24</v>
      </c>
      <c r="G21">
        <v>20</v>
      </c>
      <c r="H21" s="195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4" t="s">
        <v>209</v>
      </c>
      <c r="E22">
        <v>21</v>
      </c>
      <c r="F22">
        <v>3.24</v>
      </c>
      <c r="G22">
        <v>21</v>
      </c>
      <c r="H22" s="195" t="s">
        <v>209</v>
      </c>
    </row>
    <row r="23" spans="1:12" x14ac:dyDescent="0.15">
      <c r="A23" s="36" t="s">
        <v>129</v>
      </c>
      <c r="B23" s="44">
        <v>4</v>
      </c>
      <c r="C23" s="38"/>
      <c r="D23" s="194" t="s">
        <v>210</v>
      </c>
      <c r="E23">
        <v>22</v>
      </c>
      <c r="F23">
        <v>3.24</v>
      </c>
      <c r="G23">
        <v>22</v>
      </c>
      <c r="H23" s="195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4" t="s">
        <v>211</v>
      </c>
      <c r="E24">
        <v>23</v>
      </c>
      <c r="F24">
        <v>3.24</v>
      </c>
      <c r="G24">
        <v>23</v>
      </c>
      <c r="H24" s="195" t="s">
        <v>211</v>
      </c>
    </row>
    <row r="25" spans="1:12" x14ac:dyDescent="0.15">
      <c r="A25" s="36" t="s">
        <v>70</v>
      </c>
      <c r="B25" s="44">
        <v>4.2</v>
      </c>
      <c r="C25" s="38"/>
      <c r="D25" s="194" t="s">
        <v>212</v>
      </c>
      <c r="E25">
        <v>24</v>
      </c>
      <c r="F25">
        <v>3.14</v>
      </c>
      <c r="G25">
        <v>24</v>
      </c>
      <c r="H25" s="195" t="s">
        <v>212</v>
      </c>
    </row>
    <row r="26" spans="1:12" x14ac:dyDescent="0.15">
      <c r="A26" s="36" t="s">
        <v>123</v>
      </c>
      <c r="B26" s="44">
        <v>4.3</v>
      </c>
      <c r="C26" s="38"/>
      <c r="D26" s="194" t="s">
        <v>213</v>
      </c>
      <c r="E26">
        <v>25</v>
      </c>
      <c r="F26">
        <v>3.14</v>
      </c>
      <c r="G26">
        <v>25</v>
      </c>
      <c r="H26" s="195" t="s">
        <v>213</v>
      </c>
    </row>
    <row r="27" spans="1:12" x14ac:dyDescent="0.15">
      <c r="A27" s="36" t="s">
        <v>125</v>
      </c>
      <c r="B27" s="44">
        <v>6.1</v>
      </c>
      <c r="D27" s="194" t="s">
        <v>214</v>
      </c>
      <c r="E27">
        <v>26</v>
      </c>
      <c r="F27">
        <v>3.14</v>
      </c>
      <c r="G27">
        <v>26</v>
      </c>
      <c r="H27" s="195" t="s">
        <v>214</v>
      </c>
    </row>
    <row r="28" spans="1:12" x14ac:dyDescent="0.15">
      <c r="A28" s="36" t="s">
        <v>124</v>
      </c>
      <c r="B28" s="44">
        <v>6.2</v>
      </c>
      <c r="D28" s="194" t="s">
        <v>215</v>
      </c>
      <c r="E28">
        <v>27</v>
      </c>
      <c r="F28">
        <v>3</v>
      </c>
      <c r="G28">
        <v>27</v>
      </c>
      <c r="H28" s="195" t="s">
        <v>215</v>
      </c>
    </row>
    <row r="29" spans="1:12" x14ac:dyDescent="0.15">
      <c r="A29" s="36" t="s">
        <v>44</v>
      </c>
      <c r="B29" s="44">
        <v>5</v>
      </c>
      <c r="D29" s="194" t="s">
        <v>216</v>
      </c>
      <c r="E29">
        <v>28</v>
      </c>
      <c r="F29">
        <v>3.14</v>
      </c>
      <c r="G29">
        <v>28</v>
      </c>
      <c r="H29" s="195" t="s">
        <v>216</v>
      </c>
    </row>
    <row r="30" spans="1:12" x14ac:dyDescent="0.15">
      <c r="A30" s="36" t="s">
        <v>73</v>
      </c>
      <c r="B30" s="44">
        <v>7</v>
      </c>
      <c r="D30" s="194" t="s">
        <v>217</v>
      </c>
      <c r="E30">
        <v>29</v>
      </c>
      <c r="F30">
        <v>3.14</v>
      </c>
      <c r="G30">
        <v>29</v>
      </c>
      <c r="H30" s="195" t="s">
        <v>217</v>
      </c>
    </row>
    <row r="31" spans="1:12" x14ac:dyDescent="0.15">
      <c r="A31" s="36" t="s">
        <v>169</v>
      </c>
      <c r="B31" s="44">
        <v>3.14</v>
      </c>
      <c r="D31" s="194" t="s">
        <v>218</v>
      </c>
      <c r="E31">
        <v>30</v>
      </c>
      <c r="F31">
        <v>3.24</v>
      </c>
      <c r="G31">
        <v>30</v>
      </c>
      <c r="H31" s="195" t="s">
        <v>218</v>
      </c>
    </row>
    <row r="32" spans="1:12" ht="12" customHeight="1" thickBot="1" x14ac:dyDescent="0.2">
      <c r="A32" s="42" t="s">
        <v>170</v>
      </c>
      <c r="B32" s="45">
        <v>9</v>
      </c>
      <c r="D32" s="194" t="s">
        <v>219</v>
      </c>
      <c r="E32">
        <v>31</v>
      </c>
      <c r="F32">
        <v>3.13</v>
      </c>
      <c r="G32">
        <v>31</v>
      </c>
      <c r="H32" s="195" t="s">
        <v>219</v>
      </c>
    </row>
    <row r="33" spans="4:8" customFormat="1" ht="12" customHeight="1" x14ac:dyDescent="0.15">
      <c r="D33" s="194" t="s">
        <v>220</v>
      </c>
      <c r="E33">
        <v>32</v>
      </c>
      <c r="F33">
        <v>3.13</v>
      </c>
      <c r="G33">
        <v>32</v>
      </c>
      <c r="H33" s="195" t="s">
        <v>220</v>
      </c>
    </row>
    <row r="34" spans="4:8" customFormat="1" ht="12" customHeight="1" x14ac:dyDescent="0.15">
      <c r="D34" s="194" t="s">
        <v>221</v>
      </c>
      <c r="E34">
        <v>33</v>
      </c>
      <c r="F34">
        <v>3.24</v>
      </c>
      <c r="G34">
        <v>33</v>
      </c>
      <c r="H34" s="195" t="s">
        <v>221</v>
      </c>
    </row>
    <row r="35" spans="4:8" customFormat="1" x14ac:dyDescent="0.15">
      <c r="D35" s="194" t="s">
        <v>222</v>
      </c>
      <c r="E35">
        <v>34</v>
      </c>
      <c r="F35">
        <v>3.14</v>
      </c>
      <c r="G35">
        <v>34</v>
      </c>
      <c r="H35" s="195" t="s">
        <v>222</v>
      </c>
    </row>
    <row r="36" spans="4:8" customFormat="1" x14ac:dyDescent="0.15">
      <c r="D36" s="194" t="s">
        <v>223</v>
      </c>
      <c r="E36">
        <v>35</v>
      </c>
      <c r="F36">
        <v>3.16</v>
      </c>
      <c r="G36">
        <v>35</v>
      </c>
      <c r="H36" s="195" t="s">
        <v>223</v>
      </c>
    </row>
    <row r="37" spans="4:8" customFormat="1" ht="12" customHeight="1" x14ac:dyDescent="0.15">
      <c r="D37" s="194" t="s">
        <v>224</v>
      </c>
      <c r="E37">
        <v>36</v>
      </c>
      <c r="F37">
        <v>3.16</v>
      </c>
      <c r="G37">
        <v>36</v>
      </c>
      <c r="H37" s="195" t="s">
        <v>224</v>
      </c>
    </row>
    <row r="38" spans="4:8" customFormat="1" x14ac:dyDescent="0.15">
      <c r="D38" s="194" t="s">
        <v>225</v>
      </c>
      <c r="E38">
        <v>37</v>
      </c>
      <c r="F38">
        <v>4.0999999999999996</v>
      </c>
      <c r="G38">
        <v>37</v>
      </c>
      <c r="H38" s="195" t="s">
        <v>225</v>
      </c>
    </row>
    <row r="39" spans="4:8" customFormat="1" x14ac:dyDescent="0.15">
      <c r="D39" s="194" t="s">
        <v>226</v>
      </c>
      <c r="E39">
        <v>38</v>
      </c>
      <c r="F39">
        <v>4.3</v>
      </c>
      <c r="G39">
        <v>38</v>
      </c>
      <c r="H39" s="195" t="s">
        <v>226</v>
      </c>
    </row>
    <row r="40" spans="4:8" customFormat="1" x14ac:dyDescent="0.15">
      <c r="D40" s="194" t="s">
        <v>227</v>
      </c>
      <c r="E40">
        <v>39</v>
      </c>
      <c r="F40">
        <v>5</v>
      </c>
      <c r="G40">
        <v>39</v>
      </c>
      <c r="H40" s="195" t="s">
        <v>227</v>
      </c>
    </row>
    <row r="41" spans="4:8" customFormat="1" x14ac:dyDescent="0.15">
      <c r="D41" s="194" t="s">
        <v>228</v>
      </c>
      <c r="E41">
        <v>40</v>
      </c>
      <c r="F41">
        <v>5</v>
      </c>
      <c r="G41">
        <v>40</v>
      </c>
      <c r="H41" s="195" t="s">
        <v>228</v>
      </c>
    </row>
    <row r="42" spans="4:8" customFormat="1" x14ac:dyDescent="0.15">
      <c r="D42" s="194" t="s">
        <v>229</v>
      </c>
      <c r="E42">
        <v>41</v>
      </c>
      <c r="F42">
        <v>5</v>
      </c>
      <c r="G42">
        <v>41</v>
      </c>
      <c r="H42" s="195" t="s">
        <v>229</v>
      </c>
    </row>
    <row r="43" spans="4:8" customFormat="1" x14ac:dyDescent="0.15">
      <c r="D43" s="194" t="s">
        <v>230</v>
      </c>
      <c r="E43">
        <v>42</v>
      </c>
      <c r="F43">
        <v>5</v>
      </c>
      <c r="G43">
        <v>42</v>
      </c>
      <c r="H43" s="195" t="s">
        <v>230</v>
      </c>
    </row>
    <row r="44" spans="4:8" customFormat="1" x14ac:dyDescent="0.15">
      <c r="D44" s="194" t="s">
        <v>231</v>
      </c>
      <c r="E44">
        <v>43</v>
      </c>
      <c r="F44">
        <v>5</v>
      </c>
      <c r="G44">
        <v>43</v>
      </c>
      <c r="H44" s="195" t="s">
        <v>231</v>
      </c>
    </row>
    <row r="45" spans="4:8" customFormat="1" x14ac:dyDescent="0.15">
      <c r="D45" s="194" t="s">
        <v>232</v>
      </c>
      <c r="E45">
        <v>44</v>
      </c>
      <c r="F45">
        <v>5</v>
      </c>
      <c r="G45">
        <v>44</v>
      </c>
      <c r="H45" s="195" t="s">
        <v>232</v>
      </c>
    </row>
    <row r="46" spans="4:8" customFormat="1" x14ac:dyDescent="0.15">
      <c r="D46" s="194" t="s">
        <v>233</v>
      </c>
      <c r="E46">
        <v>45</v>
      </c>
      <c r="F46">
        <v>5</v>
      </c>
      <c r="G46">
        <v>45</v>
      </c>
      <c r="H46" s="195" t="s">
        <v>233</v>
      </c>
    </row>
    <row r="47" spans="4:8" customFormat="1" x14ac:dyDescent="0.15">
      <c r="D47" s="194" t="s">
        <v>234</v>
      </c>
      <c r="E47">
        <v>46</v>
      </c>
      <c r="F47">
        <v>5</v>
      </c>
      <c r="G47">
        <v>46</v>
      </c>
      <c r="H47" s="195" t="s">
        <v>234</v>
      </c>
    </row>
    <row r="48" spans="4:8" customFormat="1" x14ac:dyDescent="0.15">
      <c r="D48" s="194" t="s">
        <v>138</v>
      </c>
      <c r="E48">
        <v>47</v>
      </c>
      <c r="F48">
        <v>6.1</v>
      </c>
      <c r="G48">
        <v>47</v>
      </c>
      <c r="H48" s="195" t="s">
        <v>138</v>
      </c>
    </row>
    <row r="49" spans="4:8" customFormat="1" x14ac:dyDescent="0.15">
      <c r="D49" s="194" t="s">
        <v>45</v>
      </c>
      <c r="E49">
        <v>48</v>
      </c>
      <c r="F49">
        <v>6.2</v>
      </c>
      <c r="G49">
        <v>48</v>
      </c>
      <c r="H49" s="195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7" style="84" bestFit="1" customWidth="1"/>
    <col min="2" max="2" width="14.83203125" style="83" customWidth="1"/>
    <col min="3" max="3" width="17" style="83" customWidth="1"/>
    <col min="4" max="4" width="9.83203125" style="83" customWidth="1"/>
    <col min="5" max="5" width="14.83203125" style="83" customWidth="1"/>
    <col min="6" max="6" width="21.66406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5"/>
      <c r="Q1" s="85" t="s">
        <v>50</v>
      </c>
      <c r="R1" s="70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11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11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96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  <c r="L6" s="83">
        <v>0</v>
      </c>
      <c r="M6" s="83">
        <v>1</v>
      </c>
      <c r="N6" s="83">
        <v>0</v>
      </c>
      <c r="O6" s="83">
        <v>0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196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0.62004380143279281</v>
      </c>
      <c r="C8" s="197" t="s">
        <v>192</v>
      </c>
      <c r="D8" s="87" t="s">
        <v>160</v>
      </c>
      <c r="F8" s="196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5" t="s">
        <v>168</v>
      </c>
      <c r="B9" s="94">
        <v>0.25982796056794466</v>
      </c>
      <c r="C9" s="197" t="s">
        <v>204</v>
      </c>
      <c r="D9" s="87" t="s">
        <v>160</v>
      </c>
      <c r="F9" s="196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>
        <v>2.0246332356829116E-3</v>
      </c>
      <c r="C10" s="197" t="s">
        <v>205</v>
      </c>
      <c r="D10" s="87" t="s">
        <v>160</v>
      </c>
      <c r="F10" s="196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>
        <v>0.11810360476357958</v>
      </c>
      <c r="C11" s="197" t="s">
        <v>206</v>
      </c>
      <c r="D11" s="87" t="s">
        <v>160</v>
      </c>
      <c r="F11" s="196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7"/>
      <c r="D12" s="87" t="s">
        <v>160</v>
      </c>
      <c r="F12" s="196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7"/>
      <c r="D13" s="87" t="s">
        <v>160</v>
      </c>
      <c r="F13" s="196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96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1</v>
      </c>
      <c r="M14" s="83">
        <v>0</v>
      </c>
      <c r="N14" s="83">
        <v>1</v>
      </c>
      <c r="O14" s="83">
        <v>0</v>
      </c>
      <c r="P14" s="72">
        <v>1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96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96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96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196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0</v>
      </c>
      <c r="L18" s="83">
        <v>0</v>
      </c>
      <c r="M18" s="83">
        <v>1</v>
      </c>
      <c r="N18" s="83">
        <v>0</v>
      </c>
      <c r="O18" s="83">
        <v>0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0.62004380143279281</v>
      </c>
      <c r="C19" s="198" t="s">
        <v>192</v>
      </c>
      <c r="D19" s="87" t="s">
        <v>160</v>
      </c>
      <c r="F19" s="196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0</v>
      </c>
      <c r="L19" s="83">
        <v>0</v>
      </c>
      <c r="M19" s="83">
        <v>1</v>
      </c>
      <c r="N19" s="83">
        <v>0</v>
      </c>
      <c r="O19" s="83">
        <v>0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5" t="s">
        <v>168</v>
      </c>
      <c r="B20" s="94">
        <v>0.25982796056794466</v>
      </c>
      <c r="C20" s="198" t="s">
        <v>204</v>
      </c>
      <c r="D20" s="87" t="s">
        <v>160</v>
      </c>
      <c r="F20" s="196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0</v>
      </c>
      <c r="L20" s="83">
        <v>0</v>
      </c>
      <c r="M20" s="83">
        <v>1</v>
      </c>
      <c r="N20" s="83">
        <v>0</v>
      </c>
      <c r="O20" s="83">
        <v>0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>
        <v>2.0246332356829116E-3</v>
      </c>
      <c r="C21" s="198" t="s">
        <v>205</v>
      </c>
      <c r="D21" s="87" t="s">
        <v>160</v>
      </c>
      <c r="F21" s="196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>
        <v>0.11810360476357958</v>
      </c>
      <c r="C22" s="198" t="s">
        <v>206</v>
      </c>
      <c r="D22" s="87" t="s">
        <v>160</v>
      </c>
      <c r="F22" s="196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7"/>
      <c r="D23" s="87" t="s">
        <v>160</v>
      </c>
      <c r="F23" s="196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7"/>
      <c r="D24" s="87" t="s">
        <v>160</v>
      </c>
      <c r="F24" s="196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96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96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96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96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196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196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6"/>
      <c r="B31" s="134" t="s">
        <v>17</v>
      </c>
      <c r="C31" s="134" t="s">
        <v>1</v>
      </c>
      <c r="D31" s="134" t="s">
        <v>161</v>
      </c>
      <c r="E31" s="135" t="s">
        <v>163</v>
      </c>
      <c r="F31" s="196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199" t="s">
        <v>192</v>
      </c>
      <c r="B32" s="95">
        <v>7.6165799999999999</v>
      </c>
      <c r="C32" s="95">
        <v>250</v>
      </c>
      <c r="D32" s="95">
        <v>1904.145</v>
      </c>
      <c r="E32" s="127">
        <v>0.62004380143279281</v>
      </c>
      <c r="F32" s="196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199" t="s">
        <v>204</v>
      </c>
      <c r="B33" s="95">
        <v>18.134720000000002</v>
      </c>
      <c r="C33" s="95">
        <v>44</v>
      </c>
      <c r="D33" s="95">
        <v>797.92768000000001</v>
      </c>
      <c r="E33" s="127">
        <v>0.25982796056794466</v>
      </c>
      <c r="F33" s="196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99" t="s">
        <v>205</v>
      </c>
      <c r="B34" s="95">
        <v>0.2590674</v>
      </c>
      <c r="C34" s="95">
        <v>24</v>
      </c>
      <c r="D34" s="95">
        <v>6.2176176000000005</v>
      </c>
      <c r="E34" s="127">
        <v>2.0246332356829116E-3</v>
      </c>
      <c r="F34" s="196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99" t="s">
        <v>206</v>
      </c>
      <c r="B35" s="95">
        <v>18.134717899999998</v>
      </c>
      <c r="C35" s="95">
        <v>20</v>
      </c>
      <c r="D35" s="95">
        <v>362.69435799999997</v>
      </c>
      <c r="E35" s="127">
        <v>0.11810360476357958</v>
      </c>
      <c r="F35" s="196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2">
        <v>0</v>
      </c>
      <c r="Q35" s="83">
        <v>0</v>
      </c>
      <c r="R35" s="73">
        <v>1</v>
      </c>
      <c r="S35"/>
      <c r="T35"/>
    </row>
    <row r="36" spans="1:20" ht="15" customHeight="1" x14ac:dyDescent="0.15">
      <c r="A36" s="128"/>
      <c r="B36" s="95"/>
      <c r="C36" s="95"/>
      <c r="D36" s="95"/>
      <c r="E36" s="127"/>
      <c r="F36" s="196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28"/>
      <c r="B37" s="95"/>
      <c r="C37" s="95"/>
      <c r="D37" s="95"/>
      <c r="E37" s="127"/>
      <c r="F37" s="196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29"/>
      <c r="B38" s="95"/>
      <c r="C38" s="95"/>
      <c r="D38" s="95"/>
      <c r="E38" s="127"/>
      <c r="F38" s="196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29"/>
      <c r="B39" s="95"/>
      <c r="C39" s="95"/>
      <c r="D39" s="95"/>
      <c r="E39" s="127"/>
      <c r="F39" s="196" t="s">
        <v>225</v>
      </c>
      <c r="G39" s="83">
        <v>0</v>
      </c>
      <c r="H39" s="83">
        <v>0</v>
      </c>
      <c r="I39" s="83">
        <v>0</v>
      </c>
      <c r="J39" s="83">
        <v>0</v>
      </c>
      <c r="K39" s="83">
        <v>0</v>
      </c>
      <c r="L39" s="83">
        <v>1</v>
      </c>
      <c r="M39" s="83">
        <v>0</v>
      </c>
      <c r="N39" s="83">
        <v>1</v>
      </c>
      <c r="O39" s="83">
        <v>0</v>
      </c>
      <c r="P39" s="72">
        <v>1</v>
      </c>
      <c r="Q39" s="83">
        <v>0</v>
      </c>
      <c r="R39" s="73">
        <v>1</v>
      </c>
      <c r="S39"/>
      <c r="T39"/>
    </row>
    <row r="40" spans="1:20" ht="15" customHeight="1" x14ac:dyDescent="0.15">
      <c r="A40" s="129"/>
      <c r="B40" s="95"/>
      <c r="C40" s="95"/>
      <c r="D40" s="95"/>
      <c r="E40" s="127"/>
      <c r="F40" s="196" t="s">
        <v>226</v>
      </c>
      <c r="G40" s="83">
        <v>0</v>
      </c>
      <c r="H40" s="83">
        <v>0</v>
      </c>
      <c r="I40" s="83">
        <v>0</v>
      </c>
      <c r="J40" s="83">
        <v>0</v>
      </c>
      <c r="K40" s="83">
        <v>0</v>
      </c>
      <c r="L40" s="83">
        <v>1</v>
      </c>
      <c r="M40" s="83">
        <v>0</v>
      </c>
      <c r="N40" s="83">
        <v>1</v>
      </c>
      <c r="O40" s="83">
        <v>0</v>
      </c>
      <c r="P40" s="72">
        <v>1</v>
      </c>
      <c r="Q40" s="83">
        <v>0</v>
      </c>
      <c r="R40" s="73">
        <v>1</v>
      </c>
      <c r="S40"/>
      <c r="T40"/>
    </row>
    <row r="41" spans="1:20" ht="15" customHeight="1" thickBot="1" x14ac:dyDescent="0.2">
      <c r="A41" s="129"/>
      <c r="B41" s="95"/>
      <c r="C41" s="95"/>
      <c r="D41" s="96"/>
      <c r="E41" s="130"/>
      <c r="F41" s="196" t="s">
        <v>227</v>
      </c>
      <c r="G41" s="83">
        <v>0</v>
      </c>
      <c r="H41" s="83">
        <v>0</v>
      </c>
      <c r="I41" s="83">
        <v>0</v>
      </c>
      <c r="J41" s="83">
        <v>0</v>
      </c>
      <c r="K41" s="83">
        <v>0</v>
      </c>
      <c r="L41" s="83">
        <v>1</v>
      </c>
      <c r="M41" s="83">
        <v>0</v>
      </c>
      <c r="N41" s="83">
        <v>0</v>
      </c>
      <c r="O41" s="83">
        <v>0</v>
      </c>
      <c r="P41" s="72">
        <v>0</v>
      </c>
      <c r="Q41" s="83">
        <v>0</v>
      </c>
      <c r="R41" s="73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3070.9846556000002</v>
      </c>
      <c r="E42" s="133">
        <f>SUM(E32:E41)</f>
        <v>1</v>
      </c>
      <c r="F42" s="196" t="s">
        <v>228</v>
      </c>
      <c r="G42" s="83">
        <v>0</v>
      </c>
      <c r="H42" s="83">
        <v>0</v>
      </c>
      <c r="I42" s="83">
        <v>0</v>
      </c>
      <c r="J42" s="83">
        <v>0</v>
      </c>
      <c r="K42" s="83">
        <v>0</v>
      </c>
      <c r="L42" s="83">
        <v>1</v>
      </c>
      <c r="M42" s="83">
        <v>0</v>
      </c>
      <c r="N42" s="83">
        <v>0</v>
      </c>
      <c r="O42" s="83">
        <v>0</v>
      </c>
      <c r="P42" s="72">
        <v>0</v>
      </c>
      <c r="Q42" s="83">
        <v>0</v>
      </c>
      <c r="R42" s="73">
        <v>1</v>
      </c>
      <c r="S42"/>
      <c r="T42"/>
    </row>
    <row r="43" spans="1:20" ht="15" customHeight="1" x14ac:dyDescent="0.15">
      <c r="A43" s="83"/>
      <c r="F43" s="196" t="s">
        <v>229</v>
      </c>
      <c r="G43" s="83">
        <v>0</v>
      </c>
      <c r="H43" s="83">
        <v>0</v>
      </c>
      <c r="I43" s="83">
        <v>0</v>
      </c>
      <c r="J43" s="83">
        <v>0</v>
      </c>
      <c r="K43" s="83">
        <v>0</v>
      </c>
      <c r="L43" s="83">
        <v>1</v>
      </c>
      <c r="M43" s="83">
        <v>0</v>
      </c>
      <c r="N43" s="83">
        <v>0</v>
      </c>
      <c r="O43" s="83">
        <v>0</v>
      </c>
      <c r="P43" s="72">
        <v>0</v>
      </c>
      <c r="Q43" s="83">
        <v>0</v>
      </c>
      <c r="R43" s="73">
        <v>1</v>
      </c>
      <c r="S43"/>
      <c r="T43"/>
    </row>
    <row r="44" spans="1:20" ht="15" customHeight="1" x14ac:dyDescent="0.15">
      <c r="A44" s="83"/>
      <c r="F44" s="196" t="s">
        <v>230</v>
      </c>
      <c r="G44" s="83">
        <v>0</v>
      </c>
      <c r="H44" s="83">
        <v>0</v>
      </c>
      <c r="I44" s="83">
        <v>0</v>
      </c>
      <c r="J44" s="83">
        <v>0</v>
      </c>
      <c r="K44" s="83">
        <v>0</v>
      </c>
      <c r="L44" s="83">
        <v>1</v>
      </c>
      <c r="M44" s="83">
        <v>0</v>
      </c>
      <c r="N44" s="83">
        <v>0</v>
      </c>
      <c r="O44" s="83">
        <v>0</v>
      </c>
      <c r="P44" s="72">
        <v>0</v>
      </c>
      <c r="Q44" s="83">
        <v>0</v>
      </c>
      <c r="R44" s="73">
        <v>1</v>
      </c>
    </row>
    <row r="45" spans="1:20" ht="15" customHeight="1" x14ac:dyDescent="0.15">
      <c r="A45" s="83"/>
      <c r="F45" s="196" t="s">
        <v>231</v>
      </c>
      <c r="G45" s="83">
        <v>0</v>
      </c>
      <c r="H45" s="83">
        <v>0</v>
      </c>
      <c r="I45" s="83">
        <v>0</v>
      </c>
      <c r="J45" s="83">
        <v>0</v>
      </c>
      <c r="K45" s="83">
        <v>0</v>
      </c>
      <c r="L45" s="83">
        <v>1</v>
      </c>
      <c r="M45" s="83">
        <v>0</v>
      </c>
      <c r="N45" s="83">
        <v>0</v>
      </c>
      <c r="O45" s="83">
        <v>0</v>
      </c>
      <c r="P45" s="72">
        <v>0</v>
      </c>
      <c r="Q45" s="83">
        <v>0</v>
      </c>
      <c r="R45" s="73">
        <v>1</v>
      </c>
    </row>
    <row r="46" spans="1:20" ht="15" customHeight="1" x14ac:dyDescent="0.15">
      <c r="A46" s="83"/>
      <c r="F46" s="196" t="s">
        <v>232</v>
      </c>
      <c r="G46" s="83">
        <v>0</v>
      </c>
      <c r="H46" s="83">
        <v>0</v>
      </c>
      <c r="I46" s="83">
        <v>0</v>
      </c>
      <c r="J46" s="83">
        <v>0</v>
      </c>
      <c r="K46" s="83">
        <v>0</v>
      </c>
      <c r="L46" s="83">
        <v>1</v>
      </c>
      <c r="M46" s="83">
        <v>0</v>
      </c>
      <c r="N46" s="83">
        <v>0</v>
      </c>
      <c r="O46" s="83">
        <v>0</v>
      </c>
      <c r="P46" s="72">
        <v>0</v>
      </c>
      <c r="Q46" s="83">
        <v>0</v>
      </c>
      <c r="R46" s="73">
        <v>1</v>
      </c>
    </row>
    <row r="47" spans="1:20" ht="15" customHeight="1" x14ac:dyDescent="0.15">
      <c r="A47" s="83"/>
      <c r="F47" s="196" t="s">
        <v>233</v>
      </c>
      <c r="G47" s="83">
        <v>0</v>
      </c>
      <c r="H47" s="83">
        <v>0</v>
      </c>
      <c r="I47" s="83">
        <v>0</v>
      </c>
      <c r="J47" s="83">
        <v>0</v>
      </c>
      <c r="K47" s="83">
        <v>0</v>
      </c>
      <c r="L47" s="83">
        <v>1</v>
      </c>
      <c r="M47" s="83">
        <v>0</v>
      </c>
      <c r="N47" s="83">
        <v>0</v>
      </c>
      <c r="O47" s="83">
        <v>0</v>
      </c>
      <c r="P47" s="72">
        <v>0</v>
      </c>
      <c r="Q47" s="83">
        <v>0</v>
      </c>
      <c r="R47" s="73">
        <v>1</v>
      </c>
    </row>
    <row r="48" spans="1:20" ht="15" customHeight="1" x14ac:dyDescent="0.15">
      <c r="A48" s="83"/>
      <c r="F48" s="196" t="s">
        <v>234</v>
      </c>
      <c r="G48" s="83">
        <v>0</v>
      </c>
      <c r="H48" s="83">
        <v>0</v>
      </c>
      <c r="I48" s="83">
        <v>0</v>
      </c>
      <c r="J48" s="83">
        <v>0</v>
      </c>
      <c r="K48" s="83">
        <v>0</v>
      </c>
      <c r="L48" s="83">
        <v>1</v>
      </c>
      <c r="M48" s="83">
        <v>0</v>
      </c>
      <c r="N48" s="83">
        <v>0</v>
      </c>
      <c r="O48" s="83">
        <v>0</v>
      </c>
      <c r="P48" s="72">
        <v>0</v>
      </c>
      <c r="Q48" s="83">
        <v>0</v>
      </c>
      <c r="R48" s="73">
        <v>1</v>
      </c>
    </row>
    <row r="49" spans="6:18" s="8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1" customWidth="1"/>
    <col min="3" max="5" width="7.83203125" style="111" customWidth="1"/>
    <col min="6" max="8" width="8.83203125" style="6"/>
    <col min="9" max="9" width="13.1640625" style="6" customWidth="1"/>
    <col min="10" max="11" width="16.5" style="6" customWidth="1"/>
    <col min="12" max="12" width="14.83203125" style="6" customWidth="1"/>
    <col min="13" max="13" width="19.5" style="6" customWidth="1"/>
    <col min="14" max="14" width="12.6640625" style="6" customWidth="1"/>
    <col min="15" max="15" width="12.33203125" style="6" customWidth="1"/>
    <col min="16" max="16" width="13.1640625" style="6" customWidth="1"/>
    <col min="17" max="17" width="15.6640625" style="6" customWidth="1"/>
    <col min="18" max="18" width="8" style="6" customWidth="1"/>
    <col min="19" max="19" width="13" style="6" customWidth="1"/>
    <col min="20" max="20" width="10.83203125" style="6" customWidth="1"/>
    <col min="21" max="21" width="17" style="6" customWidth="1"/>
    <col min="22" max="22" width="9.1640625" style="6" customWidth="1"/>
    <col min="23" max="23" width="10.83203125" style="6" customWidth="1"/>
    <col min="24" max="24" width="9.5" style="6" customWidth="1"/>
    <col min="25" max="25" width="15.1640625" style="6" customWidth="1"/>
    <col min="26" max="26" width="8.1640625" style="6" customWidth="1"/>
    <col min="27" max="27" width="14.33203125" style="6" customWidth="1"/>
    <col min="28" max="28" width="7.33203125" style="6" customWidth="1"/>
    <col min="29" max="29" width="17.83203125" style="6" customWidth="1"/>
    <col min="30" max="30" width="10.83203125" style="6" customWidth="1"/>
    <col min="31" max="31" width="16.6640625" style="6" customWidth="1"/>
    <col min="32" max="32" width="9.6640625" style="6" customWidth="1"/>
    <col min="33" max="33" width="13.33203125" style="6" customWidth="1"/>
    <col min="34" max="34" width="16.33203125" style="6" customWidth="1"/>
    <col min="35" max="35" width="15" style="6" customWidth="1"/>
    <col min="36" max="36" width="16.33203125" style="6" customWidth="1"/>
    <col min="37" max="37" width="17.83203125" style="6" customWidth="1"/>
    <col min="38" max="38" width="5.5" style="6" customWidth="1"/>
    <col min="39" max="39" width="7.1640625" customWidth="1"/>
    <col min="40" max="40" width="5.5" customWidth="1"/>
    <col min="41" max="41" width="15.5" customWidth="1"/>
    <col min="42" max="42" width="7.6640625" customWidth="1"/>
    <col min="43" max="43" width="21.6640625" customWidth="1"/>
    <col min="44" max="44" width="11.1640625" customWidth="1"/>
    <col min="45" max="45" width="13.83203125" customWidth="1"/>
    <col min="46" max="46" width="10" customWidth="1"/>
    <col min="47" max="47" width="8.1640625" customWidth="1"/>
    <col min="48" max="48" width="10" customWidth="1"/>
    <col min="49" max="49" width="4.6640625" customWidth="1"/>
    <col min="50" max="50" width="11.1640625" customWidth="1"/>
    <col min="51" max="51" width="5.1640625" customWidth="1"/>
    <col min="81" max="81" width="22.1640625" bestFit="1" customWidth="1"/>
  </cols>
  <sheetData>
    <row r="1" spans="1:5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1" t="s">
        <v>192</v>
      </c>
      <c r="J1" s="201" t="s">
        <v>193</v>
      </c>
      <c r="K1" s="201" t="s">
        <v>194</v>
      </c>
      <c r="L1" s="201" t="s">
        <v>195</v>
      </c>
      <c r="M1" s="201" t="s">
        <v>196</v>
      </c>
      <c r="N1" s="201" t="s">
        <v>197</v>
      </c>
      <c r="O1" s="201" t="s">
        <v>198</v>
      </c>
      <c r="P1" s="201" t="s">
        <v>199</v>
      </c>
      <c r="Q1" s="201" t="s">
        <v>200</v>
      </c>
      <c r="R1" s="201" t="s">
        <v>201</v>
      </c>
      <c r="S1" s="201" t="s">
        <v>202</v>
      </c>
      <c r="T1" s="201" t="s">
        <v>203</v>
      </c>
      <c r="U1" s="201" t="s">
        <v>204</v>
      </c>
      <c r="V1" s="201" t="s">
        <v>205</v>
      </c>
      <c r="W1" s="201" t="s">
        <v>206</v>
      </c>
      <c r="X1" s="201" t="s">
        <v>207</v>
      </c>
      <c r="Y1" s="201" t="s">
        <v>208</v>
      </c>
      <c r="Z1" s="201" t="s">
        <v>209</v>
      </c>
      <c r="AA1" s="201" t="s">
        <v>210</v>
      </c>
      <c r="AB1" s="201" t="s">
        <v>211</v>
      </c>
      <c r="AC1" s="201" t="s">
        <v>212</v>
      </c>
      <c r="AD1" s="201" t="s">
        <v>213</v>
      </c>
      <c r="AE1" s="201" t="s">
        <v>214</v>
      </c>
      <c r="AF1" s="201" t="s">
        <v>215</v>
      </c>
      <c r="AG1" s="201" t="s">
        <v>216</v>
      </c>
      <c r="AH1" s="201" t="s">
        <v>217</v>
      </c>
      <c r="AI1" s="201" t="s">
        <v>218</v>
      </c>
      <c r="AJ1" s="201" t="s">
        <v>219</v>
      </c>
      <c r="AK1" s="201" t="s">
        <v>220</v>
      </c>
      <c r="AL1" s="201" t="s">
        <v>221</v>
      </c>
      <c r="AM1" s="201" t="s">
        <v>222</v>
      </c>
      <c r="AN1" s="201" t="s">
        <v>223</v>
      </c>
      <c r="AO1" s="201" t="s">
        <v>224</v>
      </c>
      <c r="AP1" s="201" t="s">
        <v>225</v>
      </c>
      <c r="AQ1" s="201" t="s">
        <v>226</v>
      </c>
      <c r="AR1" s="201" t="s">
        <v>227</v>
      </c>
      <c r="AS1" s="201" t="s">
        <v>228</v>
      </c>
      <c r="AT1" s="201" t="s">
        <v>229</v>
      </c>
      <c r="AU1" s="201" t="s">
        <v>230</v>
      </c>
      <c r="AV1" s="201" t="s">
        <v>231</v>
      </c>
      <c r="AW1" s="201" t="s">
        <v>232</v>
      </c>
      <c r="AX1" s="201" t="s">
        <v>233</v>
      </c>
      <c r="AY1" s="201" t="s">
        <v>234</v>
      </c>
    </row>
    <row r="2" spans="1:51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200" t="s">
        <v>192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200" t="s">
        <v>193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200" t="s">
        <v>194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200" t="s">
        <v>195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200" t="s">
        <v>196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200" t="s">
        <v>197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200" t="s">
        <v>198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200" t="s">
        <v>199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200" t="s">
        <v>200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200" t="s">
        <v>201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200" t="s">
        <v>202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200" t="s">
        <v>203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204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205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206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207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208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209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210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211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212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213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214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215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216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217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218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219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220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221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222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223</v>
      </c>
      <c r="B36" s="111">
        <v>0</v>
      </c>
      <c r="C36"/>
      <c r="D36"/>
    </row>
    <row r="37" spans="1:38" ht="15" customHeight="1" x14ac:dyDescent="0.15">
      <c r="A37" s="200" t="s">
        <v>224</v>
      </c>
      <c r="B37" s="111">
        <v>0</v>
      </c>
      <c r="C37"/>
      <c r="D37"/>
    </row>
    <row r="38" spans="1:38" ht="15" customHeight="1" x14ac:dyDescent="0.15">
      <c r="A38" s="200" t="s">
        <v>225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226</v>
      </c>
      <c r="B39" s="111">
        <v>0</v>
      </c>
      <c r="C39"/>
      <c r="D39"/>
    </row>
    <row r="40" spans="1:38" ht="15" customHeight="1" x14ac:dyDescent="0.15">
      <c r="A40" s="200" t="s">
        <v>227</v>
      </c>
      <c r="B40" s="111">
        <v>0</v>
      </c>
      <c r="C40"/>
      <c r="D40"/>
    </row>
    <row r="41" spans="1:38" ht="15" customHeight="1" x14ac:dyDescent="0.15">
      <c r="A41" s="200" t="s">
        <v>228</v>
      </c>
      <c r="B41" s="111">
        <v>0</v>
      </c>
      <c r="C41"/>
      <c r="D41"/>
    </row>
    <row r="42" spans="1:38" ht="15" customHeight="1" x14ac:dyDescent="0.15">
      <c r="A42" s="200" t="s">
        <v>229</v>
      </c>
      <c r="B42" s="111">
        <v>0</v>
      </c>
    </row>
    <row r="43" spans="1:38" ht="15" customHeight="1" x14ac:dyDescent="0.15">
      <c r="A43" s="200" t="s">
        <v>230</v>
      </c>
      <c r="B43" s="111">
        <v>0</v>
      </c>
    </row>
    <row r="44" spans="1:38" ht="15" customHeight="1" x14ac:dyDescent="0.15">
      <c r="A44" s="200" t="s">
        <v>231</v>
      </c>
      <c r="B44" s="111">
        <v>0</v>
      </c>
    </row>
    <row r="45" spans="1:38" ht="15" customHeight="1" x14ac:dyDescent="0.15">
      <c r="A45" s="200" t="s">
        <v>232</v>
      </c>
      <c r="B45" s="111">
        <v>0</v>
      </c>
    </row>
    <row r="46" spans="1:38" ht="15" customHeight="1" x14ac:dyDescent="0.15">
      <c r="A46" s="200" t="s">
        <v>233</v>
      </c>
      <c r="B46" s="111">
        <v>0</v>
      </c>
    </row>
    <row r="47" spans="1:38" ht="15" customHeight="1" x14ac:dyDescent="0.15">
      <c r="A47" s="200" t="s">
        <v>234</v>
      </c>
      <c r="B47" s="111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2022-10-23T22:05:47Z</dcterms:modified>
</cp:coreProperties>
</file>