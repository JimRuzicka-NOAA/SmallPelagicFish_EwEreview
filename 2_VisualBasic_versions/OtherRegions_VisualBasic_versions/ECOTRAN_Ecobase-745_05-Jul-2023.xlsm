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38338884-966A-654C-938F-6D810F0DFF48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Main!$C$2:$N$37</definedName>
    <definedName name="matDetritus">Detritus!$C$2:$E$37</definedName>
    <definedName name="matDiet">Diets!$B$2:$AH$37</definedName>
    <definedName name="matDiscards">Discards!$C$2:$C$36</definedName>
    <definedName name="matFishery">Fishing!$C$2:$C$36</definedName>
    <definedName name="matFishing">Fishing!#REF!</definedName>
    <definedName name="matMort">Mortalities!$A$1:$AM$36</definedName>
    <definedName name="matOut">MainOutputs!$A$2:$I$37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<sst xmlns="http://schemas.openxmlformats.org/spreadsheetml/2006/main" count="1035" uniqueCount="235">
  <si>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</si>
  <si>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</si>
  <si>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</si>
  <si>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</si>
  <si>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</si>
  <si>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</si>
  <si>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</si>
  <si>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</si>
  <si>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</si>
  <si>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</si>
  <si>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</si>
  <si>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</si>
  <si>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</si>
  <si>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</si>
  <si>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</si>
  <si>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</si>
  <si>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</si>
  <si>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</si>
  <si>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</si>
  <si>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</si>
  <si>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</si>
  <si>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</si>
  <si>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</si>
  <si>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</si>
  <si>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</si>
  <si>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</si>
  <si>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</si>
  <si>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</si>
  <si>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</si>
  <si>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</si>
  <si>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</si>
  <si>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</si>
  <si>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</si>
  <si>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</si>
  <si>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</si>
  <si>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</si>
  <si>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</si>
  <si>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</si>
  <si>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</si>
  <si>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</si>
  <si>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</si>
  <si>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</si>
  <si>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</si>
  <si>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</si>
  <si>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</si>
  <si>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</si>
  <si>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</si>
  <si>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</si>
  <si>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</si>
  <si>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</si>
  <si>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</si>
  <si>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</si>
  <si>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</si>
  <si>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</si>
  <si>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</si>
  <si>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</si>
  <si>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</si>
  <si>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</si>
  <si>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</si>
  <si>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</si>
  <si>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</si>
  <si>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</si>
  <si>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</si>
  <si>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</si>
  <si>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</si>
  <si>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</si>
  <si>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</si>
  <si>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</si>
  <si>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</si>
  <si>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</si>
  <si>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</si>
  <si>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</si>
  <si>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</si>
  <si>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</si>
  <si>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</si>
  <si>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</si>
  <si>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</si>
  <si>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</si>
  <si>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</si>
  <si>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</si>
  <si>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</si>
  <si>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</si>
  <si>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</si>
  <si>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</si>
  <si>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</si>
  <si>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</si>
  <si>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</si>
  <si>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</si>
  <si>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</si>
  <si>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</si>
  <si>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</si>
  <si>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</si>
  <si>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</si>
  <si>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</si>
  <si>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</si>
  <si>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</si>
  <si>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</si>
  <si>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</si>
  <si>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</si>
  <si>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</si>
  <si>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</si>
  <si>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</si>
  <si>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</si>
  <si>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</si>
  <si>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</si>
  <si>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</si>
  <si>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</si>
  <si>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</si>
  <si>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</si>
  <si>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</si>
  <si>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</si>
  <si>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</si>
  <si>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</si>
  <si>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</si>
  <si>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</si>
  <si>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</si>
  <si>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</si>
  <si>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</si>
  <si>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</si>
  <si>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</si>
  <si>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</si>
  <si>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</si>
  <si>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</si>
  <si>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</si>
  <si>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</si>
  <si>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</si>
  <si>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</si>
  <si>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</si>
  <si>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</si>
  <si>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</si>
  <si>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</si>
  <si>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</si>
  <si>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</si>
  <si>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</si>
  <si>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</si>
  <si>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</si>
  <si>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</si>
  <si>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</si>
  <si>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</si>
  <si>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</si>
  <si>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</si>
  <si>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</si>
  <si>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</si>
  <si>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</si>
  <si>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</si>
  <si>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</si>
  <si>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</si>
  <si>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</si>
  <si>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</si>
  <si>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</si>
  <si>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</si>
  <si>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</si>
  <si>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</si>
  <si>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</si>
  <si>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</si>
  <si>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</si>
  <si>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</si>
  <si>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</si>
  <si>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</si>
  <si>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</si>
  <si>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</si>
  <si>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</si>
  <si>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</si>
  <si>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</si>
  <si>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</si>
  <si>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</si>
  <si>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</si>
  <si>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</si>
  <si>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</si>
  <si>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</si>
  <si>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</si>
  <si>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</si>
  <si>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</si>
  <si>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</si>
  <si>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</si>
  <si>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</si>
  <si>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</si>
  <si>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</si>
  <si>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</si>
  <si>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</si>
  <si>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</si>
  <si>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</si>
  <si>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</si>
  <si>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</si>
  <si>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</si>
  <si>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Chantuto-Panzacola</t>
  </si>
  <si>
    <t>Mexico</t>
  </si>
  <si>
    <t>BOX(-93 15.07,-92.7 15.27)</t>
  </si>
  <si>
    <t>Coastal lagoon</t>
  </si>
  <si>
    <t>WetWeight</t>
  </si>
  <si>
    <t>A trophic model is presented for the coastal lagoon system Chantuto-Panzacola, Southern Pacific Mexico, with the aim of estimating its degree of development and functionality.</t>
  </si>
  <si>
    <t>López-Vila, J.M., Schmitter-Soto, J.J., Velázquez-Velázquez, E. et al. Hydrobiologia (2018). https://doi.org/10.1007/s10750-018-3770-1</t>
  </si>
  <si>
    <t>https://doi.org/10.1007/s10750-018-3770-1</t>
  </si>
  <si>
    <t>Water birds</t>
  </si>
  <si>
    <t>Crocodilians</t>
  </si>
  <si>
    <t>Dormitator latifrons</t>
  </si>
  <si>
    <t>Eleotrids</t>
  </si>
  <si>
    <t>Sciades guatemalensis</t>
  </si>
  <si>
    <t>Ariid catfishes</t>
  </si>
  <si>
    <t>Jacks</t>
  </si>
  <si>
    <t>Snooks</t>
  </si>
  <si>
    <t>Anchovies</t>
  </si>
  <si>
    <t>Sciaenids</t>
  </si>
  <si>
    <t>Gobiids</t>
  </si>
  <si>
    <t>Mugilids</t>
  </si>
  <si>
    <t>Gerreids</t>
  </si>
  <si>
    <t>Pleuronectiforms</t>
  </si>
  <si>
    <t>Poeciliids</t>
  </si>
  <si>
    <t>Sphoeroides annulatus</t>
  </si>
  <si>
    <t>Cichlids</t>
  </si>
  <si>
    <t>Snappers</t>
  </si>
  <si>
    <t>Atractosteus tropicus</t>
  </si>
  <si>
    <t>Plactivore fishes</t>
  </si>
  <si>
    <t>Carnivore fishes</t>
  </si>
  <si>
    <t>Omnivore fishes</t>
  </si>
  <si>
    <t>Litopenaeus</t>
  </si>
  <si>
    <t>Macrobrachium</t>
  </si>
  <si>
    <t>Other shrimps</t>
  </si>
  <si>
    <t>Callinectes</t>
  </si>
  <si>
    <t>Grapsids</t>
  </si>
  <si>
    <t>Insects</t>
  </si>
  <si>
    <t>Polychaetes</t>
  </si>
  <si>
    <t>Infauna</t>
  </si>
  <si>
    <t>Bivalves</t>
  </si>
  <si>
    <t>Zooplankton</t>
  </si>
  <si>
    <t>Phytoplankton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</si>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</sst>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85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0" fillId="3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2" xfId="0" applyNumberFormat="1" applyFont="1" applyFill="1" applyBorder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47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3" x14ac:dyDescent="0.15">
      <c r="B49" s="46" t="s">
        <v>44</v>
      </c>
      <c r="C49" s="30">
        <v>5</v>
      </c>
    </row>
    <row r="50" spans="2:3" x14ac:dyDescent="0.15">
      <c r="B50" s="46"/>
      <c r="C50" s="30"/>
    </row>
    <row r="51" spans="2:3" ht="14" thickBot="1" x14ac:dyDescent="0.2">
      <c r="B51" s="47" t="s">
        <v>73</v>
      </c>
      <c r="C51" s="31">
        <v>7</v>
      </c>
    </row>
    <row r="53" spans="2:3" x14ac:dyDescent="0.15">
      <c r="B53" s="169" t="s">
        <v>171</v>
      </c>
      <c r="C53">
        <v>745</v>
      </c>
    </row>
    <row r="54" spans="2:3" x14ac:dyDescent="0.15">
      <c r="B54" s="169" t="s">
        <v>172</v>
      </c>
      <c r="C54" s="169" t="s">
        <v>185</v>
      </c>
    </row>
    <row r="55" spans="2:3" x14ac:dyDescent="0.15">
      <c r="B55" s="169" t="s">
        <v>173</v>
      </c>
      <c r="C55" s="169" t="s">
        <v>186</v>
      </c>
    </row>
    <row r="56" spans="2:3" x14ac:dyDescent="0.15">
      <c r="B56" s="169" t="s">
        <v>174</v>
      </c>
      <c r="C56">
        <v>180</v>
      </c>
    </row>
    <row r="57" spans="2:3" x14ac:dyDescent="0.15">
      <c r="B57" s="169" t="s">
        <v>175</v>
      </c>
      <c r="C57" s="169" t="s">
        <v>187</v>
      </c>
    </row>
    <row r="58" spans="2:3" x14ac:dyDescent="0.15">
      <c r="B58" s="169" t="s">
        <v>176</v>
      </c>
      <c r="C58" s="169" t="s">
        <v>188</v>
      </c>
    </row>
    <row r="59" spans="2:3" x14ac:dyDescent="0.15">
      <c r="B59" s="169" t="s">
        <v>177</v>
      </c>
      <c r="C59" s="169" t="s">
        <v>189</v>
      </c>
    </row>
    <row r="60" spans="2:3" x14ac:dyDescent="0.15">
      <c r="B60" s="169" t="s">
        <v>178</v>
      </c>
      <c r="C60" s="169" t="s">
        <v>190</v>
      </c>
    </row>
    <row r="61" spans="2:3" x14ac:dyDescent="0.15">
      <c r="B61" s="169" t="s">
        <v>179</v>
      </c>
      <c r="C61">
        <v>34</v>
      </c>
    </row>
    <row r="62" spans="2:3" x14ac:dyDescent="0.15">
      <c r="B62" s="169" t="s">
        <v>180</v>
      </c>
      <c r="C62">
        <v>0</v>
      </c>
    </row>
    <row r="63" spans="2:3" x14ac:dyDescent="0.15">
      <c r="B63" s="169" t="s">
        <v>181</v>
      </c>
      <c r="C63">
        <v>0</v>
      </c>
    </row>
    <row r="64" spans="2:3" x14ac:dyDescent="0.15">
      <c r="B64" s="169" t="s">
        <v>182</v>
      </c>
      <c r="C64">
        <v>1</v>
      </c>
    </row>
    <row r="65" spans="2:3" x14ac:dyDescent="0.15">
      <c r="B65" s="169" t="s">
        <v>183</v>
      </c>
      <c r="C65" s="169" t="s">
        <v>191</v>
      </c>
    </row>
    <row r="66" spans="2:3" x14ac:dyDescent="0.15">
      <c r="B66" s="169" t="s">
        <v>184</v>
      </c>
      <c r="C66" s="169" t="s">
        <v>192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0" activePane="bottomLeft" state="frozenSplit"/>
      <selection activeCell="E1" sqref="E1"/>
      <selection pane="bottomLeft" activeCell="D40" sqref="D40"/>
    </sheetView>
  </sheetViews>
  <sheetFormatPr baseColWidth="10" defaultColWidth="8.83203125" defaultRowHeight="15" customHeight="1" x14ac:dyDescent="0.15"/>
  <cols>
    <col min="1" max="1" width="22.5" style="78" customWidth="1"/>
    <col min="2" max="3" width="9.6640625" style="78" customWidth="1"/>
    <col min="4" max="4" width="14.33203125" style="78" customWidth="1"/>
    <col min="5" max="5" width="20.5" style="78" bestFit="1" customWidth="1"/>
    <col min="6" max="6" width="2.33203125" style="78" bestFit="1" customWidth="1"/>
    <col min="7" max="7" width="11.83203125" style="78" bestFit="1" customWidth="1"/>
    <col min="8" max="8" width="5.83203125" style="78" customWidth="1"/>
    <col min="9" max="9" width="6.83203125" style="78" customWidth="1"/>
    <col min="10" max="11" width="12.83203125" style="78" customWidth="1"/>
    <col min="12" max="12" width="2.33203125" style="78" customWidth="1"/>
    <col min="13" max="13" width="3.83203125" style="78" customWidth="1"/>
    <col min="14" max="14" width="2.33203125" style="78" customWidth="1"/>
    <col min="16" max="25" width="8.83203125" style="7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8"/>
  </cols>
  <sheetData>
    <row r="1" spans="1:46" s="95" customFormat="1" ht="15" customHeight="1" x14ac:dyDescent="0.15">
      <c r="A1" s="74" t="s">
        <v>18</v>
      </c>
      <c r="C1" s="75" t="s">
        <v>8</v>
      </c>
      <c r="D1" s="74" t="s">
        <v>23</v>
      </c>
      <c r="E1" s="74" t="s">
        <v>0</v>
      </c>
      <c r="F1" s="74" t="s">
        <v>7</v>
      </c>
      <c r="G1" s="76" t="s">
        <v>13</v>
      </c>
      <c r="H1" s="74" t="s">
        <v>1</v>
      </c>
      <c r="I1" s="74" t="s">
        <v>2</v>
      </c>
      <c r="J1" s="74" t="s">
        <v>14</v>
      </c>
      <c r="K1" s="74" t="s">
        <v>3</v>
      </c>
      <c r="L1" s="74" t="s">
        <v>4</v>
      </c>
      <c r="M1" s="74" t="s">
        <v>5</v>
      </c>
      <c r="N1" s="7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70" t="s">
        <v>193</v>
      </c>
      <c r="F2" s="78">
        <v>0</v>
      </c>
      <c r="G2" s="78">
        <v>4.1745409999999997E-2</v>
      </c>
      <c r="H2" s="78">
        <v>0.93</v>
      </c>
      <c r="I2" s="6">
        <v>5.5</v>
      </c>
      <c r="J2" s="6">
        <v>0.25</v>
      </c>
      <c r="K2" s="6">
        <v>0.16909091200000001</v>
      </c>
      <c r="L2" s="6">
        <v>0</v>
      </c>
      <c r="M2" s="78">
        <v>0.2</v>
      </c>
      <c r="N2" s="78">
        <v>0</v>
      </c>
    </row>
    <row r="3" spans="1:46" ht="15" customHeight="1" x14ac:dyDescent="0.15">
      <c r="A3" s="1" t="s">
        <v>9</v>
      </c>
      <c r="B3" s="4">
        <v>33</v>
      </c>
      <c r="C3" s="78">
        <v>2</v>
      </c>
      <c r="D3"/>
      <c r="E3" s="170" t="s">
        <v>194</v>
      </c>
      <c r="F3" s="78">
        <v>0</v>
      </c>
      <c r="G3" s="78">
        <v>0.26600000000000001</v>
      </c>
      <c r="H3" s="78">
        <v>0.25</v>
      </c>
      <c r="I3" s="78">
        <v>0.8</v>
      </c>
      <c r="J3" s="78">
        <v>1.7448673000000001E-2</v>
      </c>
      <c r="K3" s="78">
        <v>0.3125</v>
      </c>
      <c r="L3" s="78">
        <v>0</v>
      </c>
      <c r="M3" s="78">
        <v>0.2</v>
      </c>
      <c r="N3" s="78">
        <v>0</v>
      </c>
    </row>
    <row r="4" spans="1:46" ht="15" customHeight="1" x14ac:dyDescent="0.15">
      <c r="A4" s="1" t="s">
        <v>10</v>
      </c>
      <c r="B4" s="4">
        <v>2</v>
      </c>
      <c r="C4" s="78">
        <v>3</v>
      </c>
      <c r="D4"/>
      <c r="E4" s="170" t="s">
        <v>195</v>
      </c>
      <c r="F4" s="78">
        <v>0</v>
      </c>
      <c r="G4" s="78">
        <v>1.0216000000000001</v>
      </c>
      <c r="H4" s="78">
        <v>1.1200000000000001</v>
      </c>
      <c r="I4" s="78">
        <v>14</v>
      </c>
      <c r="J4" s="78">
        <v>8.7484896199999995E-2</v>
      </c>
      <c r="K4" s="78">
        <v>0.08</v>
      </c>
      <c r="L4" s="78">
        <v>0</v>
      </c>
      <c r="M4" s="78">
        <v>0.2</v>
      </c>
      <c r="N4" s="7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8">
        <v>4</v>
      </c>
      <c r="D5"/>
      <c r="E5" s="170" t="s">
        <v>196</v>
      </c>
      <c r="F5" s="78">
        <v>0</v>
      </c>
      <c r="G5" s="78">
        <v>0.4728</v>
      </c>
      <c r="H5" s="78">
        <v>0.71499999999999997</v>
      </c>
      <c r="I5" s="78">
        <v>7.5</v>
      </c>
      <c r="J5" s="78">
        <v>0.96182520000000005</v>
      </c>
      <c r="K5" s="78">
        <v>9.5333329999999994E-2</v>
      </c>
      <c r="L5" s="78">
        <v>0</v>
      </c>
      <c r="M5" s="78">
        <v>0.2</v>
      </c>
      <c r="N5" s="78">
        <v>0</v>
      </c>
      <c r="P5" s="67"/>
      <c r="Q5" s="67"/>
      <c r="R5" s="67"/>
    </row>
    <row r="6" spans="1:46" ht="15" customHeight="1" thickBot="1" x14ac:dyDescent="0.2">
      <c r="B6" s="1"/>
      <c r="C6" s="78">
        <v>5</v>
      </c>
      <c r="D6"/>
      <c r="E6" s="170" t="s">
        <v>197</v>
      </c>
      <c r="F6" s="78">
        <v>0</v>
      </c>
      <c r="G6" s="78">
        <v>1.006</v>
      </c>
      <c r="H6" s="78">
        <v>0.78500000000000003</v>
      </c>
      <c r="I6" s="78">
        <v>2.4359999999999999</v>
      </c>
      <c r="J6" s="78">
        <v>0.41782218199999999</v>
      </c>
      <c r="K6" s="78">
        <v>0.32224960000000002</v>
      </c>
      <c r="L6" s="78">
        <v>0</v>
      </c>
      <c r="M6" s="78">
        <v>0.2</v>
      </c>
      <c r="N6" s="78">
        <v>0</v>
      </c>
      <c r="P6" s="67"/>
      <c r="Q6" s="67"/>
      <c r="R6" s="67"/>
      <c r="W6" s="33" t="s">
        <v>31</v>
      </c>
      <c r="X6" s="49">
        <f>MAX(MainOutputs!G:G)</f>
        <v>0.99338614940643311</v>
      </c>
    </row>
    <row r="7" spans="1:46" ht="15" customHeight="1" x14ac:dyDescent="0.15">
      <c r="A7" s="2" t="s">
        <v>27</v>
      </c>
      <c r="B7" s="78">
        <f ca="1">COUNTIF(OFFSET(cornerDiets,1,1,NumLiving+NumDead+1,NumLiving+NumDead),"&gt;0")+NumLiving+NumDead+1</f>
        <v>246</v>
      </c>
      <c r="C7" s="78">
        <v>6</v>
      </c>
      <c r="D7"/>
      <c r="E7" s="170" t="s">
        <v>198</v>
      </c>
      <c r="F7" s="78">
        <v>0</v>
      </c>
      <c r="G7" s="78">
        <v>0.55000000000000004</v>
      </c>
      <c r="H7" s="78">
        <v>0.60699999999999998</v>
      </c>
      <c r="I7" s="78">
        <v>2.5</v>
      </c>
      <c r="J7" s="78">
        <v>0.99015724699999996</v>
      </c>
      <c r="K7" s="78">
        <v>0.24279999999999999</v>
      </c>
      <c r="L7" s="78">
        <v>0</v>
      </c>
      <c r="M7" s="78">
        <v>0.2</v>
      </c>
      <c r="N7" s="78">
        <v>0</v>
      </c>
      <c r="P7" s="67"/>
      <c r="Q7" s="67"/>
      <c r="R7" s="67"/>
    </row>
    <row r="8" spans="1:46" ht="15" customHeight="1" x14ac:dyDescent="0.15">
      <c r="A8" s="2" t="s">
        <v>28</v>
      </c>
      <c r="B8" s="78">
        <f ca="1">COUNTIF(OFFSET(cornerFishing,1,2,NumLiving+NumDead,NumGears),"&gt;0")+NumDead*COUNTIF(OFFSET(cornerDiscards,1,2,NumLiving+NumDead,NumGears),"&gt;0")+NumLiving+NumDead+1</f>
        <v>36</v>
      </c>
      <c r="C8" s="78">
        <v>7</v>
      </c>
      <c r="D8"/>
      <c r="E8" s="170" t="s">
        <v>199</v>
      </c>
      <c r="F8" s="78">
        <v>0</v>
      </c>
      <c r="G8" s="78">
        <v>0.504</v>
      </c>
      <c r="H8" s="78">
        <v>0.73299999999999998</v>
      </c>
      <c r="I8" s="78">
        <v>7.4829999999999997</v>
      </c>
      <c r="J8" s="78">
        <v>0.71193720000000005</v>
      </c>
      <c r="K8" s="78">
        <v>9.795537E-2</v>
      </c>
      <c r="L8" s="78">
        <v>0</v>
      </c>
      <c r="M8" s="78">
        <v>0.2</v>
      </c>
      <c r="N8" s="78">
        <v>0</v>
      </c>
      <c r="P8" s="67"/>
      <c r="Q8" s="67"/>
      <c r="R8" s="67"/>
    </row>
    <row r="9" spans="1:46" ht="15" customHeight="1" x14ac:dyDescent="0.15">
      <c r="B9" s="1"/>
      <c r="C9" s="78">
        <v>8</v>
      </c>
      <c r="D9"/>
      <c r="E9" s="170" t="s">
        <v>200</v>
      </c>
      <c r="F9" s="78">
        <v>0</v>
      </c>
      <c r="G9" s="78">
        <v>0.57240000000000002</v>
      </c>
      <c r="H9" s="78">
        <v>0.88300000000000001</v>
      </c>
      <c r="I9" s="78">
        <v>7</v>
      </c>
      <c r="J9" s="78">
        <v>4.088402E-2</v>
      </c>
      <c r="K9" s="78">
        <v>0.126142859</v>
      </c>
      <c r="L9" s="78">
        <v>0</v>
      </c>
      <c r="M9" s="78">
        <v>0.2</v>
      </c>
      <c r="N9" s="78">
        <v>0</v>
      </c>
      <c r="P9" s="67"/>
      <c r="Q9" s="67"/>
      <c r="R9" s="67"/>
    </row>
    <row r="10" spans="1:46" ht="15" customHeight="1" x14ac:dyDescent="0.15">
      <c r="B10" s="1"/>
      <c r="C10" s="78">
        <v>9</v>
      </c>
      <c r="D10"/>
      <c r="E10" s="170" t="s">
        <v>201</v>
      </c>
      <c r="F10" s="78">
        <v>0</v>
      </c>
      <c r="G10" s="78">
        <v>2.7</v>
      </c>
      <c r="H10" s="78">
        <v>1.2</v>
      </c>
      <c r="I10" s="78">
        <v>9.2569999999999997</v>
      </c>
      <c r="J10" s="78">
        <v>0.8399991</v>
      </c>
      <c r="K10" s="78">
        <v>0.12963163899999999</v>
      </c>
      <c r="L10" s="78">
        <v>0</v>
      </c>
      <c r="M10" s="78">
        <v>0.2</v>
      </c>
      <c r="N10" s="78">
        <v>0</v>
      </c>
    </row>
    <row r="11" spans="1:46" ht="15" customHeight="1" x14ac:dyDescent="0.15">
      <c r="C11" s="78">
        <v>10</v>
      </c>
      <c r="D11"/>
      <c r="E11" s="170" t="s">
        <v>202</v>
      </c>
      <c r="F11" s="78">
        <v>0</v>
      </c>
      <c r="G11" s="78">
        <v>2.47E-2</v>
      </c>
      <c r="H11" s="78">
        <v>0.97799999999999998</v>
      </c>
      <c r="I11" s="78">
        <v>10.275</v>
      </c>
      <c r="J11" s="78">
        <v>9.5065869999999997E-2</v>
      </c>
      <c r="K11" s="78">
        <v>9.5182485900000002E-2</v>
      </c>
      <c r="L11" s="78">
        <v>0</v>
      </c>
      <c r="M11" s="78">
        <v>0.2</v>
      </c>
      <c r="N11" s="78">
        <v>0</v>
      </c>
    </row>
    <row r="12" spans="1:46" ht="15" customHeight="1" x14ac:dyDescent="0.15">
      <c r="C12" s="78">
        <v>11</v>
      </c>
      <c r="D12"/>
      <c r="E12" s="170" t="s">
        <v>203</v>
      </c>
      <c r="F12" s="78">
        <v>0</v>
      </c>
      <c r="G12" s="78">
        <v>0.74</v>
      </c>
      <c r="H12" s="78">
        <v>2</v>
      </c>
      <c r="I12" s="78">
        <v>8.3670000000000009</v>
      </c>
      <c r="J12" s="78">
        <v>0.97926586900000001</v>
      </c>
      <c r="K12" s="78">
        <v>0.23903431</v>
      </c>
      <c r="L12" s="78">
        <v>0</v>
      </c>
      <c r="M12" s="78">
        <v>0.2</v>
      </c>
      <c r="N12" s="78">
        <v>0</v>
      </c>
    </row>
    <row r="13" spans="1:46" ht="15" customHeight="1" x14ac:dyDescent="0.15">
      <c r="C13" s="78">
        <v>12</v>
      </c>
      <c r="D13"/>
      <c r="E13" s="170" t="s">
        <v>204</v>
      </c>
      <c r="F13" s="78">
        <v>0</v>
      </c>
      <c r="G13" s="78">
        <v>2.71</v>
      </c>
      <c r="H13" s="78">
        <v>1.0900000000000001</v>
      </c>
      <c r="I13" s="78">
        <v>4.2729999999999997</v>
      </c>
      <c r="J13" s="78">
        <v>0.75170934199999995</v>
      </c>
      <c r="K13" s="78">
        <v>0.25509011700000001</v>
      </c>
      <c r="L13" s="78">
        <v>0</v>
      </c>
      <c r="M13" s="78">
        <v>0.2</v>
      </c>
      <c r="N13" s="78">
        <v>0</v>
      </c>
    </row>
    <row r="14" spans="1:46" ht="15" customHeight="1" x14ac:dyDescent="0.15">
      <c r="C14" s="78">
        <v>13</v>
      </c>
      <c r="D14"/>
      <c r="E14" s="170" t="s">
        <v>205</v>
      </c>
      <c r="F14" s="78">
        <v>0</v>
      </c>
      <c r="G14" s="78">
        <v>0.56000000000000005</v>
      </c>
      <c r="H14" s="78">
        <v>1.27</v>
      </c>
      <c r="I14" s="78">
        <v>11.6</v>
      </c>
      <c r="J14" s="78">
        <v>0.6373875</v>
      </c>
      <c r="K14" s="78">
        <v>0.10948275</v>
      </c>
      <c r="L14" s="78">
        <v>0</v>
      </c>
      <c r="M14" s="78">
        <v>0.2</v>
      </c>
      <c r="N14" s="78">
        <v>0</v>
      </c>
    </row>
    <row r="15" spans="1:46" ht="15" customHeight="1" x14ac:dyDescent="0.15">
      <c r="C15" s="78">
        <v>14</v>
      </c>
      <c r="D15"/>
      <c r="E15" s="170" t="s">
        <v>206</v>
      </c>
      <c r="F15" s="78">
        <v>0</v>
      </c>
      <c r="G15" s="78">
        <v>0.8</v>
      </c>
      <c r="H15" s="78">
        <v>1.38</v>
      </c>
      <c r="I15" s="78">
        <v>12.2</v>
      </c>
      <c r="J15" s="78">
        <v>0.49099046000000002</v>
      </c>
      <c r="K15" s="78">
        <v>0.113114752</v>
      </c>
      <c r="L15" s="78">
        <v>0</v>
      </c>
      <c r="M15" s="78">
        <v>0.2</v>
      </c>
      <c r="N15" s="78">
        <v>0</v>
      </c>
    </row>
    <row r="16" spans="1:46" ht="15" customHeight="1" x14ac:dyDescent="0.15">
      <c r="C16" s="78">
        <v>15</v>
      </c>
      <c r="D16"/>
      <c r="E16" s="170" t="s">
        <v>207</v>
      </c>
      <c r="F16" s="78">
        <v>0</v>
      </c>
      <c r="G16" s="78">
        <v>0.4</v>
      </c>
      <c r="H16" s="78">
        <v>4.0999999999999996</v>
      </c>
      <c r="I16" s="78">
        <v>12.5</v>
      </c>
      <c r="J16" s="78">
        <v>0.95561015599999999</v>
      </c>
      <c r="K16" s="78">
        <v>0.327999979</v>
      </c>
      <c r="L16" s="78">
        <v>0</v>
      </c>
      <c r="M16" s="78">
        <v>0.2</v>
      </c>
      <c r="N16" s="78">
        <v>0</v>
      </c>
    </row>
    <row r="17" spans="1:22" ht="15" customHeight="1" x14ac:dyDescent="0.15">
      <c r="C17" s="78">
        <v>16</v>
      </c>
      <c r="D17"/>
      <c r="E17" s="170" t="s">
        <v>208</v>
      </c>
      <c r="F17" s="78">
        <v>0</v>
      </c>
      <c r="G17" s="78">
        <v>3.4000000000000002E-2</v>
      </c>
      <c r="H17" s="78">
        <v>0.84</v>
      </c>
      <c r="I17" s="78">
        <v>7.4</v>
      </c>
      <c r="J17" s="78">
        <v>0.313282222</v>
      </c>
      <c r="K17" s="78">
        <v>0.113513507</v>
      </c>
      <c r="L17" s="78">
        <v>0</v>
      </c>
      <c r="M17" s="78">
        <v>0.2</v>
      </c>
      <c r="N17" s="78">
        <v>0</v>
      </c>
      <c r="V17" s="1" t="s">
        <v>30</v>
      </c>
    </row>
    <row r="18" spans="1:22" ht="15" customHeight="1" x14ac:dyDescent="0.15">
      <c r="C18" s="78">
        <v>17</v>
      </c>
      <c r="D18"/>
      <c r="E18" s="170" t="s">
        <v>209</v>
      </c>
      <c r="F18" s="78">
        <v>0</v>
      </c>
      <c r="G18" s="78">
        <v>0.48099999999999998</v>
      </c>
      <c r="H18" s="78">
        <v>1.7</v>
      </c>
      <c r="I18" s="78">
        <v>20</v>
      </c>
      <c r="J18" s="78">
        <v>0.909860432</v>
      </c>
      <c r="K18" s="78">
        <v>8.5000000000000006E-2</v>
      </c>
      <c r="L18" s="78">
        <v>0</v>
      </c>
      <c r="M18" s="78">
        <v>0.2</v>
      </c>
      <c r="N18" s="78">
        <v>0</v>
      </c>
      <c r="V18" s="1"/>
    </row>
    <row r="19" spans="1:22" ht="15" customHeight="1" x14ac:dyDescent="0.15">
      <c r="C19" s="78">
        <v>18</v>
      </c>
      <c r="D19"/>
      <c r="E19" s="170" t="s">
        <v>210</v>
      </c>
      <c r="F19" s="78">
        <v>0</v>
      </c>
      <c r="G19" s="78">
        <v>0.41810000000000003</v>
      </c>
      <c r="H19" s="78">
        <v>0.37</v>
      </c>
      <c r="I19" s="78">
        <v>5.35</v>
      </c>
      <c r="J19" s="78">
        <v>5.93676E-2</v>
      </c>
      <c r="K19" s="78">
        <v>6.9158880000000006E-2</v>
      </c>
      <c r="L19" s="78">
        <v>0</v>
      </c>
      <c r="M19" s="78">
        <v>0.2</v>
      </c>
      <c r="N19" s="78">
        <v>0</v>
      </c>
    </row>
    <row r="20" spans="1:22" ht="15" customHeight="1" thickBot="1" x14ac:dyDescent="0.2">
      <c r="C20" s="78">
        <v>19</v>
      </c>
      <c r="D20"/>
      <c r="E20" s="170" t="s">
        <v>211</v>
      </c>
      <c r="F20" s="78">
        <v>0</v>
      </c>
      <c r="G20" s="78">
        <v>2.58E-2</v>
      </c>
      <c r="H20" s="78">
        <v>0.56200000000000006</v>
      </c>
      <c r="I20" s="78">
        <v>3.4710000000000001</v>
      </c>
      <c r="J20" s="78">
        <v>7.9174510000000003E-2</v>
      </c>
      <c r="K20" s="78">
        <v>0.161913</v>
      </c>
      <c r="L20" s="78">
        <v>0</v>
      </c>
      <c r="M20" s="78">
        <v>0.2</v>
      </c>
      <c r="N20" s="78">
        <v>0</v>
      </c>
    </row>
    <row r="21" spans="1:22" ht="15" customHeight="1" thickBot="1" x14ac:dyDescent="0.2">
      <c r="A21" s="44" t="s">
        <v>137</v>
      </c>
      <c r="B21" s="96"/>
      <c r="C21" s="78">
        <v>20</v>
      </c>
      <c r="D21"/>
      <c r="E21" s="170" t="s">
        <v>212</v>
      </c>
      <c r="F21" s="78">
        <v>0</v>
      </c>
      <c r="G21" s="78">
        <v>0.42720000000000002</v>
      </c>
      <c r="H21" s="78">
        <v>2.6480000000000001</v>
      </c>
      <c r="I21" s="78">
        <v>24.25</v>
      </c>
      <c r="J21" s="78">
        <v>0.53339475400000003</v>
      </c>
      <c r="K21" s="78">
        <v>0.109195873</v>
      </c>
      <c r="L21" s="78">
        <v>0</v>
      </c>
      <c r="M21" s="78">
        <v>0.2</v>
      </c>
      <c r="N21" s="78">
        <v>0</v>
      </c>
    </row>
    <row r="22" spans="1:22" ht="15" customHeight="1" x14ac:dyDescent="0.15">
      <c r="A22" s="97" t="s">
        <v>58</v>
      </c>
      <c r="B22" s="98">
        <v>0</v>
      </c>
      <c r="C22" s="78">
        <v>21</v>
      </c>
      <c r="D22"/>
      <c r="E22" s="170" t="s">
        <v>213</v>
      </c>
      <c r="F22" s="78">
        <v>0</v>
      </c>
      <c r="G22" s="78">
        <v>0.08</v>
      </c>
      <c r="H22" s="78">
        <v>1.1000000000000001</v>
      </c>
      <c r="I22" s="78">
        <v>11.4</v>
      </c>
      <c r="J22" s="78">
        <v>0.66697364999999997</v>
      </c>
      <c r="K22" s="78">
        <v>9.6491229999999997E-2</v>
      </c>
      <c r="L22" s="78">
        <v>0</v>
      </c>
      <c r="M22" s="78">
        <v>0.2</v>
      </c>
      <c r="N22" s="78">
        <v>0</v>
      </c>
    </row>
    <row r="23" spans="1:22" ht="15" customHeight="1" x14ac:dyDescent="0.15">
      <c r="A23" s="97" t="s">
        <v>59</v>
      </c>
      <c r="B23" s="98">
        <v>1</v>
      </c>
      <c r="C23" s="78">
        <v>22</v>
      </c>
      <c r="D23"/>
      <c r="E23" s="170" t="s">
        <v>214</v>
      </c>
      <c r="F23" s="78">
        <v>0</v>
      </c>
      <c r="G23" s="78">
        <v>0.1981</v>
      </c>
      <c r="H23" s="78">
        <v>1.27</v>
      </c>
      <c r="I23" s="78">
        <v>18</v>
      </c>
      <c r="J23" s="78">
        <v>0.81460480000000002</v>
      </c>
      <c r="K23" s="78">
        <v>7.0555549999999995E-2</v>
      </c>
      <c r="L23" s="78">
        <v>0</v>
      </c>
      <c r="M23" s="78">
        <v>0.2</v>
      </c>
      <c r="N23" s="78">
        <v>0</v>
      </c>
    </row>
    <row r="24" spans="1:22" ht="15" customHeight="1" x14ac:dyDescent="0.15">
      <c r="A24" s="97" t="s">
        <v>60</v>
      </c>
      <c r="B24" s="98">
        <v>2</v>
      </c>
      <c r="C24" s="78">
        <v>23</v>
      </c>
      <c r="D24"/>
      <c r="E24" s="170" t="s">
        <v>215</v>
      </c>
      <c r="F24" s="78">
        <v>0</v>
      </c>
      <c r="G24" s="78">
        <v>14.3627</v>
      </c>
      <c r="H24" s="78">
        <v>3.1629999999999998</v>
      </c>
      <c r="I24" s="78">
        <v>10.199999999999999</v>
      </c>
      <c r="J24" s="78">
        <v>0.16874656099999999</v>
      </c>
      <c r="K24" s="78">
        <v>0.31009805200000001</v>
      </c>
      <c r="L24" s="78">
        <v>0</v>
      </c>
      <c r="M24" s="78">
        <v>0.2</v>
      </c>
      <c r="N24" s="78">
        <v>0</v>
      </c>
    </row>
    <row r="25" spans="1:22" ht="15" customHeight="1" thickBot="1" x14ac:dyDescent="0.2">
      <c r="A25" s="99" t="s">
        <v>44</v>
      </c>
      <c r="B25" s="100">
        <v>3</v>
      </c>
      <c r="C25" s="78">
        <v>24</v>
      </c>
      <c r="D25"/>
      <c r="E25" s="170" t="s">
        <v>216</v>
      </c>
      <c r="F25" s="78">
        <v>0</v>
      </c>
      <c r="G25" s="78">
        <v>1.115</v>
      </c>
      <c r="H25" s="78">
        <v>1.228</v>
      </c>
      <c r="I25" s="78">
        <v>4.1719999999999997</v>
      </c>
      <c r="J25" s="78">
        <v>0.82049286399999999</v>
      </c>
      <c r="K25" s="78">
        <v>0.29434326300000002</v>
      </c>
      <c r="L25" s="78">
        <v>0</v>
      </c>
      <c r="M25" s="78">
        <v>0.2</v>
      </c>
      <c r="N25" s="78">
        <v>0</v>
      </c>
    </row>
    <row r="26" spans="1:22" ht="15" customHeight="1" x14ac:dyDescent="0.15">
      <c r="A26" s="101" t="s">
        <v>140</v>
      </c>
      <c r="C26" s="78">
        <v>25</v>
      </c>
      <c r="D26"/>
      <c r="E26" s="170" t="s">
        <v>217</v>
      </c>
      <c r="F26" s="78">
        <v>0</v>
      </c>
      <c r="G26" s="78">
        <v>2.1208999999999998</v>
      </c>
      <c r="H26" s="78">
        <v>4.01</v>
      </c>
      <c r="I26" s="78">
        <v>14.86</v>
      </c>
      <c r="J26" s="78">
        <v>0.6768033</v>
      </c>
      <c r="K26" s="78">
        <v>0.26985198300000002</v>
      </c>
      <c r="L26" s="78">
        <v>0</v>
      </c>
      <c r="M26" s="78">
        <v>0.2</v>
      </c>
      <c r="N26" s="78">
        <v>0</v>
      </c>
    </row>
    <row r="27" spans="1:22" ht="15" customHeight="1" x14ac:dyDescent="0.15">
      <c r="C27" s="78">
        <v>26</v>
      </c>
      <c r="D27"/>
      <c r="E27" s="170" t="s">
        <v>218</v>
      </c>
      <c r="F27" s="78">
        <v>0</v>
      </c>
      <c r="G27" s="78">
        <v>2.4500000000000002</v>
      </c>
      <c r="H27" s="78">
        <v>2.2280000000000002</v>
      </c>
      <c r="I27" s="78">
        <v>6.2850000000000001</v>
      </c>
      <c r="J27" s="78">
        <v>0.82673660000000004</v>
      </c>
      <c r="K27" s="78">
        <v>0.35449483999999998</v>
      </c>
      <c r="L27" s="78">
        <v>0</v>
      </c>
      <c r="M27" s="78">
        <v>0.2</v>
      </c>
      <c r="N27" s="78">
        <v>0</v>
      </c>
    </row>
    <row r="28" spans="1:22" ht="15" customHeight="1" x14ac:dyDescent="0.15">
      <c r="C28" s="78">
        <v>27</v>
      </c>
      <c r="D28"/>
      <c r="E28" s="170" t="s">
        <v>219</v>
      </c>
      <c r="F28" s="78">
        <v>0</v>
      </c>
      <c r="G28" s="78">
        <v>2.9899999999999999E-2</v>
      </c>
      <c r="H28" s="78">
        <v>3.8010000000000002</v>
      </c>
      <c r="I28" s="78">
        <v>14.16</v>
      </c>
      <c r="J28" s="78">
        <v>0.81535846000000001</v>
      </c>
      <c r="K28" s="78">
        <v>0.26843220000000001</v>
      </c>
      <c r="L28" s="78">
        <v>0</v>
      </c>
      <c r="M28" s="78">
        <v>0.2</v>
      </c>
      <c r="N28" s="78">
        <v>0</v>
      </c>
    </row>
    <row r="29" spans="1:22" customFormat="1" ht="15" customHeight="1" x14ac:dyDescent="0.15">
      <c r="C29" s="78">
        <v>28</v>
      </c>
      <c r="E29" s="170" t="s">
        <v>220</v>
      </c>
      <c r="F29" s="78">
        <v>0</v>
      </c>
      <c r="G29" s="78">
        <v>0.58346515899999996</v>
      </c>
      <c r="H29" s="78">
        <v>15.54</v>
      </c>
      <c r="I29" s="78">
        <v>39</v>
      </c>
      <c r="J29" s="78">
        <v>0.82</v>
      </c>
      <c r="K29" s="78">
        <v>0.39846155</v>
      </c>
      <c r="L29" s="78">
        <v>0</v>
      </c>
      <c r="M29" s="78">
        <v>0.2</v>
      </c>
      <c r="N29" s="78">
        <v>0</v>
      </c>
    </row>
    <row r="30" spans="1:22" customFormat="1" ht="15" customHeight="1" x14ac:dyDescent="0.15">
      <c r="C30" s="78">
        <v>29</v>
      </c>
      <c r="E30" s="170" t="s">
        <v>221</v>
      </c>
      <c r="F30" s="78">
        <v>0</v>
      </c>
      <c r="G30" s="78">
        <v>9.5</v>
      </c>
      <c r="H30" s="78">
        <v>7.16</v>
      </c>
      <c r="I30" s="78">
        <v>23.41</v>
      </c>
      <c r="J30" s="78">
        <v>0.99147385399999999</v>
      </c>
      <c r="K30" s="78">
        <v>0.30585220000000002</v>
      </c>
      <c r="L30" s="78">
        <v>0</v>
      </c>
      <c r="M30" s="78">
        <v>0.2</v>
      </c>
      <c r="N30" s="78">
        <v>0</v>
      </c>
    </row>
    <row r="31" spans="1:22" customFormat="1" ht="15" customHeight="1" x14ac:dyDescent="0.15">
      <c r="C31" s="78">
        <v>30</v>
      </c>
      <c r="E31" s="170" t="s">
        <v>222</v>
      </c>
      <c r="F31" s="78">
        <v>0</v>
      </c>
      <c r="G31" s="78">
        <v>5.8179999999999996</v>
      </c>
      <c r="H31" s="78">
        <v>10.44</v>
      </c>
      <c r="I31" s="78">
        <v>23.8</v>
      </c>
      <c r="J31" s="78">
        <v>0.98843800000000004</v>
      </c>
      <c r="K31" s="78">
        <v>0.43865546599999999</v>
      </c>
      <c r="L31" s="78">
        <v>0</v>
      </c>
      <c r="M31" s="78">
        <v>0.2</v>
      </c>
      <c r="N31" s="78">
        <v>0</v>
      </c>
    </row>
    <row r="32" spans="1:22" customFormat="1" ht="15" customHeight="1" x14ac:dyDescent="0.15">
      <c r="C32" s="78">
        <v>31</v>
      </c>
      <c r="E32" s="170" t="s">
        <v>223</v>
      </c>
      <c r="F32" s="78">
        <v>0</v>
      </c>
      <c r="G32" s="78">
        <v>16.829999999999998</v>
      </c>
      <c r="H32" s="78">
        <v>2.2410000000000001</v>
      </c>
      <c r="I32" s="78">
        <v>9.68</v>
      </c>
      <c r="J32" s="78">
        <v>0.24299438300000001</v>
      </c>
      <c r="K32" s="78">
        <v>0.231508255</v>
      </c>
      <c r="L32" s="78">
        <v>0</v>
      </c>
      <c r="M32" s="78">
        <v>0.2</v>
      </c>
      <c r="N32" s="78">
        <v>0</v>
      </c>
    </row>
    <row r="33" spans="3:16" customFormat="1" ht="15" customHeight="1" x14ac:dyDescent="0.15">
      <c r="C33" s="78">
        <v>32</v>
      </c>
      <c r="E33" s="170" t="s">
        <v>224</v>
      </c>
      <c r="F33" s="78">
        <v>0</v>
      </c>
      <c r="G33" s="78">
        <v>13.5</v>
      </c>
      <c r="H33" s="78">
        <v>21.9</v>
      </c>
      <c r="I33" s="78">
        <v>84.962999999999994</v>
      </c>
      <c r="J33" s="78">
        <v>0.99338530000000003</v>
      </c>
      <c r="K33" s="78">
        <v>0.25775927300000001</v>
      </c>
      <c r="L33" s="78">
        <v>0</v>
      </c>
      <c r="M33" s="78">
        <v>0.2</v>
      </c>
      <c r="N33" s="78">
        <v>0</v>
      </c>
    </row>
    <row r="34" spans="3:16" customFormat="1" ht="15" customHeight="1" x14ac:dyDescent="0.15">
      <c r="C34" s="78">
        <v>33</v>
      </c>
      <c r="E34" s="170" t="s">
        <v>225</v>
      </c>
      <c r="F34" s="78">
        <v>1</v>
      </c>
      <c r="G34" s="78">
        <v>44.97</v>
      </c>
      <c r="H34" s="78">
        <v>60.8</v>
      </c>
      <c r="I34" s="78">
        <v>0</v>
      </c>
      <c r="J34" s="78">
        <v>0.304133773</v>
      </c>
      <c r="K34" s="78">
        <v>0</v>
      </c>
      <c r="L34" s="78">
        <v>0</v>
      </c>
      <c r="M34" s="78">
        <v>0</v>
      </c>
      <c r="N34" s="78">
        <v>0</v>
      </c>
    </row>
    <row r="35" spans="3:16" customFormat="1" ht="15" customHeight="1" x14ac:dyDescent="0.15">
      <c r="C35" s="78">
        <v>34</v>
      </c>
      <c r="E35" s="170" t="s">
        <v>226</v>
      </c>
      <c r="F35" s="78">
        <v>2</v>
      </c>
      <c r="G35" s="78">
        <v>2211</v>
      </c>
      <c r="H35" s="78">
        <v>0</v>
      </c>
      <c r="I35" s="78">
        <v>0</v>
      </c>
      <c r="J35" s="78">
        <v>0</v>
      </c>
      <c r="K35" s="78">
        <v>0</v>
      </c>
      <c r="L35" s="78">
        <v>0</v>
      </c>
      <c r="M35" s="78">
        <v>0</v>
      </c>
      <c r="N35" s="78">
        <v>0</v>
      </c>
    </row>
    <row r="36" spans="3:16" customFormat="1" ht="15" customHeight="1" x14ac:dyDescent="0.15">
      <c r="C36" s="78">
        <v>35</v>
      </c>
      <c r="E36" s="170" t="s">
        <v>227</v>
      </c>
      <c r="F36" s="78">
        <v>2</v>
      </c>
      <c r="G36" s="78">
        <v>5</v>
      </c>
      <c r="H36" s="78">
        <v>0</v>
      </c>
      <c r="I36" s="78">
        <v>0</v>
      </c>
      <c r="J36" s="78">
        <v>0</v>
      </c>
      <c r="K36" s="78">
        <v>0</v>
      </c>
      <c r="L36" s="78">
        <v>0</v>
      </c>
      <c r="M36" s="78">
        <v>0</v>
      </c>
      <c r="N36" s="78">
        <v>0</v>
      </c>
    </row>
    <row r="37" spans="3:16" customFormat="1" ht="15" customHeight="1" x14ac:dyDescent="0.15">
      <c r="C37" s="78">
        <v>36</v>
      </c>
      <c r="E37" s="194" t="s">
        <v>232</v>
      </c>
      <c r="F37">
        <v>3</v>
      </c>
      <c r="P37" s="58" t="s">
        <v>233</v>
      </c>
    </row>
    <row r="38" spans="3:16" customFormat="1" ht="15" customHeight="1" x14ac:dyDescent="0.15"/>
    <row r="39" spans="3:16" customFormat="1" ht="15" customHeight="1" x14ac:dyDescent="0.15"/>
    <row r="40" spans="3:16" customFormat="1" ht="15" customHeight="1" x14ac:dyDescent="0.15"/>
    <row r="41" spans="3:16" customFormat="1" ht="15" customHeight="1" x14ac:dyDescent="0.15"/>
    <row r="42" spans="3:16" customFormat="1" ht="15" customHeight="1" x14ac:dyDescent="0.15"/>
    <row r="43" spans="3:16" customFormat="1" ht="15" customHeight="1" x14ac:dyDescent="0.15"/>
    <row r="44" spans="3:16" customFormat="1" ht="15" customHeight="1" x14ac:dyDescent="0.15"/>
    <row r="45" spans="3:16" customFormat="1" ht="15" customHeight="1" x14ac:dyDescent="0.15"/>
    <row r="46" spans="3:16" customFormat="1" ht="15" customHeight="1" x14ac:dyDescent="0.15"/>
    <row r="47" spans="3:16" customFormat="1" ht="15" customHeight="1" x14ac:dyDescent="0.15"/>
    <row r="48" spans="3:16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J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14.83203125" style="136" bestFit="1" customWidth="1"/>
    <col min="3" max="3" width="15.83203125" style="136" bestFit="1" customWidth="1"/>
    <col min="4" max="5" width="14.83203125" style="136" bestFit="1" customWidth="1"/>
    <col min="6" max="7" width="13.83203125" style="136" bestFit="1" customWidth="1"/>
    <col min="8" max="8" width="14.83203125" style="136" bestFit="1" customWidth="1"/>
    <col min="9" max="9" width="5.83203125" style="136" bestFit="1" customWidth="1"/>
    <col min="10" max="11" width="13.83203125" style="136" bestFit="1" customWidth="1"/>
    <col min="12" max="13" width="5.83203125" style="136" bestFit="1" customWidth="1"/>
    <col min="14" max="15" width="13.83203125" style="136" bestFit="1" customWidth="1"/>
    <col min="16" max="16" width="5.83203125" style="136" bestFit="1" customWidth="1"/>
    <col min="17" max="18" width="12.83203125" style="136" bestFit="1" customWidth="1"/>
    <col min="19" max="19" width="14.83203125" style="136" bestFit="1" customWidth="1"/>
    <col min="20" max="21" width="13.83203125" style="136" bestFit="1" customWidth="1"/>
    <col min="22" max="23" width="14.83203125" style="136" bestFit="1" customWidth="1"/>
    <col min="24" max="25" width="13.83203125" style="136" bestFit="1" customWidth="1"/>
    <col min="26" max="26" width="3.83203125" style="136" bestFit="1" customWidth="1"/>
    <col min="27" max="27" width="13.83203125" style="136" bestFit="1" customWidth="1"/>
    <col min="28" max="28" width="4.83203125" style="136" bestFit="1" customWidth="1"/>
    <col min="29" max="29" width="5.83203125" style="136" bestFit="1" customWidth="1"/>
    <col min="30" max="31" width="5.83203125" style="136" customWidth="1"/>
    <col min="32" max="32" width="12.83203125" style="136" customWidth="1"/>
    <col min="33" max="33" width="4.83203125" style="136" customWidth="1"/>
    <col min="34" max="36" width="2.33203125" style="136" customWidth="1"/>
    <col min="37" max="16384" width="8.83203125" style="136"/>
  </cols>
  <sheetData>
    <row r="1" spans="1:36" x14ac:dyDescent="0.15">
      <c r="A1" s="135" t="s">
        <v>19</v>
      </c>
      <c r="B1" s="172" t="s">
        <v>193</v>
      </c>
      <c r="C1" s="172" t="s">
        <v>194</v>
      </c>
      <c r="D1" s="172" t="s">
        <v>195</v>
      </c>
      <c r="E1" s="172" t="s">
        <v>196</v>
      </c>
      <c r="F1" s="172" t="s">
        <v>197</v>
      </c>
      <c r="G1" s="172" t="s">
        <v>198</v>
      </c>
      <c r="H1" s="172" t="s">
        <v>199</v>
      </c>
      <c r="I1" s="172" t="s">
        <v>200</v>
      </c>
      <c r="J1" s="172" t="s">
        <v>201</v>
      </c>
      <c r="K1" s="172" t="s">
        <v>202</v>
      </c>
      <c r="L1" s="172" t="s">
        <v>203</v>
      </c>
      <c r="M1" s="172" t="s">
        <v>204</v>
      </c>
      <c r="N1" s="172" t="s">
        <v>205</v>
      </c>
      <c r="O1" s="172" t="s">
        <v>206</v>
      </c>
      <c r="P1" s="172" t="s">
        <v>207</v>
      </c>
      <c r="Q1" s="172" t="s">
        <v>208</v>
      </c>
      <c r="R1" s="172" t="s">
        <v>209</v>
      </c>
      <c r="S1" s="172" t="s">
        <v>210</v>
      </c>
      <c r="T1" s="172" t="s">
        <v>211</v>
      </c>
      <c r="U1" s="172" t="s">
        <v>212</v>
      </c>
      <c r="V1" s="172" t="s">
        <v>213</v>
      </c>
      <c r="W1" s="172" t="s">
        <v>214</v>
      </c>
      <c r="X1" s="172" t="s">
        <v>215</v>
      </c>
      <c r="Y1" s="172" t="s">
        <v>216</v>
      </c>
      <c r="Z1" s="172" t="s">
        <v>217</v>
      </c>
      <c r="AA1" s="172" t="s">
        <v>218</v>
      </c>
      <c r="AB1" s="172" t="s">
        <v>219</v>
      </c>
      <c r="AC1" s="172" t="s">
        <v>220</v>
      </c>
      <c r="AD1" s="172" t="s">
        <v>221</v>
      </c>
      <c r="AE1" s="172" t="s">
        <v>222</v>
      </c>
      <c r="AF1" s="172" t="s">
        <v>223</v>
      </c>
      <c r="AG1" s="172" t="s">
        <v>224</v>
      </c>
      <c r="AH1" s="172" t="s">
        <v>225</v>
      </c>
      <c r="AI1" s="172" t="s">
        <v>226</v>
      </c>
      <c r="AJ1" s="172" t="s">
        <v>227</v>
      </c>
    </row>
    <row r="2" spans="1:36" customFormat="1" x14ac:dyDescent="0.15">
      <c r="A2" s="171" t="s">
        <v>193</v>
      </c>
      <c r="B2" s="136">
        <v>0</v>
      </c>
      <c r="C2" s="136">
        <v>4.5619264107424208E-2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</row>
    <row r="3" spans="1:36" customFormat="1" x14ac:dyDescent="0.15">
      <c r="A3" s="171" t="s">
        <v>194</v>
      </c>
      <c r="B3" s="136">
        <v>4.0007919547670502E-3</v>
      </c>
      <c r="C3" s="136">
        <v>1.1371564674355599E-3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</row>
    <row r="4" spans="1:36" customFormat="1" x14ac:dyDescent="0.15">
      <c r="A4" s="171" t="s">
        <v>195</v>
      </c>
      <c r="B4" s="136">
        <v>0.19003761785143489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0.63064688208962849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</row>
    <row r="5" spans="1:36" customFormat="1" x14ac:dyDescent="0.15">
      <c r="A5" s="171" t="s">
        <v>196</v>
      </c>
      <c r="B5" s="136">
        <v>0</v>
      </c>
      <c r="C5" s="136">
        <v>4.2608652729144297E-2</v>
      </c>
      <c r="D5" s="136">
        <v>0</v>
      </c>
      <c r="E5" s="136">
        <v>0</v>
      </c>
      <c r="F5" s="136">
        <v>3.1090551620695274E-2</v>
      </c>
      <c r="G5" s="136">
        <v>3.010632857461671E-2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3.0014843009199051E-2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4.0361395853736354E-2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</row>
    <row r="6" spans="1:36" customFormat="1" x14ac:dyDescent="0.15">
      <c r="A6" s="171" t="s">
        <v>197</v>
      </c>
      <c r="B6" s="136">
        <v>0</v>
      </c>
      <c r="C6" s="136">
        <v>0.12102457700062112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0.1360674058879332</v>
      </c>
      <c r="T6" s="136">
        <v>0</v>
      </c>
      <c r="U6" s="136">
        <v>0</v>
      </c>
      <c r="V6" s="136">
        <v>0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</row>
    <row r="7" spans="1:36" customFormat="1" x14ac:dyDescent="0.15">
      <c r="A7" s="171" t="s">
        <v>198</v>
      </c>
      <c r="B7" s="136">
        <v>0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2.5000000000000001E-2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0.1030510500474788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0</v>
      </c>
      <c r="AH7" s="136">
        <v>0</v>
      </c>
      <c r="AI7" s="136">
        <v>0</v>
      </c>
      <c r="AJ7" s="136">
        <v>0</v>
      </c>
    </row>
    <row r="8" spans="1:36" customFormat="1" x14ac:dyDescent="0.15">
      <c r="A8" s="171" t="s">
        <v>199</v>
      </c>
      <c r="B8" s="136">
        <v>8.101603708403278E-2</v>
      </c>
      <c r="C8" s="136">
        <v>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6.0999999999999999E-2</v>
      </c>
      <c r="J8" s="136">
        <v>0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</row>
    <row r="9" spans="1:36" customFormat="1" x14ac:dyDescent="0.15">
      <c r="A9" s="171" t="s">
        <v>200</v>
      </c>
      <c r="B9" s="136">
        <v>9.0017818982258635E-2</v>
      </c>
      <c r="C9" s="136">
        <v>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>
        <v>0</v>
      </c>
      <c r="L9" s="136">
        <v>0</v>
      </c>
      <c r="M9" s="136">
        <v>0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</row>
    <row r="10" spans="1:36" customFormat="1" x14ac:dyDescent="0.15">
      <c r="A10" s="171" t="s">
        <v>201</v>
      </c>
      <c r="B10" s="136">
        <v>0</v>
      </c>
      <c r="C10" s="136">
        <v>0</v>
      </c>
      <c r="D10" s="136">
        <v>0</v>
      </c>
      <c r="E10" s="136">
        <v>0</v>
      </c>
      <c r="F10" s="136">
        <v>0.20005793655929319</v>
      </c>
      <c r="G10" s="136">
        <v>0.19338849312165329</v>
      </c>
      <c r="H10" s="136">
        <v>9.9990969718025458E-2</v>
      </c>
      <c r="I10" s="136">
        <v>0.27600000000000002</v>
      </c>
      <c r="J10" s="136">
        <v>0</v>
      </c>
      <c r="K10" s="136">
        <v>0.24492738634637964</v>
      </c>
      <c r="L10" s="136">
        <v>0</v>
      </c>
      <c r="M10" s="136">
        <v>0</v>
      </c>
      <c r="N10" s="136">
        <v>0</v>
      </c>
      <c r="O10" s="136">
        <v>0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0.46082932283870787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</row>
    <row r="11" spans="1:36" customFormat="1" x14ac:dyDescent="0.15">
      <c r="A11" s="171" t="s">
        <v>202</v>
      </c>
      <c r="B11" s="136">
        <v>1.0004030792893439E-2</v>
      </c>
      <c r="C11" s="136">
        <v>0</v>
      </c>
      <c r="D11" s="136">
        <v>0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</v>
      </c>
      <c r="M11" s="136">
        <v>0</v>
      </c>
      <c r="N11" s="136">
        <v>0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</row>
    <row r="12" spans="1:36" customFormat="1" x14ac:dyDescent="0.15">
      <c r="A12" s="171" t="s">
        <v>203</v>
      </c>
      <c r="B12" s="136">
        <v>0</v>
      </c>
      <c r="C12" s="136">
        <v>0</v>
      </c>
      <c r="D12" s="136">
        <v>0</v>
      </c>
      <c r="E12" s="136">
        <v>0.10002992614017696</v>
      </c>
      <c r="F12" s="136">
        <v>1.813581747874303E-2</v>
      </c>
      <c r="G12" s="136">
        <v>0.10996869263781844</v>
      </c>
      <c r="H12" s="136">
        <v>3.1540139911056808E-3</v>
      </c>
      <c r="I12" s="136">
        <v>0</v>
      </c>
      <c r="J12" s="136">
        <v>0</v>
      </c>
      <c r="K12" s="136">
        <v>7.1335634744622942E-2</v>
      </c>
      <c r="L12" s="136">
        <v>0</v>
      </c>
      <c r="M12" s="136">
        <v>0</v>
      </c>
      <c r="N12" s="136">
        <v>6.0058555094800167E-2</v>
      </c>
      <c r="O12" s="136">
        <v>4.9089799440376287E-2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</row>
    <row r="13" spans="1:36" customFormat="1" x14ac:dyDescent="0.15">
      <c r="A13" s="171" t="s">
        <v>204</v>
      </c>
      <c r="B13" s="136">
        <v>2.9805900063014527E-2</v>
      </c>
      <c r="C13" s="136">
        <v>0</v>
      </c>
      <c r="D13" s="136">
        <v>0</v>
      </c>
      <c r="E13" s="136">
        <v>0</v>
      </c>
      <c r="F13" s="136">
        <v>0</v>
      </c>
      <c r="G13" s="136">
        <v>0</v>
      </c>
      <c r="H13" s="136">
        <v>0.3443140680290343</v>
      </c>
      <c r="I13" s="136">
        <v>8.1000000000000003E-2</v>
      </c>
      <c r="J13" s="136">
        <v>0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0.26413084672363502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</row>
    <row r="14" spans="1:36" customFormat="1" x14ac:dyDescent="0.15">
      <c r="A14" s="171" t="s">
        <v>205</v>
      </c>
      <c r="B14" s="136">
        <v>0</v>
      </c>
      <c r="C14" s="136">
        <v>0.16413333128761923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4.8000000000000001E-2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6.3397594308448699E-2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</row>
    <row r="15" spans="1:36" customFormat="1" x14ac:dyDescent="0.15">
      <c r="A15" s="171" t="s">
        <v>206</v>
      </c>
      <c r="B15" s="136">
        <v>0</v>
      </c>
      <c r="C15" s="136">
        <v>0</v>
      </c>
      <c r="D15" s="136">
        <v>0</v>
      </c>
      <c r="E15" s="136">
        <v>0</v>
      </c>
      <c r="F15" s="136">
        <v>0</v>
      </c>
      <c r="G15" s="136">
        <v>0</v>
      </c>
      <c r="H15" s="136">
        <v>1.1593066167307554E-3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8.0066024434555239E-2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5.0001317101010558E-3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</row>
    <row r="16" spans="1:36" customFormat="1" x14ac:dyDescent="0.15">
      <c r="A16" s="171" t="s">
        <v>207</v>
      </c>
      <c r="B16" s="136">
        <v>0</v>
      </c>
      <c r="C16" s="136">
        <v>0.1081719669637783</v>
      </c>
      <c r="D16" s="136">
        <v>0</v>
      </c>
      <c r="E16" s="136">
        <v>4.8013771680467332E-2</v>
      </c>
      <c r="F16" s="136">
        <v>0</v>
      </c>
      <c r="G16" s="136">
        <v>0</v>
      </c>
      <c r="H16" s="136">
        <v>0</v>
      </c>
      <c r="I16" s="136">
        <v>0</v>
      </c>
      <c r="J16" s="136">
        <v>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0.11997542488002459</v>
      </c>
      <c r="S16" s="136">
        <v>0</v>
      </c>
      <c r="T16" s="136">
        <v>0.10493964401971409</v>
      </c>
      <c r="U16" s="136">
        <v>0</v>
      </c>
      <c r="V16" s="136">
        <v>0</v>
      </c>
      <c r="W16" s="136">
        <v>5.9010520473264362E-2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</row>
    <row r="17" spans="1:36" customFormat="1" x14ac:dyDescent="0.15">
      <c r="A17" s="171" t="s">
        <v>208</v>
      </c>
      <c r="B17" s="136">
        <v>0</v>
      </c>
      <c r="C17" s="136">
        <v>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4.0019825261156817E-3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</row>
    <row r="18" spans="1:36" customFormat="1" x14ac:dyDescent="0.15">
      <c r="A18" s="171" t="s">
        <v>209</v>
      </c>
      <c r="B18" s="136">
        <v>0</v>
      </c>
      <c r="C18" s="136">
        <v>2.0004062314152252E-2</v>
      </c>
      <c r="D18" s="136">
        <v>0</v>
      </c>
      <c r="E18" s="136">
        <v>0</v>
      </c>
      <c r="F18" s="136">
        <v>0.15004345616946985</v>
      </c>
      <c r="G18" s="136">
        <v>0.22923548632956584</v>
      </c>
      <c r="H18" s="136">
        <v>1.5070985957499819E-2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</row>
    <row r="19" spans="1:36" customFormat="1" x14ac:dyDescent="0.15">
      <c r="A19" s="171" t="s">
        <v>210</v>
      </c>
      <c r="B19" s="136">
        <v>4.0007919547670502E-2</v>
      </c>
      <c r="C19" s="136">
        <v>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</row>
    <row r="20" spans="1:36" customFormat="1" x14ac:dyDescent="0.15">
      <c r="A20" s="171" t="s">
        <v>211</v>
      </c>
      <c r="B20" s="136">
        <v>5.0009899434588128E-3</v>
      </c>
      <c r="C20" s="136">
        <v>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>
        <v>0</v>
      </c>
      <c r="L20" s="136">
        <v>0</v>
      </c>
      <c r="M20" s="136">
        <v>0</v>
      </c>
      <c r="N20" s="136">
        <v>0</v>
      </c>
      <c r="O20" s="136">
        <v>0</v>
      </c>
      <c r="P20" s="136">
        <v>0</v>
      </c>
      <c r="Q20" s="136">
        <v>0</v>
      </c>
      <c r="R20" s="136">
        <v>0</v>
      </c>
      <c r="S20" s="136">
        <v>0</v>
      </c>
      <c r="T20" s="136">
        <v>0</v>
      </c>
      <c r="U20" s="136">
        <v>0</v>
      </c>
      <c r="V20" s="136">
        <v>0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</row>
    <row r="21" spans="1:36" customFormat="1" x14ac:dyDescent="0.15">
      <c r="A21" s="171" t="s">
        <v>212</v>
      </c>
      <c r="B21" s="136">
        <v>0.3190631583926723</v>
      </c>
      <c r="C21" s="136">
        <v>0.12852610036842824</v>
      </c>
      <c r="D21" s="136">
        <v>0</v>
      </c>
      <c r="E21" s="136">
        <v>7.6197132208698712E-2</v>
      </c>
      <c r="F21" s="136">
        <v>0</v>
      </c>
      <c r="G21" s="136">
        <v>0</v>
      </c>
      <c r="H21" s="136">
        <v>0</v>
      </c>
      <c r="I21" s="136">
        <v>1.0999999999999999E-2</v>
      </c>
      <c r="J21" s="136">
        <v>0</v>
      </c>
      <c r="K21" s="136">
        <v>0</v>
      </c>
      <c r="L21" s="136">
        <v>0</v>
      </c>
      <c r="M21" s="136">
        <v>0</v>
      </c>
      <c r="N21" s="136">
        <v>0</v>
      </c>
      <c r="O21" s="136">
        <v>0</v>
      </c>
      <c r="P21" s="136">
        <v>0</v>
      </c>
      <c r="Q21" s="136">
        <v>0</v>
      </c>
      <c r="R21" s="136">
        <v>0</v>
      </c>
      <c r="S21" s="136">
        <v>0</v>
      </c>
      <c r="T21" s="136">
        <v>0</v>
      </c>
      <c r="U21" s="136">
        <v>0</v>
      </c>
      <c r="V21" s="136">
        <v>1.0286367608006861E-2</v>
      </c>
      <c r="W21" s="136">
        <v>5.026450420312132E-2</v>
      </c>
      <c r="X21" s="136">
        <v>0</v>
      </c>
      <c r="Y21" s="136">
        <v>0</v>
      </c>
      <c r="Z21" s="136">
        <v>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</row>
    <row r="22" spans="1:36" customFormat="1" x14ac:dyDescent="0.15">
      <c r="A22" s="171" t="s">
        <v>213</v>
      </c>
      <c r="B22" s="136">
        <v>4.0007919547670502E-2</v>
      </c>
      <c r="C22" s="136">
        <v>7.4415111808646378E-2</v>
      </c>
      <c r="D22" s="136">
        <v>0</v>
      </c>
      <c r="E22" s="136">
        <v>7.002111942973975E-3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>
        <v>0</v>
      </c>
      <c r="L22" s="136">
        <v>0</v>
      </c>
      <c r="M22" s="136">
        <v>0</v>
      </c>
      <c r="N22" s="136">
        <v>0</v>
      </c>
      <c r="O22" s="136">
        <v>0</v>
      </c>
      <c r="P22" s="136">
        <v>0</v>
      </c>
      <c r="Q22" s="136">
        <v>0</v>
      </c>
      <c r="R22" s="136">
        <v>0</v>
      </c>
      <c r="S22" s="136">
        <v>0</v>
      </c>
      <c r="T22" s="136">
        <v>9.8885421591654019E-2</v>
      </c>
      <c r="U22" s="136">
        <v>0</v>
      </c>
      <c r="V22" s="136">
        <v>0</v>
      </c>
      <c r="W22" s="136">
        <v>0</v>
      </c>
      <c r="X22" s="136">
        <v>0</v>
      </c>
      <c r="Y22" s="136">
        <v>0</v>
      </c>
      <c r="Z22" s="136">
        <v>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  <c r="AG22" s="136">
        <v>0</v>
      </c>
      <c r="AH22" s="136">
        <v>0</v>
      </c>
      <c r="AI22" s="136">
        <v>0</v>
      </c>
      <c r="AJ22" s="136">
        <v>0</v>
      </c>
    </row>
    <row r="23" spans="1:36" customFormat="1" x14ac:dyDescent="0.15">
      <c r="A23" s="171" t="s">
        <v>214</v>
      </c>
      <c r="B23" s="136">
        <v>0</v>
      </c>
      <c r="C23" s="136">
        <v>0.19653991223654591</v>
      </c>
      <c r="D23" s="136">
        <v>0</v>
      </c>
      <c r="E23" s="136">
        <v>0</v>
      </c>
      <c r="F23" s="136">
        <v>0</v>
      </c>
      <c r="G23" s="136">
        <v>0</v>
      </c>
      <c r="H23" s="136">
        <v>0</v>
      </c>
      <c r="I23" s="136">
        <v>0</v>
      </c>
      <c r="J23" s="136">
        <v>0</v>
      </c>
      <c r="K23" s="136">
        <v>0</v>
      </c>
      <c r="L23" s="136">
        <v>0</v>
      </c>
      <c r="M23" s="136">
        <v>0</v>
      </c>
      <c r="N23" s="136">
        <v>0</v>
      </c>
      <c r="O23" s="136">
        <v>0</v>
      </c>
      <c r="P23" s="136">
        <v>0</v>
      </c>
      <c r="Q23" s="136">
        <v>0</v>
      </c>
      <c r="R23" s="136">
        <v>0</v>
      </c>
      <c r="S23" s="136">
        <v>0</v>
      </c>
      <c r="T23" s="136">
        <v>3.0271049140302202E-2</v>
      </c>
      <c r="U23" s="136">
        <v>0</v>
      </c>
      <c r="V23" s="136">
        <v>0.17589690184691745</v>
      </c>
      <c r="W23" s="136">
        <v>0</v>
      </c>
      <c r="X23" s="136">
        <v>0</v>
      </c>
      <c r="Y23" s="136">
        <v>0</v>
      </c>
      <c r="Z23" s="136">
        <v>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  <c r="AF23" s="136">
        <v>0</v>
      </c>
      <c r="AG23" s="136">
        <v>0</v>
      </c>
      <c r="AH23" s="136">
        <v>0</v>
      </c>
      <c r="AI23" s="136">
        <v>0</v>
      </c>
      <c r="AJ23" s="136">
        <v>0</v>
      </c>
    </row>
    <row r="24" spans="1:36" customFormat="1" x14ac:dyDescent="0.15">
      <c r="A24" s="171" t="s">
        <v>215</v>
      </c>
      <c r="B24" s="136">
        <v>0</v>
      </c>
      <c r="C24" s="136">
        <v>0</v>
      </c>
      <c r="D24" s="136">
        <v>0</v>
      </c>
      <c r="E24" s="136">
        <v>0.23322848624253004</v>
      </c>
      <c r="F24" s="136">
        <v>0.13637794433618911</v>
      </c>
      <c r="G24" s="136">
        <v>0.18994592210168637</v>
      </c>
      <c r="H24" s="136">
        <v>9.6004269729267955E-2</v>
      </c>
      <c r="I24" s="136">
        <v>0.47</v>
      </c>
      <c r="J24" s="136">
        <v>6.4487346164219667E-2</v>
      </c>
      <c r="K24" s="136">
        <v>0.17924335259437629</v>
      </c>
      <c r="L24" s="136">
        <v>0</v>
      </c>
      <c r="M24" s="136">
        <v>0</v>
      </c>
      <c r="N24" s="136">
        <v>0</v>
      </c>
      <c r="O24" s="136">
        <v>3.1478833041141303E-2</v>
      </c>
      <c r="P24" s="136">
        <v>0</v>
      </c>
      <c r="Q24" s="136">
        <v>0</v>
      </c>
      <c r="R24" s="136">
        <v>0</v>
      </c>
      <c r="S24" s="136">
        <v>0.11305600636276801</v>
      </c>
      <c r="T24" s="136">
        <v>6.179852824492179E-2</v>
      </c>
      <c r="U24" s="136">
        <v>6.0594778969888768E-2</v>
      </c>
      <c r="V24" s="136">
        <v>0</v>
      </c>
      <c r="W24" s="136">
        <v>0</v>
      </c>
      <c r="X24" s="136">
        <v>0</v>
      </c>
      <c r="Y24" s="136">
        <v>0</v>
      </c>
      <c r="Z24" s="136">
        <v>0</v>
      </c>
      <c r="AA24" s="136">
        <v>7.4006802960272108E-2</v>
      </c>
      <c r="AB24" s="136">
        <v>0.02</v>
      </c>
      <c r="AC24" s="136">
        <v>0</v>
      </c>
      <c r="AD24" s="136">
        <v>0</v>
      </c>
      <c r="AE24" s="136">
        <v>0</v>
      </c>
      <c r="AF24" s="136">
        <v>0</v>
      </c>
      <c r="AG24" s="136">
        <v>0</v>
      </c>
      <c r="AH24" s="136">
        <v>0</v>
      </c>
      <c r="AI24" s="136">
        <v>0</v>
      </c>
      <c r="AJ24" s="136">
        <v>0</v>
      </c>
    </row>
    <row r="25" spans="1:36" customFormat="1" x14ac:dyDescent="0.15">
      <c r="A25" s="171" t="s">
        <v>216</v>
      </c>
      <c r="B25" s="136">
        <v>0</v>
      </c>
      <c r="C25" s="136">
        <v>3.5007109049766442E-3</v>
      </c>
      <c r="D25" s="136">
        <v>0</v>
      </c>
      <c r="E25" s="136">
        <v>4.4278199575363874E-3</v>
      </c>
      <c r="F25" s="136">
        <v>1.8946595268851538E-2</v>
      </c>
      <c r="G25" s="136">
        <v>1.3775470079897729E-2</v>
      </c>
      <c r="H25" s="136">
        <v>0</v>
      </c>
      <c r="I25" s="136">
        <v>0</v>
      </c>
      <c r="J25" s="136">
        <v>0</v>
      </c>
      <c r="K25" s="136">
        <v>1.3161927249923383E-2</v>
      </c>
      <c r="L25" s="136">
        <v>0</v>
      </c>
      <c r="M25" s="136">
        <v>0</v>
      </c>
      <c r="N25" s="136"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3.3097079060042951E-2</v>
      </c>
      <c r="U25" s="136">
        <v>0</v>
      </c>
      <c r="V25" s="136">
        <v>0.12696612033314425</v>
      </c>
      <c r="W25" s="136">
        <v>4.3227475446684351E-2</v>
      </c>
      <c r="X25" s="136">
        <v>0</v>
      </c>
      <c r="Y25" s="136">
        <v>3.2101890692968905E-2</v>
      </c>
      <c r="Z25" s="136">
        <v>0</v>
      </c>
      <c r="AA25" s="136">
        <v>4.0008001600320066E-2</v>
      </c>
      <c r="AB25" s="136">
        <v>0</v>
      </c>
      <c r="AC25" s="136">
        <v>0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</row>
    <row r="26" spans="1:36" customFormat="1" x14ac:dyDescent="0.15">
      <c r="A26" s="171" t="s">
        <v>217</v>
      </c>
      <c r="B26" s="136">
        <v>0</v>
      </c>
      <c r="C26" s="136">
        <v>5.0010155785380636E-2</v>
      </c>
      <c r="D26" s="136">
        <v>0</v>
      </c>
      <c r="E26" s="136">
        <v>0</v>
      </c>
      <c r="F26" s="136">
        <v>0.17405038887658528</v>
      </c>
      <c r="G26" s="136">
        <v>0</v>
      </c>
      <c r="H26" s="136">
        <v>0.11298979968136877</v>
      </c>
      <c r="I26" s="136">
        <v>0</v>
      </c>
      <c r="J26" s="136">
        <v>0</v>
      </c>
      <c r="K26" s="136">
        <v>0.19594189627710398</v>
      </c>
      <c r="L26" s="136">
        <v>0</v>
      </c>
      <c r="M26" s="136">
        <v>0</v>
      </c>
      <c r="N26" s="136">
        <v>0</v>
      </c>
      <c r="O26" s="136">
        <v>0.41214972230149316</v>
      </c>
      <c r="P26" s="136">
        <v>0</v>
      </c>
      <c r="Q26" s="136">
        <v>0</v>
      </c>
      <c r="R26" s="136">
        <v>0</v>
      </c>
      <c r="S26" s="136">
        <v>0.23820021605222924</v>
      </c>
      <c r="T26" s="136">
        <v>0</v>
      </c>
      <c r="U26" s="136">
        <v>0</v>
      </c>
      <c r="V26" s="136">
        <v>0.15195943559557407</v>
      </c>
      <c r="W26" s="136">
        <v>0</v>
      </c>
      <c r="X26" s="136">
        <v>0</v>
      </c>
      <c r="Y26" s="136">
        <v>3.2101890692968905E-2</v>
      </c>
      <c r="Z26" s="136">
        <v>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</row>
    <row r="27" spans="1:36" customFormat="1" x14ac:dyDescent="0.15">
      <c r="A27" s="171" t="s">
        <v>218</v>
      </c>
      <c r="B27" s="136">
        <v>0</v>
      </c>
      <c r="C27" s="136">
        <v>7.4015030562363335E-3</v>
      </c>
      <c r="D27" s="136">
        <v>0</v>
      </c>
      <c r="E27" s="136">
        <v>2.5743142821626184E-2</v>
      </c>
      <c r="F27" s="136">
        <v>6.7184484680349293E-2</v>
      </c>
      <c r="G27" s="136">
        <v>7.7562235749860986E-2</v>
      </c>
      <c r="H27" s="136">
        <v>2.6013288526642527E-2</v>
      </c>
      <c r="I27" s="136">
        <v>2.8000000000000001E-2</v>
      </c>
      <c r="J27" s="136">
        <v>1.1000008413300085E-2</v>
      </c>
      <c r="K27" s="136">
        <v>0</v>
      </c>
      <c r="L27" s="136">
        <v>0</v>
      </c>
      <c r="M27" s="136">
        <v>0</v>
      </c>
      <c r="N27" s="136">
        <v>0</v>
      </c>
      <c r="O27" s="136">
        <v>1.5340559825117617E-2</v>
      </c>
      <c r="P27" s="136">
        <v>0</v>
      </c>
      <c r="Q27" s="136">
        <v>0.41299220908582862</v>
      </c>
      <c r="R27" s="136">
        <v>0</v>
      </c>
      <c r="S27" s="136">
        <v>0.11174512597097423</v>
      </c>
      <c r="T27" s="136">
        <v>0</v>
      </c>
      <c r="U27" s="136">
        <v>0</v>
      </c>
      <c r="V27" s="136">
        <v>9.2577310972061771E-3</v>
      </c>
      <c r="W27" s="136">
        <v>7.0370305864369846E-3</v>
      </c>
      <c r="X27" s="136">
        <v>0</v>
      </c>
      <c r="Y27" s="136">
        <v>0</v>
      </c>
      <c r="Z27" s="136">
        <v>0</v>
      </c>
      <c r="AA27" s="136">
        <v>0.20304060812162431</v>
      </c>
      <c r="AB27" s="136">
        <v>0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</row>
    <row r="28" spans="1:36" customFormat="1" x14ac:dyDescent="0.15">
      <c r="A28" s="171" t="s">
        <v>219</v>
      </c>
      <c r="B28" s="136">
        <v>0</v>
      </c>
      <c r="C28" s="136">
        <v>0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0.10396828028730216</v>
      </c>
      <c r="R28" s="136">
        <v>0</v>
      </c>
      <c r="S28" s="136">
        <v>2.9747366428865725E-2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</row>
    <row r="29" spans="1:36" customFormat="1" x14ac:dyDescent="0.15">
      <c r="A29" s="171" t="s">
        <v>220</v>
      </c>
      <c r="B29" s="136">
        <v>0</v>
      </c>
      <c r="C29" s="136">
        <v>3.6407393411757104E-2</v>
      </c>
      <c r="D29" s="136">
        <v>6.8041237203134014E-2</v>
      </c>
      <c r="E29" s="136">
        <v>0.1581018439097851</v>
      </c>
      <c r="F29" s="136">
        <v>0.15564988410107142</v>
      </c>
      <c r="G29" s="136">
        <v>0.1241616167201374</v>
      </c>
      <c r="H29" s="136">
        <v>0</v>
      </c>
      <c r="I29" s="136">
        <v>0</v>
      </c>
      <c r="J29" s="136">
        <v>0</v>
      </c>
      <c r="K29" s="136">
        <v>0</v>
      </c>
      <c r="L29" s="136">
        <v>0</v>
      </c>
      <c r="M29" s="136">
        <v>0</v>
      </c>
      <c r="N29" s="136">
        <v>0</v>
      </c>
      <c r="O29" s="136">
        <v>0</v>
      </c>
      <c r="P29" s="136">
        <v>0</v>
      </c>
      <c r="Q29" s="136">
        <v>0</v>
      </c>
      <c r="R29" s="136">
        <v>0.27268949972731049</v>
      </c>
      <c r="S29" s="136">
        <v>0</v>
      </c>
      <c r="T29" s="136">
        <v>0</v>
      </c>
      <c r="U29" s="136">
        <v>5.1973329116453408E-2</v>
      </c>
      <c r="V29" s="136">
        <v>6.4804120680443278E-2</v>
      </c>
      <c r="W29" s="136">
        <v>0.34883564979766191</v>
      </c>
      <c r="X29" s="136">
        <v>0</v>
      </c>
      <c r="Y29" s="136">
        <v>0.1444584945683606</v>
      </c>
      <c r="Z29" s="136">
        <v>0</v>
      </c>
      <c r="AA29" s="136">
        <v>0</v>
      </c>
      <c r="AB29" s="136">
        <v>0</v>
      </c>
      <c r="AC29" s="136">
        <v>8.9999999999999993E-3</v>
      </c>
      <c r="AD29" s="136">
        <v>0</v>
      </c>
      <c r="AE29" s="136">
        <v>0</v>
      </c>
      <c r="AF29" s="136">
        <v>0</v>
      </c>
      <c r="AG29" s="136">
        <v>0</v>
      </c>
      <c r="AH29" s="136">
        <v>0</v>
      </c>
      <c r="AI29" s="136">
        <v>0</v>
      </c>
      <c r="AJ29" s="136">
        <v>0</v>
      </c>
    </row>
    <row r="30" spans="1:36" customFormat="1" x14ac:dyDescent="0.15">
      <c r="A30" s="171" t="s">
        <v>221</v>
      </c>
      <c r="B30" s="136">
        <v>9.7019204903100981E-2</v>
      </c>
      <c r="C30" s="136">
        <v>0</v>
      </c>
      <c r="D30" s="136">
        <v>0</v>
      </c>
      <c r="E30" s="136">
        <v>1.553559427044086E-2</v>
      </c>
      <c r="F30" s="136">
        <v>3.3159569595453256E-2</v>
      </c>
      <c r="G30" s="136">
        <v>1.7017481898701399E-2</v>
      </c>
      <c r="H30" s="136">
        <v>2.7823353121538146E-2</v>
      </c>
      <c r="I30" s="136">
        <v>0</v>
      </c>
      <c r="J30" s="136">
        <v>3.2911643738989929E-2</v>
      </c>
      <c r="K30" s="136">
        <v>2.7127636084574917E-2</v>
      </c>
      <c r="L30" s="136">
        <v>0.218</v>
      </c>
      <c r="M30" s="136">
        <v>4.0000000000000001E-3</v>
      </c>
      <c r="N30" s="136">
        <v>0.30004843564250538</v>
      </c>
      <c r="O30" s="136">
        <v>0.32010635335078758</v>
      </c>
      <c r="P30" s="136">
        <v>7.0000000000000001E-3</v>
      </c>
      <c r="Q30" s="136">
        <v>0</v>
      </c>
      <c r="R30" s="136">
        <v>0.23641104976358898</v>
      </c>
      <c r="S30" s="136">
        <v>0</v>
      </c>
      <c r="T30" s="136">
        <v>0</v>
      </c>
      <c r="U30" s="136">
        <v>0</v>
      </c>
      <c r="V30" s="136">
        <v>0</v>
      </c>
      <c r="W30" s="136">
        <v>0</v>
      </c>
      <c r="X30" s="136">
        <v>0.27877670669064092</v>
      </c>
      <c r="Y30" s="136">
        <v>9.8312036303467437E-2</v>
      </c>
      <c r="Z30" s="136">
        <v>0</v>
      </c>
      <c r="AA30" s="136">
        <v>1.1502300460092018E-2</v>
      </c>
      <c r="AB30" s="136">
        <v>0</v>
      </c>
      <c r="AC30" s="136">
        <v>0</v>
      </c>
      <c r="AD30" s="136">
        <v>0.01</v>
      </c>
      <c r="AE30" s="136">
        <v>0.1</v>
      </c>
      <c r="AF30" s="136">
        <v>0</v>
      </c>
      <c r="AG30" s="136">
        <v>0</v>
      </c>
      <c r="AH30" s="136">
        <v>0</v>
      </c>
      <c r="AI30" s="136">
        <v>0</v>
      </c>
      <c r="AJ30" s="136">
        <v>0</v>
      </c>
    </row>
    <row r="31" spans="1:36" customFormat="1" x14ac:dyDescent="0.15">
      <c r="A31" s="171" t="s">
        <v>222</v>
      </c>
      <c r="B31" s="136">
        <v>0</v>
      </c>
      <c r="C31" s="136">
        <v>0</v>
      </c>
      <c r="D31" s="136">
        <v>1.0309279003505175E-3</v>
      </c>
      <c r="E31" s="136">
        <v>0</v>
      </c>
      <c r="F31" s="136">
        <v>0</v>
      </c>
      <c r="G31" s="136">
        <v>0</v>
      </c>
      <c r="H31" s="136">
        <v>3.21679077092865E-2</v>
      </c>
      <c r="I31" s="136">
        <v>0</v>
      </c>
      <c r="J31" s="136">
        <v>3.5821203468958389E-2</v>
      </c>
      <c r="K31" s="136">
        <v>0.25821489509391704</v>
      </c>
      <c r="L31" s="136">
        <v>0.157</v>
      </c>
      <c r="M31" s="136">
        <v>0</v>
      </c>
      <c r="N31" s="136">
        <v>5.7499918892140366E-2</v>
      </c>
      <c r="O31" s="136">
        <v>9.0018412973790096E-2</v>
      </c>
      <c r="P31" s="136">
        <v>0</v>
      </c>
      <c r="Q31" s="136">
        <v>0.28228000621016014</v>
      </c>
      <c r="R31" s="136">
        <v>0</v>
      </c>
      <c r="S31" s="136">
        <v>0</v>
      </c>
      <c r="T31" s="136">
        <v>0</v>
      </c>
      <c r="U31" s="136">
        <v>2.9079576505647204E-2</v>
      </c>
      <c r="V31" s="136">
        <v>0</v>
      </c>
      <c r="W31" s="136">
        <v>1.0052900880624263E-3</v>
      </c>
      <c r="X31" s="136">
        <v>0.1119252246862054</v>
      </c>
      <c r="Y31" s="136">
        <v>5.8010117818819568E-2</v>
      </c>
      <c r="Z31" s="136">
        <v>0.50000000000000011</v>
      </c>
      <c r="AA31" s="136">
        <v>4.1816361672654463E-2</v>
      </c>
      <c r="AB31" s="136">
        <v>0.13</v>
      </c>
      <c r="AC31" s="136">
        <v>0</v>
      </c>
      <c r="AD31" s="136">
        <v>4.3999999999999997E-2</v>
      </c>
      <c r="AE31" s="136">
        <v>9.7000000000000003E-2</v>
      </c>
      <c r="AF31" s="136">
        <v>0</v>
      </c>
      <c r="AG31" s="136">
        <v>0</v>
      </c>
      <c r="AH31" s="136">
        <v>0</v>
      </c>
      <c r="AI31" s="136">
        <v>0</v>
      </c>
      <c r="AJ31" s="136">
        <v>0</v>
      </c>
    </row>
    <row r="32" spans="1:36" customFormat="1" x14ac:dyDescent="0.15">
      <c r="A32" s="171" t="s">
        <v>223</v>
      </c>
      <c r="B32" s="136">
        <v>9.4018610937025682E-2</v>
      </c>
      <c r="C32" s="136">
        <v>5.0010155785380631E-4</v>
      </c>
      <c r="D32" s="136">
        <v>4.12371161140207E-3</v>
      </c>
      <c r="E32" s="136">
        <v>9.2027756964800811E-2</v>
      </c>
      <c r="F32" s="136">
        <v>0</v>
      </c>
      <c r="G32" s="136">
        <v>0</v>
      </c>
      <c r="H32" s="136">
        <v>1.0433758570576801E-2</v>
      </c>
      <c r="I32" s="136">
        <v>0</v>
      </c>
      <c r="J32" s="136">
        <v>0</v>
      </c>
      <c r="K32" s="136">
        <v>0</v>
      </c>
      <c r="L32" s="136">
        <v>4.7E-2</v>
      </c>
      <c r="M32" s="136">
        <v>0</v>
      </c>
      <c r="N32" s="136">
        <v>0.23819644745504734</v>
      </c>
      <c r="O32" s="136">
        <v>0</v>
      </c>
      <c r="P32" s="136">
        <v>0</v>
      </c>
      <c r="Q32" s="136">
        <v>0.20075950441670912</v>
      </c>
      <c r="R32" s="136">
        <v>0</v>
      </c>
      <c r="S32" s="136">
        <v>0</v>
      </c>
      <c r="T32" s="136">
        <v>0</v>
      </c>
      <c r="U32" s="136">
        <v>0</v>
      </c>
      <c r="V32" s="136">
        <v>0</v>
      </c>
      <c r="W32" s="136">
        <v>0</v>
      </c>
      <c r="X32" s="136">
        <v>0</v>
      </c>
      <c r="Y32" s="136">
        <v>0</v>
      </c>
      <c r="Z32" s="136">
        <v>0</v>
      </c>
      <c r="AA32" s="136">
        <v>0.43808761752350472</v>
      </c>
      <c r="AB32" s="136">
        <v>0.2</v>
      </c>
      <c r="AC32" s="136">
        <v>0</v>
      </c>
      <c r="AD32" s="136">
        <v>0</v>
      </c>
      <c r="AE32" s="136">
        <v>0</v>
      </c>
      <c r="AF32" s="136">
        <v>0</v>
      </c>
      <c r="AG32" s="136">
        <v>0</v>
      </c>
      <c r="AH32" s="136">
        <v>0</v>
      </c>
      <c r="AI32" s="136">
        <v>0</v>
      </c>
      <c r="AJ32" s="136">
        <v>0</v>
      </c>
    </row>
    <row r="33" spans="1:36" customFormat="1" x14ac:dyDescent="0.15">
      <c r="A33" s="171" t="s">
        <v>224</v>
      </c>
      <c r="B33" s="136">
        <v>0</v>
      </c>
      <c r="C33" s="136">
        <v>0</v>
      </c>
      <c r="D33" s="136">
        <v>0.5422680539643715</v>
      </c>
      <c r="E33" s="136">
        <v>0.2396924138609636</v>
      </c>
      <c r="F33" s="136">
        <v>1.5303371313298871E-2</v>
      </c>
      <c r="G33" s="136">
        <v>1.4838272786061984E-2</v>
      </c>
      <c r="H33" s="136">
        <v>0.23087827834892324</v>
      </c>
      <c r="I33" s="136">
        <v>0</v>
      </c>
      <c r="J33" s="136">
        <v>0.81978906044382727</v>
      </c>
      <c r="K33" s="136">
        <v>1.004727160910184E-2</v>
      </c>
      <c r="L33" s="136">
        <v>0.13300000000000001</v>
      </c>
      <c r="M33" s="136">
        <v>0</v>
      </c>
      <c r="N33" s="136">
        <v>0</v>
      </c>
      <c r="O33" s="136">
        <v>0</v>
      </c>
      <c r="P33" s="136">
        <v>0</v>
      </c>
      <c r="Q33" s="136">
        <v>0</v>
      </c>
      <c r="R33" s="136">
        <v>0</v>
      </c>
      <c r="S33" s="136">
        <v>0</v>
      </c>
      <c r="T33" s="136">
        <v>0</v>
      </c>
      <c r="U33" s="136">
        <v>0.77002308690960763</v>
      </c>
      <c r="V33" s="136">
        <v>0</v>
      </c>
      <c r="W33" s="136">
        <v>0</v>
      </c>
      <c r="X33" s="136">
        <v>9.1125792187019009E-2</v>
      </c>
      <c r="Y33" s="136">
        <v>1.3041393309643611E-2</v>
      </c>
      <c r="Z33" s="136">
        <v>0.10000000000000002</v>
      </c>
      <c r="AA33" s="136">
        <v>0</v>
      </c>
      <c r="AB33" s="136">
        <v>0</v>
      </c>
      <c r="AC33" s="136">
        <v>0.28000000000000003</v>
      </c>
      <c r="AD33" s="136">
        <v>0</v>
      </c>
      <c r="AE33" s="136">
        <v>0.1</v>
      </c>
      <c r="AF33" s="136">
        <v>0.21217784830444622</v>
      </c>
      <c r="AG33" s="136">
        <v>0.16</v>
      </c>
      <c r="AH33" s="136">
        <v>0</v>
      </c>
      <c r="AI33" s="136">
        <v>0</v>
      </c>
      <c r="AJ33" s="136">
        <v>0</v>
      </c>
    </row>
    <row r="34" spans="1:36" customFormat="1" x14ac:dyDescent="0.15">
      <c r="A34" s="171" t="s">
        <v>225</v>
      </c>
      <c r="B34" s="136">
        <v>0</v>
      </c>
      <c r="C34" s="136">
        <v>0</v>
      </c>
      <c r="D34" s="136">
        <v>0</v>
      </c>
      <c r="E34" s="136">
        <v>0</v>
      </c>
      <c r="F34" s="136">
        <v>0</v>
      </c>
      <c r="G34" s="136">
        <v>0</v>
      </c>
      <c r="H34" s="136">
        <v>0</v>
      </c>
      <c r="I34" s="136">
        <v>0</v>
      </c>
      <c r="J34" s="136">
        <v>3.5990737770704599E-2</v>
      </c>
      <c r="K34" s="136">
        <v>0</v>
      </c>
      <c r="L34" s="136">
        <v>0</v>
      </c>
      <c r="M34" s="136">
        <v>0</v>
      </c>
      <c r="N34" s="136">
        <v>0</v>
      </c>
      <c r="O34" s="136">
        <v>0</v>
      </c>
      <c r="P34" s="136">
        <v>0</v>
      </c>
      <c r="Q34" s="136">
        <v>0</v>
      </c>
      <c r="R34" s="136">
        <v>0</v>
      </c>
      <c r="S34" s="136">
        <v>0</v>
      </c>
      <c r="T34" s="136">
        <v>0</v>
      </c>
      <c r="U34" s="136">
        <v>8.832922849840312E-2</v>
      </c>
      <c r="V34" s="136">
        <v>0</v>
      </c>
      <c r="W34" s="136">
        <v>0</v>
      </c>
      <c r="X34" s="136">
        <v>0</v>
      </c>
      <c r="Y34" s="136">
        <v>0</v>
      </c>
      <c r="Z34" s="136">
        <v>0.30000000000000004</v>
      </c>
      <c r="AA34" s="136">
        <v>0</v>
      </c>
      <c r="AB34" s="136">
        <v>0.05</v>
      </c>
      <c r="AC34" s="136">
        <v>0.115</v>
      </c>
      <c r="AD34" s="136">
        <v>0</v>
      </c>
      <c r="AE34" s="136">
        <v>7.3999999999999996E-2</v>
      </c>
      <c r="AF34" s="136">
        <v>0.59086661477166547</v>
      </c>
      <c r="AG34" s="136">
        <v>0.62</v>
      </c>
      <c r="AH34" s="136">
        <v>0</v>
      </c>
      <c r="AI34" s="136">
        <v>0</v>
      </c>
      <c r="AJ34" s="136">
        <v>0</v>
      </c>
    </row>
    <row r="35" spans="1:36" customFormat="1" x14ac:dyDescent="0.15">
      <c r="A35" s="171" t="s">
        <v>226</v>
      </c>
      <c r="B35" s="136">
        <v>0</v>
      </c>
      <c r="C35" s="136">
        <v>0</v>
      </c>
      <c r="D35" s="136">
        <v>0.38453606932074191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>
        <v>0</v>
      </c>
      <c r="L35" s="136">
        <v>0.44500000000000001</v>
      </c>
      <c r="M35" s="136">
        <v>0.996</v>
      </c>
      <c r="N35" s="136">
        <v>0.23411577547175261</v>
      </c>
      <c r="O35" s="136">
        <v>8.1816319067293961E-2</v>
      </c>
      <c r="P35" s="136">
        <v>0.99299999999999999</v>
      </c>
      <c r="Q35" s="136">
        <v>0</v>
      </c>
      <c r="R35" s="136">
        <v>0.37092402562907606</v>
      </c>
      <c r="S35" s="136">
        <v>0</v>
      </c>
      <c r="T35" s="136">
        <v>0</v>
      </c>
      <c r="U35" s="136">
        <v>0</v>
      </c>
      <c r="V35" s="136">
        <v>0</v>
      </c>
      <c r="W35" s="136">
        <v>0.42222180338621879</v>
      </c>
      <c r="X35" s="136">
        <v>0.51817227643613473</v>
      </c>
      <c r="Y35" s="136">
        <v>0.62197417661377097</v>
      </c>
      <c r="Z35" s="136">
        <v>0.10000000000000002</v>
      </c>
      <c r="AA35" s="136">
        <v>0.19153830766153229</v>
      </c>
      <c r="AB35" s="136">
        <v>0.6</v>
      </c>
      <c r="AC35" s="136">
        <v>0.59599999999999997</v>
      </c>
      <c r="AD35" s="136">
        <v>0.94599999999999995</v>
      </c>
      <c r="AE35" s="136">
        <v>0.629</v>
      </c>
      <c r="AF35" s="136">
        <v>0.19695553692388842</v>
      </c>
      <c r="AG35" s="136">
        <v>0.22</v>
      </c>
      <c r="AH35" s="136">
        <v>0</v>
      </c>
      <c r="AI35" s="136">
        <v>0</v>
      </c>
      <c r="AJ35" s="136">
        <v>0</v>
      </c>
    </row>
    <row r="36" spans="1:36" customFormat="1" x14ac:dyDescent="0.15">
      <c r="A36" s="171" t="s">
        <v>227</v>
      </c>
      <c r="B36" s="136">
        <v>0</v>
      </c>
      <c r="C36" s="136">
        <v>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>
        <v>0</v>
      </c>
      <c r="L36" s="136">
        <v>0</v>
      </c>
      <c r="M36" s="136">
        <v>0</v>
      </c>
      <c r="N36" s="136">
        <v>0</v>
      </c>
      <c r="O36" s="136">
        <v>0</v>
      </c>
      <c r="P36" s="136">
        <v>0</v>
      </c>
      <c r="Q36" s="136">
        <v>0</v>
      </c>
      <c r="R36" s="136">
        <v>0</v>
      </c>
      <c r="S36" s="136">
        <v>0</v>
      </c>
      <c r="T36" s="136">
        <v>0</v>
      </c>
      <c r="U36" s="136">
        <v>0</v>
      </c>
      <c r="V36" s="136">
        <v>0</v>
      </c>
      <c r="W36" s="136">
        <v>0</v>
      </c>
      <c r="X36" s="136">
        <v>0</v>
      </c>
      <c r="Y36" s="136">
        <v>0</v>
      </c>
      <c r="Z36" s="136">
        <v>0</v>
      </c>
      <c r="AA36" s="136">
        <v>0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</v>
      </c>
    </row>
    <row r="37" spans="1:36" customFormat="1" x14ac:dyDescent="0.15">
      <c r="A37" s="171" t="s">
        <v>228</v>
      </c>
      <c r="B37" s="136">
        <v>0</v>
      </c>
      <c r="C37" s="136">
        <v>0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>
        <v>0</v>
      </c>
      <c r="L37" s="136">
        <v>0</v>
      </c>
      <c r="M37" s="136">
        <v>0</v>
      </c>
      <c r="N37" s="136">
        <v>0</v>
      </c>
      <c r="O37" s="136">
        <v>0</v>
      </c>
      <c r="P37" s="136">
        <v>0</v>
      </c>
      <c r="Q37" s="136">
        <v>0</v>
      </c>
      <c r="R37" s="136">
        <v>0</v>
      </c>
      <c r="S37" s="136">
        <v>0</v>
      </c>
      <c r="T37" s="136">
        <v>0</v>
      </c>
      <c r="U37" s="136">
        <v>0</v>
      </c>
      <c r="V37" s="136">
        <v>0</v>
      </c>
      <c r="W37" s="136">
        <v>0</v>
      </c>
      <c r="X37" s="136">
        <v>0</v>
      </c>
      <c r="Y37" s="136">
        <v>0</v>
      </c>
      <c r="Z37" s="136">
        <v>0</v>
      </c>
      <c r="AA37" s="136">
        <v>0</v>
      </c>
      <c r="AB37" s="136">
        <v>0</v>
      </c>
      <c r="AC37" s="136">
        <v>0</v>
      </c>
      <c r="AD37" s="136">
        <v>0</v>
      </c>
      <c r="AE37" s="136">
        <v>0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</row>
    <row r="38" spans="1:36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B37" sqref="B37"/>
    </sheetView>
  </sheetViews>
  <sheetFormatPr baseColWidth="10" defaultColWidth="8.83203125" defaultRowHeight="13" x14ac:dyDescent="0.15"/>
  <cols>
    <col min="1" max="1" width="3.33203125" customWidth="1"/>
    <col min="2" max="2" width="20.5" customWidth="1"/>
    <col min="3" max="4" width="18" style="105" customWidth="1"/>
    <col min="5" max="6" width="18" style="104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74" t="s">
        <v>226</v>
      </c>
      <c r="D1" s="174" t="s">
        <v>227</v>
      </c>
      <c r="E1" s="174" t="s">
        <v>229</v>
      </c>
      <c r="F1" s="174" t="s">
        <v>230</v>
      </c>
      <c r="G1"/>
      <c r="H1"/>
    </row>
    <row r="2" spans="1:8" x14ac:dyDescent="0.15">
      <c r="A2">
        <v>1</v>
      </c>
      <c r="B2" s="173" t="s">
        <v>193</v>
      </c>
      <c r="C2" s="105">
        <v>1</v>
      </c>
      <c r="D2" s="105">
        <v>0</v>
      </c>
      <c r="E2" s="104">
        <v>0</v>
      </c>
      <c r="F2" s="104">
        <f>SUM(C2:E2)</f>
        <v>1</v>
      </c>
      <c r="G2"/>
      <c r="H2"/>
    </row>
    <row r="3" spans="1:8" x14ac:dyDescent="0.15">
      <c r="A3">
        <v>2</v>
      </c>
      <c r="B3" s="173" t="s">
        <v>194</v>
      </c>
      <c r="C3" s="105">
        <v>1</v>
      </c>
      <c r="D3" s="105">
        <v>0</v>
      </c>
      <c r="E3" s="104">
        <v>0</v>
      </c>
      <c r="F3" s="104">
        <f t="shared" ref="F3:F37" si="0">SUM(C3:E3)</f>
        <v>1</v>
      </c>
      <c r="G3"/>
      <c r="H3"/>
    </row>
    <row r="4" spans="1:8" x14ac:dyDescent="0.15">
      <c r="A4">
        <v>3</v>
      </c>
      <c r="B4" s="173" t="s">
        <v>195</v>
      </c>
      <c r="C4" s="105">
        <v>1</v>
      </c>
      <c r="D4" s="105">
        <v>0</v>
      </c>
      <c r="E4" s="104">
        <v>0</v>
      </c>
      <c r="F4" s="104">
        <f t="shared" si="0"/>
        <v>1</v>
      </c>
      <c r="G4"/>
      <c r="H4"/>
    </row>
    <row r="5" spans="1:8" x14ac:dyDescent="0.15">
      <c r="A5">
        <v>4</v>
      </c>
      <c r="B5" s="173" t="s">
        <v>196</v>
      </c>
      <c r="C5" s="105">
        <v>1</v>
      </c>
      <c r="D5" s="105">
        <v>0</v>
      </c>
      <c r="E5" s="104">
        <v>0</v>
      </c>
      <c r="F5" s="104">
        <f t="shared" si="0"/>
        <v>1</v>
      </c>
      <c r="G5"/>
      <c r="H5"/>
    </row>
    <row r="6" spans="1:8" x14ac:dyDescent="0.15">
      <c r="A6">
        <v>5</v>
      </c>
      <c r="B6" s="173" t="s">
        <v>197</v>
      </c>
      <c r="C6" s="105">
        <v>1</v>
      </c>
      <c r="D6" s="105">
        <v>0</v>
      </c>
      <c r="E6" s="104">
        <v>0</v>
      </c>
      <c r="F6" s="104">
        <f t="shared" si="0"/>
        <v>1</v>
      </c>
      <c r="G6"/>
      <c r="H6"/>
    </row>
    <row r="7" spans="1:8" x14ac:dyDescent="0.15">
      <c r="A7">
        <v>6</v>
      </c>
      <c r="B7" s="173" t="s">
        <v>198</v>
      </c>
      <c r="C7" s="105">
        <v>1</v>
      </c>
      <c r="D7" s="105">
        <v>0</v>
      </c>
      <c r="E7" s="104">
        <v>0</v>
      </c>
      <c r="F7" s="104">
        <f t="shared" si="0"/>
        <v>1</v>
      </c>
      <c r="G7"/>
      <c r="H7"/>
    </row>
    <row r="8" spans="1:8" x14ac:dyDescent="0.15">
      <c r="A8">
        <v>7</v>
      </c>
      <c r="B8" s="173" t="s">
        <v>199</v>
      </c>
      <c r="C8" s="105">
        <v>1</v>
      </c>
      <c r="D8" s="105">
        <v>0</v>
      </c>
      <c r="E8" s="104">
        <v>0</v>
      </c>
      <c r="F8" s="104">
        <f t="shared" si="0"/>
        <v>1</v>
      </c>
      <c r="G8"/>
      <c r="H8"/>
    </row>
    <row r="9" spans="1:8" x14ac:dyDescent="0.15">
      <c r="A9">
        <v>8</v>
      </c>
      <c r="B9" s="173" t="s">
        <v>200</v>
      </c>
      <c r="C9" s="105">
        <v>1</v>
      </c>
      <c r="D9" s="105">
        <v>0</v>
      </c>
      <c r="E9" s="104">
        <v>0</v>
      </c>
      <c r="F9" s="104">
        <f t="shared" si="0"/>
        <v>1</v>
      </c>
      <c r="G9"/>
      <c r="H9"/>
    </row>
    <row r="10" spans="1:8" x14ac:dyDescent="0.15">
      <c r="A10">
        <v>9</v>
      </c>
      <c r="B10" s="173" t="s">
        <v>201</v>
      </c>
      <c r="C10" s="105">
        <v>1</v>
      </c>
      <c r="D10" s="105">
        <v>0</v>
      </c>
      <c r="E10" s="104">
        <v>0</v>
      </c>
      <c r="F10" s="104">
        <f t="shared" si="0"/>
        <v>1</v>
      </c>
      <c r="G10"/>
      <c r="H10"/>
    </row>
    <row r="11" spans="1:8" x14ac:dyDescent="0.15">
      <c r="A11">
        <v>10</v>
      </c>
      <c r="B11" s="173" t="s">
        <v>202</v>
      </c>
      <c r="C11" s="105">
        <v>1</v>
      </c>
      <c r="D11" s="105">
        <v>0</v>
      </c>
      <c r="E11" s="104">
        <v>0</v>
      </c>
      <c r="F11" s="104">
        <f t="shared" si="0"/>
        <v>1</v>
      </c>
      <c r="G11"/>
      <c r="H11"/>
    </row>
    <row r="12" spans="1:8" x14ac:dyDescent="0.15">
      <c r="A12">
        <v>11</v>
      </c>
      <c r="B12" s="173" t="s">
        <v>203</v>
      </c>
      <c r="C12" s="105">
        <v>1</v>
      </c>
      <c r="D12" s="105">
        <v>0</v>
      </c>
      <c r="E12" s="104">
        <v>0</v>
      </c>
      <c r="F12" s="104">
        <f t="shared" si="0"/>
        <v>1</v>
      </c>
      <c r="G12"/>
      <c r="H12"/>
    </row>
    <row r="13" spans="1:8" x14ac:dyDescent="0.15">
      <c r="A13">
        <v>12</v>
      </c>
      <c r="B13" s="173" t="s">
        <v>204</v>
      </c>
      <c r="C13" s="105">
        <v>1</v>
      </c>
      <c r="D13" s="105">
        <v>0</v>
      </c>
      <c r="E13" s="104">
        <v>0</v>
      </c>
      <c r="F13" s="104">
        <f t="shared" si="0"/>
        <v>1</v>
      </c>
      <c r="G13"/>
      <c r="H13"/>
    </row>
    <row r="14" spans="1:8" x14ac:dyDescent="0.15">
      <c r="A14">
        <v>13</v>
      </c>
      <c r="B14" s="173" t="s">
        <v>205</v>
      </c>
      <c r="C14" s="105">
        <v>1</v>
      </c>
      <c r="D14" s="105">
        <v>0</v>
      </c>
      <c r="E14" s="104">
        <v>0</v>
      </c>
      <c r="F14" s="104">
        <f t="shared" si="0"/>
        <v>1</v>
      </c>
      <c r="G14"/>
      <c r="H14"/>
    </row>
    <row r="15" spans="1:8" x14ac:dyDescent="0.15">
      <c r="A15">
        <v>14</v>
      </c>
      <c r="B15" s="173" t="s">
        <v>206</v>
      </c>
      <c r="C15" s="105">
        <v>1</v>
      </c>
      <c r="D15" s="105">
        <v>0</v>
      </c>
      <c r="E15" s="104">
        <v>0</v>
      </c>
      <c r="F15" s="104">
        <f t="shared" si="0"/>
        <v>1</v>
      </c>
      <c r="G15"/>
      <c r="H15"/>
    </row>
    <row r="16" spans="1:8" x14ac:dyDescent="0.15">
      <c r="A16">
        <v>15</v>
      </c>
      <c r="B16" s="173" t="s">
        <v>207</v>
      </c>
      <c r="C16" s="105">
        <v>1</v>
      </c>
      <c r="D16" s="105">
        <v>0</v>
      </c>
      <c r="E16" s="104">
        <v>0</v>
      </c>
      <c r="F16" s="104">
        <f t="shared" si="0"/>
        <v>1</v>
      </c>
      <c r="G16"/>
      <c r="H16"/>
    </row>
    <row r="17" spans="1:8" ht="15" customHeight="1" x14ac:dyDescent="0.15">
      <c r="A17">
        <v>16</v>
      </c>
      <c r="B17" s="173" t="s">
        <v>208</v>
      </c>
      <c r="C17" s="105">
        <v>1</v>
      </c>
      <c r="D17" s="105">
        <v>0</v>
      </c>
      <c r="E17" s="104">
        <v>0</v>
      </c>
      <c r="F17" s="104">
        <f t="shared" si="0"/>
        <v>1</v>
      </c>
      <c r="G17"/>
      <c r="H17"/>
    </row>
    <row r="18" spans="1:8" ht="15" customHeight="1" x14ac:dyDescent="0.15">
      <c r="A18">
        <v>17</v>
      </c>
      <c r="B18" s="173" t="s">
        <v>209</v>
      </c>
      <c r="C18" s="105">
        <v>1</v>
      </c>
      <c r="D18" s="105">
        <v>0</v>
      </c>
      <c r="E18" s="104">
        <v>0</v>
      </c>
      <c r="F18" s="104">
        <f t="shared" si="0"/>
        <v>1</v>
      </c>
      <c r="G18"/>
      <c r="H18"/>
    </row>
    <row r="19" spans="1:8" ht="15" customHeight="1" x14ac:dyDescent="0.15">
      <c r="A19">
        <v>18</v>
      </c>
      <c r="B19" s="173" t="s">
        <v>210</v>
      </c>
      <c r="C19" s="105">
        <v>1</v>
      </c>
      <c r="D19" s="105">
        <v>0</v>
      </c>
      <c r="E19" s="104">
        <v>0</v>
      </c>
      <c r="F19" s="104">
        <f t="shared" si="0"/>
        <v>1</v>
      </c>
      <c r="G19"/>
      <c r="H19"/>
    </row>
    <row r="20" spans="1:8" ht="15" customHeight="1" x14ac:dyDescent="0.15">
      <c r="A20">
        <v>19</v>
      </c>
      <c r="B20" s="173" t="s">
        <v>211</v>
      </c>
      <c r="C20" s="105">
        <v>1</v>
      </c>
      <c r="D20" s="105">
        <v>0</v>
      </c>
      <c r="E20" s="104">
        <v>0</v>
      </c>
      <c r="F20" s="104">
        <f t="shared" si="0"/>
        <v>1</v>
      </c>
      <c r="G20"/>
      <c r="H20"/>
    </row>
    <row r="21" spans="1:8" ht="15" customHeight="1" x14ac:dyDescent="0.15">
      <c r="A21">
        <v>20</v>
      </c>
      <c r="B21" s="173" t="s">
        <v>212</v>
      </c>
      <c r="C21" s="105">
        <v>1</v>
      </c>
      <c r="D21" s="105">
        <v>0</v>
      </c>
      <c r="E21" s="104">
        <v>0</v>
      </c>
      <c r="F21" s="104">
        <f t="shared" si="0"/>
        <v>1</v>
      </c>
      <c r="G21"/>
      <c r="H21"/>
    </row>
    <row r="22" spans="1:8" ht="15" customHeight="1" x14ac:dyDescent="0.15">
      <c r="A22">
        <v>21</v>
      </c>
      <c r="B22" s="173" t="s">
        <v>213</v>
      </c>
      <c r="C22" s="105">
        <v>1</v>
      </c>
      <c r="D22" s="105">
        <v>0</v>
      </c>
      <c r="E22" s="104">
        <v>0</v>
      </c>
      <c r="F22" s="104">
        <f t="shared" si="0"/>
        <v>1</v>
      </c>
      <c r="G22"/>
      <c r="H22"/>
    </row>
    <row r="23" spans="1:8" ht="15" customHeight="1" x14ac:dyDescent="0.15">
      <c r="A23">
        <v>22</v>
      </c>
      <c r="B23" s="173" t="s">
        <v>214</v>
      </c>
      <c r="C23" s="105">
        <v>1</v>
      </c>
      <c r="D23" s="105">
        <v>0</v>
      </c>
      <c r="E23" s="104">
        <v>0</v>
      </c>
      <c r="F23" s="104">
        <f t="shared" si="0"/>
        <v>1</v>
      </c>
      <c r="G23"/>
      <c r="H23"/>
    </row>
    <row r="24" spans="1:8" ht="15" customHeight="1" x14ac:dyDescent="0.15">
      <c r="A24">
        <v>23</v>
      </c>
      <c r="B24" s="173" t="s">
        <v>215</v>
      </c>
      <c r="C24" s="105">
        <v>1</v>
      </c>
      <c r="D24" s="105">
        <v>0</v>
      </c>
      <c r="E24" s="104">
        <v>0</v>
      </c>
      <c r="F24" s="104">
        <f t="shared" si="0"/>
        <v>1</v>
      </c>
      <c r="G24"/>
      <c r="H24"/>
    </row>
    <row r="25" spans="1:8" ht="15" customHeight="1" x14ac:dyDescent="0.15">
      <c r="A25">
        <v>24</v>
      </c>
      <c r="B25" s="173" t="s">
        <v>216</v>
      </c>
      <c r="C25" s="105">
        <v>1</v>
      </c>
      <c r="D25" s="105">
        <v>0</v>
      </c>
      <c r="E25" s="104">
        <v>0</v>
      </c>
      <c r="F25" s="104">
        <f t="shared" si="0"/>
        <v>1</v>
      </c>
      <c r="G25"/>
      <c r="H25"/>
    </row>
    <row r="26" spans="1:8" ht="15" customHeight="1" x14ac:dyDescent="0.15">
      <c r="A26">
        <v>25</v>
      </c>
      <c r="B26" s="173" t="s">
        <v>217</v>
      </c>
      <c r="C26" s="105">
        <v>1</v>
      </c>
      <c r="D26" s="105">
        <v>0</v>
      </c>
      <c r="E26" s="104">
        <v>0</v>
      </c>
      <c r="F26" s="104">
        <f t="shared" si="0"/>
        <v>1</v>
      </c>
      <c r="G26"/>
      <c r="H26"/>
    </row>
    <row r="27" spans="1:8" ht="15" customHeight="1" x14ac:dyDescent="0.15">
      <c r="A27">
        <v>26</v>
      </c>
      <c r="B27" s="173" t="s">
        <v>218</v>
      </c>
      <c r="C27" s="105">
        <v>1</v>
      </c>
      <c r="D27" s="105">
        <v>0</v>
      </c>
      <c r="E27" s="104">
        <v>0</v>
      </c>
      <c r="F27" s="104">
        <f t="shared" si="0"/>
        <v>1</v>
      </c>
      <c r="G27"/>
      <c r="H27"/>
    </row>
    <row r="28" spans="1:8" ht="15" customHeight="1" x14ac:dyDescent="0.15">
      <c r="A28">
        <v>27</v>
      </c>
      <c r="B28" s="173" t="s">
        <v>219</v>
      </c>
      <c r="C28" s="105">
        <v>1</v>
      </c>
      <c r="D28" s="105">
        <v>0</v>
      </c>
      <c r="E28" s="104">
        <v>0</v>
      </c>
      <c r="F28" s="104">
        <f t="shared" si="0"/>
        <v>1</v>
      </c>
      <c r="G28"/>
      <c r="H28"/>
    </row>
    <row r="29" spans="1:8" ht="15" customHeight="1" x14ac:dyDescent="0.15">
      <c r="A29">
        <v>28</v>
      </c>
      <c r="B29" s="173" t="s">
        <v>220</v>
      </c>
      <c r="C29" s="105">
        <v>1</v>
      </c>
      <c r="D29" s="105">
        <v>0</v>
      </c>
      <c r="E29" s="104">
        <v>0</v>
      </c>
      <c r="F29" s="104">
        <f t="shared" si="0"/>
        <v>1</v>
      </c>
      <c r="G29"/>
      <c r="H29"/>
    </row>
    <row r="30" spans="1:8" ht="15" customHeight="1" x14ac:dyDescent="0.15">
      <c r="A30">
        <v>29</v>
      </c>
      <c r="B30" s="173" t="s">
        <v>221</v>
      </c>
      <c r="C30" s="105">
        <v>1</v>
      </c>
      <c r="D30" s="105">
        <v>0</v>
      </c>
      <c r="E30" s="104">
        <v>0</v>
      </c>
      <c r="F30" s="104">
        <f t="shared" si="0"/>
        <v>1</v>
      </c>
      <c r="G30"/>
      <c r="H30"/>
    </row>
    <row r="31" spans="1:8" ht="15" customHeight="1" x14ac:dyDescent="0.15">
      <c r="A31">
        <v>30</v>
      </c>
      <c r="B31" s="173" t="s">
        <v>222</v>
      </c>
      <c r="C31" s="105">
        <v>1</v>
      </c>
      <c r="D31" s="105">
        <v>0</v>
      </c>
      <c r="E31" s="104">
        <v>0</v>
      </c>
      <c r="F31" s="104">
        <f t="shared" si="0"/>
        <v>1</v>
      </c>
      <c r="G31"/>
      <c r="H31"/>
    </row>
    <row r="32" spans="1:8" ht="15" customHeight="1" x14ac:dyDescent="0.15">
      <c r="A32">
        <v>31</v>
      </c>
      <c r="B32" s="173" t="s">
        <v>223</v>
      </c>
      <c r="C32" s="105">
        <v>1</v>
      </c>
      <c r="D32" s="105">
        <v>0</v>
      </c>
      <c r="E32" s="104">
        <v>0</v>
      </c>
      <c r="F32" s="104">
        <f t="shared" si="0"/>
        <v>1</v>
      </c>
    </row>
    <row r="33" spans="1:8" ht="15" customHeight="1" x14ac:dyDescent="0.15">
      <c r="A33">
        <v>32</v>
      </c>
      <c r="B33" s="173" t="s">
        <v>224</v>
      </c>
      <c r="C33" s="105">
        <v>1</v>
      </c>
      <c r="D33" s="105">
        <v>0</v>
      </c>
      <c r="E33" s="104">
        <v>0</v>
      </c>
      <c r="F33" s="104">
        <f t="shared" si="0"/>
        <v>1</v>
      </c>
    </row>
    <row r="34" spans="1:8" ht="15" customHeight="1" x14ac:dyDescent="0.15">
      <c r="A34">
        <v>33</v>
      </c>
      <c r="B34" s="173" t="s">
        <v>225</v>
      </c>
      <c r="C34" s="105">
        <v>1</v>
      </c>
      <c r="D34" s="105">
        <v>0</v>
      </c>
      <c r="E34" s="104">
        <v>0</v>
      </c>
      <c r="F34" s="104">
        <f t="shared" si="0"/>
        <v>1</v>
      </c>
    </row>
    <row r="35" spans="1:8" ht="15" customHeight="1" x14ac:dyDescent="0.15">
      <c r="A35">
        <v>34</v>
      </c>
      <c r="B35" s="173" t="s">
        <v>226</v>
      </c>
      <c r="C35" s="105">
        <v>0</v>
      </c>
      <c r="D35" s="105">
        <v>1</v>
      </c>
      <c r="E35" s="104">
        <v>0</v>
      </c>
      <c r="F35" s="104">
        <f t="shared" si="0"/>
        <v>1</v>
      </c>
    </row>
    <row r="36" spans="1:8" ht="15" customHeight="1" x14ac:dyDescent="0.15">
      <c r="A36">
        <v>35</v>
      </c>
      <c r="B36" s="173" t="s">
        <v>227</v>
      </c>
      <c r="C36" s="105">
        <v>0</v>
      </c>
      <c r="D36" s="105">
        <v>0</v>
      </c>
      <c r="E36" s="105">
        <v>1</v>
      </c>
      <c r="F36" s="104">
        <f t="shared" si="0"/>
        <v>1</v>
      </c>
      <c r="G36"/>
      <c r="H36"/>
    </row>
    <row r="37" spans="1:8" ht="15" customHeight="1" x14ac:dyDescent="0.15">
      <c r="A37">
        <v>36</v>
      </c>
      <c r="B37" s="194" t="s">
        <v>232</v>
      </c>
      <c r="C37" s="105">
        <v>1</v>
      </c>
      <c r="D37" s="105">
        <v>0</v>
      </c>
      <c r="E37" s="105">
        <v>0</v>
      </c>
      <c r="F37" s="104">
        <f t="shared" si="0"/>
        <v>1</v>
      </c>
      <c r="G37"/>
      <c r="H37"/>
    </row>
    <row r="38" spans="1:8" ht="15" customHeight="1" x14ac:dyDescent="0.15">
      <c r="C38"/>
      <c r="D38"/>
      <c r="E38" s="105"/>
      <c r="F38" s="105"/>
      <c r="G38"/>
      <c r="H38"/>
    </row>
    <row r="39" spans="1:8" ht="15" customHeight="1" x14ac:dyDescent="0.15">
      <c r="C39"/>
      <c r="D39"/>
      <c r="E39" s="105"/>
      <c r="F39" s="105"/>
      <c r="G39"/>
      <c r="H39"/>
    </row>
    <row r="40" spans="1:8" ht="15" customHeight="1" x14ac:dyDescent="0.15">
      <c r="C40"/>
      <c r="D40"/>
      <c r="E40" s="105"/>
      <c r="F40" s="105"/>
      <c r="G40"/>
      <c r="H40"/>
    </row>
    <row r="41" spans="1:8" ht="15" customHeight="1" x14ac:dyDescent="0.15">
      <c r="C41"/>
      <c r="D41"/>
      <c r="E41" s="105"/>
      <c r="F41" s="105"/>
      <c r="G41"/>
      <c r="H41"/>
    </row>
    <row r="42" spans="1:8" ht="15" customHeight="1" x14ac:dyDescent="0.15">
      <c r="C42"/>
      <c r="D42"/>
      <c r="E42" s="105"/>
      <c r="F42" s="105"/>
      <c r="G42"/>
      <c r="H42"/>
    </row>
    <row r="43" spans="1:8" ht="15" customHeight="1" x14ac:dyDescent="0.15">
      <c r="C43"/>
      <c r="D43"/>
      <c r="E43" s="105"/>
      <c r="F43" s="10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5"/>
      <c r="F46" s="10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20.5" bestFit="1" customWidth="1"/>
    <col min="3" max="4" width="2.3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94" t="s">
        <v>232</v>
      </c>
      <c r="D1" s="176" t="s">
        <v>231</v>
      </c>
      <c r="E1"/>
    </row>
    <row r="2" spans="1:5" ht="15" customHeight="1" x14ac:dyDescent="0.15">
      <c r="A2">
        <v>1</v>
      </c>
      <c r="B2" s="175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75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75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75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75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75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75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75" t="s">
        <v>200</v>
      </c>
      <c r="C9">
        <v>0</v>
      </c>
      <c r="D9">
        <v>0</v>
      </c>
    </row>
    <row r="10" spans="1:5" ht="15" customHeight="1" x14ac:dyDescent="0.15">
      <c r="A10">
        <v>9</v>
      </c>
      <c r="B10" s="175" t="s">
        <v>201</v>
      </c>
      <c r="C10">
        <v>0</v>
      </c>
      <c r="D10">
        <v>0</v>
      </c>
    </row>
    <row r="11" spans="1:5" ht="15" customHeight="1" x14ac:dyDescent="0.15">
      <c r="A11">
        <v>10</v>
      </c>
      <c r="B11" s="175" t="s">
        <v>202</v>
      </c>
      <c r="C11">
        <v>0</v>
      </c>
      <c r="D11">
        <v>0</v>
      </c>
    </row>
    <row r="12" spans="1:5" ht="15" customHeight="1" x14ac:dyDescent="0.15">
      <c r="A12">
        <v>11</v>
      </c>
      <c r="B12" s="175" t="s">
        <v>203</v>
      </c>
      <c r="C12">
        <v>0</v>
      </c>
      <c r="D12">
        <v>0</v>
      </c>
    </row>
    <row r="13" spans="1:5" ht="15" customHeight="1" x14ac:dyDescent="0.15">
      <c r="A13">
        <v>12</v>
      </c>
      <c r="B13" s="175" t="s">
        <v>204</v>
      </c>
      <c r="C13">
        <v>0</v>
      </c>
      <c r="D13">
        <v>0</v>
      </c>
    </row>
    <row r="14" spans="1:5" ht="15" customHeight="1" x14ac:dyDescent="0.15">
      <c r="A14">
        <v>13</v>
      </c>
      <c r="B14" s="175" t="s">
        <v>205</v>
      </c>
      <c r="C14">
        <v>0</v>
      </c>
      <c r="D14">
        <v>0</v>
      </c>
    </row>
    <row r="15" spans="1:5" ht="15" customHeight="1" x14ac:dyDescent="0.15">
      <c r="A15">
        <v>14</v>
      </c>
      <c r="B15" s="175" t="s">
        <v>206</v>
      </c>
      <c r="C15">
        <v>0</v>
      </c>
      <c r="D15">
        <v>0</v>
      </c>
    </row>
    <row r="16" spans="1:5" ht="15" customHeight="1" x14ac:dyDescent="0.15">
      <c r="A16">
        <v>15</v>
      </c>
      <c r="B16" s="175" t="s">
        <v>207</v>
      </c>
      <c r="C16">
        <v>0</v>
      </c>
      <c r="D16">
        <v>0</v>
      </c>
    </row>
    <row r="17" spans="1:4" ht="15" customHeight="1" x14ac:dyDescent="0.15">
      <c r="A17">
        <v>16</v>
      </c>
      <c r="B17" s="175" t="s">
        <v>208</v>
      </c>
      <c r="C17">
        <v>0</v>
      </c>
      <c r="D17">
        <v>0</v>
      </c>
    </row>
    <row r="18" spans="1:4" ht="15" customHeight="1" x14ac:dyDescent="0.15">
      <c r="A18">
        <v>17</v>
      </c>
      <c r="B18" s="175" t="s">
        <v>209</v>
      </c>
      <c r="C18">
        <v>0</v>
      </c>
      <c r="D18">
        <v>0</v>
      </c>
    </row>
    <row r="19" spans="1:4" ht="15" customHeight="1" x14ac:dyDescent="0.15">
      <c r="A19">
        <v>18</v>
      </c>
      <c r="B19" s="175" t="s">
        <v>210</v>
      </c>
      <c r="C19">
        <v>0</v>
      </c>
      <c r="D19">
        <v>0</v>
      </c>
    </row>
    <row r="20" spans="1:4" ht="15" customHeight="1" x14ac:dyDescent="0.15">
      <c r="A20">
        <v>19</v>
      </c>
      <c r="B20" s="175" t="s">
        <v>211</v>
      </c>
      <c r="C20">
        <v>0</v>
      </c>
      <c r="D20">
        <v>0</v>
      </c>
    </row>
    <row r="21" spans="1:4" ht="15" customHeight="1" x14ac:dyDescent="0.15">
      <c r="A21">
        <v>20</v>
      </c>
      <c r="B21" s="175" t="s">
        <v>212</v>
      </c>
      <c r="C21">
        <v>0</v>
      </c>
      <c r="D21">
        <v>0</v>
      </c>
    </row>
    <row r="22" spans="1:4" ht="15" customHeight="1" x14ac:dyDescent="0.15">
      <c r="A22">
        <v>21</v>
      </c>
      <c r="B22" s="175" t="s">
        <v>213</v>
      </c>
      <c r="C22">
        <v>0</v>
      </c>
      <c r="D22">
        <v>0</v>
      </c>
    </row>
    <row r="23" spans="1:4" ht="15" customHeight="1" x14ac:dyDescent="0.15">
      <c r="A23">
        <v>22</v>
      </c>
      <c r="B23" s="175" t="s">
        <v>214</v>
      </c>
      <c r="C23">
        <v>0</v>
      </c>
      <c r="D23">
        <v>0</v>
      </c>
    </row>
    <row r="24" spans="1:4" ht="15" customHeight="1" x14ac:dyDescent="0.15">
      <c r="A24">
        <v>23</v>
      </c>
      <c r="B24" s="175" t="s">
        <v>215</v>
      </c>
      <c r="C24">
        <v>0</v>
      </c>
      <c r="D24">
        <v>0</v>
      </c>
    </row>
    <row r="25" spans="1:4" ht="15" customHeight="1" x14ac:dyDescent="0.15">
      <c r="A25">
        <v>24</v>
      </c>
      <c r="B25" s="175" t="s">
        <v>216</v>
      </c>
      <c r="C25">
        <v>0</v>
      </c>
      <c r="D25">
        <v>0</v>
      </c>
    </row>
    <row r="26" spans="1:4" ht="15" customHeight="1" x14ac:dyDescent="0.15">
      <c r="A26">
        <v>25</v>
      </c>
      <c r="B26" s="175" t="s">
        <v>217</v>
      </c>
      <c r="C26">
        <v>0</v>
      </c>
      <c r="D26">
        <v>0</v>
      </c>
    </row>
    <row r="27" spans="1:4" ht="15" customHeight="1" x14ac:dyDescent="0.15">
      <c r="A27">
        <v>26</v>
      </c>
      <c r="B27" s="175" t="s">
        <v>218</v>
      </c>
      <c r="C27">
        <v>0</v>
      </c>
      <c r="D27">
        <v>0</v>
      </c>
    </row>
    <row r="28" spans="1:4" ht="15" customHeight="1" x14ac:dyDescent="0.15">
      <c r="A28">
        <v>27</v>
      </c>
      <c r="B28" s="175" t="s">
        <v>219</v>
      </c>
      <c r="C28">
        <v>0</v>
      </c>
      <c r="D28">
        <v>0</v>
      </c>
    </row>
    <row r="29" spans="1:4" ht="15" customHeight="1" x14ac:dyDescent="0.15">
      <c r="A29">
        <v>28</v>
      </c>
      <c r="B29" s="175" t="s">
        <v>220</v>
      </c>
      <c r="C29">
        <v>0</v>
      </c>
      <c r="D29">
        <v>0</v>
      </c>
    </row>
    <row r="30" spans="1:4" ht="15" customHeight="1" x14ac:dyDescent="0.15">
      <c r="A30">
        <v>29</v>
      </c>
      <c r="B30" s="175" t="s">
        <v>221</v>
      </c>
      <c r="C30">
        <v>0</v>
      </c>
      <c r="D30">
        <v>0</v>
      </c>
    </row>
    <row r="31" spans="1:4" ht="15" customHeight="1" x14ac:dyDescent="0.15">
      <c r="A31">
        <v>30</v>
      </c>
      <c r="B31" s="175" t="s">
        <v>222</v>
      </c>
      <c r="C31">
        <v>0</v>
      </c>
      <c r="D31">
        <v>0</v>
      </c>
    </row>
    <row r="32" spans="1:4" ht="15" customHeight="1" x14ac:dyDescent="0.15">
      <c r="A32">
        <v>31</v>
      </c>
      <c r="B32" s="175" t="s">
        <v>223</v>
      </c>
      <c r="C32">
        <v>0</v>
      </c>
      <c r="D32">
        <v>0</v>
      </c>
    </row>
    <row r="33" spans="1:4" ht="15" customHeight="1" x14ac:dyDescent="0.15">
      <c r="A33">
        <v>32</v>
      </c>
      <c r="B33" s="175" t="s">
        <v>224</v>
      </c>
      <c r="C33">
        <v>0</v>
      </c>
      <c r="D33">
        <v>0</v>
      </c>
    </row>
    <row r="34" spans="1:4" ht="15" customHeight="1" x14ac:dyDescent="0.15">
      <c r="A34">
        <v>33</v>
      </c>
      <c r="B34" s="175" t="s">
        <v>225</v>
      </c>
      <c r="C34">
        <v>0</v>
      </c>
      <c r="D34">
        <v>0</v>
      </c>
    </row>
    <row r="35" spans="1:4" ht="15" customHeight="1" x14ac:dyDescent="0.15">
      <c r="A35">
        <v>34</v>
      </c>
      <c r="B35" s="175" t="s">
        <v>226</v>
      </c>
      <c r="C35">
        <v>0</v>
      </c>
      <c r="D35">
        <v>0</v>
      </c>
    </row>
    <row r="36" spans="1:4" ht="15" customHeight="1" x14ac:dyDescent="0.15">
      <c r="A36">
        <v>35</v>
      </c>
      <c r="B36" s="175" t="s">
        <v>227</v>
      </c>
      <c r="C36">
        <v>0</v>
      </c>
      <c r="D36">
        <v>0</v>
      </c>
    </row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20.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94" t="s">
        <v>232</v>
      </c>
      <c r="D1" s="178" t="s">
        <v>231</v>
      </c>
    </row>
    <row r="2" spans="1:4" x14ac:dyDescent="0.15">
      <c r="A2">
        <v>1</v>
      </c>
      <c r="B2" s="177" t="s">
        <v>193</v>
      </c>
      <c r="C2">
        <v>0</v>
      </c>
      <c r="D2">
        <v>0</v>
      </c>
    </row>
    <row r="3" spans="1:4" x14ac:dyDescent="0.15">
      <c r="A3">
        <v>2</v>
      </c>
      <c r="B3" s="177" t="s">
        <v>194</v>
      </c>
      <c r="C3">
        <v>0</v>
      </c>
      <c r="D3">
        <v>0</v>
      </c>
    </row>
    <row r="4" spans="1:4" x14ac:dyDescent="0.15">
      <c r="A4">
        <v>3</v>
      </c>
      <c r="B4" s="177" t="s">
        <v>195</v>
      </c>
      <c r="C4">
        <v>0</v>
      </c>
      <c r="D4">
        <v>0</v>
      </c>
    </row>
    <row r="5" spans="1:4" x14ac:dyDescent="0.15">
      <c r="A5">
        <v>4</v>
      </c>
      <c r="B5" s="177" t="s">
        <v>196</v>
      </c>
      <c r="C5">
        <v>0</v>
      </c>
      <c r="D5">
        <v>0</v>
      </c>
    </row>
    <row r="6" spans="1:4" x14ac:dyDescent="0.15">
      <c r="A6">
        <v>5</v>
      </c>
      <c r="B6" s="177" t="s">
        <v>197</v>
      </c>
      <c r="C6">
        <v>0</v>
      </c>
      <c r="D6">
        <v>0</v>
      </c>
    </row>
    <row r="7" spans="1:4" x14ac:dyDescent="0.15">
      <c r="A7">
        <v>6</v>
      </c>
      <c r="B7" s="177" t="s">
        <v>198</v>
      </c>
      <c r="C7">
        <v>0</v>
      </c>
      <c r="D7">
        <v>0</v>
      </c>
    </row>
    <row r="8" spans="1:4" x14ac:dyDescent="0.15">
      <c r="A8">
        <v>7</v>
      </c>
      <c r="B8" s="177" t="s">
        <v>199</v>
      </c>
      <c r="C8">
        <v>0</v>
      </c>
      <c r="D8">
        <v>0</v>
      </c>
    </row>
    <row r="9" spans="1:4" x14ac:dyDescent="0.15">
      <c r="A9">
        <v>8</v>
      </c>
      <c r="B9" s="177" t="s">
        <v>200</v>
      </c>
      <c r="C9">
        <v>0</v>
      </c>
      <c r="D9">
        <v>0</v>
      </c>
    </row>
    <row r="10" spans="1:4" x14ac:dyDescent="0.15">
      <c r="A10">
        <v>9</v>
      </c>
      <c r="B10" s="177" t="s">
        <v>201</v>
      </c>
      <c r="C10">
        <v>0</v>
      </c>
      <c r="D10">
        <v>0</v>
      </c>
    </row>
    <row r="11" spans="1:4" x14ac:dyDescent="0.15">
      <c r="A11">
        <v>10</v>
      </c>
      <c r="B11" s="177" t="s">
        <v>202</v>
      </c>
      <c r="C11">
        <v>0</v>
      </c>
      <c r="D11">
        <v>0</v>
      </c>
    </row>
    <row r="12" spans="1:4" x14ac:dyDescent="0.15">
      <c r="A12">
        <v>11</v>
      </c>
      <c r="B12" s="177" t="s">
        <v>203</v>
      </c>
      <c r="C12">
        <v>0</v>
      </c>
      <c r="D12">
        <v>0</v>
      </c>
    </row>
    <row r="13" spans="1:4" x14ac:dyDescent="0.15">
      <c r="A13">
        <v>12</v>
      </c>
      <c r="B13" s="177" t="s">
        <v>204</v>
      </c>
      <c r="C13">
        <v>0</v>
      </c>
      <c r="D13">
        <v>0</v>
      </c>
    </row>
    <row r="14" spans="1:4" x14ac:dyDescent="0.15">
      <c r="A14">
        <v>13</v>
      </c>
      <c r="B14" s="177" t="s">
        <v>205</v>
      </c>
      <c r="C14">
        <v>0</v>
      </c>
      <c r="D14">
        <v>0</v>
      </c>
    </row>
    <row r="15" spans="1:4" x14ac:dyDescent="0.15">
      <c r="A15">
        <v>14</v>
      </c>
      <c r="B15" s="177" t="s">
        <v>206</v>
      </c>
      <c r="C15">
        <v>0</v>
      </c>
      <c r="D15">
        <v>0</v>
      </c>
    </row>
    <row r="16" spans="1:4" x14ac:dyDescent="0.15">
      <c r="A16">
        <v>15</v>
      </c>
      <c r="B16" s="177" t="s">
        <v>207</v>
      </c>
      <c r="C16">
        <v>0</v>
      </c>
      <c r="D16">
        <v>0</v>
      </c>
    </row>
    <row r="17" spans="1:4" x14ac:dyDescent="0.15">
      <c r="A17">
        <v>16</v>
      </c>
      <c r="B17" s="177" t="s">
        <v>208</v>
      </c>
      <c r="C17">
        <v>0</v>
      </c>
      <c r="D17">
        <v>0</v>
      </c>
    </row>
    <row r="18" spans="1:4" x14ac:dyDescent="0.15">
      <c r="A18">
        <v>17</v>
      </c>
      <c r="B18" s="177" t="s">
        <v>209</v>
      </c>
      <c r="C18">
        <v>0</v>
      </c>
      <c r="D18">
        <v>0</v>
      </c>
    </row>
    <row r="19" spans="1:4" x14ac:dyDescent="0.15">
      <c r="A19">
        <v>18</v>
      </c>
      <c r="B19" s="177" t="s">
        <v>210</v>
      </c>
      <c r="C19">
        <v>0</v>
      </c>
      <c r="D19">
        <v>0</v>
      </c>
    </row>
    <row r="20" spans="1:4" x14ac:dyDescent="0.15">
      <c r="A20">
        <v>19</v>
      </c>
      <c r="B20" s="177" t="s">
        <v>211</v>
      </c>
      <c r="C20">
        <v>0</v>
      </c>
      <c r="D20">
        <v>0</v>
      </c>
    </row>
    <row r="21" spans="1:4" x14ac:dyDescent="0.15">
      <c r="A21">
        <v>20</v>
      </c>
      <c r="B21" s="177" t="s">
        <v>212</v>
      </c>
      <c r="C21">
        <v>0</v>
      </c>
      <c r="D21">
        <v>0</v>
      </c>
    </row>
    <row r="22" spans="1:4" x14ac:dyDescent="0.15">
      <c r="A22">
        <v>21</v>
      </c>
      <c r="B22" s="177" t="s">
        <v>213</v>
      </c>
      <c r="C22">
        <v>0</v>
      </c>
      <c r="D22">
        <v>0</v>
      </c>
    </row>
    <row r="23" spans="1:4" x14ac:dyDescent="0.15">
      <c r="A23">
        <v>22</v>
      </c>
      <c r="B23" s="177" t="s">
        <v>214</v>
      </c>
      <c r="C23">
        <v>0</v>
      </c>
      <c r="D23">
        <v>0</v>
      </c>
    </row>
    <row r="24" spans="1:4" x14ac:dyDescent="0.15">
      <c r="A24">
        <v>23</v>
      </c>
      <c r="B24" s="177" t="s">
        <v>215</v>
      </c>
      <c r="C24">
        <v>0</v>
      </c>
      <c r="D24">
        <v>0</v>
      </c>
    </row>
    <row r="25" spans="1:4" x14ac:dyDescent="0.15">
      <c r="A25">
        <v>24</v>
      </c>
      <c r="B25" s="177" t="s">
        <v>216</v>
      </c>
      <c r="C25">
        <v>0</v>
      </c>
      <c r="D25">
        <v>0</v>
      </c>
    </row>
    <row r="26" spans="1:4" x14ac:dyDescent="0.15">
      <c r="A26">
        <v>25</v>
      </c>
      <c r="B26" s="177" t="s">
        <v>217</v>
      </c>
      <c r="C26">
        <v>0</v>
      </c>
      <c r="D26">
        <v>0</v>
      </c>
    </row>
    <row r="27" spans="1:4" x14ac:dyDescent="0.15">
      <c r="A27">
        <v>26</v>
      </c>
      <c r="B27" s="177" t="s">
        <v>218</v>
      </c>
      <c r="C27">
        <v>0</v>
      </c>
      <c r="D27">
        <v>0</v>
      </c>
    </row>
    <row r="28" spans="1:4" x14ac:dyDescent="0.15">
      <c r="A28">
        <v>27</v>
      </c>
      <c r="B28" s="177" t="s">
        <v>219</v>
      </c>
      <c r="C28">
        <v>0</v>
      </c>
      <c r="D28">
        <v>0</v>
      </c>
    </row>
    <row r="29" spans="1:4" x14ac:dyDescent="0.15">
      <c r="A29">
        <v>28</v>
      </c>
      <c r="B29" s="177" t="s">
        <v>220</v>
      </c>
      <c r="C29">
        <v>0</v>
      </c>
      <c r="D29">
        <v>0</v>
      </c>
    </row>
    <row r="30" spans="1:4" x14ac:dyDescent="0.15">
      <c r="A30">
        <v>29</v>
      </c>
      <c r="B30" s="177" t="s">
        <v>221</v>
      </c>
      <c r="C30">
        <v>0</v>
      </c>
      <c r="D30">
        <v>0</v>
      </c>
    </row>
    <row r="31" spans="1:4" x14ac:dyDescent="0.15">
      <c r="A31">
        <v>30</v>
      </c>
      <c r="B31" s="177" t="s">
        <v>222</v>
      </c>
      <c r="C31">
        <v>0</v>
      </c>
      <c r="D31">
        <v>0</v>
      </c>
    </row>
    <row r="32" spans="1:4" x14ac:dyDescent="0.15">
      <c r="A32">
        <v>31</v>
      </c>
      <c r="B32" s="177" t="s">
        <v>223</v>
      </c>
      <c r="C32">
        <v>0</v>
      </c>
      <c r="D32">
        <v>0</v>
      </c>
    </row>
    <row r="33" spans="1:4" x14ac:dyDescent="0.15">
      <c r="A33">
        <v>32</v>
      </c>
      <c r="B33" s="177" t="s">
        <v>224</v>
      </c>
      <c r="C33">
        <v>0</v>
      </c>
      <c r="D33">
        <v>0</v>
      </c>
    </row>
    <row r="34" spans="1:4" x14ac:dyDescent="0.15">
      <c r="A34">
        <v>33</v>
      </c>
      <c r="B34" s="177" t="s">
        <v>225</v>
      </c>
      <c r="C34">
        <v>0</v>
      </c>
      <c r="D34">
        <v>0</v>
      </c>
    </row>
    <row r="35" spans="1:4" x14ac:dyDescent="0.15">
      <c r="A35">
        <v>34</v>
      </c>
      <c r="B35" s="177" t="s">
        <v>226</v>
      </c>
      <c r="C35">
        <v>0</v>
      </c>
      <c r="D35">
        <v>0</v>
      </c>
    </row>
    <row r="36" spans="1:4" x14ac:dyDescent="0.15">
      <c r="A36">
        <v>35</v>
      </c>
      <c r="B36" s="177" t="s">
        <v>227</v>
      </c>
      <c r="C36">
        <v>0</v>
      </c>
      <c r="D3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.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9" t="s">
        <v>193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79" t="s">
        <v>194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79" t="s">
        <v>195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79" t="s">
        <v>196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9" t="s">
        <v>197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9" t="s">
        <v>198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9" t="s">
        <v>199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8" t="s">
        <v>150</v>
      </c>
      <c r="D9">
        <v>8</v>
      </c>
      <c r="E9" s="179" t="s">
        <v>200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8" t="s">
        <v>150</v>
      </c>
      <c r="D10">
        <v>9</v>
      </c>
      <c r="E10" s="179" t="s">
        <v>201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9" t="s">
        <v>202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9" t="s">
        <v>203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9" t="s">
        <v>204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9" t="s">
        <v>205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9" t="s">
        <v>206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9" t="s">
        <v>207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9" t="s">
        <v>208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9" t="s">
        <v>209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9" t="s">
        <v>210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9" t="s">
        <v>211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79" t="s">
        <v>212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79" t="s">
        <v>213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79" t="s">
        <v>214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79" t="s">
        <v>215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79" t="s">
        <v>216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79" t="s">
        <v>217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79" t="s">
        <v>218</v>
      </c>
      <c r="F27">
        <v>0.98</v>
      </c>
      <c r="G27">
        <v>0.8</v>
      </c>
      <c r="H27">
        <v>0.8</v>
      </c>
      <c r="I27">
        <v>0.8</v>
      </c>
      <c r="J27" s="105">
        <v>0.25</v>
      </c>
      <c r="K27" s="105">
        <v>0.05</v>
      </c>
    </row>
    <row r="28" spans="4:33" ht="15" customHeight="1" x14ac:dyDescent="0.15">
      <c r="D28">
        <v>27</v>
      </c>
      <c r="E28" s="179" t="s">
        <v>219</v>
      </c>
      <c r="F28">
        <v>0.98</v>
      </c>
      <c r="G28">
        <v>0.8</v>
      </c>
      <c r="H28">
        <v>0.8</v>
      </c>
      <c r="I28">
        <v>0.8</v>
      </c>
      <c r="J28" s="105">
        <v>0.25</v>
      </c>
      <c r="K28" s="105">
        <v>0.05</v>
      </c>
    </row>
    <row r="29" spans="4:33" ht="15" customHeight="1" x14ac:dyDescent="0.15">
      <c r="D29">
        <v>28</v>
      </c>
      <c r="E29" s="179" t="s">
        <v>220</v>
      </c>
      <c r="F29">
        <v>0.98</v>
      </c>
      <c r="G29">
        <v>0.8</v>
      </c>
      <c r="H29">
        <v>0.8</v>
      </c>
      <c r="I29">
        <v>0.8</v>
      </c>
      <c r="J29" s="105">
        <v>0.25</v>
      </c>
      <c r="K29" s="105">
        <v>0.05</v>
      </c>
      <c r="Y29"/>
      <c r="AC29"/>
      <c r="AG29"/>
    </row>
    <row r="30" spans="4:33" ht="15" customHeight="1" x14ac:dyDescent="0.15">
      <c r="D30">
        <v>29</v>
      </c>
      <c r="E30" s="179" t="s">
        <v>221</v>
      </c>
      <c r="F30">
        <v>0.98</v>
      </c>
      <c r="G30">
        <v>0.8</v>
      </c>
      <c r="H30">
        <v>0.8</v>
      </c>
      <c r="I30">
        <v>0.8</v>
      </c>
      <c r="J30" s="105">
        <v>0.25</v>
      </c>
      <c r="K30" s="105">
        <v>0.05</v>
      </c>
      <c r="Y30"/>
      <c r="AC30"/>
      <c r="AG30"/>
    </row>
    <row r="31" spans="4:33" ht="15" customHeight="1" x14ac:dyDescent="0.15">
      <c r="D31">
        <v>30</v>
      </c>
      <c r="E31" s="179" t="s">
        <v>222</v>
      </c>
      <c r="F31">
        <v>0.98</v>
      </c>
      <c r="G31">
        <v>0.8</v>
      </c>
      <c r="H31">
        <v>0.8</v>
      </c>
      <c r="I31">
        <v>0.8</v>
      </c>
      <c r="J31" s="105">
        <v>0.25</v>
      </c>
      <c r="K31" s="105">
        <v>0.05</v>
      </c>
      <c r="Y31"/>
      <c r="AC31"/>
      <c r="AG31"/>
    </row>
    <row r="32" spans="4:33" ht="15" customHeight="1" x14ac:dyDescent="0.15">
      <c r="D32">
        <v>31</v>
      </c>
      <c r="E32" s="179" t="s">
        <v>223</v>
      </c>
      <c r="F32">
        <v>0.98</v>
      </c>
      <c r="G32">
        <v>0.8</v>
      </c>
      <c r="H32">
        <v>0.8</v>
      </c>
      <c r="I32">
        <v>0.8</v>
      </c>
      <c r="J32" s="105">
        <v>0.25</v>
      </c>
      <c r="K32" s="105">
        <v>0.05</v>
      </c>
      <c r="Y32"/>
      <c r="AC32"/>
      <c r="AG32"/>
    </row>
    <row r="33" spans="4:33" ht="15" customHeight="1" x14ac:dyDescent="0.15">
      <c r="D33">
        <v>32</v>
      </c>
      <c r="E33" s="179" t="s">
        <v>224</v>
      </c>
      <c r="F33">
        <v>0.98</v>
      </c>
      <c r="G33">
        <v>0.8</v>
      </c>
      <c r="H33">
        <v>0.8</v>
      </c>
      <c r="I33">
        <v>0.8</v>
      </c>
      <c r="J33" s="105">
        <v>0.25</v>
      </c>
      <c r="K33" s="105">
        <v>0.05</v>
      </c>
      <c r="Y33"/>
      <c r="AC33"/>
      <c r="AG33"/>
    </row>
    <row r="34" spans="4:33" ht="15" customHeight="1" x14ac:dyDescent="0.15">
      <c r="D34">
        <v>33</v>
      </c>
      <c r="E34" s="179" t="s">
        <v>225</v>
      </c>
      <c r="F34">
        <v>0.98</v>
      </c>
      <c r="G34">
        <v>0.8</v>
      </c>
      <c r="H34">
        <v>0.8</v>
      </c>
      <c r="I34">
        <v>0</v>
      </c>
      <c r="J34" s="105">
        <v>0</v>
      </c>
      <c r="K34" s="105">
        <v>0</v>
      </c>
      <c r="Y34"/>
      <c r="AC34"/>
      <c r="AG34"/>
    </row>
    <row r="35" spans="4:33" ht="15" customHeight="1" x14ac:dyDescent="0.15">
      <c r="D35">
        <v>34</v>
      </c>
      <c r="E35" s="179" t="s">
        <v>226</v>
      </c>
      <c r="F35">
        <v>0.98</v>
      </c>
      <c r="G35">
        <v>0.8</v>
      </c>
      <c r="H35">
        <v>0</v>
      </c>
      <c r="I35">
        <v>0</v>
      </c>
      <c r="J35" s="105">
        <v>0</v>
      </c>
      <c r="K35" s="105">
        <v>0</v>
      </c>
      <c r="Y35"/>
      <c r="AC35"/>
      <c r="AG35"/>
    </row>
    <row r="36" spans="4:33" ht="15" customHeight="1" x14ac:dyDescent="0.15">
      <c r="D36">
        <v>35</v>
      </c>
      <c r="E36" s="179" t="s">
        <v>227</v>
      </c>
      <c r="F36">
        <v>0.98</v>
      </c>
      <c r="G36">
        <v>0.8</v>
      </c>
      <c r="H36">
        <v>0</v>
      </c>
      <c r="I36">
        <v>0</v>
      </c>
      <c r="J36" s="105">
        <v>0</v>
      </c>
      <c r="K36" s="105">
        <v>0</v>
      </c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33" width="3.83203125" style="103" customWidth="1"/>
    <col min="34" max="36" width="2.33203125" style="103" customWidth="1"/>
    <col min="37" max="16384" width="10.83203125" style="103"/>
  </cols>
  <sheetData>
    <row r="1" spans="1:36" x14ac:dyDescent="0.15">
      <c r="A1" s="60" t="s">
        <v>118</v>
      </c>
      <c r="B1" s="181" t="s">
        <v>193</v>
      </c>
      <c r="C1" s="181" t="s">
        <v>194</v>
      </c>
      <c r="D1" s="181" t="s">
        <v>195</v>
      </c>
      <c r="E1" s="181" t="s">
        <v>196</v>
      </c>
      <c r="F1" s="181" t="s">
        <v>197</v>
      </c>
      <c r="G1" s="181" t="s">
        <v>198</v>
      </c>
      <c r="H1" s="181" t="s">
        <v>199</v>
      </c>
      <c r="I1" s="181" t="s">
        <v>200</v>
      </c>
      <c r="J1" s="181" t="s">
        <v>201</v>
      </c>
      <c r="K1" s="181" t="s">
        <v>202</v>
      </c>
      <c r="L1" s="181" t="s">
        <v>203</v>
      </c>
      <c r="M1" s="181" t="s">
        <v>204</v>
      </c>
      <c r="N1" s="181" t="s">
        <v>205</v>
      </c>
      <c r="O1" s="181" t="s">
        <v>206</v>
      </c>
      <c r="P1" s="181" t="s">
        <v>207</v>
      </c>
      <c r="Q1" s="181" t="s">
        <v>208</v>
      </c>
      <c r="R1" s="181" t="s">
        <v>209</v>
      </c>
      <c r="S1" s="181" t="s">
        <v>210</v>
      </c>
      <c r="T1" s="181" t="s">
        <v>211</v>
      </c>
      <c r="U1" s="181" t="s">
        <v>212</v>
      </c>
      <c r="V1" s="181" t="s">
        <v>213</v>
      </c>
      <c r="W1" s="181" t="s">
        <v>214</v>
      </c>
      <c r="X1" s="181" t="s">
        <v>215</v>
      </c>
      <c r="Y1" s="181" t="s">
        <v>216</v>
      </c>
      <c r="Z1" s="181" t="s">
        <v>217</v>
      </c>
      <c r="AA1" s="181" t="s">
        <v>218</v>
      </c>
      <c r="AB1" s="181" t="s">
        <v>219</v>
      </c>
      <c r="AC1" s="181" t="s">
        <v>220</v>
      </c>
      <c r="AD1" s="181" t="s">
        <v>221</v>
      </c>
      <c r="AE1" s="181" t="s">
        <v>222</v>
      </c>
      <c r="AF1" s="181" t="s">
        <v>223</v>
      </c>
      <c r="AG1" s="181" t="s">
        <v>224</v>
      </c>
      <c r="AH1" s="181" t="s">
        <v>225</v>
      </c>
      <c r="AI1" s="181" t="s">
        <v>226</v>
      </c>
      <c r="AJ1" s="181" t="s">
        <v>227</v>
      </c>
    </row>
    <row r="2" spans="1:36" customFormat="1" x14ac:dyDescent="0.15">
      <c r="A2" s="180" t="s">
        <v>193</v>
      </c>
      <c r="B2" s="103">
        <v>0</v>
      </c>
      <c r="C2" s="103">
        <v>0.8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</row>
    <row r="3" spans="1:36" customFormat="1" x14ac:dyDescent="0.15">
      <c r="A3" s="180" t="s">
        <v>194</v>
      </c>
      <c r="B3" s="103">
        <v>0.8</v>
      </c>
      <c r="C3" s="103">
        <v>0.8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</row>
    <row r="4" spans="1:36" customFormat="1" x14ac:dyDescent="0.15">
      <c r="A4" s="180" t="s">
        <v>195</v>
      </c>
      <c r="B4" s="103">
        <v>0.8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0.8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</row>
    <row r="5" spans="1:36" customFormat="1" x14ac:dyDescent="0.15">
      <c r="A5" s="180" t="s">
        <v>196</v>
      </c>
      <c r="B5" s="103">
        <v>0</v>
      </c>
      <c r="C5" s="103">
        <v>0.8</v>
      </c>
      <c r="D5" s="103">
        <v>0</v>
      </c>
      <c r="E5" s="103">
        <v>0</v>
      </c>
      <c r="F5" s="103">
        <v>0.8</v>
      </c>
      <c r="G5" s="103">
        <v>0.8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0.8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0.8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</row>
    <row r="6" spans="1:36" customFormat="1" x14ac:dyDescent="0.15">
      <c r="A6" s="180" t="s">
        <v>197</v>
      </c>
      <c r="B6" s="103">
        <v>0</v>
      </c>
      <c r="C6" s="103">
        <v>0.8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0.8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</row>
    <row r="7" spans="1:36" customFormat="1" x14ac:dyDescent="0.15">
      <c r="A7" s="180" t="s">
        <v>198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0.8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0.8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</row>
    <row r="8" spans="1:36" customFormat="1" x14ac:dyDescent="0.15">
      <c r="A8" s="180" t="s">
        <v>199</v>
      </c>
      <c r="B8" s="103">
        <v>0.8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0.8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</row>
    <row r="9" spans="1:36" customFormat="1" x14ac:dyDescent="0.15">
      <c r="A9" s="180" t="s">
        <v>200</v>
      </c>
      <c r="B9" s="103">
        <v>0.8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</row>
    <row r="10" spans="1:36" customFormat="1" x14ac:dyDescent="0.15">
      <c r="A10" s="180" t="s">
        <v>201</v>
      </c>
      <c r="B10" s="103">
        <v>0</v>
      </c>
      <c r="C10" s="103">
        <v>0</v>
      </c>
      <c r="D10" s="103">
        <v>0</v>
      </c>
      <c r="E10" s="103">
        <v>0</v>
      </c>
      <c r="F10" s="103">
        <v>0.8</v>
      </c>
      <c r="G10" s="103">
        <v>0.8</v>
      </c>
      <c r="H10" s="103">
        <v>0.8</v>
      </c>
      <c r="I10" s="103">
        <v>0.8</v>
      </c>
      <c r="J10" s="103">
        <v>0</v>
      </c>
      <c r="K10" s="103">
        <v>0.8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0.8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</row>
    <row r="11" spans="1:36" customFormat="1" x14ac:dyDescent="0.15">
      <c r="A11" s="180" t="s">
        <v>202</v>
      </c>
      <c r="B11" s="103">
        <v>0.8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</row>
    <row r="12" spans="1:36" customFormat="1" x14ac:dyDescent="0.15">
      <c r="A12" s="180" t="s">
        <v>203</v>
      </c>
      <c r="B12" s="103">
        <v>0</v>
      </c>
      <c r="C12" s="103">
        <v>0</v>
      </c>
      <c r="D12" s="103">
        <v>0</v>
      </c>
      <c r="E12" s="103">
        <v>0.8</v>
      </c>
      <c r="F12" s="103">
        <v>0.8</v>
      </c>
      <c r="G12" s="103">
        <v>0.8</v>
      </c>
      <c r="H12" s="103">
        <v>0.8</v>
      </c>
      <c r="I12" s="103">
        <v>0</v>
      </c>
      <c r="J12" s="103">
        <v>0</v>
      </c>
      <c r="K12" s="103">
        <v>0.8</v>
      </c>
      <c r="L12" s="103">
        <v>0</v>
      </c>
      <c r="M12" s="103">
        <v>0</v>
      </c>
      <c r="N12" s="103">
        <v>0.8</v>
      </c>
      <c r="O12" s="103">
        <v>0.8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</row>
    <row r="13" spans="1:36" customFormat="1" x14ac:dyDescent="0.15">
      <c r="A13" s="180" t="s">
        <v>204</v>
      </c>
      <c r="B13" s="103">
        <v>0.8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0.8</v>
      </c>
      <c r="I13" s="103">
        <v>0.8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0.8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</row>
    <row r="14" spans="1:36" customFormat="1" x14ac:dyDescent="0.15">
      <c r="A14" s="180" t="s">
        <v>205</v>
      </c>
      <c r="B14" s="103">
        <v>0</v>
      </c>
      <c r="C14" s="103">
        <v>0.8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0.8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0.8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</row>
    <row r="15" spans="1:36" customFormat="1" x14ac:dyDescent="0.15">
      <c r="A15" s="180" t="s">
        <v>206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0.8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0.8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0.8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</row>
    <row r="16" spans="1:36" customFormat="1" x14ac:dyDescent="0.15">
      <c r="A16" s="180" t="s">
        <v>207</v>
      </c>
      <c r="B16" s="103">
        <v>0</v>
      </c>
      <c r="C16" s="103">
        <v>0.8</v>
      </c>
      <c r="D16" s="103">
        <v>0</v>
      </c>
      <c r="E16" s="103">
        <v>0.8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0.8</v>
      </c>
      <c r="S16" s="103">
        <v>0</v>
      </c>
      <c r="T16" s="103">
        <v>0.8</v>
      </c>
      <c r="U16" s="103">
        <v>0</v>
      </c>
      <c r="V16" s="103">
        <v>0</v>
      </c>
      <c r="W16" s="103">
        <v>0.8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</row>
    <row r="17" spans="1:36" customFormat="1" x14ac:dyDescent="0.15">
      <c r="A17" s="180" t="s">
        <v>208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0.8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</row>
    <row r="18" spans="1:36" customFormat="1" x14ac:dyDescent="0.15">
      <c r="A18" s="180" t="s">
        <v>209</v>
      </c>
      <c r="B18" s="103">
        <v>0</v>
      </c>
      <c r="C18" s="103">
        <v>0.8</v>
      </c>
      <c r="D18" s="103">
        <v>0</v>
      </c>
      <c r="E18" s="103">
        <v>0</v>
      </c>
      <c r="F18" s="103">
        <v>0.8</v>
      </c>
      <c r="G18" s="103">
        <v>0.8</v>
      </c>
      <c r="H18" s="103">
        <v>0.8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</row>
    <row r="19" spans="1:36" customFormat="1" x14ac:dyDescent="0.15">
      <c r="A19" s="180" t="s">
        <v>210</v>
      </c>
      <c r="B19" s="103">
        <v>0.8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</row>
    <row r="20" spans="1:36" customFormat="1" x14ac:dyDescent="0.15">
      <c r="A20" s="180" t="s">
        <v>211</v>
      </c>
      <c r="B20" s="103">
        <v>0.8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</row>
    <row r="21" spans="1:36" customFormat="1" x14ac:dyDescent="0.15">
      <c r="A21" s="180" t="s">
        <v>212</v>
      </c>
      <c r="B21" s="103">
        <v>0.8</v>
      </c>
      <c r="C21" s="103">
        <v>0.8</v>
      </c>
      <c r="D21" s="103">
        <v>0</v>
      </c>
      <c r="E21" s="103">
        <v>0.8</v>
      </c>
      <c r="F21" s="103">
        <v>0</v>
      </c>
      <c r="G21" s="103">
        <v>0</v>
      </c>
      <c r="H21" s="103">
        <v>0</v>
      </c>
      <c r="I21" s="103">
        <v>0.8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0.8</v>
      </c>
      <c r="W21" s="103">
        <v>0.8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</row>
    <row r="22" spans="1:36" customFormat="1" x14ac:dyDescent="0.15">
      <c r="A22" s="180" t="s">
        <v>213</v>
      </c>
      <c r="B22" s="103">
        <v>0.8</v>
      </c>
      <c r="C22" s="103">
        <v>0.8</v>
      </c>
      <c r="D22" s="103">
        <v>0</v>
      </c>
      <c r="E22" s="103">
        <v>0.8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</v>
      </c>
      <c r="S22" s="103">
        <v>0</v>
      </c>
      <c r="T22" s="103">
        <v>0.8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</row>
    <row r="23" spans="1:36" customFormat="1" x14ac:dyDescent="0.15">
      <c r="A23" s="180" t="s">
        <v>214</v>
      </c>
      <c r="B23" s="103">
        <v>0</v>
      </c>
      <c r="C23" s="103">
        <v>0.8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0.8</v>
      </c>
      <c r="U23" s="103">
        <v>0</v>
      </c>
      <c r="V23" s="103">
        <v>0.8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</row>
    <row r="24" spans="1:36" customFormat="1" x14ac:dyDescent="0.15">
      <c r="A24" s="180" t="s">
        <v>215</v>
      </c>
      <c r="B24" s="103">
        <v>0</v>
      </c>
      <c r="C24" s="103">
        <v>0</v>
      </c>
      <c r="D24" s="103">
        <v>0</v>
      </c>
      <c r="E24" s="103">
        <v>0.8</v>
      </c>
      <c r="F24" s="103">
        <v>0.8</v>
      </c>
      <c r="G24" s="103">
        <v>0.8</v>
      </c>
      <c r="H24" s="103">
        <v>0.8</v>
      </c>
      <c r="I24" s="103">
        <v>0.8</v>
      </c>
      <c r="J24" s="103">
        <v>0.8</v>
      </c>
      <c r="K24" s="103">
        <v>0.8</v>
      </c>
      <c r="L24" s="103">
        <v>0</v>
      </c>
      <c r="M24" s="103">
        <v>0</v>
      </c>
      <c r="N24" s="103">
        <v>0</v>
      </c>
      <c r="O24" s="103">
        <v>0.8</v>
      </c>
      <c r="P24" s="103">
        <v>0</v>
      </c>
      <c r="Q24" s="103">
        <v>0</v>
      </c>
      <c r="R24" s="103">
        <v>0</v>
      </c>
      <c r="S24" s="103">
        <v>0.8</v>
      </c>
      <c r="T24" s="103">
        <v>0.8</v>
      </c>
      <c r="U24" s="103">
        <v>0.8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0.8</v>
      </c>
      <c r="AB24" s="103">
        <v>0.8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</row>
    <row r="25" spans="1:36" customFormat="1" x14ac:dyDescent="0.15">
      <c r="A25" s="180" t="s">
        <v>216</v>
      </c>
      <c r="B25" s="103">
        <v>0</v>
      </c>
      <c r="C25" s="103">
        <v>0.8</v>
      </c>
      <c r="D25" s="103">
        <v>0</v>
      </c>
      <c r="E25" s="103">
        <v>0.8</v>
      </c>
      <c r="F25" s="103">
        <v>0.8</v>
      </c>
      <c r="G25" s="103">
        <v>0.8</v>
      </c>
      <c r="H25" s="103">
        <v>0</v>
      </c>
      <c r="I25" s="103">
        <v>0</v>
      </c>
      <c r="J25" s="103">
        <v>0</v>
      </c>
      <c r="K25" s="103">
        <v>0.8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0.8</v>
      </c>
      <c r="U25" s="103">
        <v>0</v>
      </c>
      <c r="V25" s="103">
        <v>0.8</v>
      </c>
      <c r="W25" s="103">
        <v>0.8</v>
      </c>
      <c r="X25" s="103">
        <v>0</v>
      </c>
      <c r="Y25" s="103">
        <v>0.8</v>
      </c>
      <c r="Z25" s="103">
        <v>0</v>
      </c>
      <c r="AA25" s="103">
        <v>0.8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</row>
    <row r="26" spans="1:36" customFormat="1" x14ac:dyDescent="0.15">
      <c r="A26" s="180" t="s">
        <v>217</v>
      </c>
      <c r="B26" s="103">
        <v>0</v>
      </c>
      <c r="C26" s="103">
        <v>0.8</v>
      </c>
      <c r="D26" s="103">
        <v>0</v>
      </c>
      <c r="E26" s="103">
        <v>0</v>
      </c>
      <c r="F26" s="103">
        <v>0.8</v>
      </c>
      <c r="G26" s="103">
        <v>0</v>
      </c>
      <c r="H26" s="103">
        <v>0.8</v>
      </c>
      <c r="I26" s="103">
        <v>0</v>
      </c>
      <c r="J26" s="103">
        <v>0</v>
      </c>
      <c r="K26" s="103">
        <v>0.8</v>
      </c>
      <c r="L26" s="103">
        <v>0</v>
      </c>
      <c r="M26" s="103">
        <v>0</v>
      </c>
      <c r="N26" s="103">
        <v>0</v>
      </c>
      <c r="O26" s="103">
        <v>0.8</v>
      </c>
      <c r="P26" s="103">
        <v>0</v>
      </c>
      <c r="Q26" s="103">
        <v>0</v>
      </c>
      <c r="R26" s="103">
        <v>0</v>
      </c>
      <c r="S26" s="103">
        <v>0.8</v>
      </c>
      <c r="T26" s="103">
        <v>0</v>
      </c>
      <c r="U26" s="103">
        <v>0</v>
      </c>
      <c r="V26" s="103">
        <v>0.8</v>
      </c>
      <c r="W26" s="103">
        <v>0</v>
      </c>
      <c r="X26" s="103">
        <v>0</v>
      </c>
      <c r="Y26" s="103">
        <v>0.8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</row>
    <row r="27" spans="1:36" customFormat="1" x14ac:dyDescent="0.15">
      <c r="A27" s="180" t="s">
        <v>218</v>
      </c>
      <c r="B27" s="103">
        <v>0</v>
      </c>
      <c r="C27" s="103">
        <v>0.8</v>
      </c>
      <c r="D27" s="103">
        <v>0</v>
      </c>
      <c r="E27" s="103">
        <v>0.8</v>
      </c>
      <c r="F27" s="103">
        <v>0.8</v>
      </c>
      <c r="G27" s="103">
        <v>0.8</v>
      </c>
      <c r="H27" s="103">
        <v>0.8</v>
      </c>
      <c r="I27" s="103">
        <v>0.8</v>
      </c>
      <c r="J27" s="103">
        <v>0.8</v>
      </c>
      <c r="K27" s="103">
        <v>0</v>
      </c>
      <c r="L27" s="103">
        <v>0</v>
      </c>
      <c r="M27" s="103">
        <v>0</v>
      </c>
      <c r="N27" s="103">
        <v>0</v>
      </c>
      <c r="O27" s="103">
        <v>0.8</v>
      </c>
      <c r="P27" s="103">
        <v>0</v>
      </c>
      <c r="Q27" s="103">
        <v>0.8</v>
      </c>
      <c r="R27" s="103">
        <v>0</v>
      </c>
      <c r="S27" s="103">
        <v>0.8</v>
      </c>
      <c r="T27" s="103">
        <v>0</v>
      </c>
      <c r="U27" s="103">
        <v>0</v>
      </c>
      <c r="V27" s="103">
        <v>0.8</v>
      </c>
      <c r="W27" s="103">
        <v>0.8</v>
      </c>
      <c r="X27" s="103">
        <v>0</v>
      </c>
      <c r="Y27" s="103">
        <v>0</v>
      </c>
      <c r="Z27" s="103">
        <v>0</v>
      </c>
      <c r="AA27" s="103">
        <v>0.8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</row>
    <row r="28" spans="1:36" customFormat="1" x14ac:dyDescent="0.15">
      <c r="A28" s="180" t="s">
        <v>219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0.8</v>
      </c>
      <c r="R28" s="103">
        <v>0</v>
      </c>
      <c r="S28" s="103">
        <v>0.8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</row>
    <row r="29" spans="1:36" customFormat="1" x14ac:dyDescent="0.15">
      <c r="A29" s="180" t="s">
        <v>220</v>
      </c>
      <c r="B29" s="103">
        <v>0</v>
      </c>
      <c r="C29" s="103">
        <v>0.8</v>
      </c>
      <c r="D29" s="103">
        <v>0.8</v>
      </c>
      <c r="E29" s="103">
        <v>0.8</v>
      </c>
      <c r="F29" s="103">
        <v>0.8</v>
      </c>
      <c r="G29" s="103">
        <v>0.8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0.8</v>
      </c>
      <c r="S29" s="103">
        <v>0</v>
      </c>
      <c r="T29" s="103">
        <v>0</v>
      </c>
      <c r="U29" s="103">
        <v>0.8</v>
      </c>
      <c r="V29" s="103">
        <v>0.8</v>
      </c>
      <c r="W29" s="103">
        <v>0.8</v>
      </c>
      <c r="X29" s="103">
        <v>0</v>
      </c>
      <c r="Y29" s="103">
        <v>0.8</v>
      </c>
      <c r="Z29" s="103">
        <v>0</v>
      </c>
      <c r="AA29" s="103">
        <v>0</v>
      </c>
      <c r="AB29" s="103">
        <v>0</v>
      </c>
      <c r="AC29" s="103">
        <v>0.8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</row>
    <row r="30" spans="1:36" customFormat="1" x14ac:dyDescent="0.15">
      <c r="A30" s="180" t="s">
        <v>221</v>
      </c>
      <c r="B30" s="103">
        <v>0.8</v>
      </c>
      <c r="C30" s="103">
        <v>0</v>
      </c>
      <c r="D30" s="103">
        <v>0</v>
      </c>
      <c r="E30" s="103">
        <v>0.8</v>
      </c>
      <c r="F30" s="103">
        <v>0.8</v>
      </c>
      <c r="G30" s="103">
        <v>0.8</v>
      </c>
      <c r="H30" s="103">
        <v>0.8</v>
      </c>
      <c r="I30" s="103">
        <v>0</v>
      </c>
      <c r="J30" s="103">
        <v>0.8</v>
      </c>
      <c r="K30" s="103">
        <v>0.8</v>
      </c>
      <c r="L30" s="103">
        <v>0.8</v>
      </c>
      <c r="M30" s="103">
        <v>0.8</v>
      </c>
      <c r="N30" s="103">
        <v>0.8</v>
      </c>
      <c r="O30" s="103">
        <v>0.8</v>
      </c>
      <c r="P30" s="103">
        <v>0.8</v>
      </c>
      <c r="Q30" s="103">
        <v>0</v>
      </c>
      <c r="R30" s="103">
        <v>0.8</v>
      </c>
      <c r="S30" s="103">
        <v>0</v>
      </c>
      <c r="T30" s="103">
        <v>0</v>
      </c>
      <c r="U30" s="103">
        <v>0</v>
      </c>
      <c r="V30" s="103">
        <v>0</v>
      </c>
      <c r="W30" s="103">
        <v>0</v>
      </c>
      <c r="X30" s="103">
        <v>0.8</v>
      </c>
      <c r="Y30" s="103">
        <v>0.8</v>
      </c>
      <c r="Z30" s="103">
        <v>0</v>
      </c>
      <c r="AA30" s="103">
        <v>0.8</v>
      </c>
      <c r="AB30" s="103">
        <v>0</v>
      </c>
      <c r="AC30" s="103">
        <v>0</v>
      </c>
      <c r="AD30" s="103">
        <v>0.8</v>
      </c>
      <c r="AE30" s="103">
        <v>0.8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</row>
    <row r="31" spans="1:36" customFormat="1" x14ac:dyDescent="0.15">
      <c r="A31" s="180" t="s">
        <v>222</v>
      </c>
      <c r="B31" s="103">
        <v>0</v>
      </c>
      <c r="C31" s="103">
        <v>0</v>
      </c>
      <c r="D31" s="103">
        <v>0.8</v>
      </c>
      <c r="E31" s="103">
        <v>0</v>
      </c>
      <c r="F31" s="103">
        <v>0</v>
      </c>
      <c r="G31" s="103">
        <v>0</v>
      </c>
      <c r="H31" s="103">
        <v>0.8</v>
      </c>
      <c r="I31" s="103">
        <v>0</v>
      </c>
      <c r="J31" s="103">
        <v>0.8</v>
      </c>
      <c r="K31" s="103">
        <v>0.8</v>
      </c>
      <c r="L31" s="103">
        <v>0.8</v>
      </c>
      <c r="M31" s="103">
        <v>0</v>
      </c>
      <c r="N31" s="103">
        <v>0.8</v>
      </c>
      <c r="O31" s="103">
        <v>0.8</v>
      </c>
      <c r="P31" s="103">
        <v>0</v>
      </c>
      <c r="Q31" s="103">
        <v>0.8</v>
      </c>
      <c r="R31" s="103">
        <v>0</v>
      </c>
      <c r="S31" s="103">
        <v>0</v>
      </c>
      <c r="T31" s="103">
        <v>0</v>
      </c>
      <c r="U31" s="103">
        <v>0.8</v>
      </c>
      <c r="V31" s="103">
        <v>0</v>
      </c>
      <c r="W31" s="103">
        <v>0.8</v>
      </c>
      <c r="X31" s="103">
        <v>0.8</v>
      </c>
      <c r="Y31" s="103">
        <v>0.8</v>
      </c>
      <c r="Z31" s="103">
        <v>0.8</v>
      </c>
      <c r="AA31" s="103">
        <v>0.8</v>
      </c>
      <c r="AB31" s="103">
        <v>0.8</v>
      </c>
      <c r="AC31" s="103">
        <v>0</v>
      </c>
      <c r="AD31" s="103">
        <v>0.8</v>
      </c>
      <c r="AE31" s="103">
        <v>0.8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</row>
    <row r="32" spans="1:36" customFormat="1" x14ac:dyDescent="0.15">
      <c r="A32" s="180" t="s">
        <v>223</v>
      </c>
      <c r="B32" s="103">
        <v>0.8</v>
      </c>
      <c r="C32" s="103">
        <v>0.8</v>
      </c>
      <c r="D32" s="103">
        <v>0.8</v>
      </c>
      <c r="E32" s="103">
        <v>0.8</v>
      </c>
      <c r="F32" s="103">
        <v>0</v>
      </c>
      <c r="G32" s="103">
        <v>0</v>
      </c>
      <c r="H32" s="103">
        <v>0.8</v>
      </c>
      <c r="I32" s="103">
        <v>0</v>
      </c>
      <c r="J32" s="103">
        <v>0</v>
      </c>
      <c r="K32" s="103">
        <v>0</v>
      </c>
      <c r="L32" s="103">
        <v>0.8</v>
      </c>
      <c r="M32" s="103">
        <v>0</v>
      </c>
      <c r="N32" s="103">
        <v>0.8</v>
      </c>
      <c r="O32" s="103">
        <v>0</v>
      </c>
      <c r="P32" s="103">
        <v>0</v>
      </c>
      <c r="Q32" s="103">
        <v>0.8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0.8</v>
      </c>
      <c r="AB32" s="103">
        <v>0.8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</row>
    <row r="33" spans="1:36" x14ac:dyDescent="0.15">
      <c r="A33" s="180" t="s">
        <v>224</v>
      </c>
      <c r="B33" s="103">
        <v>0</v>
      </c>
      <c r="C33" s="103">
        <v>0</v>
      </c>
      <c r="D33" s="103">
        <v>0.8</v>
      </c>
      <c r="E33" s="103">
        <v>0.8</v>
      </c>
      <c r="F33" s="103">
        <v>0.8</v>
      </c>
      <c r="G33" s="103">
        <v>0.8</v>
      </c>
      <c r="H33" s="103">
        <v>0.8</v>
      </c>
      <c r="I33" s="103">
        <v>0</v>
      </c>
      <c r="J33" s="103">
        <v>0.8</v>
      </c>
      <c r="K33" s="103">
        <v>0.8</v>
      </c>
      <c r="L33" s="103">
        <v>0.8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0.8</v>
      </c>
      <c r="V33" s="103">
        <v>0</v>
      </c>
      <c r="W33" s="103">
        <v>0</v>
      </c>
      <c r="X33" s="103">
        <v>0.8</v>
      </c>
      <c r="Y33" s="103">
        <v>0.8</v>
      </c>
      <c r="Z33" s="103">
        <v>0.8</v>
      </c>
      <c r="AA33" s="103">
        <v>0</v>
      </c>
      <c r="AB33" s="103">
        <v>0</v>
      </c>
      <c r="AC33" s="103">
        <v>0.8</v>
      </c>
      <c r="AD33" s="103">
        <v>0</v>
      </c>
      <c r="AE33" s="103">
        <v>0.8</v>
      </c>
      <c r="AF33" s="103">
        <v>0.8</v>
      </c>
      <c r="AG33" s="103">
        <v>0.8</v>
      </c>
      <c r="AH33" s="103">
        <v>0</v>
      </c>
      <c r="AI33" s="103">
        <v>0</v>
      </c>
      <c r="AJ33" s="103">
        <v>0</v>
      </c>
    </row>
    <row r="34" spans="1:36" x14ac:dyDescent="0.15">
      <c r="A34" s="180" t="s">
        <v>225</v>
      </c>
      <c r="B34" s="103">
        <v>0</v>
      </c>
      <c r="C34" s="103">
        <v>0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0.8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</v>
      </c>
      <c r="R34" s="103">
        <v>0</v>
      </c>
      <c r="S34" s="103">
        <v>0</v>
      </c>
      <c r="T34" s="103">
        <v>0</v>
      </c>
      <c r="U34" s="103">
        <v>0.8</v>
      </c>
      <c r="V34" s="103">
        <v>0</v>
      </c>
      <c r="W34" s="103">
        <v>0</v>
      </c>
      <c r="X34" s="103">
        <v>0</v>
      </c>
      <c r="Y34" s="103">
        <v>0</v>
      </c>
      <c r="Z34" s="103">
        <v>0.8</v>
      </c>
      <c r="AA34" s="103">
        <v>0</v>
      </c>
      <c r="AB34" s="103">
        <v>0.8</v>
      </c>
      <c r="AC34" s="103">
        <v>0.8</v>
      </c>
      <c r="AD34" s="103">
        <v>0</v>
      </c>
      <c r="AE34" s="103">
        <v>0.8</v>
      </c>
      <c r="AF34" s="103">
        <v>0.8</v>
      </c>
      <c r="AG34" s="103">
        <v>0.8</v>
      </c>
      <c r="AH34" s="103">
        <v>0</v>
      </c>
      <c r="AI34" s="103">
        <v>0</v>
      </c>
      <c r="AJ34" s="103">
        <v>0</v>
      </c>
    </row>
    <row r="35" spans="1:36" x14ac:dyDescent="0.15">
      <c r="A35" s="180" t="s">
        <v>226</v>
      </c>
      <c r="B35" s="103">
        <v>0</v>
      </c>
      <c r="C35" s="103">
        <v>0</v>
      </c>
      <c r="D35" s="103">
        <v>0.8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0.8</v>
      </c>
      <c r="M35" s="103">
        <v>0.8</v>
      </c>
      <c r="N35" s="103">
        <v>0.8</v>
      </c>
      <c r="O35" s="103">
        <v>0.8</v>
      </c>
      <c r="P35" s="103">
        <v>0.8</v>
      </c>
      <c r="Q35" s="103">
        <v>0</v>
      </c>
      <c r="R35" s="103">
        <v>0.8</v>
      </c>
      <c r="S35" s="103">
        <v>0</v>
      </c>
      <c r="T35" s="103">
        <v>0</v>
      </c>
      <c r="U35" s="103">
        <v>0</v>
      </c>
      <c r="V35" s="103">
        <v>0</v>
      </c>
      <c r="W35" s="103">
        <v>0.8</v>
      </c>
      <c r="X35" s="103">
        <v>0.8</v>
      </c>
      <c r="Y35" s="103">
        <v>0.8</v>
      </c>
      <c r="Z35" s="103">
        <v>0.8</v>
      </c>
      <c r="AA35" s="103">
        <v>0.8</v>
      </c>
      <c r="AB35" s="103">
        <v>0.8</v>
      </c>
      <c r="AC35" s="103">
        <v>0.8</v>
      </c>
      <c r="AD35" s="103">
        <v>0.8</v>
      </c>
      <c r="AE35" s="103">
        <v>0.8</v>
      </c>
      <c r="AF35" s="103">
        <v>0.8</v>
      </c>
      <c r="AG35" s="103">
        <v>0.8</v>
      </c>
      <c r="AH35" s="103">
        <v>0</v>
      </c>
      <c r="AI35" s="103">
        <v>0</v>
      </c>
      <c r="AJ35" s="103">
        <v>0</v>
      </c>
    </row>
    <row r="36" spans="1:36" x14ac:dyDescent="0.15">
      <c r="A36" s="180" t="s">
        <v>227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0</v>
      </c>
      <c r="T36" s="103">
        <v>0</v>
      </c>
      <c r="U36" s="103">
        <v>0</v>
      </c>
      <c r="V36" s="103">
        <v>0</v>
      </c>
      <c r="W36" s="103">
        <v>0</v>
      </c>
      <c r="X36" s="103">
        <v>0</v>
      </c>
      <c r="Y36" s="103">
        <v>0</v>
      </c>
      <c r="Z36" s="103"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0</v>
      </c>
    </row>
    <row r="37" spans="1:36" x14ac:dyDescent="0.15">
      <c r="A37" s="180" t="s">
        <v>228</v>
      </c>
      <c r="B37" s="103">
        <v>0</v>
      </c>
      <c r="C37" s="103">
        <v>0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36" width="2.33203125" style="103" customWidth="1"/>
    <col min="37" max="16384" width="10.83203125" style="103"/>
  </cols>
  <sheetData>
    <row r="1" spans="1:36" x14ac:dyDescent="0.15">
      <c r="A1" s="60" t="s">
        <v>139</v>
      </c>
      <c r="B1" s="183" t="s">
        <v>193</v>
      </c>
      <c r="C1" s="183" t="s">
        <v>194</v>
      </c>
      <c r="D1" s="183" t="s">
        <v>195</v>
      </c>
      <c r="E1" s="183" t="s">
        <v>196</v>
      </c>
      <c r="F1" s="183" t="s">
        <v>197</v>
      </c>
      <c r="G1" s="183" t="s">
        <v>198</v>
      </c>
      <c r="H1" s="183" t="s">
        <v>199</v>
      </c>
      <c r="I1" s="183" t="s">
        <v>200</v>
      </c>
      <c r="J1" s="183" t="s">
        <v>201</v>
      </c>
      <c r="K1" s="183" t="s">
        <v>202</v>
      </c>
      <c r="L1" s="183" t="s">
        <v>203</v>
      </c>
      <c r="M1" s="183" t="s">
        <v>204</v>
      </c>
      <c r="N1" s="183" t="s">
        <v>205</v>
      </c>
      <c r="O1" s="183" t="s">
        <v>206</v>
      </c>
      <c r="P1" s="183" t="s">
        <v>207</v>
      </c>
      <c r="Q1" s="183" t="s">
        <v>208</v>
      </c>
      <c r="R1" s="183" t="s">
        <v>209</v>
      </c>
      <c r="S1" s="183" t="s">
        <v>210</v>
      </c>
      <c r="T1" s="183" t="s">
        <v>211</v>
      </c>
      <c r="U1" s="183" t="s">
        <v>212</v>
      </c>
      <c r="V1" s="183" t="s">
        <v>213</v>
      </c>
      <c r="W1" s="183" t="s">
        <v>214</v>
      </c>
      <c r="X1" s="183" t="s">
        <v>215</v>
      </c>
      <c r="Y1" s="183" t="s">
        <v>216</v>
      </c>
      <c r="Z1" s="183" t="s">
        <v>217</v>
      </c>
      <c r="AA1" s="183" t="s">
        <v>218</v>
      </c>
      <c r="AB1" s="183" t="s">
        <v>219</v>
      </c>
      <c r="AC1" s="183" t="s">
        <v>220</v>
      </c>
      <c r="AD1" s="183" t="s">
        <v>221</v>
      </c>
      <c r="AE1" s="183" t="s">
        <v>222</v>
      </c>
      <c r="AF1" s="183" t="s">
        <v>223</v>
      </c>
      <c r="AG1" s="183" t="s">
        <v>224</v>
      </c>
      <c r="AH1" s="183" t="s">
        <v>225</v>
      </c>
      <c r="AI1" s="183" t="s">
        <v>226</v>
      </c>
      <c r="AJ1" s="183" t="s">
        <v>227</v>
      </c>
    </row>
    <row r="2" spans="1:36" customFormat="1" x14ac:dyDescent="0.15">
      <c r="A2" s="182" t="s">
        <v>193</v>
      </c>
      <c r="B2" s="103">
        <v>0</v>
      </c>
      <c r="C2" s="103">
        <v>1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  <c r="AG2" s="103">
        <v>0</v>
      </c>
      <c r="AH2" s="103">
        <v>0</v>
      </c>
      <c r="AI2" s="103">
        <v>0</v>
      </c>
      <c r="AJ2" s="103">
        <v>0</v>
      </c>
    </row>
    <row r="3" spans="1:36" customFormat="1" x14ac:dyDescent="0.15">
      <c r="A3" s="182" t="s">
        <v>194</v>
      </c>
      <c r="B3" s="103">
        <v>1</v>
      </c>
      <c r="C3" s="103">
        <v>1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  <c r="AG3" s="103">
        <v>0</v>
      </c>
      <c r="AH3" s="103">
        <v>0</v>
      </c>
      <c r="AI3" s="103">
        <v>0</v>
      </c>
      <c r="AJ3" s="103">
        <v>0</v>
      </c>
    </row>
    <row r="4" spans="1:36" customFormat="1" x14ac:dyDescent="0.15">
      <c r="A4" s="182" t="s">
        <v>195</v>
      </c>
      <c r="B4" s="103">
        <v>1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1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  <c r="AG4" s="103">
        <v>0</v>
      </c>
      <c r="AH4" s="103">
        <v>0</v>
      </c>
      <c r="AI4" s="103">
        <v>0</v>
      </c>
      <c r="AJ4" s="103">
        <v>0</v>
      </c>
    </row>
    <row r="5" spans="1:36" customFormat="1" x14ac:dyDescent="0.15">
      <c r="A5" s="182" t="s">
        <v>196</v>
      </c>
      <c r="B5" s="103">
        <v>0</v>
      </c>
      <c r="C5" s="103">
        <v>1</v>
      </c>
      <c r="D5" s="103">
        <v>0</v>
      </c>
      <c r="E5" s="103">
        <v>0</v>
      </c>
      <c r="F5" s="103">
        <v>1</v>
      </c>
      <c r="G5" s="103">
        <v>1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1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1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  <c r="AG5" s="103">
        <v>0</v>
      </c>
      <c r="AH5" s="103">
        <v>0</v>
      </c>
      <c r="AI5" s="103">
        <v>0</v>
      </c>
      <c r="AJ5" s="103">
        <v>0</v>
      </c>
    </row>
    <row r="6" spans="1:36" customFormat="1" x14ac:dyDescent="0.15">
      <c r="A6" s="182" t="s">
        <v>197</v>
      </c>
      <c r="B6" s="103">
        <v>0</v>
      </c>
      <c r="C6" s="103">
        <v>1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1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</row>
    <row r="7" spans="1:36" customFormat="1" x14ac:dyDescent="0.15">
      <c r="A7" s="182" t="s">
        <v>198</v>
      </c>
      <c r="B7" s="103">
        <v>0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1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1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</row>
    <row r="8" spans="1:36" customFormat="1" x14ac:dyDescent="0.15">
      <c r="A8" s="182" t="s">
        <v>199</v>
      </c>
      <c r="B8" s="103">
        <v>1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1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</row>
    <row r="9" spans="1:36" customFormat="1" x14ac:dyDescent="0.15">
      <c r="A9" s="182" t="s">
        <v>200</v>
      </c>
      <c r="B9" s="103">
        <v>1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</row>
    <row r="10" spans="1:36" customFormat="1" x14ac:dyDescent="0.15">
      <c r="A10" s="182" t="s">
        <v>201</v>
      </c>
      <c r="B10" s="103">
        <v>0</v>
      </c>
      <c r="C10" s="103">
        <v>0</v>
      </c>
      <c r="D10" s="103">
        <v>0</v>
      </c>
      <c r="E10" s="103">
        <v>0</v>
      </c>
      <c r="F10" s="103">
        <v>1</v>
      </c>
      <c r="G10" s="103">
        <v>1</v>
      </c>
      <c r="H10" s="103">
        <v>1</v>
      </c>
      <c r="I10" s="103">
        <v>1</v>
      </c>
      <c r="J10" s="103">
        <v>0</v>
      </c>
      <c r="K10" s="103">
        <v>1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1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</row>
    <row r="11" spans="1:36" customFormat="1" x14ac:dyDescent="0.15">
      <c r="A11" s="182" t="s">
        <v>202</v>
      </c>
      <c r="B11" s="103">
        <v>1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</row>
    <row r="12" spans="1:36" customFormat="1" x14ac:dyDescent="0.15">
      <c r="A12" s="182" t="s">
        <v>203</v>
      </c>
      <c r="B12" s="103">
        <v>0</v>
      </c>
      <c r="C12" s="103">
        <v>0</v>
      </c>
      <c r="D12" s="103">
        <v>0</v>
      </c>
      <c r="E12" s="103">
        <v>1</v>
      </c>
      <c r="F12" s="103">
        <v>1</v>
      </c>
      <c r="G12" s="103">
        <v>1</v>
      </c>
      <c r="H12" s="103">
        <v>1</v>
      </c>
      <c r="I12" s="103">
        <v>0</v>
      </c>
      <c r="J12" s="103">
        <v>0</v>
      </c>
      <c r="K12" s="103">
        <v>1</v>
      </c>
      <c r="L12" s="103">
        <v>0</v>
      </c>
      <c r="M12" s="103">
        <v>0</v>
      </c>
      <c r="N12" s="103">
        <v>1</v>
      </c>
      <c r="O12" s="103">
        <v>1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</row>
    <row r="13" spans="1:36" customFormat="1" x14ac:dyDescent="0.15">
      <c r="A13" s="182" t="s">
        <v>204</v>
      </c>
      <c r="B13" s="103">
        <v>1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1</v>
      </c>
      <c r="I13" s="103">
        <v>1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1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</row>
    <row r="14" spans="1:36" customFormat="1" x14ac:dyDescent="0.15">
      <c r="A14" s="182" t="s">
        <v>205</v>
      </c>
      <c r="B14" s="103">
        <v>0</v>
      </c>
      <c r="C14" s="103">
        <v>1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1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1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</row>
    <row r="15" spans="1:36" customFormat="1" x14ac:dyDescent="0.15">
      <c r="A15" s="182" t="s">
        <v>206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1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1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1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</row>
    <row r="16" spans="1:36" customFormat="1" x14ac:dyDescent="0.15">
      <c r="A16" s="182" t="s">
        <v>207</v>
      </c>
      <c r="B16" s="103">
        <v>0</v>
      </c>
      <c r="C16" s="103">
        <v>1</v>
      </c>
      <c r="D16" s="103">
        <v>0</v>
      </c>
      <c r="E16" s="103">
        <v>1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1</v>
      </c>
      <c r="S16" s="103">
        <v>0</v>
      </c>
      <c r="T16" s="103">
        <v>1</v>
      </c>
      <c r="U16" s="103">
        <v>0</v>
      </c>
      <c r="V16" s="103">
        <v>0</v>
      </c>
      <c r="W16" s="103">
        <v>1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</row>
    <row r="17" spans="1:36" customFormat="1" x14ac:dyDescent="0.15">
      <c r="A17" s="182" t="s">
        <v>208</v>
      </c>
      <c r="B17" s="103"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1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</row>
    <row r="18" spans="1:36" customFormat="1" x14ac:dyDescent="0.15">
      <c r="A18" s="182" t="s">
        <v>209</v>
      </c>
      <c r="B18" s="103">
        <v>0</v>
      </c>
      <c r="C18" s="103">
        <v>1</v>
      </c>
      <c r="D18" s="103">
        <v>0</v>
      </c>
      <c r="E18" s="103">
        <v>0</v>
      </c>
      <c r="F18" s="103">
        <v>1</v>
      </c>
      <c r="G18" s="103">
        <v>1</v>
      </c>
      <c r="H18" s="103">
        <v>1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</row>
    <row r="19" spans="1:36" customFormat="1" x14ac:dyDescent="0.15">
      <c r="A19" s="182" t="s">
        <v>210</v>
      </c>
      <c r="B19" s="103">
        <v>1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</row>
    <row r="20" spans="1:36" customFormat="1" x14ac:dyDescent="0.15">
      <c r="A20" s="182" t="s">
        <v>211</v>
      </c>
      <c r="B20" s="103">
        <v>1</v>
      </c>
      <c r="C20" s="103">
        <v>0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</row>
    <row r="21" spans="1:36" customFormat="1" x14ac:dyDescent="0.15">
      <c r="A21" s="182" t="s">
        <v>212</v>
      </c>
      <c r="B21" s="103">
        <v>1</v>
      </c>
      <c r="C21" s="103">
        <v>1</v>
      </c>
      <c r="D21" s="103">
        <v>0</v>
      </c>
      <c r="E21" s="103">
        <v>1</v>
      </c>
      <c r="F21" s="103">
        <v>0</v>
      </c>
      <c r="G21" s="103">
        <v>0</v>
      </c>
      <c r="H21" s="103">
        <v>0</v>
      </c>
      <c r="I21" s="103">
        <v>1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1</v>
      </c>
      <c r="W21" s="103">
        <v>1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</row>
    <row r="22" spans="1:36" customFormat="1" x14ac:dyDescent="0.15">
      <c r="A22" s="182" t="s">
        <v>213</v>
      </c>
      <c r="B22" s="103">
        <v>1</v>
      </c>
      <c r="C22" s="103">
        <v>1</v>
      </c>
      <c r="D22" s="103">
        <v>0</v>
      </c>
      <c r="E22" s="103">
        <v>1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</v>
      </c>
      <c r="S22" s="103">
        <v>0</v>
      </c>
      <c r="T22" s="103">
        <v>1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</row>
    <row r="23" spans="1:36" customFormat="1" x14ac:dyDescent="0.15">
      <c r="A23" s="182" t="s">
        <v>214</v>
      </c>
      <c r="B23" s="103">
        <v>0</v>
      </c>
      <c r="C23" s="103">
        <v>1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1</v>
      </c>
      <c r="U23" s="103">
        <v>0</v>
      </c>
      <c r="V23" s="103">
        <v>1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</row>
    <row r="24" spans="1:36" customFormat="1" x14ac:dyDescent="0.15">
      <c r="A24" s="182" t="s">
        <v>215</v>
      </c>
      <c r="B24" s="103">
        <v>0</v>
      </c>
      <c r="C24" s="103">
        <v>0</v>
      </c>
      <c r="D24" s="103">
        <v>0</v>
      </c>
      <c r="E24" s="103">
        <v>1</v>
      </c>
      <c r="F24" s="103">
        <v>1</v>
      </c>
      <c r="G24" s="103">
        <v>1</v>
      </c>
      <c r="H24" s="103">
        <v>1</v>
      </c>
      <c r="I24" s="103">
        <v>1</v>
      </c>
      <c r="J24" s="103">
        <v>1</v>
      </c>
      <c r="K24" s="103">
        <v>1</v>
      </c>
      <c r="L24" s="103">
        <v>0</v>
      </c>
      <c r="M24" s="103">
        <v>0</v>
      </c>
      <c r="N24" s="103">
        <v>0</v>
      </c>
      <c r="O24" s="103">
        <v>1</v>
      </c>
      <c r="P24" s="103">
        <v>0</v>
      </c>
      <c r="Q24" s="103">
        <v>0</v>
      </c>
      <c r="R24" s="103">
        <v>0</v>
      </c>
      <c r="S24" s="103">
        <v>1</v>
      </c>
      <c r="T24" s="103">
        <v>1</v>
      </c>
      <c r="U24" s="103">
        <v>1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1</v>
      </c>
      <c r="AB24" s="103">
        <v>1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</row>
    <row r="25" spans="1:36" customFormat="1" x14ac:dyDescent="0.15">
      <c r="A25" s="182" t="s">
        <v>216</v>
      </c>
      <c r="B25" s="103">
        <v>0</v>
      </c>
      <c r="C25" s="103">
        <v>1</v>
      </c>
      <c r="D25" s="103">
        <v>0</v>
      </c>
      <c r="E25" s="103">
        <v>1</v>
      </c>
      <c r="F25" s="103">
        <v>1</v>
      </c>
      <c r="G25" s="103">
        <v>1</v>
      </c>
      <c r="H25" s="103">
        <v>0</v>
      </c>
      <c r="I25" s="103">
        <v>0</v>
      </c>
      <c r="J25" s="103">
        <v>0</v>
      </c>
      <c r="K25" s="103">
        <v>1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1</v>
      </c>
      <c r="U25" s="103">
        <v>0</v>
      </c>
      <c r="V25" s="103">
        <v>1</v>
      </c>
      <c r="W25" s="103">
        <v>1</v>
      </c>
      <c r="X25" s="103">
        <v>0</v>
      </c>
      <c r="Y25" s="103">
        <v>1</v>
      </c>
      <c r="Z25" s="103">
        <v>0</v>
      </c>
      <c r="AA25" s="103">
        <v>1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</row>
    <row r="26" spans="1:36" customFormat="1" x14ac:dyDescent="0.15">
      <c r="A26" s="182" t="s">
        <v>217</v>
      </c>
      <c r="B26" s="103">
        <v>0</v>
      </c>
      <c r="C26" s="103">
        <v>1</v>
      </c>
      <c r="D26" s="103">
        <v>0</v>
      </c>
      <c r="E26" s="103">
        <v>0</v>
      </c>
      <c r="F26" s="103">
        <v>1</v>
      </c>
      <c r="G26" s="103">
        <v>0</v>
      </c>
      <c r="H26" s="103">
        <v>1</v>
      </c>
      <c r="I26" s="103">
        <v>0</v>
      </c>
      <c r="J26" s="103">
        <v>0</v>
      </c>
      <c r="K26" s="103">
        <v>1</v>
      </c>
      <c r="L26" s="103">
        <v>0</v>
      </c>
      <c r="M26" s="103">
        <v>0</v>
      </c>
      <c r="N26" s="103">
        <v>0</v>
      </c>
      <c r="O26" s="103">
        <v>1</v>
      </c>
      <c r="P26" s="103">
        <v>0</v>
      </c>
      <c r="Q26" s="103">
        <v>0</v>
      </c>
      <c r="R26" s="103">
        <v>0</v>
      </c>
      <c r="S26" s="103">
        <v>1</v>
      </c>
      <c r="T26" s="103">
        <v>0</v>
      </c>
      <c r="U26" s="103">
        <v>0</v>
      </c>
      <c r="V26" s="103">
        <v>1</v>
      </c>
      <c r="W26" s="103">
        <v>0</v>
      </c>
      <c r="X26" s="103">
        <v>0</v>
      </c>
      <c r="Y26" s="103">
        <v>1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</row>
    <row r="27" spans="1:36" customFormat="1" x14ac:dyDescent="0.15">
      <c r="A27" s="182" t="s">
        <v>218</v>
      </c>
      <c r="B27" s="103">
        <v>0</v>
      </c>
      <c r="C27" s="103">
        <v>1</v>
      </c>
      <c r="D27" s="103">
        <v>0</v>
      </c>
      <c r="E27" s="103">
        <v>1</v>
      </c>
      <c r="F27" s="103">
        <v>1</v>
      </c>
      <c r="G27" s="103">
        <v>1</v>
      </c>
      <c r="H27" s="103">
        <v>1</v>
      </c>
      <c r="I27" s="103">
        <v>1</v>
      </c>
      <c r="J27" s="103">
        <v>1</v>
      </c>
      <c r="K27" s="103">
        <v>0</v>
      </c>
      <c r="L27" s="103">
        <v>0</v>
      </c>
      <c r="M27" s="103">
        <v>0</v>
      </c>
      <c r="N27" s="103">
        <v>0</v>
      </c>
      <c r="O27" s="103">
        <v>1</v>
      </c>
      <c r="P27" s="103">
        <v>0</v>
      </c>
      <c r="Q27" s="103">
        <v>1</v>
      </c>
      <c r="R27" s="103">
        <v>0</v>
      </c>
      <c r="S27" s="103">
        <v>1</v>
      </c>
      <c r="T27" s="103">
        <v>0</v>
      </c>
      <c r="U27" s="103">
        <v>0</v>
      </c>
      <c r="V27" s="103">
        <v>1</v>
      </c>
      <c r="W27" s="103">
        <v>1</v>
      </c>
      <c r="X27" s="103">
        <v>0</v>
      </c>
      <c r="Y27" s="103">
        <v>0</v>
      </c>
      <c r="Z27" s="103">
        <v>0</v>
      </c>
      <c r="AA27" s="103">
        <v>1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</row>
    <row r="28" spans="1:36" customFormat="1" x14ac:dyDescent="0.15">
      <c r="A28" s="182" t="s">
        <v>219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1</v>
      </c>
      <c r="R28" s="103">
        <v>0</v>
      </c>
      <c r="S28" s="103">
        <v>1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</row>
    <row r="29" spans="1:36" customFormat="1" x14ac:dyDescent="0.15">
      <c r="A29" s="182" t="s">
        <v>220</v>
      </c>
      <c r="B29" s="103">
        <v>0</v>
      </c>
      <c r="C29" s="103">
        <v>1</v>
      </c>
      <c r="D29" s="103">
        <v>1</v>
      </c>
      <c r="E29" s="103">
        <v>1</v>
      </c>
      <c r="F29" s="103">
        <v>1</v>
      </c>
      <c r="G29" s="103">
        <v>1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1</v>
      </c>
      <c r="S29" s="103">
        <v>0</v>
      </c>
      <c r="T29" s="103">
        <v>0</v>
      </c>
      <c r="U29" s="103">
        <v>1</v>
      </c>
      <c r="V29" s="103">
        <v>1</v>
      </c>
      <c r="W29" s="103">
        <v>1</v>
      </c>
      <c r="X29" s="103">
        <v>0</v>
      </c>
      <c r="Y29" s="103">
        <v>1</v>
      </c>
      <c r="Z29" s="103">
        <v>0</v>
      </c>
      <c r="AA29" s="103">
        <v>0</v>
      </c>
      <c r="AB29" s="103">
        <v>0</v>
      </c>
      <c r="AC29" s="103">
        <v>1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</row>
    <row r="30" spans="1:36" customFormat="1" x14ac:dyDescent="0.15">
      <c r="A30" s="182" t="s">
        <v>221</v>
      </c>
      <c r="B30" s="103">
        <v>1</v>
      </c>
      <c r="C30" s="103">
        <v>0</v>
      </c>
      <c r="D30" s="103">
        <v>0</v>
      </c>
      <c r="E30" s="103">
        <v>1</v>
      </c>
      <c r="F30" s="103">
        <v>1</v>
      </c>
      <c r="G30" s="103">
        <v>1</v>
      </c>
      <c r="H30" s="103">
        <v>1</v>
      </c>
      <c r="I30" s="103">
        <v>0</v>
      </c>
      <c r="J30" s="103">
        <v>1</v>
      </c>
      <c r="K30" s="103">
        <v>1</v>
      </c>
      <c r="L30" s="103">
        <v>1</v>
      </c>
      <c r="M30" s="103">
        <v>1</v>
      </c>
      <c r="N30" s="103">
        <v>1</v>
      </c>
      <c r="O30" s="103">
        <v>1</v>
      </c>
      <c r="P30" s="103">
        <v>1</v>
      </c>
      <c r="Q30" s="103">
        <v>0</v>
      </c>
      <c r="R30" s="103">
        <v>1</v>
      </c>
      <c r="S30" s="103">
        <v>0</v>
      </c>
      <c r="T30" s="103">
        <v>0</v>
      </c>
      <c r="U30" s="103">
        <v>0</v>
      </c>
      <c r="V30" s="103">
        <v>0</v>
      </c>
      <c r="W30" s="103">
        <v>0</v>
      </c>
      <c r="X30" s="103">
        <v>1</v>
      </c>
      <c r="Y30" s="103">
        <v>1</v>
      </c>
      <c r="Z30" s="103">
        <v>0</v>
      </c>
      <c r="AA30" s="103">
        <v>1</v>
      </c>
      <c r="AB30" s="103">
        <v>0</v>
      </c>
      <c r="AC30" s="103">
        <v>0</v>
      </c>
      <c r="AD30" s="103">
        <v>1</v>
      </c>
      <c r="AE30" s="103">
        <v>1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</row>
    <row r="31" spans="1:36" customFormat="1" x14ac:dyDescent="0.15">
      <c r="A31" s="182" t="s">
        <v>222</v>
      </c>
      <c r="B31" s="103">
        <v>0</v>
      </c>
      <c r="C31" s="103">
        <v>0</v>
      </c>
      <c r="D31" s="103">
        <v>1</v>
      </c>
      <c r="E31" s="103">
        <v>0</v>
      </c>
      <c r="F31" s="103">
        <v>0</v>
      </c>
      <c r="G31" s="103">
        <v>0</v>
      </c>
      <c r="H31" s="103">
        <v>1</v>
      </c>
      <c r="I31" s="103">
        <v>0</v>
      </c>
      <c r="J31" s="103">
        <v>1</v>
      </c>
      <c r="K31" s="103">
        <v>1</v>
      </c>
      <c r="L31" s="103">
        <v>1</v>
      </c>
      <c r="M31" s="103">
        <v>0</v>
      </c>
      <c r="N31" s="103">
        <v>1</v>
      </c>
      <c r="O31" s="103">
        <v>1</v>
      </c>
      <c r="P31" s="103">
        <v>0</v>
      </c>
      <c r="Q31" s="103">
        <v>1</v>
      </c>
      <c r="R31" s="103">
        <v>0</v>
      </c>
      <c r="S31" s="103">
        <v>0</v>
      </c>
      <c r="T31" s="103">
        <v>0</v>
      </c>
      <c r="U31" s="103">
        <v>1</v>
      </c>
      <c r="V31" s="103">
        <v>0</v>
      </c>
      <c r="W31" s="103">
        <v>1</v>
      </c>
      <c r="X31" s="103">
        <v>1</v>
      </c>
      <c r="Y31" s="103">
        <v>1</v>
      </c>
      <c r="Z31" s="103">
        <v>1</v>
      </c>
      <c r="AA31" s="103">
        <v>1</v>
      </c>
      <c r="AB31" s="103">
        <v>1</v>
      </c>
      <c r="AC31" s="103">
        <v>0</v>
      </c>
      <c r="AD31" s="103">
        <v>1</v>
      </c>
      <c r="AE31" s="103">
        <v>1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</row>
    <row r="32" spans="1:36" x14ac:dyDescent="0.15">
      <c r="A32" s="182" t="s">
        <v>223</v>
      </c>
      <c r="B32" s="103">
        <v>1</v>
      </c>
      <c r="C32" s="103">
        <v>1</v>
      </c>
      <c r="D32" s="103">
        <v>1</v>
      </c>
      <c r="E32" s="103">
        <v>1</v>
      </c>
      <c r="F32" s="103">
        <v>0</v>
      </c>
      <c r="G32" s="103">
        <v>0</v>
      </c>
      <c r="H32" s="103">
        <v>1</v>
      </c>
      <c r="I32" s="103">
        <v>0</v>
      </c>
      <c r="J32" s="103">
        <v>0</v>
      </c>
      <c r="K32" s="103">
        <v>0</v>
      </c>
      <c r="L32" s="103">
        <v>1</v>
      </c>
      <c r="M32" s="103">
        <v>0</v>
      </c>
      <c r="N32" s="103">
        <v>1</v>
      </c>
      <c r="O32" s="103">
        <v>0</v>
      </c>
      <c r="P32" s="103">
        <v>0</v>
      </c>
      <c r="Q32" s="103">
        <v>1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1</v>
      </c>
      <c r="AB32" s="103">
        <v>1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</row>
    <row r="33" spans="1:36" x14ac:dyDescent="0.15">
      <c r="A33" s="182" t="s">
        <v>224</v>
      </c>
      <c r="B33" s="103">
        <v>0</v>
      </c>
      <c r="C33" s="103">
        <v>0</v>
      </c>
      <c r="D33" s="103">
        <v>1</v>
      </c>
      <c r="E33" s="103">
        <v>1</v>
      </c>
      <c r="F33" s="103">
        <v>1</v>
      </c>
      <c r="G33" s="103">
        <v>1</v>
      </c>
      <c r="H33" s="103">
        <v>1</v>
      </c>
      <c r="I33" s="103">
        <v>0</v>
      </c>
      <c r="J33" s="103">
        <v>1</v>
      </c>
      <c r="K33" s="103">
        <v>1</v>
      </c>
      <c r="L33" s="103">
        <v>1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1</v>
      </c>
      <c r="V33" s="103">
        <v>0</v>
      </c>
      <c r="W33" s="103">
        <v>0</v>
      </c>
      <c r="X33" s="103">
        <v>1</v>
      </c>
      <c r="Y33" s="103">
        <v>1</v>
      </c>
      <c r="Z33" s="103">
        <v>1</v>
      </c>
      <c r="AA33" s="103">
        <v>0</v>
      </c>
      <c r="AB33" s="103">
        <v>0</v>
      </c>
      <c r="AC33" s="103">
        <v>1</v>
      </c>
      <c r="AD33" s="103">
        <v>0</v>
      </c>
      <c r="AE33" s="103">
        <v>1</v>
      </c>
      <c r="AF33" s="103">
        <v>1</v>
      </c>
      <c r="AG33" s="103">
        <v>1</v>
      </c>
      <c r="AH33" s="103">
        <v>0</v>
      </c>
      <c r="AI33" s="103">
        <v>0</v>
      </c>
      <c r="AJ33" s="103">
        <v>0</v>
      </c>
    </row>
    <row r="34" spans="1:36" x14ac:dyDescent="0.15">
      <c r="A34" s="182" t="s">
        <v>225</v>
      </c>
      <c r="B34" s="103">
        <v>0</v>
      </c>
      <c r="C34" s="103">
        <v>0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1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</v>
      </c>
      <c r="R34" s="103">
        <v>0</v>
      </c>
      <c r="S34" s="103">
        <v>0</v>
      </c>
      <c r="T34" s="103">
        <v>0</v>
      </c>
      <c r="U34" s="103">
        <v>1</v>
      </c>
      <c r="V34" s="103">
        <v>0</v>
      </c>
      <c r="W34" s="103">
        <v>0</v>
      </c>
      <c r="X34" s="103">
        <v>0</v>
      </c>
      <c r="Y34" s="103">
        <v>0</v>
      </c>
      <c r="Z34" s="103">
        <v>1</v>
      </c>
      <c r="AA34" s="103">
        <v>0</v>
      </c>
      <c r="AB34" s="103">
        <v>1</v>
      </c>
      <c r="AC34" s="103">
        <v>1</v>
      </c>
      <c r="AD34" s="103">
        <v>0</v>
      </c>
      <c r="AE34" s="103">
        <v>1</v>
      </c>
      <c r="AF34" s="103">
        <v>1</v>
      </c>
      <c r="AG34" s="103">
        <v>1</v>
      </c>
      <c r="AH34" s="103">
        <v>0</v>
      </c>
      <c r="AI34" s="103">
        <v>0</v>
      </c>
      <c r="AJ34" s="103">
        <v>0</v>
      </c>
    </row>
    <row r="35" spans="1:36" x14ac:dyDescent="0.15">
      <c r="A35" s="182" t="s">
        <v>226</v>
      </c>
      <c r="B35" s="103">
        <v>0</v>
      </c>
      <c r="C35" s="103">
        <v>0</v>
      </c>
      <c r="D35" s="103">
        <v>1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1</v>
      </c>
      <c r="M35" s="103">
        <v>1</v>
      </c>
      <c r="N35" s="103">
        <v>1</v>
      </c>
      <c r="O35" s="103">
        <v>1</v>
      </c>
      <c r="P35" s="103">
        <v>1</v>
      </c>
      <c r="Q35" s="103">
        <v>0</v>
      </c>
      <c r="R35" s="103">
        <v>1</v>
      </c>
      <c r="S35" s="103">
        <v>0</v>
      </c>
      <c r="T35" s="103">
        <v>0</v>
      </c>
      <c r="U35" s="103">
        <v>0</v>
      </c>
      <c r="V35" s="103">
        <v>0</v>
      </c>
      <c r="W35" s="103">
        <v>1</v>
      </c>
      <c r="X35" s="103">
        <v>1</v>
      </c>
      <c r="Y35" s="103">
        <v>1</v>
      </c>
      <c r="Z35" s="103">
        <v>1</v>
      </c>
      <c r="AA35" s="103">
        <v>1</v>
      </c>
      <c r="AB35" s="103">
        <v>1</v>
      </c>
      <c r="AC35" s="103">
        <v>1</v>
      </c>
      <c r="AD35" s="103">
        <v>1</v>
      </c>
      <c r="AE35" s="103">
        <v>1</v>
      </c>
      <c r="AF35" s="103">
        <v>1</v>
      </c>
      <c r="AG35" s="103">
        <v>1</v>
      </c>
      <c r="AH35" s="103">
        <v>0</v>
      </c>
      <c r="AI35" s="103">
        <v>0</v>
      </c>
      <c r="AJ35" s="103">
        <v>0</v>
      </c>
    </row>
    <row r="36" spans="1:36" x14ac:dyDescent="0.15">
      <c r="A36" s="182" t="s">
        <v>227</v>
      </c>
      <c r="B36" s="103">
        <v>0</v>
      </c>
      <c r="C36" s="103">
        <v>0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0</v>
      </c>
      <c r="T36" s="103">
        <v>0</v>
      </c>
      <c r="U36" s="103">
        <v>0</v>
      </c>
      <c r="V36" s="103">
        <v>0</v>
      </c>
      <c r="W36" s="103">
        <v>0</v>
      </c>
      <c r="X36" s="103">
        <v>0</v>
      </c>
      <c r="Y36" s="103">
        <v>0</v>
      </c>
      <c r="Z36" s="103"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0</v>
      </c>
    </row>
    <row r="37" spans="1:36" x14ac:dyDescent="0.15">
      <c r="A37" s="182" t="s">
        <v>228</v>
      </c>
      <c r="B37" s="103">
        <v>0</v>
      </c>
      <c r="C37" s="103">
        <v>0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20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4" t="s">
        <v>232</v>
      </c>
    </row>
    <row r="2" spans="1:3" x14ac:dyDescent="0.15">
      <c r="A2">
        <v>1</v>
      </c>
      <c r="B2" s="184" t="s">
        <v>193</v>
      </c>
      <c r="C2">
        <v>0</v>
      </c>
    </row>
    <row r="3" spans="1:3" x14ac:dyDescent="0.15">
      <c r="A3">
        <v>2</v>
      </c>
      <c r="B3" s="184" t="s">
        <v>194</v>
      </c>
      <c r="C3">
        <v>0</v>
      </c>
    </row>
    <row r="4" spans="1:3" x14ac:dyDescent="0.15">
      <c r="A4">
        <v>3</v>
      </c>
      <c r="B4" s="184" t="s">
        <v>195</v>
      </c>
      <c r="C4">
        <v>0</v>
      </c>
    </row>
    <row r="5" spans="1:3" x14ac:dyDescent="0.15">
      <c r="A5">
        <v>4</v>
      </c>
      <c r="B5" s="184" t="s">
        <v>196</v>
      </c>
      <c r="C5">
        <v>0</v>
      </c>
    </row>
    <row r="6" spans="1:3" x14ac:dyDescent="0.15">
      <c r="A6">
        <v>5</v>
      </c>
      <c r="B6" s="184" t="s">
        <v>197</v>
      </c>
      <c r="C6">
        <v>0</v>
      </c>
    </row>
    <row r="7" spans="1:3" x14ac:dyDescent="0.15">
      <c r="A7">
        <v>6</v>
      </c>
      <c r="B7" s="184" t="s">
        <v>198</v>
      </c>
      <c r="C7">
        <v>0</v>
      </c>
    </row>
    <row r="8" spans="1:3" x14ac:dyDescent="0.15">
      <c r="A8">
        <v>7</v>
      </c>
      <c r="B8" s="184" t="s">
        <v>199</v>
      </c>
      <c r="C8">
        <v>0</v>
      </c>
    </row>
    <row r="9" spans="1:3" x14ac:dyDescent="0.15">
      <c r="A9">
        <v>8</v>
      </c>
      <c r="B9" s="184" t="s">
        <v>200</v>
      </c>
      <c r="C9">
        <v>0</v>
      </c>
    </row>
    <row r="10" spans="1:3" x14ac:dyDescent="0.15">
      <c r="A10">
        <v>9</v>
      </c>
      <c r="B10" s="184" t="s">
        <v>201</v>
      </c>
      <c r="C10">
        <v>0</v>
      </c>
    </row>
    <row r="11" spans="1:3" x14ac:dyDescent="0.15">
      <c r="A11">
        <v>10</v>
      </c>
      <c r="B11" s="184" t="s">
        <v>202</v>
      </c>
      <c r="C11">
        <v>0</v>
      </c>
    </row>
    <row r="12" spans="1:3" x14ac:dyDescent="0.15">
      <c r="A12">
        <v>11</v>
      </c>
      <c r="B12" s="184" t="s">
        <v>203</v>
      </c>
      <c r="C12">
        <v>0</v>
      </c>
    </row>
    <row r="13" spans="1:3" x14ac:dyDescent="0.15">
      <c r="A13">
        <v>12</v>
      </c>
      <c r="B13" s="184" t="s">
        <v>204</v>
      </c>
      <c r="C13">
        <v>0</v>
      </c>
    </row>
    <row r="14" spans="1:3" x14ac:dyDescent="0.15">
      <c r="A14">
        <v>13</v>
      </c>
      <c r="B14" s="184" t="s">
        <v>205</v>
      </c>
      <c r="C14">
        <v>0</v>
      </c>
    </row>
    <row r="15" spans="1:3" x14ac:dyDescent="0.15">
      <c r="A15">
        <v>14</v>
      </c>
      <c r="B15" s="184" t="s">
        <v>206</v>
      </c>
      <c r="C15">
        <v>0</v>
      </c>
    </row>
    <row r="16" spans="1:3" x14ac:dyDescent="0.15">
      <c r="A16">
        <v>15</v>
      </c>
      <c r="B16" s="184" t="s">
        <v>207</v>
      </c>
      <c r="C16">
        <v>0</v>
      </c>
    </row>
    <row r="17" spans="1:3" x14ac:dyDescent="0.15">
      <c r="A17">
        <v>16</v>
      </c>
      <c r="B17" s="184" t="s">
        <v>208</v>
      </c>
      <c r="C17">
        <v>0</v>
      </c>
    </row>
    <row r="18" spans="1:3" x14ac:dyDescent="0.15">
      <c r="A18">
        <v>17</v>
      </c>
      <c r="B18" s="184" t="s">
        <v>209</v>
      </c>
      <c r="C18">
        <v>0</v>
      </c>
    </row>
    <row r="19" spans="1:3" x14ac:dyDescent="0.15">
      <c r="A19">
        <v>18</v>
      </c>
      <c r="B19" s="184" t="s">
        <v>210</v>
      </c>
      <c r="C19">
        <v>0</v>
      </c>
    </row>
    <row r="20" spans="1:3" x14ac:dyDescent="0.15">
      <c r="A20">
        <v>19</v>
      </c>
      <c r="B20" s="184" t="s">
        <v>211</v>
      </c>
      <c r="C20">
        <v>0</v>
      </c>
    </row>
    <row r="21" spans="1:3" x14ac:dyDescent="0.15">
      <c r="A21">
        <v>20</v>
      </c>
      <c r="B21" s="184" t="s">
        <v>212</v>
      </c>
      <c r="C21">
        <v>0</v>
      </c>
    </row>
    <row r="22" spans="1:3" x14ac:dyDescent="0.15">
      <c r="A22">
        <v>21</v>
      </c>
      <c r="B22" s="184" t="s">
        <v>213</v>
      </c>
      <c r="C22">
        <v>0</v>
      </c>
    </row>
    <row r="23" spans="1:3" x14ac:dyDescent="0.15">
      <c r="A23">
        <v>22</v>
      </c>
      <c r="B23" s="184" t="s">
        <v>214</v>
      </c>
      <c r="C23">
        <v>0</v>
      </c>
    </row>
    <row r="24" spans="1:3" x14ac:dyDescent="0.15">
      <c r="A24">
        <v>23</v>
      </c>
      <c r="B24" s="184" t="s">
        <v>215</v>
      </c>
      <c r="C24">
        <v>0</v>
      </c>
    </row>
    <row r="25" spans="1:3" x14ac:dyDescent="0.15">
      <c r="A25">
        <v>24</v>
      </c>
      <c r="B25" s="184" t="s">
        <v>216</v>
      </c>
      <c r="C25">
        <v>0</v>
      </c>
    </row>
    <row r="26" spans="1:3" x14ac:dyDescent="0.15">
      <c r="A26">
        <v>25</v>
      </c>
      <c r="B26" s="184" t="s">
        <v>217</v>
      </c>
      <c r="C26">
        <v>0</v>
      </c>
    </row>
    <row r="27" spans="1:3" x14ac:dyDescent="0.15">
      <c r="A27">
        <v>26</v>
      </c>
      <c r="B27" s="184" t="s">
        <v>218</v>
      </c>
      <c r="C27">
        <v>0</v>
      </c>
    </row>
    <row r="28" spans="1:3" x14ac:dyDescent="0.15">
      <c r="A28">
        <v>27</v>
      </c>
      <c r="B28" s="184" t="s">
        <v>219</v>
      </c>
      <c r="C28">
        <v>0</v>
      </c>
    </row>
    <row r="29" spans="1:3" x14ac:dyDescent="0.15">
      <c r="A29">
        <v>28</v>
      </c>
      <c r="B29" s="184" t="s">
        <v>220</v>
      </c>
      <c r="C29">
        <v>0</v>
      </c>
    </row>
    <row r="30" spans="1:3" x14ac:dyDescent="0.15">
      <c r="A30">
        <v>29</v>
      </c>
      <c r="B30" s="184" t="s">
        <v>221</v>
      </c>
      <c r="C30">
        <v>0</v>
      </c>
    </row>
    <row r="31" spans="1:3" x14ac:dyDescent="0.15">
      <c r="A31">
        <v>30</v>
      </c>
      <c r="B31" s="184" t="s">
        <v>222</v>
      </c>
      <c r="C31">
        <v>0</v>
      </c>
    </row>
    <row r="32" spans="1:3" x14ac:dyDescent="0.15">
      <c r="A32">
        <v>31</v>
      </c>
      <c r="B32" s="184" t="s">
        <v>223</v>
      </c>
      <c r="C32">
        <v>0</v>
      </c>
    </row>
    <row r="33" spans="1:3" x14ac:dyDescent="0.15">
      <c r="A33">
        <v>32</v>
      </c>
      <c r="B33" s="184" t="s">
        <v>224</v>
      </c>
      <c r="C33">
        <v>0</v>
      </c>
    </row>
    <row r="34" spans="1:3" x14ac:dyDescent="0.15">
      <c r="A34">
        <v>33</v>
      </c>
      <c r="B34" s="184" t="s">
        <v>225</v>
      </c>
      <c r="C34">
        <v>0</v>
      </c>
    </row>
    <row r="35" spans="1:3" x14ac:dyDescent="0.15">
      <c r="A35">
        <v>34</v>
      </c>
      <c r="B35" s="184" t="s">
        <v>226</v>
      </c>
      <c r="C35">
        <v>0</v>
      </c>
    </row>
    <row r="36" spans="1:3" x14ac:dyDescent="0.15">
      <c r="A36">
        <v>35</v>
      </c>
      <c r="B36" s="184" t="s">
        <v>227</v>
      </c>
      <c r="C3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6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20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4" t="s">
        <v>232</v>
      </c>
    </row>
    <row r="2" spans="1:3" x14ac:dyDescent="0.15">
      <c r="A2">
        <v>1</v>
      </c>
      <c r="B2" s="185" t="s">
        <v>193</v>
      </c>
      <c r="C2">
        <v>0</v>
      </c>
    </row>
    <row r="3" spans="1:3" x14ac:dyDescent="0.15">
      <c r="A3">
        <v>2</v>
      </c>
      <c r="B3" s="185" t="s">
        <v>194</v>
      </c>
      <c r="C3">
        <v>0</v>
      </c>
    </row>
    <row r="4" spans="1:3" x14ac:dyDescent="0.15">
      <c r="A4">
        <v>3</v>
      </c>
      <c r="B4" s="185" t="s">
        <v>195</v>
      </c>
      <c r="C4">
        <v>0</v>
      </c>
    </row>
    <row r="5" spans="1:3" x14ac:dyDescent="0.15">
      <c r="A5">
        <v>4</v>
      </c>
      <c r="B5" s="185" t="s">
        <v>196</v>
      </c>
      <c r="C5">
        <v>0</v>
      </c>
    </row>
    <row r="6" spans="1:3" x14ac:dyDescent="0.15">
      <c r="A6">
        <v>5</v>
      </c>
      <c r="B6" s="185" t="s">
        <v>197</v>
      </c>
      <c r="C6">
        <v>0</v>
      </c>
    </row>
    <row r="7" spans="1:3" x14ac:dyDescent="0.15">
      <c r="A7">
        <v>6</v>
      </c>
      <c r="B7" s="185" t="s">
        <v>198</v>
      </c>
      <c r="C7">
        <v>0</v>
      </c>
    </row>
    <row r="8" spans="1:3" x14ac:dyDescent="0.15">
      <c r="A8">
        <v>7</v>
      </c>
      <c r="B8" s="185" t="s">
        <v>199</v>
      </c>
      <c r="C8">
        <v>0</v>
      </c>
    </row>
    <row r="9" spans="1:3" x14ac:dyDescent="0.15">
      <c r="A9">
        <v>8</v>
      </c>
      <c r="B9" s="185" t="s">
        <v>200</v>
      </c>
      <c r="C9">
        <v>0</v>
      </c>
    </row>
    <row r="10" spans="1:3" x14ac:dyDescent="0.15">
      <c r="A10">
        <v>9</v>
      </c>
      <c r="B10" s="185" t="s">
        <v>201</v>
      </c>
      <c r="C10">
        <v>0</v>
      </c>
    </row>
    <row r="11" spans="1:3" x14ac:dyDescent="0.15">
      <c r="A11">
        <v>10</v>
      </c>
      <c r="B11" s="185" t="s">
        <v>202</v>
      </c>
      <c r="C11">
        <v>0</v>
      </c>
    </row>
    <row r="12" spans="1:3" x14ac:dyDescent="0.15">
      <c r="A12">
        <v>11</v>
      </c>
      <c r="B12" s="185" t="s">
        <v>203</v>
      </c>
      <c r="C12">
        <v>0</v>
      </c>
    </row>
    <row r="13" spans="1:3" x14ac:dyDescent="0.15">
      <c r="A13">
        <v>12</v>
      </c>
      <c r="B13" s="185" t="s">
        <v>204</v>
      </c>
      <c r="C13">
        <v>0</v>
      </c>
    </row>
    <row r="14" spans="1:3" x14ac:dyDescent="0.15">
      <c r="A14">
        <v>13</v>
      </c>
      <c r="B14" s="185" t="s">
        <v>205</v>
      </c>
      <c r="C14">
        <v>0</v>
      </c>
    </row>
    <row r="15" spans="1:3" x14ac:dyDescent="0.15">
      <c r="A15">
        <v>14</v>
      </c>
      <c r="B15" s="185" t="s">
        <v>206</v>
      </c>
      <c r="C15">
        <v>0</v>
      </c>
    </row>
    <row r="16" spans="1:3" x14ac:dyDescent="0.15">
      <c r="A16">
        <v>15</v>
      </c>
      <c r="B16" s="185" t="s">
        <v>207</v>
      </c>
      <c r="C16">
        <v>0</v>
      </c>
    </row>
    <row r="17" spans="1:3" x14ac:dyDescent="0.15">
      <c r="A17">
        <v>16</v>
      </c>
      <c r="B17" s="185" t="s">
        <v>208</v>
      </c>
      <c r="C17">
        <v>0</v>
      </c>
    </row>
    <row r="18" spans="1:3" x14ac:dyDescent="0.15">
      <c r="A18">
        <v>17</v>
      </c>
      <c r="B18" s="185" t="s">
        <v>209</v>
      </c>
      <c r="C18">
        <v>0</v>
      </c>
    </row>
    <row r="19" spans="1:3" x14ac:dyDescent="0.15">
      <c r="A19">
        <v>18</v>
      </c>
      <c r="B19" s="185" t="s">
        <v>210</v>
      </c>
      <c r="C19">
        <v>0</v>
      </c>
    </row>
    <row r="20" spans="1:3" x14ac:dyDescent="0.15">
      <c r="A20">
        <v>19</v>
      </c>
      <c r="B20" s="185" t="s">
        <v>211</v>
      </c>
      <c r="C20">
        <v>0</v>
      </c>
    </row>
    <row r="21" spans="1:3" x14ac:dyDescent="0.15">
      <c r="A21">
        <v>20</v>
      </c>
      <c r="B21" s="185" t="s">
        <v>212</v>
      </c>
      <c r="C21">
        <v>0</v>
      </c>
    </row>
    <row r="22" spans="1:3" x14ac:dyDescent="0.15">
      <c r="A22">
        <v>21</v>
      </c>
      <c r="B22" s="185" t="s">
        <v>213</v>
      </c>
      <c r="C22">
        <v>0</v>
      </c>
    </row>
    <row r="23" spans="1:3" x14ac:dyDescent="0.15">
      <c r="A23">
        <v>22</v>
      </c>
      <c r="B23" s="185" t="s">
        <v>214</v>
      </c>
      <c r="C23">
        <v>0</v>
      </c>
    </row>
    <row r="24" spans="1:3" x14ac:dyDescent="0.15">
      <c r="A24">
        <v>23</v>
      </c>
      <c r="B24" s="185" t="s">
        <v>215</v>
      </c>
      <c r="C24">
        <v>0</v>
      </c>
    </row>
    <row r="25" spans="1:3" x14ac:dyDescent="0.15">
      <c r="A25">
        <v>24</v>
      </c>
      <c r="B25" s="185" t="s">
        <v>216</v>
      </c>
      <c r="C25">
        <v>0</v>
      </c>
    </row>
    <row r="26" spans="1:3" x14ac:dyDescent="0.15">
      <c r="A26">
        <v>25</v>
      </c>
      <c r="B26" s="185" t="s">
        <v>217</v>
      </c>
      <c r="C26">
        <v>0</v>
      </c>
    </row>
    <row r="27" spans="1:3" x14ac:dyDescent="0.15">
      <c r="A27">
        <v>26</v>
      </c>
      <c r="B27" s="185" t="s">
        <v>218</v>
      </c>
      <c r="C27">
        <v>0</v>
      </c>
    </row>
    <row r="28" spans="1:3" x14ac:dyDescent="0.15">
      <c r="A28">
        <v>27</v>
      </c>
      <c r="B28" s="185" t="s">
        <v>219</v>
      </c>
      <c r="C28">
        <v>0</v>
      </c>
    </row>
    <row r="29" spans="1:3" x14ac:dyDescent="0.15">
      <c r="A29">
        <v>28</v>
      </c>
      <c r="B29" s="185" t="s">
        <v>220</v>
      </c>
      <c r="C29">
        <v>0</v>
      </c>
    </row>
    <row r="30" spans="1:3" x14ac:dyDescent="0.15">
      <c r="A30">
        <v>29</v>
      </c>
      <c r="B30" s="185" t="s">
        <v>221</v>
      </c>
      <c r="C30">
        <v>0</v>
      </c>
    </row>
    <row r="31" spans="1:3" x14ac:dyDescent="0.15">
      <c r="A31">
        <v>30</v>
      </c>
      <c r="B31" s="185" t="s">
        <v>222</v>
      </c>
      <c r="C31">
        <v>0</v>
      </c>
    </row>
    <row r="32" spans="1:3" x14ac:dyDescent="0.15">
      <c r="A32">
        <v>31</v>
      </c>
      <c r="B32" s="185" t="s">
        <v>223</v>
      </c>
      <c r="C32">
        <v>0</v>
      </c>
    </row>
    <row r="33" spans="1:3" x14ac:dyDescent="0.15">
      <c r="A33">
        <v>32</v>
      </c>
      <c r="B33" s="185" t="s">
        <v>224</v>
      </c>
      <c r="C33">
        <v>0</v>
      </c>
    </row>
    <row r="34" spans="1:3" x14ac:dyDescent="0.15">
      <c r="A34">
        <v>33</v>
      </c>
      <c r="B34" s="185" t="s">
        <v>225</v>
      </c>
      <c r="C34">
        <v>0</v>
      </c>
    </row>
    <row r="35" spans="1:3" x14ac:dyDescent="0.15">
      <c r="A35">
        <v>34</v>
      </c>
      <c r="B35" s="185" t="s">
        <v>226</v>
      </c>
      <c r="C35">
        <v>0</v>
      </c>
    </row>
    <row r="36" spans="1:3" x14ac:dyDescent="0.15">
      <c r="A36">
        <v>35</v>
      </c>
      <c r="B36" s="185" t="s">
        <v>227</v>
      </c>
      <c r="C3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8"/>
    <col min="2" max="2" width="41.83203125" style="78" bestFit="1" customWidth="1"/>
    <col min="3" max="3" width="9.33203125" style="78" bestFit="1" customWidth="1"/>
    <col min="4" max="4" width="13" style="78" bestFit="1" customWidth="1"/>
    <col min="5" max="6" width="9.33203125" style="78" bestFit="1" customWidth="1"/>
    <col min="7" max="7" width="9.33203125" style="94" bestFit="1" customWidth="1"/>
    <col min="8" max="8" width="9.33203125" style="78" bestFit="1" customWidth="1"/>
    <col min="9" max="9" width="11" style="78" customWidth="1"/>
    <col min="10" max="10" width="8.83203125" style="78"/>
    <col min="15" max="16384" width="8.83203125" style="7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39">
        <v>1</v>
      </c>
      <c r="B2" s="139" t="s">
        <v>193</v>
      </c>
      <c r="C2" s="8">
        <v>3.989112377166748</v>
      </c>
      <c r="D2" s="9">
        <v>4.1745409369468689E-2</v>
      </c>
      <c r="E2" s="9">
        <v>0.93000000715255737</v>
      </c>
      <c r="F2" s="9">
        <v>5.5</v>
      </c>
      <c r="G2" s="9">
        <v>0.25005081295967102</v>
      </c>
      <c r="H2" s="9">
        <v>0.16909091174602509</v>
      </c>
      <c r="I2">
        <v>0</v>
      </c>
      <c r="J2"/>
    </row>
    <row r="3" spans="1:10" ht="15" customHeight="1" x14ac:dyDescent="0.15">
      <c r="A3" s="140">
        <v>2</v>
      </c>
      <c r="B3" s="140" t="s">
        <v>194</v>
      </c>
      <c r="C3" s="8">
        <v>4.079561710357666</v>
      </c>
      <c r="D3" s="9">
        <v>0.26600000262260437</v>
      </c>
      <c r="E3" s="9">
        <v>0.25</v>
      </c>
      <c r="F3" s="9">
        <v>0.80000001192092896</v>
      </c>
      <c r="G3" s="9">
        <v>1.7452146857976913E-2</v>
      </c>
      <c r="H3" s="9">
        <v>0.3125</v>
      </c>
      <c r="I3">
        <v>0</v>
      </c>
      <c r="J3"/>
    </row>
    <row r="4" spans="1:10" ht="15" customHeight="1" x14ac:dyDescent="0.15">
      <c r="A4" s="141">
        <v>3</v>
      </c>
      <c r="B4" s="141" t="s">
        <v>195</v>
      </c>
      <c r="C4" s="8">
        <v>2.7436678409576416</v>
      </c>
      <c r="D4" s="9">
        <v>1.0216000080108643</v>
      </c>
      <c r="E4" s="9">
        <v>1.1200000047683716</v>
      </c>
      <c r="F4" s="9">
        <v>14</v>
      </c>
      <c r="G4" s="9">
        <v>8.74924436211586E-2</v>
      </c>
      <c r="H4" s="9">
        <v>7.9999998211860657E-2</v>
      </c>
      <c r="I4">
        <v>0</v>
      </c>
      <c r="J4"/>
    </row>
    <row r="5" spans="1:10" ht="15" customHeight="1" x14ac:dyDescent="0.15">
      <c r="A5" s="142">
        <v>4</v>
      </c>
      <c r="B5" s="142" t="s">
        <v>196</v>
      </c>
      <c r="C5" s="8">
        <v>3.4549827575683594</v>
      </c>
      <c r="D5" s="9">
        <v>0.47279998660087585</v>
      </c>
      <c r="E5" s="9">
        <v>0.7149999737739563</v>
      </c>
      <c r="F5" s="9">
        <v>7.5</v>
      </c>
      <c r="G5" s="9">
        <v>0.96211594343185425</v>
      </c>
      <c r="H5" s="9">
        <v>9.533333033323288E-2</v>
      </c>
      <c r="I5">
        <v>0</v>
      </c>
      <c r="J5"/>
    </row>
    <row r="6" spans="1:10" ht="15" customHeight="1" x14ac:dyDescent="0.15">
      <c r="A6" s="143">
        <v>5</v>
      </c>
      <c r="B6" s="143" t="s">
        <v>197</v>
      </c>
      <c r="C6" s="8">
        <v>3.7730884552001953</v>
      </c>
      <c r="D6" s="9">
        <v>1.0060000419616699</v>
      </c>
      <c r="E6" s="9">
        <v>0.7850000262260437</v>
      </c>
      <c r="F6" s="9">
        <v>2.4360001087188721</v>
      </c>
      <c r="G6" s="9">
        <v>0.41801971197128296</v>
      </c>
      <c r="H6" s="9">
        <v>0.32224959135055542</v>
      </c>
      <c r="I6">
        <v>0</v>
      </c>
      <c r="J6"/>
    </row>
    <row r="7" spans="1:10" ht="15" customHeight="1" x14ac:dyDescent="0.15">
      <c r="A7" s="144">
        <v>6</v>
      </c>
      <c r="B7" s="144" t="s">
        <v>198</v>
      </c>
      <c r="C7" s="8">
        <v>3.7727134227752686</v>
      </c>
      <c r="D7" s="9">
        <v>0.55000001192092896</v>
      </c>
      <c r="E7" s="9">
        <v>0.60699999332427979</v>
      </c>
      <c r="F7" s="9">
        <v>2.5</v>
      </c>
      <c r="G7" s="9">
        <v>0.99049931764602661</v>
      </c>
      <c r="H7" s="9">
        <v>0.24279999732971191</v>
      </c>
      <c r="I7">
        <v>0</v>
      </c>
      <c r="J7"/>
    </row>
    <row r="8" spans="1:10" ht="15" customHeight="1" x14ac:dyDescent="0.15">
      <c r="A8" s="145">
        <v>7</v>
      </c>
      <c r="B8" s="145" t="s">
        <v>199</v>
      </c>
      <c r="C8" s="8">
        <v>3.3712344169616699</v>
      </c>
      <c r="D8" s="9">
        <v>0.50400000810623169</v>
      </c>
      <c r="E8" s="9">
        <v>0.73299998044967651</v>
      </c>
      <c r="F8" s="9">
        <v>7.4829998016357422</v>
      </c>
      <c r="G8" s="9">
        <v>0.71194714307785034</v>
      </c>
      <c r="H8" s="9">
        <v>9.7955368459224701E-2</v>
      </c>
      <c r="I8">
        <v>0</v>
      </c>
      <c r="J8"/>
    </row>
    <row r="9" spans="1:10" ht="15" customHeight="1" x14ac:dyDescent="0.15">
      <c r="A9" s="146">
        <v>8</v>
      </c>
      <c r="B9" s="146" t="s">
        <v>200</v>
      </c>
      <c r="C9" s="8">
        <v>3.8163228034973145</v>
      </c>
      <c r="D9" s="9">
        <v>0.57239997386932373</v>
      </c>
      <c r="E9" s="9">
        <v>0.88300001621246338</v>
      </c>
      <c r="F9" s="9">
        <v>7</v>
      </c>
      <c r="G9" s="9">
        <v>4.0892116725444794E-2</v>
      </c>
      <c r="H9" s="9">
        <v>0.12614285945892334</v>
      </c>
      <c r="I9">
        <v>0</v>
      </c>
      <c r="J9"/>
    </row>
    <row r="10" spans="1:10" ht="15" customHeight="1" x14ac:dyDescent="0.15">
      <c r="A10" s="147">
        <v>9</v>
      </c>
      <c r="B10" s="147" t="s">
        <v>201</v>
      </c>
      <c r="C10" s="8">
        <v>3.1850855350494385</v>
      </c>
      <c r="D10" s="9">
        <v>2.7000000476837158</v>
      </c>
      <c r="E10" s="9">
        <v>1.2000000476837158</v>
      </c>
      <c r="F10" s="9">
        <v>9.2569999694824219</v>
      </c>
      <c r="G10" s="9">
        <v>0.83999913930892944</v>
      </c>
      <c r="H10" s="9">
        <v>0.1296316385269165</v>
      </c>
      <c r="I10">
        <v>0</v>
      </c>
      <c r="J10"/>
    </row>
    <row r="11" spans="1:10" ht="15" customHeight="1" x14ac:dyDescent="0.15">
      <c r="A11" s="148">
        <v>10</v>
      </c>
      <c r="B11" s="148" t="s">
        <v>202</v>
      </c>
      <c r="C11" s="8">
        <v>3.6969246864318848</v>
      </c>
      <c r="D11" s="9">
        <v>2.4700000882148743E-2</v>
      </c>
      <c r="E11" s="9">
        <v>0.9779999852180481</v>
      </c>
      <c r="F11" s="9">
        <v>10.274999618530273</v>
      </c>
      <c r="G11" s="9">
        <v>9.5084697008132935E-2</v>
      </c>
      <c r="H11" s="9">
        <v>9.518248587846756E-2</v>
      </c>
      <c r="I11">
        <v>0</v>
      </c>
      <c r="J11"/>
    </row>
    <row r="12" spans="1:10" ht="15" customHeight="1" x14ac:dyDescent="0.15">
      <c r="A12" s="149">
        <v>11</v>
      </c>
      <c r="B12" s="149" t="s">
        <v>203</v>
      </c>
      <c r="C12" s="8">
        <v>2.6637372970581055</v>
      </c>
      <c r="D12" s="9">
        <v>0.74000000953674316</v>
      </c>
      <c r="E12" s="9">
        <v>2</v>
      </c>
      <c r="F12" s="9">
        <v>8.366999626159668</v>
      </c>
      <c r="G12" s="9">
        <v>0.97946852445602417</v>
      </c>
      <c r="H12" s="9">
        <v>0.23903430998325348</v>
      </c>
      <c r="I12">
        <v>0</v>
      </c>
      <c r="J12"/>
    </row>
    <row r="13" spans="1:10" ht="15" customHeight="1" x14ac:dyDescent="0.15">
      <c r="A13" s="150">
        <v>12</v>
      </c>
      <c r="B13" s="150" t="s">
        <v>204</v>
      </c>
      <c r="C13" s="8">
        <v>2.004281759262085</v>
      </c>
      <c r="D13" s="9">
        <v>2.7100000381469727</v>
      </c>
      <c r="E13" s="9">
        <v>1.0900000333786011</v>
      </c>
      <c r="F13" s="9">
        <v>4.2729997634887695</v>
      </c>
      <c r="G13" s="9">
        <v>0.75180894136428833</v>
      </c>
      <c r="H13" s="9">
        <v>0.25509011745452881</v>
      </c>
      <c r="I13">
        <v>0</v>
      </c>
      <c r="J13"/>
    </row>
    <row r="14" spans="1:10" ht="15" customHeight="1" x14ac:dyDescent="0.15">
      <c r="A14" s="151">
        <v>13</v>
      </c>
      <c r="B14" s="151" t="s">
        <v>205</v>
      </c>
      <c r="C14" s="8">
        <v>3.0610802173614502</v>
      </c>
      <c r="D14" s="9">
        <v>0.56000000238418579</v>
      </c>
      <c r="E14" s="9">
        <v>1.2699999809265137</v>
      </c>
      <c r="F14" s="9">
        <v>11.600000381469727</v>
      </c>
      <c r="G14" s="9">
        <v>0.63739752769470215</v>
      </c>
      <c r="H14" s="9">
        <v>0.10948275029659271</v>
      </c>
      <c r="I14">
        <v>0</v>
      </c>
      <c r="J14"/>
    </row>
    <row r="15" spans="1:10" ht="15" customHeight="1" x14ac:dyDescent="0.15">
      <c r="A15" s="152">
        <v>14</v>
      </c>
      <c r="B15" s="152" t="s">
        <v>206</v>
      </c>
      <c r="C15" s="8">
        <v>3.3711683750152588</v>
      </c>
      <c r="D15" s="9">
        <v>0.80000001192092896</v>
      </c>
      <c r="E15" s="9">
        <v>1.3799999952316284</v>
      </c>
      <c r="F15" s="9">
        <v>12.199999809265137</v>
      </c>
      <c r="G15" s="9">
        <v>0.49122342467308044</v>
      </c>
      <c r="H15" s="9">
        <v>0.11311475187540054</v>
      </c>
      <c r="I15">
        <v>0</v>
      </c>
      <c r="J15"/>
    </row>
    <row r="16" spans="1:10" ht="15" customHeight="1" x14ac:dyDescent="0.15">
      <c r="A16" s="153">
        <v>15</v>
      </c>
      <c r="B16" s="153" t="s">
        <v>207</v>
      </c>
      <c r="C16" s="8">
        <v>2.007493257522583</v>
      </c>
      <c r="D16" s="9">
        <v>0.40000000596046448</v>
      </c>
      <c r="E16" s="9">
        <v>4.0999999046325684</v>
      </c>
      <c r="F16" s="9">
        <v>12.5</v>
      </c>
      <c r="G16" s="9">
        <v>0.95564430952072144</v>
      </c>
      <c r="H16" s="9">
        <v>0.32799997925758362</v>
      </c>
      <c r="I16">
        <v>0</v>
      </c>
      <c r="J16"/>
    </row>
    <row r="17" spans="1:10" ht="15" customHeight="1" x14ac:dyDescent="0.15">
      <c r="A17" s="154">
        <v>16</v>
      </c>
      <c r="B17" s="154" t="s">
        <v>208</v>
      </c>
      <c r="C17" s="8">
        <v>3.7156136035919189</v>
      </c>
      <c r="D17" s="9">
        <v>3.4000001847743988E-2</v>
      </c>
      <c r="E17" s="9">
        <v>0.8399999737739563</v>
      </c>
      <c r="F17" s="9">
        <v>7.4000000953674316</v>
      </c>
      <c r="G17" s="9">
        <v>0.31343749165534973</v>
      </c>
      <c r="H17" s="9">
        <v>0.11351350694894791</v>
      </c>
      <c r="I17">
        <v>0</v>
      </c>
      <c r="J17"/>
    </row>
    <row r="18" spans="1:10" ht="15" customHeight="1" x14ac:dyDescent="0.15">
      <c r="A18" s="155">
        <v>17</v>
      </c>
      <c r="B18" s="155" t="s">
        <v>209</v>
      </c>
      <c r="C18" s="8">
        <v>2.7408280372619629</v>
      </c>
      <c r="D18" s="9">
        <v>0.48100000619888306</v>
      </c>
      <c r="E18" s="9">
        <v>1.7000000476837158</v>
      </c>
      <c r="F18" s="9">
        <v>20</v>
      </c>
      <c r="G18" s="9">
        <v>0.90986156463623047</v>
      </c>
      <c r="H18" s="9">
        <v>8.5000000894069672E-2</v>
      </c>
      <c r="I18">
        <v>0</v>
      </c>
      <c r="J18"/>
    </row>
    <row r="19" spans="1:10" ht="15" customHeight="1" x14ac:dyDescent="0.15">
      <c r="A19" s="156">
        <v>18</v>
      </c>
      <c r="B19" s="156" t="s">
        <v>210</v>
      </c>
      <c r="C19" s="8">
        <v>3.8385097980499268</v>
      </c>
      <c r="D19" s="9">
        <v>0.41809999942779541</v>
      </c>
      <c r="E19" s="9">
        <v>0.37000000476837158</v>
      </c>
      <c r="F19" s="9">
        <v>5.3499999046325684</v>
      </c>
      <c r="G19" s="9">
        <v>5.9379357844591141E-2</v>
      </c>
      <c r="H19" s="9">
        <v>6.9158881902694702E-2</v>
      </c>
      <c r="I19">
        <v>0</v>
      </c>
      <c r="J19"/>
    </row>
    <row r="20" spans="1:10" ht="15" customHeight="1" x14ac:dyDescent="0.15">
      <c r="A20" s="157">
        <v>19</v>
      </c>
      <c r="B20" s="157" t="s">
        <v>211</v>
      </c>
      <c r="C20" s="8">
        <v>3.7962207794189453</v>
      </c>
      <c r="D20" s="9">
        <v>2.5800000876188278E-2</v>
      </c>
      <c r="E20" s="9">
        <v>0.56199997663497925</v>
      </c>
      <c r="F20" s="9">
        <v>3.4709999561309814</v>
      </c>
      <c r="G20" s="9">
        <v>7.9190194606781006E-2</v>
      </c>
      <c r="H20" s="9">
        <v>0.16191299259662628</v>
      </c>
      <c r="I20">
        <v>0</v>
      </c>
      <c r="J20"/>
    </row>
    <row r="21" spans="1:10" ht="15" customHeight="1" x14ac:dyDescent="0.15">
      <c r="A21" s="158">
        <v>20</v>
      </c>
      <c r="B21" s="158" t="s">
        <v>212</v>
      </c>
      <c r="C21" s="8">
        <v>3.1205649375915527</v>
      </c>
      <c r="D21" s="9">
        <v>0.42719998955726624</v>
      </c>
      <c r="E21" s="9">
        <v>2.6480000019073486</v>
      </c>
      <c r="F21" s="9">
        <v>24.25</v>
      </c>
      <c r="G21" s="9">
        <v>0.53348457813262939</v>
      </c>
      <c r="H21" s="9">
        <v>0.10919587314128876</v>
      </c>
      <c r="I21">
        <v>0</v>
      </c>
      <c r="J21"/>
    </row>
    <row r="22" spans="1:10" ht="15" customHeight="1" x14ac:dyDescent="0.15">
      <c r="A22" s="159">
        <v>21</v>
      </c>
      <c r="B22" s="159" t="s">
        <v>213</v>
      </c>
      <c r="C22" s="8">
        <v>3.9275741577148438</v>
      </c>
      <c r="D22" s="9">
        <v>7.9999998211860657E-2</v>
      </c>
      <c r="E22" s="9">
        <v>1.1000000238418579</v>
      </c>
      <c r="F22" s="9">
        <v>11.399999618530273</v>
      </c>
      <c r="G22" s="9">
        <v>0.66711598634719849</v>
      </c>
      <c r="H22" s="9">
        <v>9.6491232514381409E-2</v>
      </c>
      <c r="I22">
        <v>0</v>
      </c>
      <c r="J22"/>
    </row>
    <row r="23" spans="1:10" ht="15" customHeight="1" x14ac:dyDescent="0.15">
      <c r="A23" s="160">
        <v>22</v>
      </c>
      <c r="B23" s="160" t="s">
        <v>214</v>
      </c>
      <c r="C23" s="8">
        <v>2.8599331378936768</v>
      </c>
      <c r="D23" s="9">
        <v>0.19810000061988831</v>
      </c>
      <c r="E23" s="9">
        <v>1.2699999809265137</v>
      </c>
      <c r="F23" s="9">
        <v>18</v>
      </c>
      <c r="G23" s="9">
        <v>0.81463861465454102</v>
      </c>
      <c r="H23" s="9">
        <v>7.0555552840232849E-2</v>
      </c>
      <c r="I23">
        <v>0</v>
      </c>
      <c r="J23"/>
    </row>
    <row r="24" spans="1:10" ht="15" customHeight="1" x14ac:dyDescent="0.15">
      <c r="A24" s="161">
        <v>23</v>
      </c>
      <c r="B24" s="161" t="s">
        <v>215</v>
      </c>
      <c r="C24" s="8">
        <v>2.558870792388916</v>
      </c>
      <c r="D24" s="9">
        <v>14.362700462341309</v>
      </c>
      <c r="E24" s="9">
        <v>3.1630001068115234</v>
      </c>
      <c r="F24" s="9">
        <v>10.199999809265137</v>
      </c>
      <c r="G24" s="9">
        <v>0.16875481605529785</v>
      </c>
      <c r="H24" s="9">
        <v>0.31009805202484131</v>
      </c>
      <c r="I24">
        <v>0</v>
      </c>
      <c r="J24"/>
    </row>
    <row r="25" spans="1:10" ht="15" customHeight="1" x14ac:dyDescent="0.15">
      <c r="A25" s="162">
        <v>24</v>
      </c>
      <c r="B25" s="162" t="s">
        <v>216</v>
      </c>
      <c r="C25" s="8">
        <v>2.4997525215148926</v>
      </c>
      <c r="D25" s="9">
        <v>1.1150000095367432</v>
      </c>
      <c r="E25" s="9">
        <v>1.2280000448226929</v>
      </c>
      <c r="F25" s="9">
        <v>4.1719999313354492</v>
      </c>
      <c r="G25" s="9">
        <v>0.82049643993377686</v>
      </c>
      <c r="H25" s="9">
        <v>0.2943432629108429</v>
      </c>
      <c r="I25">
        <v>0</v>
      </c>
      <c r="J25"/>
    </row>
    <row r="26" spans="1:10" ht="15" customHeight="1" x14ac:dyDescent="0.15">
      <c r="A26" s="163">
        <v>25</v>
      </c>
      <c r="B26" s="163" t="s">
        <v>217</v>
      </c>
      <c r="C26" s="8">
        <v>2.7979469299316406</v>
      </c>
      <c r="D26" s="9">
        <v>2.1208999156951904</v>
      </c>
      <c r="E26" s="9">
        <v>4.0100002288818359</v>
      </c>
      <c r="F26" s="9">
        <v>14.859999656677246</v>
      </c>
      <c r="G26" s="9">
        <v>0.67683452367782593</v>
      </c>
      <c r="H26" s="9">
        <v>0.26985198259353638</v>
      </c>
      <c r="I26">
        <v>0</v>
      </c>
      <c r="J26"/>
    </row>
    <row r="27" spans="1:10" ht="15" customHeight="1" x14ac:dyDescent="0.15">
      <c r="A27" s="164">
        <v>26</v>
      </c>
      <c r="B27" s="164" t="s">
        <v>218</v>
      </c>
      <c r="C27" s="8">
        <v>3.2500584125518799</v>
      </c>
      <c r="D27" s="9">
        <v>2.4500000476837158</v>
      </c>
      <c r="E27" s="9">
        <v>2.2279999256134033</v>
      </c>
      <c r="F27" s="9">
        <v>6.2849998474121094</v>
      </c>
      <c r="G27" s="9">
        <v>0.82676452398300171</v>
      </c>
      <c r="H27" s="9">
        <v>0.3544948399066925</v>
      </c>
      <c r="I27">
        <v>0</v>
      </c>
      <c r="J27"/>
    </row>
    <row r="28" spans="1:10" ht="15" customHeight="1" x14ac:dyDescent="0.15">
      <c r="A28" s="165">
        <v>27</v>
      </c>
      <c r="B28" s="165" t="s">
        <v>219</v>
      </c>
      <c r="C28" s="8">
        <v>2.4582095146179199</v>
      </c>
      <c r="D28" s="9">
        <v>2.9899999499320984E-2</v>
      </c>
      <c r="E28" s="9">
        <v>3.8010001182556152</v>
      </c>
      <c r="F28" s="9">
        <v>14.159999847412109</v>
      </c>
      <c r="G28" s="9">
        <v>0.81564849615097046</v>
      </c>
      <c r="H28" s="9">
        <v>0.26843219995498657</v>
      </c>
      <c r="I28">
        <v>0</v>
      </c>
      <c r="J28"/>
    </row>
    <row r="29" spans="1:10" ht="15" customHeight="1" x14ac:dyDescent="0.15">
      <c r="A29" s="166">
        <v>28</v>
      </c>
      <c r="B29" s="166" t="s">
        <v>220</v>
      </c>
      <c r="C29" s="8">
        <v>2.3454422950744629</v>
      </c>
      <c r="D29" s="9">
        <v>0.58346515893936157</v>
      </c>
      <c r="E29" s="9">
        <v>15.539999961853027</v>
      </c>
      <c r="F29" s="9">
        <v>39</v>
      </c>
      <c r="G29" s="9">
        <v>0.82001888751983643</v>
      </c>
      <c r="H29" s="9">
        <v>0.39846155047416687</v>
      </c>
      <c r="I29">
        <v>0</v>
      </c>
      <c r="J29"/>
    </row>
    <row r="30" spans="1:10" ht="15" customHeight="1" x14ac:dyDescent="0.15">
      <c r="A30" s="167">
        <v>29</v>
      </c>
      <c r="B30" s="167" t="s">
        <v>221</v>
      </c>
      <c r="C30" s="8">
        <v>2.0704476833343506</v>
      </c>
      <c r="D30" s="9">
        <v>9.5</v>
      </c>
      <c r="E30" s="9">
        <v>7.1599998474121094</v>
      </c>
      <c r="F30" s="9">
        <v>23.409999847412109</v>
      </c>
      <c r="G30" s="9">
        <v>0.99148827791213989</v>
      </c>
      <c r="H30" s="9">
        <v>0.30585220456123352</v>
      </c>
      <c r="I30">
        <v>0</v>
      </c>
      <c r="J30"/>
    </row>
    <row r="31" spans="1:10" ht="15" customHeight="1" x14ac:dyDescent="0.15">
      <c r="A31" s="168">
        <v>30</v>
      </c>
      <c r="B31" s="168" t="s">
        <v>222</v>
      </c>
      <c r="C31" s="8">
        <v>2.3577988147735596</v>
      </c>
      <c r="D31" s="9">
        <v>5.8179998397827148</v>
      </c>
      <c r="E31" s="9">
        <v>10.439999580383301</v>
      </c>
      <c r="F31" s="9">
        <v>23.799999237060547</v>
      </c>
      <c r="G31" s="9">
        <v>0.98844105005264282</v>
      </c>
      <c r="H31" s="9">
        <v>0.43865546584129333</v>
      </c>
      <c r="I31">
        <v>0</v>
      </c>
      <c r="J31"/>
    </row>
    <row r="32" spans="1:10" ht="15" customHeight="1" x14ac:dyDescent="0.15">
      <c r="A32" s="196">
        <v>31</v>
      </c>
      <c r="B32" s="196" t="s">
        <v>223</v>
      </c>
      <c r="C32" s="8">
        <v>2.2525925636291504</v>
      </c>
      <c r="D32" s="9">
        <v>16.829999923706055</v>
      </c>
      <c r="E32" s="9">
        <v>2.2409999370574951</v>
      </c>
      <c r="F32" s="9">
        <v>9.6800003051757812</v>
      </c>
      <c r="G32" s="9">
        <v>0.24301740527153015</v>
      </c>
      <c r="H32" s="9">
        <v>0.23150825500488281</v>
      </c>
      <c r="I32">
        <v>0</v>
      </c>
      <c r="J32"/>
    </row>
    <row r="33" spans="1:10" ht="15" customHeight="1" x14ac:dyDescent="0.15">
      <c r="A33" s="197">
        <v>32</v>
      </c>
      <c r="B33" s="197" t="s">
        <v>224</v>
      </c>
      <c r="C33" s="8">
        <v>2.1904761791229248</v>
      </c>
      <c r="D33" s="9">
        <v>13.5</v>
      </c>
      <c r="E33" s="9">
        <v>21.899999618530273</v>
      </c>
      <c r="F33" s="9">
        <v>84.962997436523438</v>
      </c>
      <c r="G33" s="9">
        <v>0.99338614940643311</v>
      </c>
      <c r="H33" s="9">
        <v>0.25775927305221558</v>
      </c>
      <c r="I33">
        <v>0</v>
      </c>
      <c r="J33"/>
    </row>
    <row r="34" spans="1:10" ht="15" customHeight="1" x14ac:dyDescent="0.15">
      <c r="A34" s="198">
        <v>33</v>
      </c>
      <c r="B34" s="198" t="s">
        <v>225</v>
      </c>
      <c r="C34" s="8">
        <v>1</v>
      </c>
      <c r="D34" s="9">
        <v>44.970001220703125</v>
      </c>
      <c r="E34" s="9">
        <v>60.799999237060547</v>
      </c>
      <c r="F34" s="10"/>
      <c r="G34" s="9">
        <v>0.30413377285003662</v>
      </c>
      <c r="H34" s="10"/>
      <c r="I34">
        <v>0</v>
      </c>
      <c r="J34"/>
    </row>
    <row r="35" spans="1:10" ht="15" customHeight="1" x14ac:dyDescent="0.15">
      <c r="A35" s="199">
        <v>34</v>
      </c>
      <c r="B35" s="199" t="s">
        <v>226</v>
      </c>
      <c r="C35" s="8">
        <v>1</v>
      </c>
      <c r="D35" s="9">
        <v>2211</v>
      </c>
      <c r="E35" s="10"/>
      <c r="F35" s="10"/>
      <c r="G35" s="7">
        <v>0.29877546429634094</v>
      </c>
      <c r="H35" s="10"/>
      <c r="I35">
        <v>0</v>
      </c>
      <c r="J35"/>
    </row>
    <row r="36" spans="1:10" ht="15" customHeight="1" x14ac:dyDescent="0.15">
      <c r="A36" s="200">
        <v>35</v>
      </c>
      <c r="B36" s="200" t="s">
        <v>227</v>
      </c>
      <c r="C36" s="8">
        <v>1</v>
      </c>
      <c r="D36" s="9">
        <v>5</v>
      </c>
      <c r="E36" s="10"/>
      <c r="F36" s="10"/>
      <c r="G36" s="7">
        <v>0</v>
      </c>
      <c r="H36" s="10"/>
      <c r="I36">
        <v>0</v>
      </c>
      <c r="J36"/>
    </row>
    <row r="37" spans="1:10" ht="15" customHeight="1" x14ac:dyDescent="0.15">
      <c r="A37" s="201">
        <v>36</v>
      </c>
      <c r="B37" s="201" t="s">
        <v>232</v>
      </c>
      <c r="C37" s="8">
        <v>1</v>
      </c>
      <c r="D37" s="10"/>
      <c r="E37" s="10"/>
      <c r="F37" s="10"/>
      <c r="G37" s="10"/>
      <c r="H37" s="10"/>
      <c r="I37">
        <v>0</v>
      </c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8" bestFit="1" customWidth="1"/>
    <col min="2" max="4" width="9.5" style="78" bestFit="1" customWidth="1"/>
    <col min="5" max="7" width="9" style="78" bestFit="1" customWidth="1"/>
    <col min="8" max="16" width="12.6640625" style="78" bestFit="1" customWidth="1"/>
    <col min="17" max="17" width="12.33203125" style="78" bestFit="1" customWidth="1"/>
    <col min="18" max="18" width="8.83203125" style="78"/>
    <col min="19" max="21" width="9.33203125" style="78" bestFit="1" customWidth="1"/>
    <col min="22" max="23" width="8.83203125" style="78"/>
    <col min="24" max="24" width="9.33203125" style="78" bestFit="1" customWidth="1"/>
    <col min="25" max="27" width="8.83203125" style="78"/>
    <col min="28" max="58" width="9" style="78" bestFit="1" customWidth="1"/>
    <col min="59" max="59" width="12.33203125" style="78" bestFit="1" customWidth="1"/>
    <col min="60" max="60" width="9" style="78" bestFit="1" customWidth="1"/>
    <col min="61" max="61" width="11.33203125" style="78" bestFit="1" customWidth="1"/>
    <col min="62" max="77" width="9" style="78" bestFit="1" customWidth="1"/>
    <col min="78" max="78" width="12.33203125" style="78" bestFit="1" customWidth="1"/>
    <col min="79" max="79" width="9" style="78" bestFit="1" customWidth="1"/>
    <col min="80" max="80" width="12.33203125" style="78" bestFit="1" customWidth="1"/>
    <col min="81" max="107" width="9" style="78" bestFit="1" customWidth="1"/>
    <col min="108" max="108" width="11.33203125" style="78" bestFit="1" customWidth="1"/>
    <col min="109" max="124" width="9" style="78" bestFit="1" customWidth="1"/>
    <col min="125" max="125" width="10.33203125" style="78" bestFit="1" customWidth="1"/>
    <col min="126" max="129" width="9.33203125" style="78" bestFit="1" customWidth="1"/>
    <col min="130" max="130" width="9" style="78" bestFit="1" customWidth="1"/>
    <col min="131" max="134" width="9.33203125" style="78" bestFit="1" customWidth="1"/>
    <col min="135" max="165" width="9" style="78" bestFit="1" customWidth="1"/>
    <col min="166" max="166" width="12.33203125" style="78" bestFit="1" customWidth="1"/>
    <col min="167" max="170" width="9" style="78" bestFit="1" customWidth="1"/>
    <col min="171" max="176" width="8.83203125" style="78"/>
    <col min="177" max="177" width="13.83203125" style="78" bestFit="1" customWidth="1"/>
    <col min="178" max="16384" width="8.83203125" style="7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234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215</v>
      </c>
      <c r="AB1" t="s">
        <v>216</v>
      </c>
      <c r="AC1" t="s">
        <v>217</v>
      </c>
      <c r="AD1" t="s">
        <v>218</v>
      </c>
      <c r="AE1" t="s">
        <v>219</v>
      </c>
      <c r="AF1" t="s">
        <v>220</v>
      </c>
      <c r="AG1" t="s">
        <v>221</v>
      </c>
      <c r="AH1" t="s">
        <v>222</v>
      </c>
      <c r="AI1" t="s">
        <v>223</v>
      </c>
      <c r="AJ1" t="s">
        <v>224</v>
      </c>
      <c r="AK1" t="s">
        <v>225</v>
      </c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0.93000000715255737</v>
      </c>
      <c r="C2">
        <v>0.69745272397994995</v>
      </c>
      <c r="D2"/>
      <c r="E2"/>
      <c r="F2" s="138">
        <v>0.23254725337028503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0.25</v>
      </c>
      <c r="C3">
        <v>0.24563696980476379</v>
      </c>
      <c r="D3"/>
      <c r="E3" s="17">
        <v>3.4533112775534391E-3</v>
      </c>
      <c r="F3" s="12">
        <v>9.097253205254674E-4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1.1200000047683716</v>
      </c>
      <c r="C4">
        <v>1.0220084190368652</v>
      </c>
      <c r="D4"/>
      <c r="E4" s="13">
        <v>4.2710050940513611E-2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 s="209">
        <v>5.5281482636928558E-2</v>
      </c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0.7149999737739563</v>
      </c>
      <c r="C5">
        <v>2.7087099850177765E-2</v>
      </c>
      <c r="D5"/>
      <c r="E5"/>
      <c r="F5" s="23">
        <v>1.9177500158548355E-2</v>
      </c>
      <c r="G5"/>
      <c r="H5"/>
      <c r="I5" s="215">
        <v>0.16114850342273712</v>
      </c>
      <c r="J5" s="210">
        <v>8.75554159283638E-2</v>
      </c>
      <c r="K5"/>
      <c r="L5"/>
      <c r="M5"/>
      <c r="N5"/>
      <c r="O5"/>
      <c r="P5"/>
      <c r="Q5" s="224">
        <v>0.4123866856098175</v>
      </c>
      <c r="R5"/>
      <c r="S5"/>
      <c r="T5"/>
      <c r="U5"/>
      <c r="V5"/>
      <c r="W5" s="15">
        <v>7.6447459869086742E-3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0.7850000262260437</v>
      </c>
      <c r="C6">
        <v>0.45685455203056335</v>
      </c>
      <c r="D6"/>
      <c r="E6"/>
      <c r="F6" s="206">
        <v>2.5600429624319077E-2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232">
        <v>0.30254504084587097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0.60699999332427979</v>
      </c>
      <c r="C7">
        <v>5.7669142261147499E-3</v>
      </c>
      <c r="D7"/>
      <c r="E7"/>
      <c r="F7"/>
      <c r="G7"/>
      <c r="H7"/>
      <c r="I7"/>
      <c r="J7"/>
      <c r="K7"/>
      <c r="L7" s="216">
        <v>0.18212725222110748</v>
      </c>
      <c r="M7"/>
      <c r="N7"/>
      <c r="O7"/>
      <c r="P7"/>
      <c r="Q7"/>
      <c r="R7"/>
      <c r="S7"/>
      <c r="T7"/>
      <c r="U7"/>
      <c r="V7" s="227">
        <v>0.41910579800605774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0.73299998044967651</v>
      </c>
      <c r="C8">
        <v>0.21114273369312286</v>
      </c>
      <c r="D8"/>
      <c r="E8" s="65">
        <v>3.6907263100147247E-2</v>
      </c>
      <c r="F8"/>
      <c r="G8"/>
      <c r="H8"/>
      <c r="I8"/>
      <c r="J8"/>
      <c r="K8"/>
      <c r="L8" s="228">
        <v>0.48494997620582581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0.88300001621246338</v>
      </c>
      <c r="C9">
        <v>0.84689229726791382</v>
      </c>
      <c r="D9"/>
      <c r="E9" s="62">
        <v>3.6107737571001053E-2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1.2000000476837158</v>
      </c>
      <c r="C10">
        <v>0.19200104475021362</v>
      </c>
      <c r="D10"/>
      <c r="E10"/>
      <c r="F10"/>
      <c r="G10"/>
      <c r="H10"/>
      <c r="I10" s="237">
        <v>0.18157970905303955</v>
      </c>
      <c r="J10" s="230">
        <v>9.8484888672828674E-2</v>
      </c>
      <c r="K10" s="234">
        <v>0.13967005908489227</v>
      </c>
      <c r="L10" s="242">
        <v>0.40958395600318909</v>
      </c>
      <c r="M10"/>
      <c r="N10" s="20">
        <v>2.3022493347525597E-2</v>
      </c>
      <c r="O10"/>
      <c r="P10"/>
      <c r="Q10"/>
      <c r="R10"/>
      <c r="S10"/>
      <c r="T10"/>
      <c r="U10"/>
      <c r="V10"/>
      <c r="W10"/>
      <c r="X10"/>
      <c r="Y10" s="133">
        <v>0.15565788745880127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0.9779999852180481</v>
      </c>
      <c r="C11">
        <v>0.88500714302062988</v>
      </c>
      <c r="D11"/>
      <c r="E11" s="69">
        <v>9.2992827296257019E-2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</v>
      </c>
      <c r="C12">
        <v>4.106295108795166E-2</v>
      </c>
      <c r="D12"/>
      <c r="E12"/>
      <c r="F12"/>
      <c r="G12"/>
      <c r="H12" s="231">
        <v>0.4793325662612915</v>
      </c>
      <c r="I12" s="137">
        <v>6.0059361159801483E-2</v>
      </c>
      <c r="J12" s="219">
        <v>0.20433372259140015</v>
      </c>
      <c r="K12" s="21">
        <v>1.6074527055025101E-2</v>
      </c>
      <c r="L12"/>
      <c r="M12"/>
      <c r="N12" s="18">
        <v>2.4465471506118774E-2</v>
      </c>
      <c r="O12"/>
      <c r="P12"/>
      <c r="Q12" s="235">
        <v>0.52721673250198364</v>
      </c>
      <c r="R12" s="236">
        <v>0.64745461940765381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1.0900000333786011</v>
      </c>
      <c r="C13">
        <v>0.27052825689315796</v>
      </c>
      <c r="D13"/>
      <c r="E13" s="14">
        <v>2.5252499617636204E-3</v>
      </c>
      <c r="F13"/>
      <c r="G13"/>
      <c r="H13"/>
      <c r="I13"/>
      <c r="J13"/>
      <c r="K13" s="245">
        <v>0.47917237877845764</v>
      </c>
      <c r="L13" s="218">
        <v>0.1197604313492775</v>
      </c>
      <c r="M13"/>
      <c r="N13"/>
      <c r="O13"/>
      <c r="P13"/>
      <c r="Q13"/>
      <c r="R13"/>
      <c r="S13"/>
      <c r="T13"/>
      <c r="U13"/>
      <c r="V13" s="239">
        <v>0.2180137038230896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1.2699999809265137</v>
      </c>
      <c r="C14">
        <v>0.46050512790679932</v>
      </c>
      <c r="D14"/>
      <c r="E14"/>
      <c r="F14" s="209">
        <v>6.2370672821998596E-2</v>
      </c>
      <c r="G14"/>
      <c r="H14"/>
      <c r="I14"/>
      <c r="J14"/>
      <c r="K14"/>
      <c r="L14" s="223">
        <v>0.34343999624252319</v>
      </c>
      <c r="M14"/>
      <c r="N14"/>
      <c r="O14"/>
      <c r="P14"/>
      <c r="Q14"/>
      <c r="R14"/>
      <c r="S14"/>
      <c r="T14"/>
      <c r="U14"/>
      <c r="V14"/>
      <c r="W14"/>
      <c r="X14"/>
      <c r="Y14"/>
      <c r="Z14" s="226">
        <v>0.40368419885635376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1.3799999952316284</v>
      </c>
      <c r="C15">
        <v>0.70211166143417358</v>
      </c>
      <c r="D15"/>
      <c r="E15"/>
      <c r="F15"/>
      <c r="G15"/>
      <c r="H15"/>
      <c r="I15"/>
      <c r="J15"/>
      <c r="K15" s="12">
        <v>5.465308204293251E-3</v>
      </c>
      <c r="L15"/>
      <c r="M15"/>
      <c r="N15"/>
      <c r="O15"/>
      <c r="P15"/>
      <c r="Q15" s="238">
        <v>0.65013617277145386</v>
      </c>
      <c r="R15"/>
      <c r="S15"/>
      <c r="T15"/>
      <c r="U15"/>
      <c r="V15"/>
      <c r="W15"/>
      <c r="X15"/>
      <c r="Y15"/>
      <c r="Z15" s="16">
        <v>2.2286837920546532E-2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4.0999999046325684</v>
      </c>
      <c r="C16">
        <v>0.18185833096504211</v>
      </c>
      <c r="D16"/>
      <c r="E16"/>
      <c r="F16" s="17">
        <v>5.7547491043806076E-2</v>
      </c>
      <c r="G16"/>
      <c r="H16" s="203">
        <v>0.42564210295677185</v>
      </c>
      <c r="I16"/>
      <c r="J16"/>
      <c r="K16"/>
      <c r="L16"/>
      <c r="M16"/>
      <c r="N16"/>
      <c r="O16"/>
      <c r="P16"/>
      <c r="Q16"/>
      <c r="R16"/>
      <c r="S16"/>
      <c r="T16"/>
      <c r="U16" s="243">
        <v>2.885408878326416</v>
      </c>
      <c r="V16"/>
      <c r="W16" s="22">
        <v>2.349383570253849E-2</v>
      </c>
      <c r="X16"/>
      <c r="Y16"/>
      <c r="Z16" s="225">
        <v>0.52604925632476807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0.8399999737739563</v>
      </c>
      <c r="C17">
        <v>0.57671248912811279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202">
        <v>0.26328748464584351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1.7000000476837158</v>
      </c>
      <c r="C18">
        <v>0.15323534607887268</v>
      </c>
      <c r="D18"/>
      <c r="E18"/>
      <c r="F18" s="22">
        <v>8.8500315323472023E-3</v>
      </c>
      <c r="G18"/>
      <c r="H18"/>
      <c r="I18" s="233">
        <v>0.76444685459136963</v>
      </c>
      <c r="J18" s="232">
        <v>0.65529894828796387</v>
      </c>
      <c r="K18" s="213">
        <v>0.11816881597042084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0.37000000476837158</v>
      </c>
      <c r="C19">
        <v>0.34802964329719543</v>
      </c>
      <c r="D19"/>
      <c r="E19" s="63">
        <v>2.1970363333821297E-2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0.56199997663497925</v>
      </c>
      <c r="C20">
        <v>0.51749509572982788</v>
      </c>
      <c r="D20"/>
      <c r="E20" s="70">
        <v>4.4504884630441666E-2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2.6480000019073486</v>
      </c>
      <c r="C21">
        <v>1.2353328466415405</v>
      </c>
      <c r="D21"/>
      <c r="E21" s="72">
        <v>0.17148132622241974</v>
      </c>
      <c r="F21" s="208">
        <v>6.4022377133369446E-2</v>
      </c>
      <c r="G21"/>
      <c r="H21" s="231">
        <v>0.63247901201248169</v>
      </c>
      <c r="I21"/>
      <c r="J21"/>
      <c r="K21"/>
      <c r="L21" s="212">
        <v>0.10317134112119675</v>
      </c>
      <c r="M21"/>
      <c r="N21"/>
      <c r="O21"/>
      <c r="P21"/>
      <c r="Q21"/>
      <c r="R21"/>
      <c r="S21"/>
      <c r="T21"/>
      <c r="U21"/>
      <c r="V21"/>
      <c r="W21"/>
      <c r="X21"/>
      <c r="Y21" s="21">
        <v>2.1959660574793816E-2</v>
      </c>
      <c r="Z21" s="222">
        <v>0.41955330967903137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1.1000000238418579</v>
      </c>
      <c r="C22">
        <v>0.3661724328994751</v>
      </c>
      <c r="D22"/>
      <c r="E22" s="203">
        <v>0.11482261121273041</v>
      </c>
      <c r="F22" s="204">
        <v>0.19794420897960663</v>
      </c>
      <c r="G22"/>
      <c r="H22" s="205">
        <v>0.31036859750747681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 s="134">
        <v>0.1106921061873436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1.2699999809265137</v>
      </c>
      <c r="C23">
        <v>0.2354089617729187</v>
      </c>
      <c r="D23"/>
      <c r="E23"/>
      <c r="F23" s="211">
        <v>0.21112416684627533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 s="15">
        <v>1.3684133999049664E-2</v>
      </c>
      <c r="X23"/>
      <c r="Y23" s="221">
        <v>0.80978274345397949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3.1630001068115234</v>
      </c>
      <c r="C24">
        <v>2.6292285919189453</v>
      </c>
      <c r="D24"/>
      <c r="E24"/>
      <c r="F24"/>
      <c r="G24"/>
      <c r="H24" s="19">
        <v>5.7581666857004166E-2</v>
      </c>
      <c r="I24" s="21">
        <v>2.3269301280379295E-2</v>
      </c>
      <c r="J24" s="22">
        <v>1.8184300512075424E-2</v>
      </c>
      <c r="K24" s="21">
        <v>2.5209298357367516E-2</v>
      </c>
      <c r="L24" s="62">
        <v>0.13111712038516998</v>
      </c>
      <c r="M24" s="25">
        <v>0.11222056299448013</v>
      </c>
      <c r="N24" s="14">
        <v>3.1672748737037182E-3</v>
      </c>
      <c r="O24"/>
      <c r="P24"/>
      <c r="Q24"/>
      <c r="R24" s="22">
        <v>2.1391062065958977E-2</v>
      </c>
      <c r="S24"/>
      <c r="T24"/>
      <c r="U24"/>
      <c r="V24" s="22">
        <v>1.7607249319553375E-2</v>
      </c>
      <c r="W24" s="11">
        <v>3.8531539030373096E-4</v>
      </c>
      <c r="X24" s="17">
        <v>4.3706100434064865E-2</v>
      </c>
      <c r="Y24"/>
      <c r="Z24"/>
      <c r="AA24"/>
      <c r="AB24"/>
      <c r="AC24"/>
      <c r="AD24" s="24">
        <v>7.9342685639858246E-2</v>
      </c>
      <c r="AE24" s="11">
        <v>5.8956042630597949E-4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1.2280000448226929</v>
      </c>
      <c r="C25">
        <v>0.22043037414550781</v>
      </c>
      <c r="D25"/>
      <c r="E25"/>
      <c r="F25" s="11">
        <v>6.6811783472076058E-4</v>
      </c>
      <c r="G25"/>
      <c r="H25" s="18">
        <v>1.408165879547596E-2</v>
      </c>
      <c r="I25" s="206">
        <v>4.1642002761363983E-2</v>
      </c>
      <c r="J25" s="17">
        <v>1.6987686976790428E-2</v>
      </c>
      <c r="K25"/>
      <c r="L25"/>
      <c r="M25"/>
      <c r="N25" s="14">
        <v>2.9958731029182673E-3</v>
      </c>
      <c r="O25"/>
      <c r="P25"/>
      <c r="Q25"/>
      <c r="R25"/>
      <c r="S25"/>
      <c r="T25"/>
      <c r="U25"/>
      <c r="V25"/>
      <c r="W25" s="14">
        <v>2.6582090649753809E-3</v>
      </c>
      <c r="X25"/>
      <c r="Y25" s="217">
        <v>0.10385030508041382</v>
      </c>
      <c r="Z25" s="220">
        <v>0.13824263215065002</v>
      </c>
      <c r="AA25"/>
      <c r="AB25" s="218">
        <v>0.13392910361289978</v>
      </c>
      <c r="AC25"/>
      <c r="AD25" s="233">
        <v>0.55251407623291016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4.0100002288818359</v>
      </c>
      <c r="C26">
        <v>1.295893669128418</v>
      </c>
      <c r="D26"/>
      <c r="E26"/>
      <c r="F26" s="14">
        <v>5.0177578814327717E-3</v>
      </c>
      <c r="G26"/>
      <c r="H26"/>
      <c r="I26" s="65">
        <v>0.20110836625099182</v>
      </c>
      <c r="J26"/>
      <c r="K26" s="65">
        <v>0.20092101395130157</v>
      </c>
      <c r="L26"/>
      <c r="M26"/>
      <c r="N26" s="22">
        <v>2.3446926847100258E-2</v>
      </c>
      <c r="O26"/>
      <c r="P26"/>
      <c r="Q26"/>
      <c r="R26" s="247">
        <v>1.8966388702392578</v>
      </c>
      <c r="S26"/>
      <c r="T26"/>
      <c r="U26"/>
      <c r="V26" s="64">
        <v>0.25122097134590149</v>
      </c>
      <c r="W26"/>
      <c r="X26"/>
      <c r="Y26" s="16">
        <v>6.5343484282493591E-2</v>
      </c>
      <c r="Z26"/>
      <c r="AA26"/>
      <c r="AB26" s="19">
        <v>7.0409238338470459E-2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2.2279999256134033</v>
      </c>
      <c r="C27">
        <v>0.38596862554550171</v>
      </c>
      <c r="D27"/>
      <c r="E27"/>
      <c r="F27" s="11">
        <v>6.4287346322089434E-4</v>
      </c>
      <c r="G27"/>
      <c r="H27" s="19">
        <v>3.7259258329868317E-2</v>
      </c>
      <c r="I27" s="137">
        <v>6.7201383411884308E-2</v>
      </c>
      <c r="J27" s="20">
        <v>4.3529823422431946E-2</v>
      </c>
      <c r="K27" s="19">
        <v>4.0043815970420837E-2</v>
      </c>
      <c r="L27" s="20">
        <v>4.5791998505592346E-2</v>
      </c>
      <c r="M27" s="65">
        <v>0.11221759021282196</v>
      </c>
      <c r="N27"/>
      <c r="O27"/>
      <c r="P27"/>
      <c r="Q27"/>
      <c r="R27" s="23">
        <v>6.1111781746149063E-2</v>
      </c>
      <c r="S27"/>
      <c r="T27" s="20">
        <v>4.2411770671606064E-2</v>
      </c>
      <c r="U27"/>
      <c r="V27" s="229">
        <v>0.10202261060476303</v>
      </c>
      <c r="W27"/>
      <c r="X27"/>
      <c r="Y27" s="14">
        <v>3.4461428876966238E-3</v>
      </c>
      <c r="Z27" s="12">
        <v>1.0241894982755184E-2</v>
      </c>
      <c r="AA27"/>
      <c r="AB27"/>
      <c r="AC27"/>
      <c r="AD27" s="246">
        <v>1.2761101722717285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3.8010001182556152</v>
      </c>
      <c r="C28">
        <v>0.70072007179260254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207">
        <v>0.87486356496810913</v>
      </c>
      <c r="U28"/>
      <c r="V28" s="214">
        <v>2.2254164218902588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15.539999961853027</v>
      </c>
      <c r="C29">
        <v>2.7969064712524414</v>
      </c>
      <c r="D29"/>
      <c r="E29"/>
      <c r="F29" s="11">
        <v>1.3278418220579624E-2</v>
      </c>
      <c r="G29" s="241">
        <v>1.6678853034973145</v>
      </c>
      <c r="H29" s="64">
        <v>0.96086138486862183</v>
      </c>
      <c r="I29" s="62">
        <v>0.65374618768692017</v>
      </c>
      <c r="J29" s="20">
        <v>0.29260057210922241</v>
      </c>
      <c r="K29"/>
      <c r="L29"/>
      <c r="M29"/>
      <c r="N29"/>
      <c r="O29"/>
      <c r="P29"/>
      <c r="Q29"/>
      <c r="R29"/>
      <c r="S29"/>
      <c r="T29"/>
      <c r="U29" s="102">
        <v>4.4960231781005859</v>
      </c>
      <c r="V29"/>
      <c r="W29"/>
      <c r="X29" s="63">
        <v>0.92280209064483643</v>
      </c>
      <c r="Y29" s="22">
        <v>0.10129371285438538</v>
      </c>
      <c r="Z29" s="244">
        <v>2.1318807601928711</v>
      </c>
      <c r="AA29"/>
      <c r="AB29" s="240">
        <v>1.1517210006713867</v>
      </c>
      <c r="AC29"/>
      <c r="AD29"/>
      <c r="AE29"/>
      <c r="AF29" s="208">
        <v>0.35099998116493225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7.1599998474121094</v>
      </c>
      <c r="C30">
        <v>6.0943927615880966E-2</v>
      </c>
      <c r="D30"/>
      <c r="E30" s="11">
        <v>2.3447985295206308E-3</v>
      </c>
      <c r="F30"/>
      <c r="G30"/>
      <c r="H30" s="11">
        <v>5.7988646440207958E-3</v>
      </c>
      <c r="I30" s="14">
        <v>8.5538290441036224E-3</v>
      </c>
      <c r="J30" s="11">
        <v>2.463056705892086E-3</v>
      </c>
      <c r="K30" s="14">
        <v>1.1045671999454498E-2</v>
      </c>
      <c r="L30"/>
      <c r="M30" s="18">
        <v>8.6588457226753235E-2</v>
      </c>
      <c r="N30" s="11">
        <v>7.2471477324143052E-4</v>
      </c>
      <c r="O30" s="20">
        <v>0.14208045601844788</v>
      </c>
      <c r="P30" s="11">
        <v>4.8757181502878666E-3</v>
      </c>
      <c r="Q30" s="137">
        <v>0.20516997575759888</v>
      </c>
      <c r="R30" s="229">
        <v>0.32886716723442078</v>
      </c>
      <c r="S30" s="11">
        <v>3.6842105910181999E-3</v>
      </c>
      <c r="T30"/>
      <c r="U30" s="206">
        <v>0.23939730226993561</v>
      </c>
      <c r="V30"/>
      <c r="W30"/>
      <c r="X30"/>
      <c r="Y30"/>
      <c r="Z30"/>
      <c r="AA30" s="253">
        <v>4.2990169525146484</v>
      </c>
      <c r="AB30" s="22">
        <v>4.8139575868844986E-2</v>
      </c>
      <c r="AC30"/>
      <c r="AD30" s="14">
        <v>1.8643714487552643E-2</v>
      </c>
      <c r="AE30"/>
      <c r="AF30"/>
      <c r="AG30" s="206">
        <v>0.23409998416900635</v>
      </c>
      <c r="AH30" s="250">
        <v>1.4575619697570801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10.439999580383301</v>
      </c>
      <c r="C31">
        <v>0.12067542970180511</v>
      </c>
      <c r="D31"/>
      <c r="E31"/>
      <c r="F31"/>
      <c r="G31" s="11">
        <v>2.5343319866806269E-3</v>
      </c>
      <c r="H31"/>
      <c r="I31"/>
      <c r="J31"/>
      <c r="K31" s="14">
        <v>2.0852372050285339E-2</v>
      </c>
      <c r="L31"/>
      <c r="M31" s="16">
        <v>0.15388649702072144</v>
      </c>
      <c r="N31" s="14">
        <v>1.1263837106525898E-2</v>
      </c>
      <c r="O31" s="16">
        <v>0.16708114743232727</v>
      </c>
      <c r="P31"/>
      <c r="Q31" s="22">
        <v>6.4200669527053833E-2</v>
      </c>
      <c r="R31" s="17">
        <v>0.15101061761379242</v>
      </c>
      <c r="S31"/>
      <c r="T31" s="14">
        <v>1.2207228690385818E-2</v>
      </c>
      <c r="U31"/>
      <c r="V31"/>
      <c r="W31"/>
      <c r="X31" s="22">
        <v>5.177944153547287E-2</v>
      </c>
      <c r="Y31"/>
      <c r="Z31" s="11">
        <v>6.161332712508738E-4</v>
      </c>
      <c r="AA31" s="223">
        <v>2.8183214664459229</v>
      </c>
      <c r="AB31" s="12">
        <v>4.6381969004869461E-2</v>
      </c>
      <c r="AC31" s="251">
        <v>2.7085402011871338</v>
      </c>
      <c r="AD31" s="15">
        <v>0.11067356169223785</v>
      </c>
      <c r="AE31" s="11">
        <v>9.4602815806865692E-3</v>
      </c>
      <c r="AF31"/>
      <c r="AG31" s="249">
        <v>1.6819146871566772</v>
      </c>
      <c r="AH31" s="73">
        <v>2.3085999488830566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2.2409999370574951</v>
      </c>
      <c r="C32">
        <v>1.6963979005813599</v>
      </c>
      <c r="D32"/>
      <c r="E32" s="11">
        <v>1.2826292077079415E-3</v>
      </c>
      <c r="F32" s="11">
        <v>6.3233287619368639E-6</v>
      </c>
      <c r="G32" s="14">
        <v>3.5043952520936728E-3</v>
      </c>
      <c r="H32" s="21">
        <v>1.93898044526577E-2</v>
      </c>
      <c r="I32"/>
      <c r="J32"/>
      <c r="K32" s="14">
        <v>2.3380995262414217E-3</v>
      </c>
      <c r="L32"/>
      <c r="M32"/>
      <c r="N32"/>
      <c r="O32" s="21">
        <v>1.7290804535150528E-2</v>
      </c>
      <c r="P32"/>
      <c r="Q32" s="62">
        <v>9.1938450932502747E-2</v>
      </c>
      <c r="R32"/>
      <c r="S32"/>
      <c r="T32" s="14">
        <v>3.0012533534318209E-3</v>
      </c>
      <c r="U32"/>
      <c r="V32"/>
      <c r="W32"/>
      <c r="X32"/>
      <c r="Y32"/>
      <c r="Z32"/>
      <c r="AA32"/>
      <c r="AB32"/>
      <c r="AC32"/>
      <c r="AD32" s="248">
        <v>0.40081891417503357</v>
      </c>
      <c r="AE32" s="14">
        <v>5.03130117431283E-3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21.899999618530273</v>
      </c>
      <c r="C33">
        <v>0.14484332501888275</v>
      </c>
      <c r="D33"/>
      <c r="E33"/>
      <c r="F33"/>
      <c r="G33" s="24">
        <v>0.57449883222579956</v>
      </c>
      <c r="H33" s="14">
        <v>6.2959209084510803E-2</v>
      </c>
      <c r="I33" s="11">
        <v>2.7779771480709314E-3</v>
      </c>
      <c r="J33" s="11">
        <v>1.511305570602417E-3</v>
      </c>
      <c r="K33" s="12">
        <v>6.4499393105506897E-2</v>
      </c>
      <c r="L33"/>
      <c r="M33" s="213">
        <v>1.5177574157714844</v>
      </c>
      <c r="N33" s="11">
        <v>1.8888313206844032E-4</v>
      </c>
      <c r="O33" s="14">
        <v>6.0998529195785522E-2</v>
      </c>
      <c r="P33"/>
      <c r="Q33"/>
      <c r="R33"/>
      <c r="S33"/>
      <c r="T33"/>
      <c r="U33"/>
      <c r="V33"/>
      <c r="W33"/>
      <c r="X33" s="23">
        <v>0.59089863300323486</v>
      </c>
      <c r="Y33"/>
      <c r="Z33"/>
      <c r="AA33" s="229">
        <v>0.98888051509857178</v>
      </c>
      <c r="AB33" s="11">
        <v>4.4937548227608204E-3</v>
      </c>
      <c r="AC33" s="15">
        <v>0.23345610499382019</v>
      </c>
      <c r="AD33"/>
      <c r="AE33"/>
      <c r="AF33" s="61">
        <v>0.47195848822593689</v>
      </c>
      <c r="AG33"/>
      <c r="AH33" s="26">
        <v>1.0256917476654053</v>
      </c>
      <c r="AI33" s="252">
        <v>2.5605056285858154</v>
      </c>
      <c r="AJ33" s="254">
        <v>13.59407901763916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60.799999237060547</v>
      </c>
      <c r="C34">
        <v>42.308666229248047</v>
      </c>
      <c r="D34"/>
      <c r="E34"/>
      <c r="F34"/>
      <c r="G34"/>
      <c r="H34"/>
      <c r="I34"/>
      <c r="J34"/>
      <c r="K34"/>
      <c r="L34"/>
      <c r="M34" s="11">
        <v>2.0003309473395348E-2</v>
      </c>
      <c r="N34"/>
      <c r="O34"/>
      <c r="P34"/>
      <c r="Q34"/>
      <c r="R34"/>
      <c r="S34"/>
      <c r="T34"/>
      <c r="U34"/>
      <c r="V34"/>
      <c r="W34"/>
      <c r="X34" s="11">
        <v>2.0348129794001579E-2</v>
      </c>
      <c r="Y34"/>
      <c r="Z34"/>
      <c r="AA34"/>
      <c r="AB34"/>
      <c r="AC34" s="12">
        <v>0.21025066077709198</v>
      </c>
      <c r="AD34"/>
      <c r="AE34" s="11">
        <v>4.7074048779904842E-4</v>
      </c>
      <c r="AF34" s="11">
        <v>5.8190822601318359E-2</v>
      </c>
      <c r="AG34"/>
      <c r="AH34" s="12">
        <v>0.22785547375679016</v>
      </c>
      <c r="AI34" s="25">
        <v>2.1405532360076904</v>
      </c>
      <c r="AJ34" s="255">
        <v>15.813660621643066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/>
      <c r="C35">
        <v>0.29877546429634094</v>
      </c>
      <c r="D35"/>
      <c r="E35"/>
      <c r="F35"/>
      <c r="G35" s="9">
        <v>5.499788761138916</v>
      </c>
      <c r="H35"/>
      <c r="I35"/>
      <c r="J35"/>
      <c r="K35"/>
      <c r="L35"/>
      <c r="M35"/>
      <c r="N35"/>
      <c r="O35" s="9">
        <v>2.7552530765533447</v>
      </c>
      <c r="P35" s="9">
        <v>11.533510208129883</v>
      </c>
      <c r="Q35" s="9">
        <v>1.5208162069320679</v>
      </c>
      <c r="R35" s="9">
        <v>0.79852724075317383</v>
      </c>
      <c r="S35" s="9">
        <v>4.9650001525878906</v>
      </c>
      <c r="T35"/>
      <c r="U35" s="9">
        <v>3.5682892799377441</v>
      </c>
      <c r="V35"/>
      <c r="W35"/>
      <c r="X35"/>
      <c r="Y35"/>
      <c r="Z35" s="9">
        <v>1.5055584907531738</v>
      </c>
      <c r="AA35" s="9">
        <v>75.912002563476562</v>
      </c>
      <c r="AB35" s="9">
        <v>2.8932869434356689</v>
      </c>
      <c r="AC35" s="9">
        <v>3.1516573429107666</v>
      </c>
      <c r="AD35" s="9">
        <v>2.9493546485900879</v>
      </c>
      <c r="AE35" s="9">
        <v>0.25403040647506714</v>
      </c>
      <c r="AF35" s="9">
        <v>13.562064170837402</v>
      </c>
      <c r="AG35" s="9">
        <v>210.38566589355469</v>
      </c>
      <c r="AH35" s="9">
        <v>87.09661865234375</v>
      </c>
      <c r="AI35" s="9">
        <v>32.086894989013672</v>
      </c>
      <c r="AJ35" s="9">
        <v>252.34010314941406</v>
      </c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/>
      <c r="C36">
        <v>0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2" workbookViewId="0">
      <selection activeCell="D46" sqref="D46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6" t="s">
        <v>193</v>
      </c>
      <c r="E5">
        <v>4</v>
      </c>
      <c r="F5">
        <v>0</v>
      </c>
      <c r="G5">
        <v>4</v>
      </c>
      <c r="H5" s="187" t="s">
        <v>193</v>
      </c>
      <c r="J5" s="54"/>
      <c r="K5" s="55"/>
    </row>
    <row r="6" spans="1:12" ht="14" thickBot="1" x14ac:dyDescent="0.2">
      <c r="A6" s="38" t="s">
        <v>121</v>
      </c>
      <c r="D6" s="186" t="s">
        <v>194</v>
      </c>
      <c r="E6">
        <v>5</v>
      </c>
      <c r="F6">
        <v>0</v>
      </c>
      <c r="G6">
        <v>5</v>
      </c>
      <c r="H6" s="187" t="s">
        <v>194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6" t="s">
        <v>195</v>
      </c>
      <c r="E7">
        <v>6</v>
      </c>
      <c r="F7">
        <v>0</v>
      </c>
      <c r="G7">
        <v>6</v>
      </c>
      <c r="H7" s="187" t="s">
        <v>195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6" t="s">
        <v>196</v>
      </c>
      <c r="E8">
        <v>7</v>
      </c>
      <c r="F8">
        <v>0</v>
      </c>
      <c r="G8">
        <v>7</v>
      </c>
      <c r="H8" s="187" t="s">
        <v>196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6" t="s">
        <v>197</v>
      </c>
      <c r="E9">
        <v>8</v>
      </c>
      <c r="F9">
        <v>0</v>
      </c>
      <c r="G9">
        <v>8</v>
      </c>
      <c r="H9" s="187" t="s">
        <v>197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6" t="s">
        <v>198</v>
      </c>
      <c r="E10">
        <v>9</v>
      </c>
      <c r="F10">
        <v>0</v>
      </c>
      <c r="G10">
        <v>9</v>
      </c>
      <c r="H10" s="187" t="s">
        <v>198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6" t="s">
        <v>199</v>
      </c>
      <c r="E11">
        <v>10</v>
      </c>
      <c r="F11">
        <v>3.14</v>
      </c>
      <c r="G11">
        <v>10</v>
      </c>
      <c r="H11" s="187" t="s">
        <v>199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6" t="s">
        <v>200</v>
      </c>
      <c r="E12">
        <v>11</v>
      </c>
      <c r="F12">
        <v>0</v>
      </c>
      <c r="G12">
        <v>11</v>
      </c>
      <c r="H12" s="187" t="s">
        <v>200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6" t="s">
        <v>201</v>
      </c>
      <c r="E13">
        <v>12</v>
      </c>
      <c r="F13">
        <v>3.14</v>
      </c>
      <c r="G13">
        <v>12</v>
      </c>
      <c r="H13" s="187" t="s">
        <v>201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6" t="s">
        <v>202</v>
      </c>
      <c r="E14">
        <v>13</v>
      </c>
      <c r="F14">
        <v>3.24</v>
      </c>
      <c r="G14">
        <v>13</v>
      </c>
      <c r="H14" s="187" t="s">
        <v>202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6" t="s">
        <v>203</v>
      </c>
      <c r="E15">
        <v>14</v>
      </c>
      <c r="F15">
        <v>0</v>
      </c>
      <c r="G15">
        <v>14</v>
      </c>
      <c r="H15" s="187" t="s">
        <v>203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6" t="s">
        <v>204</v>
      </c>
      <c r="E16">
        <v>15</v>
      </c>
      <c r="F16">
        <v>3.24</v>
      </c>
      <c r="G16">
        <v>15</v>
      </c>
      <c r="H16" s="187" t="s">
        <v>204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6" t="s">
        <v>205</v>
      </c>
      <c r="E17">
        <v>16</v>
      </c>
      <c r="F17">
        <v>3.24</v>
      </c>
      <c r="G17">
        <v>16</v>
      </c>
      <c r="H17" s="187" t="s">
        <v>205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6" t="s">
        <v>206</v>
      </c>
      <c r="E18">
        <v>17</v>
      </c>
      <c r="F18">
        <v>0</v>
      </c>
      <c r="G18">
        <v>17</v>
      </c>
      <c r="H18" s="187" t="s">
        <v>206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6" t="s">
        <v>207</v>
      </c>
      <c r="E19">
        <v>18</v>
      </c>
      <c r="F19">
        <v>3.24</v>
      </c>
      <c r="G19">
        <v>18</v>
      </c>
      <c r="H19" s="187" t="s">
        <v>207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6" t="s">
        <v>208</v>
      </c>
      <c r="E20">
        <v>19</v>
      </c>
      <c r="F20">
        <v>0</v>
      </c>
      <c r="G20">
        <v>19</v>
      </c>
      <c r="H20" s="187" t="s">
        <v>208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6" t="s">
        <v>209</v>
      </c>
      <c r="E21">
        <v>20</v>
      </c>
      <c r="F21">
        <v>0</v>
      </c>
      <c r="G21">
        <v>20</v>
      </c>
      <c r="H21" s="187" t="s">
        <v>209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6" t="s">
        <v>210</v>
      </c>
      <c r="E22">
        <v>21</v>
      </c>
      <c r="F22">
        <v>3.24</v>
      </c>
      <c r="G22">
        <v>21</v>
      </c>
      <c r="H22" s="187" t="s">
        <v>210</v>
      </c>
    </row>
    <row r="23" spans="1:12" x14ac:dyDescent="0.15">
      <c r="A23" s="33" t="s">
        <v>129</v>
      </c>
      <c r="B23" s="41">
        <v>4</v>
      </c>
      <c r="C23" s="35"/>
      <c r="D23" s="186" t="s">
        <v>211</v>
      </c>
      <c r="E23">
        <v>22</v>
      </c>
      <c r="F23">
        <v>0</v>
      </c>
      <c r="G23">
        <v>22</v>
      </c>
      <c r="H23" s="187" t="s">
        <v>211</v>
      </c>
    </row>
    <row r="24" spans="1:12" x14ac:dyDescent="0.15">
      <c r="A24" s="33" t="s">
        <v>122</v>
      </c>
      <c r="B24" s="41">
        <v>4.0999999999999996</v>
      </c>
      <c r="C24" s="35"/>
      <c r="D24" s="186" t="s">
        <v>212</v>
      </c>
      <c r="E24">
        <v>23</v>
      </c>
      <c r="F24">
        <v>0</v>
      </c>
      <c r="G24">
        <v>23</v>
      </c>
      <c r="H24" s="187" t="s">
        <v>212</v>
      </c>
    </row>
    <row r="25" spans="1:12" x14ac:dyDescent="0.15">
      <c r="A25" s="33" t="s">
        <v>70</v>
      </c>
      <c r="B25" s="41">
        <v>4.2</v>
      </c>
      <c r="C25" s="35"/>
      <c r="D25" s="186" t="s">
        <v>213</v>
      </c>
      <c r="E25">
        <v>24</v>
      </c>
      <c r="F25">
        <v>0</v>
      </c>
      <c r="G25">
        <v>24</v>
      </c>
      <c r="H25" s="187" t="s">
        <v>213</v>
      </c>
    </row>
    <row r="26" spans="1:12" x14ac:dyDescent="0.15">
      <c r="A26" s="33" t="s">
        <v>123</v>
      </c>
      <c r="B26" s="41">
        <v>4.3</v>
      </c>
      <c r="C26" s="35"/>
      <c r="D26" s="186" t="s">
        <v>214</v>
      </c>
      <c r="E26">
        <v>25</v>
      </c>
      <c r="F26">
        <v>0</v>
      </c>
      <c r="G26">
        <v>25</v>
      </c>
      <c r="H26" s="187" t="s">
        <v>214</v>
      </c>
    </row>
    <row r="27" spans="1:12" x14ac:dyDescent="0.15">
      <c r="A27" s="33" t="s">
        <v>125</v>
      </c>
      <c r="B27" s="41">
        <v>6.1</v>
      </c>
      <c r="D27" s="186" t="s">
        <v>215</v>
      </c>
      <c r="E27">
        <v>26</v>
      </c>
      <c r="F27">
        <v>0</v>
      </c>
      <c r="G27">
        <v>26</v>
      </c>
      <c r="H27" s="187" t="s">
        <v>215</v>
      </c>
    </row>
    <row r="28" spans="1:12" x14ac:dyDescent="0.15">
      <c r="A28" s="33" t="s">
        <v>124</v>
      </c>
      <c r="B28" s="41">
        <v>6.2</v>
      </c>
      <c r="D28" s="186" t="s">
        <v>216</v>
      </c>
      <c r="E28">
        <v>27</v>
      </c>
      <c r="F28">
        <v>0</v>
      </c>
      <c r="G28">
        <v>27</v>
      </c>
      <c r="H28" s="187" t="s">
        <v>216</v>
      </c>
    </row>
    <row r="29" spans="1:12" x14ac:dyDescent="0.15">
      <c r="A29" s="33" t="s">
        <v>44</v>
      </c>
      <c r="B29" s="41">
        <v>5</v>
      </c>
      <c r="D29" s="186" t="s">
        <v>217</v>
      </c>
      <c r="E29">
        <v>28</v>
      </c>
      <c r="F29">
        <v>0</v>
      </c>
      <c r="G29">
        <v>28</v>
      </c>
      <c r="H29" s="187" t="s">
        <v>217</v>
      </c>
    </row>
    <row r="30" spans="1:12" x14ac:dyDescent="0.15">
      <c r="A30" s="33" t="s">
        <v>73</v>
      </c>
      <c r="B30" s="41">
        <v>7</v>
      </c>
      <c r="D30" s="186" t="s">
        <v>218</v>
      </c>
      <c r="E30">
        <v>29</v>
      </c>
      <c r="F30">
        <v>3.21</v>
      </c>
      <c r="G30">
        <v>29</v>
      </c>
      <c r="H30" s="187" t="s">
        <v>218</v>
      </c>
    </row>
    <row r="31" spans="1:12" x14ac:dyDescent="0.15">
      <c r="A31" s="33" t="s">
        <v>169</v>
      </c>
      <c r="B31" s="41">
        <v>3.14</v>
      </c>
      <c r="D31" s="186" t="s">
        <v>219</v>
      </c>
      <c r="E31">
        <v>30</v>
      </c>
      <c r="F31">
        <v>0</v>
      </c>
      <c r="G31">
        <v>30</v>
      </c>
      <c r="H31" s="187" t="s">
        <v>219</v>
      </c>
    </row>
    <row r="32" spans="1:12" ht="12" customHeight="1" thickBot="1" x14ac:dyDescent="0.2">
      <c r="A32" s="39" t="s">
        <v>170</v>
      </c>
      <c r="B32" s="42">
        <v>9</v>
      </c>
      <c r="D32" s="186" t="s">
        <v>220</v>
      </c>
      <c r="E32">
        <v>31</v>
      </c>
      <c r="F32">
        <v>3.01</v>
      </c>
      <c r="G32">
        <v>31</v>
      </c>
      <c r="H32" s="187" t="s">
        <v>220</v>
      </c>
    </row>
    <row r="33" spans="4:8" customFormat="1" ht="12" customHeight="1" x14ac:dyDescent="0.15">
      <c r="D33" s="186" t="s">
        <v>221</v>
      </c>
      <c r="E33">
        <v>32</v>
      </c>
      <c r="F33">
        <v>3.21</v>
      </c>
      <c r="G33">
        <v>32</v>
      </c>
      <c r="H33" s="187" t="s">
        <v>221</v>
      </c>
    </row>
    <row r="34" spans="4:8" customFormat="1" ht="12" customHeight="1" x14ac:dyDescent="0.15">
      <c r="D34" s="186" t="s">
        <v>222</v>
      </c>
      <c r="E34">
        <v>33</v>
      </c>
      <c r="F34">
        <v>3.21</v>
      </c>
      <c r="G34">
        <v>33</v>
      </c>
      <c r="H34" s="187" t="s">
        <v>222</v>
      </c>
    </row>
    <row r="35" spans="4:8" customFormat="1" x14ac:dyDescent="0.15">
      <c r="D35" s="186" t="s">
        <v>223</v>
      </c>
      <c r="E35">
        <v>34</v>
      </c>
      <c r="F35">
        <v>3.21</v>
      </c>
      <c r="G35">
        <v>34</v>
      </c>
      <c r="H35" s="187" t="s">
        <v>223</v>
      </c>
    </row>
    <row r="36" spans="4:8" customFormat="1" x14ac:dyDescent="0.15">
      <c r="D36" s="186" t="s">
        <v>224</v>
      </c>
      <c r="E36">
        <v>35</v>
      </c>
      <c r="F36">
        <v>3.11</v>
      </c>
      <c r="G36">
        <v>35</v>
      </c>
      <c r="H36" s="187" t="s">
        <v>224</v>
      </c>
    </row>
    <row r="37" spans="4:8" customFormat="1" ht="12" customHeight="1" x14ac:dyDescent="0.15">
      <c r="D37" s="186" t="s">
        <v>225</v>
      </c>
      <c r="E37">
        <v>36</v>
      </c>
      <c r="F37">
        <v>2.1</v>
      </c>
      <c r="G37">
        <v>36</v>
      </c>
      <c r="H37" s="187" t="s">
        <v>225</v>
      </c>
    </row>
    <row r="38" spans="4:8" customFormat="1" x14ac:dyDescent="0.15">
      <c r="D38" s="186" t="s">
        <v>226</v>
      </c>
      <c r="E38">
        <v>37</v>
      </c>
      <c r="F38">
        <v>4.0999999999999996</v>
      </c>
      <c r="G38">
        <v>37</v>
      </c>
      <c r="H38" s="187" t="s">
        <v>226</v>
      </c>
    </row>
    <row r="39" spans="4:8" customFormat="1" x14ac:dyDescent="0.15">
      <c r="D39" s="186" t="s">
        <v>227</v>
      </c>
      <c r="E39">
        <v>38</v>
      </c>
      <c r="F39">
        <v>4.3</v>
      </c>
      <c r="G39">
        <v>38</v>
      </c>
      <c r="H39" s="195" t="s">
        <v>232</v>
      </c>
    </row>
    <row r="40" spans="4:8" customFormat="1" x14ac:dyDescent="0.15">
      <c r="D40" s="195" t="s">
        <v>232</v>
      </c>
      <c r="E40">
        <v>39</v>
      </c>
      <c r="F40">
        <v>5</v>
      </c>
      <c r="G40">
        <v>39</v>
      </c>
    </row>
    <row r="41" spans="4:8" customFormat="1" x14ac:dyDescent="0.15">
      <c r="D41" s="186" t="s">
        <v>138</v>
      </c>
      <c r="E41">
        <v>40</v>
      </c>
      <c r="F41">
        <v>6.1</v>
      </c>
      <c r="G41">
        <v>40</v>
      </c>
      <c r="H41" s="187" t="s">
        <v>138</v>
      </c>
    </row>
    <row r="42" spans="4:8" customFormat="1" x14ac:dyDescent="0.15">
      <c r="D42" s="186" t="s">
        <v>45</v>
      </c>
      <c r="E42">
        <v>41</v>
      </c>
      <c r="F42">
        <v>6.2</v>
      </c>
      <c r="G42">
        <v>41</v>
      </c>
      <c r="H42" s="187" t="s">
        <v>45</v>
      </c>
    </row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23" activePane="bottomLeft" state="frozen"/>
      <selection pane="bottomLeft" activeCell="F45" sqref="F45"/>
    </sheetView>
  </sheetViews>
  <sheetFormatPr baseColWidth="10" defaultColWidth="11.5" defaultRowHeight="15" customHeight="1" x14ac:dyDescent="0.15"/>
  <cols>
    <col min="1" max="1" width="40.1640625" style="79" bestFit="1" customWidth="1"/>
    <col min="2" max="2" width="5.83203125" style="78" customWidth="1"/>
    <col min="3" max="3" width="13.1640625" style="78" customWidth="1"/>
    <col min="4" max="4" width="39.6640625" style="78" customWidth="1"/>
    <col min="5" max="5" width="8.1640625" style="78" customWidth="1"/>
    <col min="6" max="6" width="20.5" style="78" bestFit="1" customWidth="1"/>
    <col min="7" max="9" width="2.33203125" style="78" customWidth="1"/>
    <col min="10" max="10" width="2.33203125" style="78" bestFit="1" customWidth="1"/>
    <col min="11" max="15" width="2.33203125" style="78" customWidth="1"/>
    <col min="16" max="16" width="2.33203125" style="67" customWidth="1"/>
    <col min="17" max="17" width="2.33203125" style="78" customWidth="1"/>
    <col min="18" max="18" width="2.33203125" style="68" customWidth="1"/>
    <col min="19" max="16384" width="11.5" style="78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80" t="s">
        <v>48</v>
      </c>
      <c r="L1" s="68"/>
      <c r="M1" s="80" t="s">
        <v>119</v>
      </c>
      <c r="N1" s="68"/>
      <c r="O1" s="80" t="s">
        <v>49</v>
      </c>
      <c r="P1" s="71"/>
      <c r="Q1" s="80" t="s">
        <v>50</v>
      </c>
      <c r="R1" s="66" t="s">
        <v>154</v>
      </c>
    </row>
    <row r="2" spans="1:23" ht="15" customHeight="1" x14ac:dyDescent="0.15">
      <c r="A2" s="80" t="s">
        <v>51</v>
      </c>
      <c r="B2" s="81">
        <v>0.5</v>
      </c>
      <c r="C2" s="79" t="s">
        <v>52</v>
      </c>
      <c r="D2" s="82"/>
      <c r="F2" s="1"/>
      <c r="G2" s="83"/>
      <c r="H2" s="83"/>
      <c r="I2" s="83" t="s">
        <v>133</v>
      </c>
      <c r="J2" s="83" t="s">
        <v>133</v>
      </c>
      <c r="K2" s="83" t="s">
        <v>52</v>
      </c>
      <c r="L2" s="83" t="s">
        <v>53</v>
      </c>
      <c r="M2" s="83" t="s">
        <v>52</v>
      </c>
      <c r="N2" s="83" t="s">
        <v>53</v>
      </c>
      <c r="O2" s="83" t="s">
        <v>52</v>
      </c>
      <c r="P2" s="84" t="s">
        <v>53</v>
      </c>
      <c r="Q2" s="83"/>
      <c r="R2" s="85" t="s">
        <v>155</v>
      </c>
    </row>
    <row r="3" spans="1:23" ht="15" customHeight="1" thickBot="1" x14ac:dyDescent="0.2">
      <c r="A3" s="80" t="s">
        <v>54</v>
      </c>
      <c r="B3" s="86">
        <v>0.5</v>
      </c>
      <c r="C3" s="79" t="s">
        <v>53</v>
      </c>
      <c r="D3" s="8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4">
        <v>0</v>
      </c>
    </row>
    <row r="5" spans="1:23" ht="15" customHeight="1" x14ac:dyDescent="0.15">
      <c r="A5" s="80" t="s">
        <v>55</v>
      </c>
      <c r="B5" s="87">
        <v>0.5</v>
      </c>
      <c r="C5" s="79" t="s">
        <v>52</v>
      </c>
      <c r="D5" s="8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4">
        <v>0</v>
      </c>
    </row>
    <row r="6" spans="1:23" ht="15" customHeight="1" thickBot="1" x14ac:dyDescent="0.2">
      <c r="A6" s="80"/>
      <c r="B6" s="88">
        <v>0.5</v>
      </c>
      <c r="C6" s="79" t="s">
        <v>53</v>
      </c>
      <c r="D6" s="82"/>
      <c r="F6" s="188" t="s">
        <v>193</v>
      </c>
      <c r="G6" s="78">
        <v>0</v>
      </c>
      <c r="H6" s="78">
        <v>0</v>
      </c>
      <c r="I6" s="78">
        <v>0</v>
      </c>
      <c r="J6" s="78">
        <v>0</v>
      </c>
      <c r="K6" s="78">
        <v>1</v>
      </c>
      <c r="L6" s="78">
        <v>0</v>
      </c>
      <c r="M6" s="78">
        <v>1</v>
      </c>
      <c r="N6" s="78">
        <v>0</v>
      </c>
      <c r="O6" s="78">
        <v>1</v>
      </c>
      <c r="P6" s="67">
        <v>0</v>
      </c>
      <c r="Q6" s="78">
        <v>0</v>
      </c>
      <c r="R6" s="68">
        <v>1</v>
      </c>
      <c r="S6"/>
      <c r="T6"/>
    </row>
    <row r="7" spans="1:23" ht="15" customHeight="1" thickBot="1" x14ac:dyDescent="0.2">
      <c r="F7" s="188" t="s">
        <v>194</v>
      </c>
      <c r="G7" s="78">
        <v>0</v>
      </c>
      <c r="H7" s="78">
        <v>0</v>
      </c>
      <c r="I7" s="78">
        <v>0</v>
      </c>
      <c r="J7" s="78">
        <v>0</v>
      </c>
      <c r="K7" s="78">
        <v>1</v>
      </c>
      <c r="L7" s="78">
        <v>0</v>
      </c>
      <c r="M7" s="78">
        <v>1</v>
      </c>
      <c r="N7" s="78">
        <v>0</v>
      </c>
      <c r="O7" s="78">
        <v>1</v>
      </c>
      <c r="P7" s="67">
        <v>0</v>
      </c>
      <c r="Q7" s="78">
        <v>0</v>
      </c>
      <c r="R7" s="68">
        <v>1</v>
      </c>
      <c r="S7"/>
      <c r="T7"/>
    </row>
    <row r="8" spans="1:23" ht="15" customHeight="1" x14ac:dyDescent="0.15">
      <c r="A8" s="80" t="s">
        <v>56</v>
      </c>
      <c r="B8" s="87">
        <v>1</v>
      </c>
      <c r="C8" s="189" t="s">
        <v>225</v>
      </c>
      <c r="D8" s="82" t="s">
        <v>160</v>
      </c>
      <c r="F8" s="188" t="s">
        <v>195</v>
      </c>
      <c r="G8" s="78">
        <v>0</v>
      </c>
      <c r="H8" s="78">
        <v>0</v>
      </c>
      <c r="I8" s="78">
        <v>0</v>
      </c>
      <c r="J8" s="78">
        <v>0</v>
      </c>
      <c r="K8" s="78">
        <v>1</v>
      </c>
      <c r="L8" s="78">
        <v>0</v>
      </c>
      <c r="M8" s="78">
        <v>1</v>
      </c>
      <c r="N8" s="78">
        <v>0</v>
      </c>
      <c r="O8" s="78">
        <v>1</v>
      </c>
      <c r="P8" s="67">
        <v>0</v>
      </c>
      <c r="Q8" s="78">
        <v>0</v>
      </c>
      <c r="R8" s="68">
        <v>1</v>
      </c>
      <c r="S8"/>
      <c r="T8"/>
      <c r="W8"/>
    </row>
    <row r="9" spans="1:23" ht="15" customHeight="1" x14ac:dyDescent="0.15">
      <c r="A9" s="118" t="s">
        <v>168</v>
      </c>
      <c r="B9" s="89"/>
      <c r="C9" s="77"/>
      <c r="D9" s="82" t="s">
        <v>160</v>
      </c>
      <c r="F9" s="188" t="s">
        <v>196</v>
      </c>
      <c r="G9" s="78">
        <v>0</v>
      </c>
      <c r="H9" s="78">
        <v>0</v>
      </c>
      <c r="I9" s="78">
        <v>0</v>
      </c>
      <c r="J9" s="78">
        <v>0</v>
      </c>
      <c r="K9" s="78">
        <v>1</v>
      </c>
      <c r="L9" s="78">
        <v>0</v>
      </c>
      <c r="M9" s="78">
        <v>1</v>
      </c>
      <c r="N9" s="78">
        <v>0</v>
      </c>
      <c r="O9" s="78">
        <v>1</v>
      </c>
      <c r="P9" s="67">
        <v>0</v>
      </c>
      <c r="Q9" s="78">
        <v>0</v>
      </c>
      <c r="R9" s="68">
        <v>1</v>
      </c>
      <c r="S9"/>
      <c r="T9"/>
      <c r="W9"/>
    </row>
    <row r="10" spans="1:23" ht="15" customHeight="1" x14ac:dyDescent="0.15">
      <c r="B10" s="89"/>
      <c r="C10" s="77"/>
      <c r="D10" s="82" t="s">
        <v>160</v>
      </c>
      <c r="F10" s="188" t="s">
        <v>197</v>
      </c>
      <c r="G10" s="78">
        <v>0</v>
      </c>
      <c r="H10" s="78">
        <v>0</v>
      </c>
      <c r="I10" s="78">
        <v>0</v>
      </c>
      <c r="J10" s="78">
        <v>0</v>
      </c>
      <c r="K10" s="78">
        <v>1</v>
      </c>
      <c r="L10" s="78">
        <v>0</v>
      </c>
      <c r="M10" s="78">
        <v>1</v>
      </c>
      <c r="N10" s="78">
        <v>0</v>
      </c>
      <c r="O10" s="78">
        <v>1</v>
      </c>
      <c r="P10" s="67">
        <v>0</v>
      </c>
      <c r="Q10" s="78">
        <v>0</v>
      </c>
      <c r="R10" s="68">
        <v>1</v>
      </c>
      <c r="S10"/>
      <c r="T10"/>
      <c r="W10"/>
    </row>
    <row r="11" spans="1:23" ht="15" customHeight="1" x14ac:dyDescent="0.15">
      <c r="A11" s="80"/>
      <c r="B11" s="89"/>
      <c r="C11" s="92"/>
      <c r="D11" s="82" t="s">
        <v>160</v>
      </c>
      <c r="F11" s="188" t="s">
        <v>198</v>
      </c>
      <c r="G11" s="78">
        <v>0</v>
      </c>
      <c r="H11" s="78">
        <v>0</v>
      </c>
      <c r="I11" s="78">
        <v>0</v>
      </c>
      <c r="J11" s="78">
        <v>0</v>
      </c>
      <c r="K11" s="78">
        <v>1</v>
      </c>
      <c r="L11" s="78">
        <v>0</v>
      </c>
      <c r="M11" s="78">
        <v>1</v>
      </c>
      <c r="N11" s="78">
        <v>0</v>
      </c>
      <c r="O11" s="78">
        <v>1</v>
      </c>
      <c r="P11" s="67">
        <v>0</v>
      </c>
      <c r="Q11" s="78">
        <v>0</v>
      </c>
      <c r="R11" s="68">
        <v>1</v>
      </c>
      <c r="S11"/>
      <c r="T11"/>
      <c r="W11"/>
    </row>
    <row r="12" spans="1:23" ht="15" customHeight="1" x14ac:dyDescent="0.15">
      <c r="B12" s="89"/>
      <c r="C12" s="93"/>
      <c r="D12" s="82" t="s">
        <v>160</v>
      </c>
      <c r="F12" s="188" t="s">
        <v>199</v>
      </c>
      <c r="G12" s="78">
        <v>0</v>
      </c>
      <c r="H12" s="78">
        <v>0</v>
      </c>
      <c r="I12" s="78">
        <v>0</v>
      </c>
      <c r="J12" s="78">
        <v>0</v>
      </c>
      <c r="K12" s="78">
        <v>1</v>
      </c>
      <c r="L12" s="78">
        <v>0</v>
      </c>
      <c r="M12" s="78">
        <v>1</v>
      </c>
      <c r="N12" s="78">
        <v>0</v>
      </c>
      <c r="O12" s="78">
        <v>1</v>
      </c>
      <c r="P12" s="67">
        <v>0</v>
      </c>
      <c r="Q12" s="78">
        <v>0</v>
      </c>
      <c r="R12" s="68">
        <v>1</v>
      </c>
      <c r="S12"/>
      <c r="T12"/>
      <c r="W12"/>
    </row>
    <row r="13" spans="1:23" ht="15" customHeight="1" x14ac:dyDescent="0.15">
      <c r="B13" s="89"/>
      <c r="C13" s="93"/>
      <c r="D13" s="82" t="s">
        <v>160</v>
      </c>
      <c r="F13" s="188" t="s">
        <v>200</v>
      </c>
      <c r="G13" s="78">
        <v>0</v>
      </c>
      <c r="H13" s="78">
        <v>0</v>
      </c>
      <c r="I13" s="78">
        <v>0</v>
      </c>
      <c r="J13" s="78">
        <v>0</v>
      </c>
      <c r="K13" s="78">
        <v>1</v>
      </c>
      <c r="L13" s="78">
        <v>0</v>
      </c>
      <c r="M13" s="78">
        <v>1</v>
      </c>
      <c r="N13" s="78">
        <v>0</v>
      </c>
      <c r="O13" s="78">
        <v>1</v>
      </c>
      <c r="P13" s="67">
        <v>0</v>
      </c>
      <c r="Q13" s="78">
        <v>0</v>
      </c>
      <c r="R13" s="68">
        <v>1</v>
      </c>
      <c r="S13"/>
      <c r="T13"/>
      <c r="W13"/>
    </row>
    <row r="14" spans="1:23" ht="15" customHeight="1" x14ac:dyDescent="0.15">
      <c r="B14" s="89"/>
      <c r="C14" s="77"/>
      <c r="D14" s="82" t="s">
        <v>160</v>
      </c>
      <c r="F14" s="188" t="s">
        <v>201</v>
      </c>
      <c r="G14" s="78">
        <v>0</v>
      </c>
      <c r="H14" s="78">
        <v>0</v>
      </c>
      <c r="I14" s="78">
        <v>0</v>
      </c>
      <c r="J14" s="78">
        <v>0</v>
      </c>
      <c r="K14" s="78">
        <v>1</v>
      </c>
      <c r="L14" s="78">
        <v>0</v>
      </c>
      <c r="M14" s="78">
        <v>1</v>
      </c>
      <c r="N14" s="78">
        <v>0</v>
      </c>
      <c r="O14" s="78">
        <v>1</v>
      </c>
      <c r="P14" s="67">
        <v>0</v>
      </c>
      <c r="Q14" s="78">
        <v>0</v>
      </c>
      <c r="R14" s="68">
        <v>1</v>
      </c>
      <c r="S14"/>
      <c r="T14"/>
      <c r="W14"/>
    </row>
    <row r="15" spans="1:23" ht="15" customHeight="1" x14ac:dyDescent="0.15">
      <c r="B15" s="89"/>
      <c r="C15" s="77"/>
      <c r="D15" s="82" t="s">
        <v>160</v>
      </c>
      <c r="F15" s="188" t="s">
        <v>202</v>
      </c>
      <c r="G15" s="78">
        <v>0</v>
      </c>
      <c r="H15" s="78">
        <v>0</v>
      </c>
      <c r="I15" s="78">
        <v>0</v>
      </c>
      <c r="J15" s="78">
        <v>0</v>
      </c>
      <c r="K15" s="78">
        <v>1</v>
      </c>
      <c r="L15" s="78">
        <v>0</v>
      </c>
      <c r="M15" s="78">
        <v>1</v>
      </c>
      <c r="N15" s="78">
        <v>0</v>
      </c>
      <c r="O15" s="78">
        <v>1</v>
      </c>
      <c r="P15" s="67">
        <v>0</v>
      </c>
      <c r="Q15" s="78">
        <v>0</v>
      </c>
      <c r="R15" s="68">
        <v>1</v>
      </c>
      <c r="S15"/>
      <c r="T15"/>
      <c r="W15"/>
    </row>
    <row r="16" spans="1:23" ht="15" customHeight="1" x14ac:dyDescent="0.15">
      <c r="B16" s="89"/>
      <c r="C16" s="77"/>
      <c r="D16" s="82" t="s">
        <v>160</v>
      </c>
      <c r="F16" s="188" t="s">
        <v>203</v>
      </c>
      <c r="G16" s="78">
        <v>0</v>
      </c>
      <c r="H16" s="78">
        <v>0</v>
      </c>
      <c r="I16" s="78">
        <v>0</v>
      </c>
      <c r="J16" s="78">
        <v>0</v>
      </c>
      <c r="K16" s="78">
        <v>1</v>
      </c>
      <c r="L16" s="78">
        <v>0</v>
      </c>
      <c r="M16" s="78">
        <v>1</v>
      </c>
      <c r="N16" s="78">
        <v>0</v>
      </c>
      <c r="O16" s="78">
        <v>1</v>
      </c>
      <c r="P16" s="67">
        <v>0</v>
      </c>
      <c r="Q16" s="78">
        <v>0</v>
      </c>
      <c r="R16" s="68">
        <v>1</v>
      </c>
      <c r="S16"/>
      <c r="T16"/>
    </row>
    <row r="17" spans="1:20" ht="15" customHeight="1" thickBot="1" x14ac:dyDescent="0.2">
      <c r="B17" s="88"/>
      <c r="C17" s="77"/>
      <c r="D17" s="82" t="s">
        <v>160</v>
      </c>
      <c r="F17" s="188" t="s">
        <v>204</v>
      </c>
      <c r="G17" s="78">
        <v>0</v>
      </c>
      <c r="H17" s="78">
        <v>0</v>
      </c>
      <c r="I17" s="78">
        <v>0</v>
      </c>
      <c r="J17" s="78">
        <v>0</v>
      </c>
      <c r="K17" s="78">
        <v>1</v>
      </c>
      <c r="L17" s="78">
        <v>0</v>
      </c>
      <c r="M17" s="78">
        <v>1</v>
      </c>
      <c r="N17" s="78">
        <v>0</v>
      </c>
      <c r="O17" s="78">
        <v>1</v>
      </c>
      <c r="P17" s="67">
        <v>0</v>
      </c>
      <c r="Q17" s="78">
        <v>0</v>
      </c>
      <c r="R17" s="68">
        <v>1</v>
      </c>
      <c r="S17"/>
      <c r="T17"/>
    </row>
    <row r="18" spans="1:20" ht="15" customHeight="1" thickBot="1" x14ac:dyDescent="0.2">
      <c r="B18" s="90"/>
      <c r="F18" s="188" t="s">
        <v>205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0</v>
      </c>
      <c r="M18" s="78">
        <v>1</v>
      </c>
      <c r="N18" s="78">
        <v>0</v>
      </c>
      <c r="O18" s="78">
        <v>1</v>
      </c>
      <c r="P18" s="67">
        <v>0</v>
      </c>
      <c r="Q18" s="78">
        <v>0</v>
      </c>
      <c r="R18" s="68">
        <v>1</v>
      </c>
      <c r="S18"/>
      <c r="T18"/>
    </row>
    <row r="19" spans="1:20" ht="15" customHeight="1" x14ac:dyDescent="0.15">
      <c r="A19" s="80" t="s">
        <v>57</v>
      </c>
      <c r="B19" s="87">
        <v>1</v>
      </c>
      <c r="C19" s="190" t="s">
        <v>225</v>
      </c>
      <c r="D19" s="82" t="s">
        <v>160</v>
      </c>
      <c r="F19" s="188" t="s">
        <v>206</v>
      </c>
      <c r="G19" s="78">
        <v>0</v>
      </c>
      <c r="H19" s="78">
        <v>0</v>
      </c>
      <c r="I19" s="78">
        <v>0</v>
      </c>
      <c r="J19" s="78">
        <v>0</v>
      </c>
      <c r="K19" s="78">
        <v>1</v>
      </c>
      <c r="L19" s="78">
        <v>0</v>
      </c>
      <c r="M19" s="78">
        <v>1</v>
      </c>
      <c r="N19" s="78">
        <v>0</v>
      </c>
      <c r="O19" s="78">
        <v>1</v>
      </c>
      <c r="P19" s="67">
        <v>0</v>
      </c>
      <c r="Q19" s="78">
        <v>0</v>
      </c>
      <c r="R19" s="68">
        <v>1</v>
      </c>
      <c r="S19"/>
      <c r="T19"/>
    </row>
    <row r="20" spans="1:20" ht="15" customHeight="1" x14ac:dyDescent="0.15">
      <c r="A20" s="118" t="s">
        <v>168</v>
      </c>
      <c r="B20" s="89"/>
      <c r="C20" s="77"/>
      <c r="D20" s="82" t="s">
        <v>160</v>
      </c>
      <c r="F20" s="188" t="s">
        <v>207</v>
      </c>
      <c r="G20" s="78">
        <v>0</v>
      </c>
      <c r="H20" s="78">
        <v>0</v>
      </c>
      <c r="I20" s="78">
        <v>0</v>
      </c>
      <c r="J20" s="78">
        <v>0</v>
      </c>
      <c r="K20" s="78">
        <v>1</v>
      </c>
      <c r="L20" s="78">
        <v>0</v>
      </c>
      <c r="M20" s="78">
        <v>1</v>
      </c>
      <c r="N20" s="78">
        <v>0</v>
      </c>
      <c r="O20" s="78">
        <v>1</v>
      </c>
      <c r="P20" s="67">
        <v>0</v>
      </c>
      <c r="Q20" s="78">
        <v>0</v>
      </c>
      <c r="R20" s="68">
        <v>1</v>
      </c>
      <c r="S20"/>
      <c r="T20"/>
    </row>
    <row r="21" spans="1:20" ht="15" customHeight="1" x14ac:dyDescent="0.15">
      <c r="B21" s="89"/>
      <c r="C21" s="77"/>
      <c r="D21" s="82" t="s">
        <v>160</v>
      </c>
      <c r="F21" s="188" t="s">
        <v>208</v>
      </c>
      <c r="G21" s="78">
        <v>0</v>
      </c>
      <c r="H21" s="78">
        <v>0</v>
      </c>
      <c r="I21" s="78">
        <v>0</v>
      </c>
      <c r="J21" s="78">
        <v>0</v>
      </c>
      <c r="K21" s="78">
        <v>1</v>
      </c>
      <c r="L21" s="78">
        <v>0</v>
      </c>
      <c r="M21" s="78">
        <v>1</v>
      </c>
      <c r="N21" s="78">
        <v>0</v>
      </c>
      <c r="O21" s="78">
        <v>1</v>
      </c>
      <c r="P21" s="67">
        <v>0</v>
      </c>
      <c r="Q21" s="78">
        <v>0</v>
      </c>
      <c r="R21" s="68">
        <v>1</v>
      </c>
      <c r="S21"/>
      <c r="T21"/>
    </row>
    <row r="22" spans="1:20" ht="15" customHeight="1" x14ac:dyDescent="0.15">
      <c r="A22" s="78"/>
      <c r="B22" s="89"/>
      <c r="C22" s="92"/>
      <c r="D22" s="82" t="s">
        <v>160</v>
      </c>
      <c r="F22" s="188" t="s">
        <v>209</v>
      </c>
      <c r="G22" s="78">
        <v>0</v>
      </c>
      <c r="H22" s="78">
        <v>0</v>
      </c>
      <c r="I22" s="78">
        <v>0</v>
      </c>
      <c r="J22" s="78">
        <v>0</v>
      </c>
      <c r="K22" s="78">
        <v>1</v>
      </c>
      <c r="L22" s="78">
        <v>0</v>
      </c>
      <c r="M22" s="78">
        <v>1</v>
      </c>
      <c r="N22" s="78">
        <v>0</v>
      </c>
      <c r="O22" s="78">
        <v>1</v>
      </c>
      <c r="P22" s="67">
        <v>0</v>
      </c>
      <c r="Q22" s="78">
        <v>0</v>
      </c>
      <c r="R22" s="68">
        <v>1</v>
      </c>
      <c r="S22"/>
      <c r="T22"/>
    </row>
    <row r="23" spans="1:20" ht="15" customHeight="1" x14ac:dyDescent="0.15">
      <c r="A23" s="78"/>
      <c r="B23" s="89"/>
      <c r="C23" s="93"/>
      <c r="D23" s="82" t="s">
        <v>160</v>
      </c>
      <c r="F23" s="188" t="s">
        <v>210</v>
      </c>
      <c r="G23" s="78">
        <v>0</v>
      </c>
      <c r="H23" s="78">
        <v>0</v>
      </c>
      <c r="I23" s="78">
        <v>0</v>
      </c>
      <c r="J23" s="78">
        <v>0</v>
      </c>
      <c r="K23" s="78">
        <v>1</v>
      </c>
      <c r="L23" s="78">
        <v>0</v>
      </c>
      <c r="M23" s="78">
        <v>1</v>
      </c>
      <c r="N23" s="78">
        <v>0</v>
      </c>
      <c r="O23" s="78">
        <v>1</v>
      </c>
      <c r="P23" s="67">
        <v>0</v>
      </c>
      <c r="Q23" s="78">
        <v>0</v>
      </c>
      <c r="R23" s="68">
        <v>1</v>
      </c>
      <c r="S23"/>
      <c r="T23"/>
    </row>
    <row r="24" spans="1:20" ht="15" customHeight="1" x14ac:dyDescent="0.15">
      <c r="A24" s="78"/>
      <c r="B24" s="89"/>
      <c r="C24" s="93"/>
      <c r="D24" s="82" t="s">
        <v>160</v>
      </c>
      <c r="F24" s="188" t="s">
        <v>211</v>
      </c>
      <c r="G24" s="78">
        <v>0</v>
      </c>
      <c r="H24" s="78">
        <v>0</v>
      </c>
      <c r="I24" s="78">
        <v>0</v>
      </c>
      <c r="J24" s="78">
        <v>0</v>
      </c>
      <c r="K24" s="78">
        <v>1</v>
      </c>
      <c r="L24" s="78">
        <v>0</v>
      </c>
      <c r="M24" s="78">
        <v>1</v>
      </c>
      <c r="N24" s="78">
        <v>0</v>
      </c>
      <c r="O24" s="78">
        <v>1</v>
      </c>
      <c r="P24" s="67">
        <v>0</v>
      </c>
      <c r="Q24" s="78">
        <v>0</v>
      </c>
      <c r="R24" s="68">
        <v>1</v>
      </c>
      <c r="S24"/>
      <c r="T24"/>
    </row>
    <row r="25" spans="1:20" ht="15" customHeight="1" x14ac:dyDescent="0.15">
      <c r="A25" s="78"/>
      <c r="B25" s="89"/>
      <c r="C25" s="77"/>
      <c r="D25" s="82" t="s">
        <v>160</v>
      </c>
      <c r="F25" s="188" t="s">
        <v>212</v>
      </c>
      <c r="G25" s="78">
        <v>0</v>
      </c>
      <c r="H25" s="78">
        <v>0</v>
      </c>
      <c r="I25" s="78">
        <v>0</v>
      </c>
      <c r="J25" s="78">
        <v>0</v>
      </c>
      <c r="K25" s="78">
        <v>1</v>
      </c>
      <c r="L25" s="78">
        <v>0</v>
      </c>
      <c r="M25" s="78">
        <v>1</v>
      </c>
      <c r="N25" s="78">
        <v>0</v>
      </c>
      <c r="O25" s="78">
        <v>1</v>
      </c>
      <c r="P25" s="67">
        <v>0</v>
      </c>
      <c r="Q25" s="78">
        <v>0</v>
      </c>
      <c r="R25" s="68">
        <v>1</v>
      </c>
      <c r="S25"/>
      <c r="T25"/>
    </row>
    <row r="26" spans="1:20" ht="15" customHeight="1" x14ac:dyDescent="0.15">
      <c r="B26" s="89"/>
      <c r="C26" s="77"/>
      <c r="D26" s="82" t="s">
        <v>160</v>
      </c>
      <c r="F26" s="188" t="s">
        <v>213</v>
      </c>
      <c r="G26" s="78">
        <v>0</v>
      </c>
      <c r="H26" s="78">
        <v>0</v>
      </c>
      <c r="I26" s="78">
        <v>0</v>
      </c>
      <c r="J26" s="78">
        <v>0</v>
      </c>
      <c r="K26" s="78">
        <v>1</v>
      </c>
      <c r="L26" s="78">
        <v>0</v>
      </c>
      <c r="M26" s="78">
        <v>1</v>
      </c>
      <c r="N26" s="78">
        <v>0</v>
      </c>
      <c r="O26" s="78">
        <v>1</v>
      </c>
      <c r="P26" s="67">
        <v>0</v>
      </c>
      <c r="Q26" s="78">
        <v>0</v>
      </c>
      <c r="R26" s="68">
        <v>1</v>
      </c>
      <c r="S26"/>
      <c r="T26"/>
    </row>
    <row r="27" spans="1:20" ht="15" customHeight="1" x14ac:dyDescent="0.15">
      <c r="B27" s="89"/>
      <c r="C27" s="77"/>
      <c r="D27" s="82" t="s">
        <v>160</v>
      </c>
      <c r="F27" s="188" t="s">
        <v>214</v>
      </c>
      <c r="G27" s="78">
        <v>0</v>
      </c>
      <c r="H27" s="78">
        <v>0</v>
      </c>
      <c r="I27" s="78">
        <v>0</v>
      </c>
      <c r="J27" s="78">
        <v>0</v>
      </c>
      <c r="K27" s="78">
        <v>1</v>
      </c>
      <c r="L27" s="78">
        <v>0</v>
      </c>
      <c r="M27" s="78">
        <v>1</v>
      </c>
      <c r="N27" s="78">
        <v>0</v>
      </c>
      <c r="O27" s="78">
        <v>1</v>
      </c>
      <c r="P27" s="67">
        <v>0</v>
      </c>
      <c r="Q27" s="78">
        <v>0</v>
      </c>
      <c r="R27" s="68">
        <v>1</v>
      </c>
      <c r="S27"/>
      <c r="T27"/>
    </row>
    <row r="28" spans="1:20" ht="15" customHeight="1" thickBot="1" x14ac:dyDescent="0.2">
      <c r="B28" s="88"/>
      <c r="C28" s="77"/>
      <c r="D28" s="82" t="s">
        <v>160</v>
      </c>
      <c r="F28" s="188" t="s">
        <v>215</v>
      </c>
      <c r="G28" s="78">
        <v>0</v>
      </c>
      <c r="H28" s="78">
        <v>0</v>
      </c>
      <c r="I28" s="78">
        <v>0</v>
      </c>
      <c r="J28" s="78">
        <v>0</v>
      </c>
      <c r="K28" s="78">
        <v>1</v>
      </c>
      <c r="L28" s="78">
        <v>0</v>
      </c>
      <c r="M28" s="78">
        <v>1</v>
      </c>
      <c r="N28" s="78">
        <v>0</v>
      </c>
      <c r="O28" s="78">
        <v>1</v>
      </c>
      <c r="P28" s="67">
        <v>0</v>
      </c>
      <c r="Q28" s="78">
        <v>0</v>
      </c>
      <c r="R28" s="68">
        <v>1</v>
      </c>
      <c r="S28"/>
      <c r="T28"/>
    </row>
    <row r="29" spans="1:20" ht="15" customHeight="1" x14ac:dyDescent="0.15">
      <c r="F29" s="188" t="s">
        <v>216</v>
      </c>
      <c r="G29" s="78">
        <v>0</v>
      </c>
      <c r="H29" s="78">
        <v>0</v>
      </c>
      <c r="I29" s="78">
        <v>0</v>
      </c>
      <c r="J29" s="78">
        <v>0</v>
      </c>
      <c r="K29" s="78">
        <v>1</v>
      </c>
      <c r="L29" s="78">
        <v>0</v>
      </c>
      <c r="M29" s="78">
        <v>1</v>
      </c>
      <c r="N29" s="78">
        <v>0</v>
      </c>
      <c r="O29" s="78">
        <v>1</v>
      </c>
      <c r="P29" s="67">
        <v>0</v>
      </c>
      <c r="Q29" s="78">
        <v>0</v>
      </c>
      <c r="R29" s="68">
        <v>1</v>
      </c>
      <c r="S29"/>
      <c r="T29"/>
    </row>
    <row r="30" spans="1:20" ht="15" customHeight="1" x14ac:dyDescent="0.15">
      <c r="F30" s="188" t="s">
        <v>217</v>
      </c>
      <c r="G30" s="78">
        <v>0</v>
      </c>
      <c r="H30" s="78">
        <v>0</v>
      </c>
      <c r="I30" s="78">
        <v>0</v>
      </c>
      <c r="J30" s="78">
        <v>0</v>
      </c>
      <c r="K30" s="78">
        <v>1</v>
      </c>
      <c r="L30" s="78">
        <v>0</v>
      </c>
      <c r="M30" s="78">
        <v>1</v>
      </c>
      <c r="N30" s="78">
        <v>0</v>
      </c>
      <c r="O30" s="78">
        <v>1</v>
      </c>
      <c r="P30" s="67">
        <v>0</v>
      </c>
      <c r="Q30" s="78">
        <v>0</v>
      </c>
      <c r="R30" s="68">
        <v>1</v>
      </c>
      <c r="S30"/>
      <c r="T30"/>
    </row>
    <row r="31" spans="1:20" ht="15" customHeight="1" x14ac:dyDescent="0.15">
      <c r="A31" s="119"/>
      <c r="B31" s="130" t="s">
        <v>17</v>
      </c>
      <c r="C31" s="130" t="s">
        <v>1</v>
      </c>
      <c r="D31" s="130" t="s">
        <v>161</v>
      </c>
      <c r="E31" s="131" t="s">
        <v>163</v>
      </c>
      <c r="F31" s="188" t="s">
        <v>218</v>
      </c>
      <c r="G31" s="78">
        <v>0</v>
      </c>
      <c r="H31" s="78">
        <v>0</v>
      </c>
      <c r="I31" s="78">
        <v>0</v>
      </c>
      <c r="J31" s="78">
        <v>0</v>
      </c>
      <c r="K31" s="78">
        <v>1</v>
      </c>
      <c r="L31" s="78">
        <v>0</v>
      </c>
      <c r="M31" s="78">
        <v>1</v>
      </c>
      <c r="N31" s="78">
        <v>0</v>
      </c>
      <c r="O31" s="78">
        <v>1</v>
      </c>
      <c r="P31" s="67">
        <v>0</v>
      </c>
      <c r="Q31" s="78">
        <v>0</v>
      </c>
      <c r="R31" s="68">
        <v>1</v>
      </c>
      <c r="S31"/>
      <c r="T31"/>
    </row>
    <row r="32" spans="1:20" ht="15" customHeight="1" x14ac:dyDescent="0.15">
      <c r="A32" s="191" t="s">
        <v>225</v>
      </c>
      <c r="B32" s="90">
        <v>44.97</v>
      </c>
      <c r="C32" s="90">
        <v>60.8</v>
      </c>
      <c r="D32" s="90">
        <v>2734.1759999999999</v>
      </c>
      <c r="E32" s="121">
        <v>1</v>
      </c>
      <c r="F32" s="188" t="s">
        <v>219</v>
      </c>
      <c r="G32" s="78">
        <v>0</v>
      </c>
      <c r="H32" s="78">
        <v>0</v>
      </c>
      <c r="I32" s="78">
        <v>0</v>
      </c>
      <c r="J32" s="78">
        <v>0</v>
      </c>
      <c r="K32" s="78">
        <v>1</v>
      </c>
      <c r="L32" s="78">
        <v>0</v>
      </c>
      <c r="M32" s="78">
        <v>1</v>
      </c>
      <c r="N32" s="78">
        <v>0</v>
      </c>
      <c r="O32" s="78">
        <v>1</v>
      </c>
      <c r="P32" s="67">
        <v>0</v>
      </c>
      <c r="Q32" s="78">
        <v>0</v>
      </c>
      <c r="R32" s="68">
        <v>1</v>
      </c>
      <c r="S32"/>
      <c r="T32"/>
    </row>
    <row r="33" spans="1:20" ht="15" customHeight="1" x14ac:dyDescent="0.15">
      <c r="A33" s="120"/>
      <c r="B33" s="90"/>
      <c r="C33" s="90"/>
      <c r="D33" s="90"/>
      <c r="E33" s="121"/>
      <c r="F33" s="188" t="s">
        <v>220</v>
      </c>
      <c r="G33" s="78">
        <v>0</v>
      </c>
      <c r="H33" s="78">
        <v>0</v>
      </c>
      <c r="I33" s="78">
        <v>0</v>
      </c>
      <c r="J33" s="78">
        <v>0</v>
      </c>
      <c r="K33" s="78">
        <v>1</v>
      </c>
      <c r="L33" s="78">
        <v>0</v>
      </c>
      <c r="M33" s="78">
        <v>1</v>
      </c>
      <c r="N33" s="78">
        <v>0</v>
      </c>
      <c r="O33" s="78">
        <v>1</v>
      </c>
      <c r="P33" s="67">
        <v>0</v>
      </c>
      <c r="Q33" s="78">
        <v>0</v>
      </c>
      <c r="R33" s="68">
        <v>1</v>
      </c>
      <c r="S33"/>
      <c r="T33"/>
    </row>
    <row r="34" spans="1:20" ht="15" customHeight="1" x14ac:dyDescent="0.15">
      <c r="A34" s="122"/>
      <c r="B34" s="90"/>
      <c r="C34" s="90"/>
      <c r="D34" s="90"/>
      <c r="E34" s="121"/>
      <c r="F34" s="188" t="s">
        <v>221</v>
      </c>
      <c r="G34" s="78">
        <v>0</v>
      </c>
      <c r="H34" s="78">
        <v>0</v>
      </c>
      <c r="I34" s="78">
        <v>0</v>
      </c>
      <c r="J34" s="78">
        <v>0</v>
      </c>
      <c r="K34" s="78">
        <v>1</v>
      </c>
      <c r="L34" s="78">
        <v>0</v>
      </c>
      <c r="M34" s="78">
        <v>1</v>
      </c>
      <c r="N34" s="78">
        <v>0</v>
      </c>
      <c r="O34" s="78">
        <v>1</v>
      </c>
      <c r="P34" s="67">
        <v>0</v>
      </c>
      <c r="Q34" s="78">
        <v>0</v>
      </c>
      <c r="R34" s="68">
        <v>1</v>
      </c>
      <c r="S34"/>
      <c r="T34"/>
    </row>
    <row r="35" spans="1:20" ht="15" customHeight="1" x14ac:dyDescent="0.15">
      <c r="A35" s="123"/>
      <c r="B35" s="90"/>
      <c r="C35" s="90"/>
      <c r="D35" s="90"/>
      <c r="E35" s="121"/>
      <c r="F35" s="188" t="s">
        <v>222</v>
      </c>
      <c r="G35" s="78">
        <v>0</v>
      </c>
      <c r="H35" s="78">
        <v>0</v>
      </c>
      <c r="I35" s="78">
        <v>0</v>
      </c>
      <c r="J35" s="78">
        <v>0</v>
      </c>
      <c r="K35" s="78">
        <v>1</v>
      </c>
      <c r="L35" s="78">
        <v>0</v>
      </c>
      <c r="M35" s="78">
        <v>1</v>
      </c>
      <c r="N35" s="78">
        <v>0</v>
      </c>
      <c r="O35" s="78">
        <v>1</v>
      </c>
      <c r="P35" s="67">
        <v>0</v>
      </c>
      <c r="Q35" s="78">
        <v>0</v>
      </c>
      <c r="R35" s="68">
        <v>1</v>
      </c>
      <c r="S35"/>
      <c r="T35"/>
    </row>
    <row r="36" spans="1:20" ht="15" customHeight="1" x14ac:dyDescent="0.15">
      <c r="A36" s="124"/>
      <c r="B36" s="90"/>
      <c r="C36" s="90"/>
      <c r="D36" s="90"/>
      <c r="E36" s="121"/>
      <c r="F36" s="188" t="s">
        <v>223</v>
      </c>
      <c r="G36" s="78">
        <v>0</v>
      </c>
      <c r="H36" s="78">
        <v>0</v>
      </c>
      <c r="I36" s="78">
        <v>0</v>
      </c>
      <c r="J36" s="78">
        <v>0</v>
      </c>
      <c r="K36" s="78">
        <v>1</v>
      </c>
      <c r="L36" s="78">
        <v>0</v>
      </c>
      <c r="M36" s="78">
        <v>1</v>
      </c>
      <c r="N36" s="78">
        <v>0</v>
      </c>
      <c r="O36" s="78">
        <v>1</v>
      </c>
      <c r="P36" s="67">
        <v>0</v>
      </c>
      <c r="Q36" s="78">
        <v>0</v>
      </c>
      <c r="R36" s="68">
        <v>1</v>
      </c>
      <c r="S36"/>
      <c r="T36"/>
    </row>
    <row r="37" spans="1:20" ht="15" customHeight="1" x14ac:dyDescent="0.15">
      <c r="A37" s="124"/>
      <c r="B37" s="90"/>
      <c r="C37" s="90"/>
      <c r="D37" s="90"/>
      <c r="E37" s="121"/>
      <c r="F37" s="188" t="s">
        <v>224</v>
      </c>
      <c r="G37" s="78">
        <v>0</v>
      </c>
      <c r="H37" s="78">
        <v>0</v>
      </c>
      <c r="I37" s="78">
        <v>0</v>
      </c>
      <c r="J37" s="78">
        <v>0</v>
      </c>
      <c r="K37" s="78">
        <v>1</v>
      </c>
      <c r="L37" s="78">
        <v>0</v>
      </c>
      <c r="M37" s="78">
        <v>1</v>
      </c>
      <c r="N37" s="78">
        <v>0</v>
      </c>
      <c r="O37" s="78">
        <v>1</v>
      </c>
      <c r="P37" s="67">
        <v>0</v>
      </c>
      <c r="Q37" s="78">
        <v>0</v>
      </c>
      <c r="R37" s="68">
        <v>1</v>
      </c>
      <c r="S37"/>
      <c r="T37"/>
    </row>
    <row r="38" spans="1:20" ht="15" customHeight="1" x14ac:dyDescent="0.15">
      <c r="A38" s="125"/>
      <c r="B38" s="90"/>
      <c r="C38" s="90"/>
      <c r="D38" s="90"/>
      <c r="E38" s="121"/>
      <c r="F38" s="188" t="s">
        <v>225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1</v>
      </c>
      <c r="N38" s="78">
        <v>0</v>
      </c>
      <c r="O38" s="78">
        <v>0</v>
      </c>
      <c r="P38" s="67">
        <v>0</v>
      </c>
      <c r="Q38" s="78">
        <v>0</v>
      </c>
      <c r="R38" s="68">
        <v>1</v>
      </c>
      <c r="S38"/>
      <c r="T38"/>
    </row>
    <row r="39" spans="1:20" ht="15" customHeight="1" x14ac:dyDescent="0.15">
      <c r="A39" s="125"/>
      <c r="B39" s="90"/>
      <c r="C39" s="90"/>
      <c r="D39" s="90"/>
      <c r="E39" s="121"/>
      <c r="F39" s="188" t="s">
        <v>226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1</v>
      </c>
      <c r="M39" s="78">
        <v>0</v>
      </c>
      <c r="N39" s="78">
        <v>1</v>
      </c>
      <c r="O39" s="78">
        <v>0</v>
      </c>
      <c r="P39" s="67">
        <v>1</v>
      </c>
      <c r="Q39" s="78">
        <v>0</v>
      </c>
      <c r="R39" s="68">
        <v>1</v>
      </c>
      <c r="S39"/>
      <c r="T39"/>
    </row>
    <row r="40" spans="1:20" ht="15" customHeight="1" x14ac:dyDescent="0.15">
      <c r="A40" s="125"/>
      <c r="B40" s="90"/>
      <c r="C40" s="90"/>
      <c r="D40" s="90"/>
      <c r="E40" s="121"/>
      <c r="F40" s="188" t="s">
        <v>227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1</v>
      </c>
      <c r="M40" s="78">
        <v>0</v>
      </c>
      <c r="N40" s="78">
        <v>1</v>
      </c>
      <c r="O40" s="78">
        <v>0</v>
      </c>
      <c r="P40" s="67">
        <v>1</v>
      </c>
      <c r="Q40" s="78">
        <v>0</v>
      </c>
      <c r="R40" s="68">
        <v>1</v>
      </c>
      <c r="S40"/>
      <c r="T40"/>
    </row>
    <row r="41" spans="1:20" ht="15" customHeight="1" thickBot="1" x14ac:dyDescent="0.2">
      <c r="A41" s="125"/>
      <c r="B41" s="90"/>
      <c r="C41" s="90"/>
      <c r="D41" s="91"/>
      <c r="E41" s="126"/>
      <c r="F41" s="194" t="s">
        <v>232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 s="105">
        <v>1</v>
      </c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2734.1759999999999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R192"/>
  <sheetViews>
    <sheetView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A43" sqref="A43"/>
    </sheetView>
  </sheetViews>
  <sheetFormatPr baseColWidth="10" defaultColWidth="8.83203125" defaultRowHeight="13" x14ac:dyDescent="0.15"/>
  <cols>
    <col min="1" max="1" width="20.5" bestFit="1" customWidth="1"/>
    <col min="2" max="2" width="2.33203125" style="104" customWidth="1"/>
    <col min="3" max="5" width="7.83203125" style="104" customWidth="1"/>
    <col min="6" max="8" width="8.83203125" style="6"/>
    <col min="9" max="9" width="10.83203125" style="6" customWidth="1"/>
    <col min="10" max="10" width="11.5" style="6" customWidth="1"/>
    <col min="11" max="11" width="16.83203125" style="6" customWidth="1"/>
    <col min="12" max="12" width="8.5" style="6" customWidth="1"/>
    <col min="13" max="13" width="20.5" style="6" customWidth="1"/>
    <col min="14" max="14" width="13" style="6" customWidth="1"/>
    <col min="15" max="15" width="6.1640625" style="6" customWidth="1"/>
    <col min="16" max="16" width="7.5" style="6" customWidth="1"/>
    <col min="17" max="17" width="9.6640625" style="6" customWidth="1"/>
    <col min="18" max="18" width="9.5" style="6" customWidth="1"/>
    <col min="19" max="19" width="7.5" style="6" customWidth="1"/>
    <col min="20" max="20" width="8.1640625" style="6" customWidth="1"/>
    <col min="21" max="21" width="8.33203125" style="6" customWidth="1"/>
    <col min="22" max="22" width="15.1640625" style="6" customWidth="1"/>
    <col min="23" max="23" width="9.33203125" style="6" customWidth="1"/>
    <col min="24" max="24" width="20.1640625" style="6" customWidth="1"/>
    <col min="25" max="25" width="7.83203125" style="6" customWidth="1"/>
    <col min="26" max="26" width="9.1640625" style="6" customWidth="1"/>
    <col min="27" max="27" width="19" style="6" customWidth="1"/>
    <col min="28" max="28" width="14.6640625" style="6" customWidth="1"/>
    <col min="29" max="29" width="14.33203125" style="6" customWidth="1"/>
    <col min="30" max="30" width="14.5" style="6" customWidth="1"/>
    <col min="31" max="31" width="11.33203125" style="6" customWidth="1"/>
    <col min="32" max="32" width="14" style="6" customWidth="1"/>
    <col min="33" max="33" width="13" style="6" customWidth="1"/>
    <col min="34" max="34" width="10.5" style="6" customWidth="1"/>
    <col min="35" max="35" width="8.6640625" style="6" customWidth="1"/>
    <col min="36" max="36" width="7.33203125" style="6" customWidth="1"/>
    <col min="37" max="37" width="11.5" style="6" customWidth="1"/>
    <col min="38" max="38" width="7.1640625" style="6" customWidth="1"/>
    <col min="39" max="39" width="7.83203125" customWidth="1"/>
    <col min="40" max="40" width="11.33203125" customWidth="1"/>
    <col min="41" max="41" width="13.1640625" customWidth="1"/>
    <col min="42" max="42" width="7.6640625" customWidth="1"/>
    <col min="43" max="43" width="21.6640625" customWidth="1"/>
    <col min="81" max="81" width="22.1640625" bestFit="1" customWidth="1"/>
  </cols>
  <sheetData>
    <row r="1" spans="1:44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/>
      <c r="G1"/>
      <c r="H1"/>
      <c r="I1" s="193" t="s">
        <v>193</v>
      </c>
      <c r="J1" s="193" t="s">
        <v>194</v>
      </c>
      <c r="K1" s="193" t="s">
        <v>195</v>
      </c>
      <c r="L1" s="193" t="s">
        <v>196</v>
      </c>
      <c r="M1" s="193" t="s">
        <v>197</v>
      </c>
      <c r="N1" s="193" t="s">
        <v>198</v>
      </c>
      <c r="O1" s="193" t="s">
        <v>199</v>
      </c>
      <c r="P1" s="193" t="s">
        <v>200</v>
      </c>
      <c r="Q1" s="193" t="s">
        <v>201</v>
      </c>
      <c r="R1" s="193" t="s">
        <v>202</v>
      </c>
      <c r="S1" s="193" t="s">
        <v>203</v>
      </c>
      <c r="T1" s="193" t="s">
        <v>204</v>
      </c>
      <c r="U1" s="193" t="s">
        <v>205</v>
      </c>
      <c r="V1" s="193" t="s">
        <v>206</v>
      </c>
      <c r="W1" s="193" t="s">
        <v>207</v>
      </c>
      <c r="X1" s="193" t="s">
        <v>208</v>
      </c>
      <c r="Y1" s="193" t="s">
        <v>209</v>
      </c>
      <c r="Z1" s="193" t="s">
        <v>210</v>
      </c>
      <c r="AA1" s="193" t="s">
        <v>211</v>
      </c>
      <c r="AB1" s="193" t="s">
        <v>212</v>
      </c>
      <c r="AC1" s="193" t="s">
        <v>213</v>
      </c>
      <c r="AD1" s="193" t="s">
        <v>214</v>
      </c>
      <c r="AE1" s="193" t="s">
        <v>215</v>
      </c>
      <c r="AF1" s="193" t="s">
        <v>216</v>
      </c>
      <c r="AG1" s="193" t="s">
        <v>217</v>
      </c>
      <c r="AH1" s="193" t="s">
        <v>218</v>
      </c>
      <c r="AI1" s="193" t="s">
        <v>219</v>
      </c>
      <c r="AJ1" s="193" t="s">
        <v>220</v>
      </c>
      <c r="AK1" s="193" t="s">
        <v>221</v>
      </c>
      <c r="AL1" s="193" t="s">
        <v>222</v>
      </c>
      <c r="AM1" s="193" t="s">
        <v>223</v>
      </c>
      <c r="AN1" s="193" t="s">
        <v>224</v>
      </c>
      <c r="AO1" s="193" t="s">
        <v>225</v>
      </c>
      <c r="AP1" s="193" t="s">
        <v>226</v>
      </c>
      <c r="AQ1" s="193" t="s">
        <v>227</v>
      </c>
      <c r="AR1" s="195" t="s">
        <v>232</v>
      </c>
    </row>
    <row r="2" spans="1:44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4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4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4" x14ac:dyDescent="0.15">
      <c r="A5" s="192" t="s">
        <v>193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4" x14ac:dyDescent="0.15">
      <c r="A6" s="192" t="s">
        <v>194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4" x14ac:dyDescent="0.15">
      <c r="A7" s="192" t="s">
        <v>195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4" x14ac:dyDescent="0.15">
      <c r="A8" s="192" t="s">
        <v>196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4" x14ac:dyDescent="0.15">
      <c r="A9" s="192" t="s">
        <v>197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4" x14ac:dyDescent="0.15">
      <c r="A10" s="192" t="s">
        <v>198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4" x14ac:dyDescent="0.15">
      <c r="A11" s="192" t="s">
        <v>199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4" x14ac:dyDescent="0.15">
      <c r="A12" s="192" t="s">
        <v>200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4" x14ac:dyDescent="0.15">
      <c r="A13" s="192" t="s">
        <v>201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4" x14ac:dyDescent="0.15">
      <c r="A14" s="192" t="s">
        <v>202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4" x14ac:dyDescent="0.15">
      <c r="A15" s="192" t="s">
        <v>203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4" x14ac:dyDescent="0.15">
      <c r="A16" s="192" t="s">
        <v>204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2" t="s">
        <v>205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2" t="s">
        <v>206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2" t="s">
        <v>207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2" t="s">
        <v>208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2" t="s">
        <v>209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2" t="s">
        <v>210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2" t="s">
        <v>211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2" t="s">
        <v>212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2" t="s">
        <v>213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2" t="s">
        <v>214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2" t="s">
        <v>215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2" t="s">
        <v>216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2" t="s">
        <v>217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2" t="s">
        <v>218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2" t="s">
        <v>219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2" t="s">
        <v>220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2" t="s">
        <v>221</v>
      </c>
      <c r="B33" s="10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2" t="s">
        <v>222</v>
      </c>
      <c r="B34" s="10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2" t="s">
        <v>223</v>
      </c>
      <c r="B35" s="10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2" t="s">
        <v>224</v>
      </c>
      <c r="B36" s="104">
        <v>0</v>
      </c>
      <c r="C36"/>
      <c r="D36"/>
    </row>
    <row r="37" spans="1:38" ht="15" customHeight="1" x14ac:dyDescent="0.15">
      <c r="A37" s="192" t="s">
        <v>225</v>
      </c>
      <c r="B37" s="104">
        <v>0</v>
      </c>
      <c r="C37"/>
      <c r="D37"/>
    </row>
    <row r="38" spans="1:38" ht="15" customHeight="1" x14ac:dyDescent="0.15">
      <c r="A38" s="192" t="s">
        <v>226</v>
      </c>
      <c r="B38" s="10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2" t="s">
        <v>227</v>
      </c>
      <c r="B39" s="104">
        <v>0</v>
      </c>
      <c r="C39"/>
      <c r="D39"/>
    </row>
    <row r="40" spans="1:38" ht="15" customHeight="1" x14ac:dyDescent="0.15">
      <c r="A40" s="195" t="s">
        <v>232</v>
      </c>
      <c r="B40" s="104">
        <v>0</v>
      </c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2023-08-14T23:29:30Z</dcterms:modified>
</cp:coreProperties>
</file>