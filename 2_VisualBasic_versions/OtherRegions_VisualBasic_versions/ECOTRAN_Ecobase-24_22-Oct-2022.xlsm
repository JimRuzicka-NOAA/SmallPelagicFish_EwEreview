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OtherRegions/"/>
    </mc:Choice>
  </mc:AlternateContent>
  <xr:revisionPtr revIDLastSave="0" documentId="13_ncr:1_{C1202114-C2A5-4241-8DC3-92D8401AAC5F}" xr6:coauthVersionLast="45" xr6:coauthVersionMax="45" xr10:uidLastSave="{00000000-0000-0000-0000-000000000000}"/>
  <bookViews>
    <workbookView xWindow="0" yWindow="460" windowWidth="25600" windowHeight="14240" tabRatio="728" firstSheet="2"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Main!$C$2:$N$33</definedName>
    <definedName name="matDetritus">Detritus!$C$2:$E$33</definedName>
    <definedName name="matDiet">Diets!$B$2:$AC$32</definedName>
    <definedName name="matDiscards">Discards!$C$2:$D$31</definedName>
    <definedName name="matFishery">Fishing!$C$2:$D$31</definedName>
    <definedName name="matFishing">Fishing!#REF!</definedName>
    <definedName name="matMort">Mortalities!$A$1:$AI$31</definedName>
    <definedName name="matOut">MainOutputs!$A$2:$I$33</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<sst xmlns="http://schemas.openxmlformats.org/spreadsheetml/2006/main" count="948" uniqueCount="230">
  <si>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</si>
  <si>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</si>
  <si>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</si>
  <si>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</si>
  <si>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</si>
  <si>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</si>
  <si>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</si>
  <si>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</si>
  <si>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</si>
  <si>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</si>
  <si>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</si>
  <si>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</si>
  <si>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</si>
  <si>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</si>
  <si>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</si>
  <si>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</si>
  <si>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</si>
  <si>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</si>
  <si>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</si>
  <si>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</si>
  <si>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</si>
  <si>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</si>
  <si>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</si>
  <si>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</si>
  <si>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</si>
  <si>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</si>
  <si>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</si>
  <si>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</si>
  <si>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</si>
  <si>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</si>
  <si>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</si>
  <si>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</si>
  <si>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</si>
  <si>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</si>
  <si>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</si>
  <si>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</si>
  <si>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</si>
  <si>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</si>
  <si>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</si>
  <si>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</si>
  <si>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</si>
  <si>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</si>
  <si>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</si>
  <si>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</si>
  <si>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</si>
  <si>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</si>
  <si>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</si>
  <si>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</si>
  <si>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</si>
  <si>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</si>
  <si>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</si>
  <si>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</si>
  <si>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</si>
  <si>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</si>
  <si>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</si>
  <si>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</si>
  <si>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</si>
  <si>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</si>
  <si>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</si>
  <si>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</si>
  <si>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</si>
  <si>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</si>
  <si>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</si>
  <si>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</si>
  <si>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</si>
  <si>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</si>
  <si>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</si>
  <si>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</si>
  <si>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</si>
  <si>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</si>
  <si>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</si>
  <si>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</si>
  <si>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</si>
  <si>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</si>
  <si>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</si>
  <si>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</si>
  <si>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</si>
  <si>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</si>
  <si>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</si>
  <si>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</si>
  <si>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</si>
  <si>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</si>
  <si>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</si>
  <si>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</si>
  <si>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</si>
  <si>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</si>
  <si>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</si>
  <si>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</si>
  <si>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</si>
  <si>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</si>
  <si>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</si>
  <si>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</si>
  <si>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</si>
  <si>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</si>
  <si>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</si>
  <si>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</si>
  <si>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</si>
  <si>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</si>
  <si>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</si>
  <si>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</si>
  <si>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</si>
  <si>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</si>
  <si>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</si>
  <si>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</si>
  <si>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</si>
  <si>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</si>
  <si>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</si>
  <si>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</si>
  <si>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</si>
  <si>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</si>
  <si>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</si>
  <si>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</si>
  <si>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</si>
  <si>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</si>
  <si>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</si>
  <si>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</si>
  <si>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</si>
  <si>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</si>
  <si>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</si>
  <si>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</si>
  <si>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</si>
  <si>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</si>
  <si>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</si>
  <si>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</si>
  <si>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</si>
  <si>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</si>
  <si>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</si>
  <si>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</si>
  <si>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</si>
  <si>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</si>
  <si>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</si>
  <si>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</si>
  <si>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</si>
  <si>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</si>
  <si>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</si>
  <si>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</si>
  <si>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</si>
  <si>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</si>
  <si>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</si>
  <si>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</si>
  <si>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</si>
  <si>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</si>
  <si>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</si>
  <si>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</si>
  <si>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</si>
  <si>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</si>
  <si>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</si>
  <si>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</si>
  <si>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</si>
  <si>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</si>
  <si>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</si>
  <si>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</si>
  <si>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</si>
  <si>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</si>
  <si>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</si>
  <si>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</si>
  <si>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</si>
  <si>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</si>
  <si>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</si>
  <si>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</si>
  <si>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</si>
  <si>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</si>
  <si>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</si>
  <si>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</si>
  <si>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</si>
  <si>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</si>
  <si>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</si>
  <si>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</si>
  <si>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</si>
  <si>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</si>
  <si>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</si>
  <si>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</si>
  <si>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</si>
  <si>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</si>
  <si>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</si>
  <si>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</si>
  <si>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</si>
  <si>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</si>
  <si>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</si>
  <si>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</si>
  <si>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</si>
  <si>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</si>
  <si>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</si>
  <si>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</si>
  <si>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</si>
  <si>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Caribbean</t>
  </si>
  <si>
    <t>Not affiliated</t>
  </si>
  <si>
    <t>BOX(-73.6354485851368 9.35162695981193,-57.1461379671469 22.2171488984256)</t>
  </si>
  <si>
    <t>continental shelf</t>
  </si>
  <si>
    <t>WetWeight</t>
  </si>
  <si>
    <t>; 23/01/2009 1:09:16 PM</t>
  </si>
  <si>
    <t>Melgo J.L.,Morisette L.,Kaschner K.,Gerber L.(2009). Food web model and data for studying the interactions between marine mammals and fisheries in the Caribbean ecosystem Modelling the trophic role of marine mammals in tropical areas: data requirements, uncertainty, and validation. pp 53-120. In Morissette L.,Melgo J.L.,Kaschner K.,Gerber L.</t>
  </si>
  <si>
    <t>Minke whales</t>
  </si>
  <si>
    <t>Fin whales</t>
  </si>
  <si>
    <t>Humpback whales</t>
  </si>
  <si>
    <t>Brydes whales</t>
  </si>
  <si>
    <t>Sei whales</t>
  </si>
  <si>
    <t>Blue whales</t>
  </si>
  <si>
    <t>Sperm whales</t>
  </si>
  <si>
    <t>Killer whales</t>
  </si>
  <si>
    <t>Beaked whales</t>
  </si>
  <si>
    <t>Small cetaceans</t>
  </si>
  <si>
    <t>Seabirds</t>
  </si>
  <si>
    <t>Sea turtles</t>
  </si>
  <si>
    <t>Large tunas and billfishes</t>
  </si>
  <si>
    <t>Small tunas</t>
  </si>
  <si>
    <t>Dolphinfish</t>
  </si>
  <si>
    <t>Flyingfishes</t>
  </si>
  <si>
    <t>Other offshore predators</t>
  </si>
  <si>
    <t>Pelagic sharks</t>
  </si>
  <si>
    <t>Coastal &amp;amp; demersal sharks and rays</t>
  </si>
  <si>
    <t>Scombrids</t>
  </si>
  <si>
    <t>Small &amp;amp; Schooling pelagics</t>
  </si>
  <si>
    <t>Reef fishes</t>
  </si>
  <si>
    <t>Coastal predators</t>
  </si>
  <si>
    <t>Cephalopods</t>
  </si>
  <si>
    <t>Crustaceans and benthos</t>
  </si>
  <si>
    <t>Zooplankton</t>
  </si>
  <si>
    <t>Benthic producers</t>
  </si>
  <si>
    <t>Phytoplankton</t>
  </si>
  <si>
    <t>Detritus2</t>
  </si>
  <si>
    <t>detritus_TerminalBenthic</t>
  </si>
  <si>
    <t>Local fisheries</t>
  </si>
  <si>
    <t>Foreign fisheries</t>
  </si>
  <si>
    <t>Import</t>
  </si>
  <si>
    <t>export</t>
  </si>
  <si>
    <t>sum</t>
  </si>
  <si>
    <t>TOTAL</t>
  </si>
  <si>
    <t>F Local fisheries</t>
  </si>
  <si>
    <t>F Foreign fisheries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</si>
</sst>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02">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27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48FF00"/>
        <bgColor indexed="64"/>
      </patternFill>
    </fill>
    <fill>
      <patternFill patternType="solid">
        <fgColor rgb="FF63FF00"/>
        <bgColor indexed="64"/>
      </patternFill>
    </fill>
    <fill>
      <patternFill patternType="solid">
        <fgColor rgb="FF42FF00"/>
        <bgColor indexed="64"/>
      </patternFill>
    </fill>
    <fill>
      <patternFill patternType="solid">
        <fgColor rgb="FFFFA000"/>
        <bgColor indexed="64"/>
      </patternFill>
    </fill>
    <fill>
      <patternFill patternType="solid">
        <fgColor rgb="FF33FF00"/>
        <bgColor indexed="64"/>
      </patternFill>
    </fill>
    <fill>
      <patternFill patternType="solid">
        <fgColor rgb="FF0F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FF1900"/>
        <bgColor indexed="64"/>
      </patternFill>
    </fill>
    <fill>
      <patternFill patternType="solid">
        <fgColor rgb="FF25FF00"/>
        <bgColor indexed="64"/>
      </patternFill>
    </fill>
    <fill>
      <patternFill patternType="solid">
        <fgColor rgb="FF60FF00"/>
        <bgColor indexed="64"/>
      </patternFill>
    </fill>
    <fill>
      <patternFill patternType="solid">
        <fgColor rgb="FF14FF00"/>
        <bgColor indexed="64"/>
      </patternFill>
    </fill>
    <fill>
      <patternFill patternType="solid">
        <fgColor rgb="FF1BFF00"/>
        <bgColor indexed="64"/>
      </patternFill>
    </fill>
    <fill>
      <patternFill patternType="solid">
        <fgColor rgb="FFC9FF00"/>
        <bgColor indexed="64"/>
      </patternFill>
    </fill>
    <fill>
      <patternFill patternType="solid">
        <fgColor rgb="FF31FF00"/>
        <bgColor indexed="64"/>
      </patternFill>
    </fill>
    <fill>
      <patternFill patternType="solid">
        <fgColor rgb="FF52FF00"/>
        <bgColor indexed="64"/>
      </patternFill>
    </fill>
    <fill>
      <patternFill patternType="solid">
        <fgColor rgb="FFFFC000"/>
        <bgColor indexed="64"/>
      </patternFill>
    </fill>
    <fill>
      <patternFill patternType="solid">
        <fgColor rgb="FF66FF00"/>
        <bgColor indexed="64"/>
      </patternFill>
    </fill>
    <fill>
      <patternFill patternType="solid">
        <fgColor rgb="FF2AFF00"/>
        <bgColor indexed="64"/>
      </patternFill>
    </fill>
    <fill>
      <patternFill patternType="solid">
        <fgColor rgb="FF77FF00"/>
        <bgColor indexed="64"/>
      </patternFill>
    </fill>
    <fill>
      <patternFill patternType="solid">
        <fgColor rgb="FF92FF00"/>
        <bgColor indexed="64"/>
      </patternFill>
    </fill>
    <fill>
      <patternFill patternType="solid">
        <fgColor rgb="FF90FF00"/>
        <bgColor indexed="64"/>
      </patternFill>
    </fill>
    <fill>
      <patternFill patternType="solid">
        <fgColor rgb="FF0CFF00"/>
        <bgColor indexed="64"/>
      </patternFill>
    </fill>
    <fill>
      <patternFill patternType="solid">
        <fgColor rgb="FF38FF00"/>
        <bgColor indexed="64"/>
      </patternFill>
    </fill>
    <fill>
      <patternFill patternType="solid">
        <fgColor rgb="FFEAFF00"/>
        <bgColor indexed="64"/>
      </patternFill>
    </fill>
    <fill>
      <patternFill patternType="solid">
        <fgColor rgb="FF19FF00"/>
        <bgColor indexed="64"/>
      </patternFill>
    </fill>
    <fill>
      <patternFill patternType="solid">
        <fgColor rgb="FF35FF00"/>
        <bgColor indexed="64"/>
      </patternFill>
    </fill>
    <fill>
      <patternFill patternType="solid">
        <fgColor rgb="FF39FF00"/>
        <bgColor indexed="64"/>
      </patternFill>
    </fill>
    <fill>
      <patternFill patternType="solid">
        <fgColor rgb="FF9AFF00"/>
        <bgColor indexed="64"/>
      </patternFill>
    </fill>
    <fill>
      <patternFill patternType="solid">
        <fgColor rgb="FF5AFF00"/>
        <bgColor indexed="64"/>
      </patternFill>
    </fill>
    <fill>
      <patternFill patternType="solid">
        <fgColor rgb="FFFFFA00"/>
        <bgColor indexed="64"/>
      </patternFill>
    </fill>
    <fill>
      <patternFill patternType="solid">
        <fgColor rgb="FF2EFF00"/>
        <bgColor indexed="64"/>
      </patternFill>
    </fill>
    <fill>
      <patternFill patternType="solid">
        <fgColor rgb="FF23FF00"/>
        <bgColor indexed="64"/>
      </patternFill>
    </fill>
    <fill>
      <patternFill patternType="solid">
        <fgColor rgb="FF61FF00"/>
        <bgColor indexed="64"/>
      </patternFill>
    </fill>
    <fill>
      <patternFill patternType="solid">
        <fgColor rgb="FFFFF300"/>
        <bgColor indexed="64"/>
      </patternFill>
    </fill>
    <fill>
      <patternFill patternType="solid">
        <fgColor rgb="FFFF0000"/>
        <bgColor indexed="64"/>
      </patternFill>
    </fill>
    <fill>
      <patternFill patternType="solid">
        <fgColor rgb="FFFDFF00"/>
        <bgColor indexed="64"/>
      </patternFill>
    </fill>
    <fill>
      <patternFill patternType="solid">
        <fgColor rgb="FFFFF100"/>
        <bgColor indexed="64"/>
      </patternFill>
    </fill>
    <fill>
      <patternFill patternType="solid">
        <fgColor rgb="FFFFDE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24">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1" borderId="2" xfId="0" applyFont="1" applyFill="1" applyBorder="1" applyAlignment="1">
      <alignment horizontal="center"/>
    </xf>
    <xf numFmtId="0" fontId="1" fillId="21" borderId="4" xfId="0" applyFont="1" applyFill="1" applyBorder="1" applyAlignment="1">
      <alignment horizontal="center"/>
    </xf>
    <xf numFmtId="0" fontId="1" fillId="21"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1" borderId="5" xfId="0" applyFill="1" applyBorder="1"/>
    <xf numFmtId="0" fontId="0" fillId="21" borderId="6" xfId="0" applyFill="1" applyBorder="1"/>
    <xf numFmtId="0" fontId="0" fillId="21" borderId="7" xfId="0" applyFill="1" applyBorder="1"/>
    <xf numFmtId="0" fontId="0" fillId="21" borderId="8" xfId="0" applyFill="1" applyBorder="1"/>
    <xf numFmtId="0" fontId="0" fillId="21" borderId="9" xfId="0" applyFill="1" applyBorder="1"/>
    <xf numFmtId="0" fontId="0" fillId="21" borderId="11" xfId="0" applyFill="1" applyBorder="1"/>
    <xf numFmtId="0" fontId="8" fillId="0" borderId="0" xfId="0" applyFont="1"/>
    <xf numFmtId="0" fontId="9" fillId="0" borderId="0" xfId="0" applyFont="1"/>
    <xf numFmtId="0" fontId="1" fillId="2" borderId="0" xfId="0" applyFont="1" applyFill="1" applyBorder="1"/>
    <xf numFmtId="0" fontId="0" fillId="27" borderId="0" xfId="0" applyFill="1"/>
    <xf numFmtId="0" fontId="0" fillId="28" borderId="0" xfId="0" applyFill="1"/>
    <xf numFmtId="0" fontId="0" fillId="29" borderId="0" xfId="0" applyFill="1"/>
    <xf numFmtId="0" fontId="0" fillId="30" borderId="0" xfId="0" applyFill="1"/>
    <xf numFmtId="0" fontId="1" fillId="0" borderId="0" xfId="0" applyFont="1" applyAlignment="1">
      <alignment horizontal="center"/>
    </xf>
    <xf numFmtId="0" fontId="0" fillId="31" borderId="0" xfId="0" applyFill="1"/>
    <xf numFmtId="0" fontId="0" fillId="0" borderId="0" xfId="0" applyFont="1" applyFill="1"/>
    <xf numFmtId="0" fontId="0" fillId="0" borderId="0" xfId="0" applyFont="1" applyAlignment="1">
      <alignment horizontal="center"/>
    </xf>
    <xf numFmtId="0" fontId="0" fillId="0" borderId="0" xfId="0" applyFont="1" applyFill="1" applyAlignment="1">
      <alignment horizontal="center"/>
    </xf>
    <xf numFmtId="0" fontId="0" fillId="33"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2"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2" borderId="3" xfId="0" applyNumberFormat="1" applyFont="1" applyFill="1" applyBorder="1"/>
    <xf numFmtId="0" fontId="0" fillId="32" borderId="2" xfId="0" applyFont="1" applyFill="1" applyBorder="1"/>
    <xf numFmtId="0" fontId="0" fillId="32" borderId="3" xfId="0" applyFont="1" applyFill="1" applyBorder="1"/>
    <xf numFmtId="0" fontId="0" fillId="32"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34"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6" borderId="0" xfId="0" applyFont="1" applyFill="1" applyAlignment="1">
      <alignment horizontal="center"/>
    </xf>
    <xf numFmtId="0" fontId="12" fillId="24" borderId="0" xfId="0" applyFont="1" applyFill="1" applyAlignment="1">
      <alignment horizontal="center"/>
    </xf>
    <xf numFmtId="0" fontId="12" fillId="25" borderId="0" xfId="0" applyFont="1" applyFill="1" applyAlignment="1">
      <alignment horizontal="center"/>
    </xf>
    <xf numFmtId="0" fontId="12" fillId="22" borderId="0" xfId="0" applyFont="1" applyFill="1" applyAlignment="1">
      <alignment horizontal="center"/>
    </xf>
    <xf numFmtId="0" fontId="12" fillId="23" borderId="0" xfId="0" applyFont="1" applyFill="1" applyAlignment="1">
      <alignment horizontal="center"/>
    </xf>
    <xf numFmtId="0" fontId="12" fillId="0" borderId="0" xfId="0" applyFont="1" applyFill="1" applyAlignment="1">
      <alignment horizontal="right"/>
    </xf>
    <xf numFmtId="0" fontId="0" fillId="21" borderId="2" xfId="0" applyFill="1" applyBorder="1" applyAlignment="1">
      <alignment horizontal="center"/>
    </xf>
    <xf numFmtId="0" fontId="0" fillId="21" borderId="4" xfId="0" applyFill="1" applyBorder="1" applyAlignment="1">
      <alignment horizontal="center"/>
    </xf>
    <xf numFmtId="0" fontId="0" fillId="21"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35" borderId="0" xfId="0" applyFill="1"/>
    <xf numFmtId="0" fontId="0" fillId="36" borderId="0" xfId="0" applyFill="1"/>
    <xf numFmtId="0" fontId="0" fillId="37" borderId="0" xfId="0" applyFill="1"/>
    <xf numFmtId="0" fontId="1" fillId="2" borderId="0" xfId="0" applyNumberFormat="1" applyFont="1" applyFill="1"/>
    <xf numFmtId="0" fontId="0" fillId="0" borderId="0" xfId="0" applyNumberFormat="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89.5" customWidth="1"/>
  </cols>
  <sheetData>
    <row r="2" spans="2:4" x14ac:dyDescent="0.15">
      <c r="B2" t="s">
        <v>145</v>
      </c>
    </row>
    <row r="3" spans="2:4" x14ac:dyDescent="0.15">
      <c r="B3" t="s">
        <v>146</v>
      </c>
    </row>
    <row r="4" spans="2:4" x14ac:dyDescent="0.15">
      <c r="B4" s="58" t="s">
        <v>164</v>
      </c>
    </row>
    <row r="6" spans="2:4" ht="14" thickBot="1" x14ac:dyDescent="0.2">
      <c r="B6" s="42" t="s">
        <v>141</v>
      </c>
    </row>
    <row r="7" spans="2:4" x14ac:dyDescent="0.15">
      <c r="B7" s="58" t="s">
        <v>143</v>
      </c>
    </row>
    <row r="8" spans="2:4" x14ac:dyDescent="0.15">
      <c r="B8" s="58" t="s">
        <v>142</v>
      </c>
    </row>
    <row r="9" spans="2:4" x14ac:dyDescent="0.15">
      <c r="B9" s="58" t="s">
        <v>144</v>
      </c>
    </row>
    <row r="10" spans="2:4" x14ac:dyDescent="0.15">
      <c r="B10" s="58" t="s">
        <v>147</v>
      </c>
    </row>
    <row r="11" spans="2:4" x14ac:dyDescent="0.15">
      <c r="B11" s="58" t="s">
        <v>151</v>
      </c>
    </row>
    <row r="12" spans="2:4" x14ac:dyDescent="0.15">
      <c r="B12" s="58" t="s">
        <v>153</v>
      </c>
    </row>
    <row r="13" spans="2:4" x14ac:dyDescent="0.15">
      <c r="B13" s="58" t="s">
        <v>165</v>
      </c>
    </row>
    <row r="15" spans="2:4" ht="14" thickBot="1" x14ac:dyDescent="0.2"/>
    <row r="16" spans="2:4" ht="14" thickBot="1" x14ac:dyDescent="0.2">
      <c r="B16" s="43" t="s">
        <v>137</v>
      </c>
      <c r="C16" s="44"/>
      <c r="D16" s="26">
        <v>41373</v>
      </c>
    </row>
    <row r="17" spans="2:4" x14ac:dyDescent="0.15">
      <c r="B17" s="45" t="s">
        <v>58</v>
      </c>
      <c r="C17" s="29">
        <v>0</v>
      </c>
    </row>
    <row r="18" spans="2:4" x14ac:dyDescent="0.15">
      <c r="B18" s="45" t="s">
        <v>59</v>
      </c>
      <c r="C18" s="29">
        <v>1</v>
      </c>
    </row>
    <row r="19" spans="2:4" x14ac:dyDescent="0.15">
      <c r="B19" s="45" t="s">
        <v>60</v>
      </c>
      <c r="C19" s="29">
        <v>2</v>
      </c>
    </row>
    <row r="20" spans="2:4" ht="14" thickBot="1" x14ac:dyDescent="0.2">
      <c r="B20" s="46" t="s">
        <v>44</v>
      </c>
      <c r="C20" s="30">
        <v>3</v>
      </c>
    </row>
    <row r="21" spans="2:4" x14ac:dyDescent="0.15">
      <c r="B21" s="47" t="s">
        <v>140</v>
      </c>
    </row>
    <row r="22" spans="2:4" ht="14" thickBot="1" x14ac:dyDescent="0.2"/>
    <row r="23" spans="2:4" ht="14" thickBot="1" x14ac:dyDescent="0.2">
      <c r="B23" s="43" t="s">
        <v>65</v>
      </c>
      <c r="C23" s="44"/>
      <c r="D23" s="26" t="s">
        <v>148</v>
      </c>
    </row>
    <row r="24" spans="2:4" x14ac:dyDescent="0.15">
      <c r="B24" s="49" t="s">
        <v>38</v>
      </c>
      <c r="C24" s="27">
        <v>1</v>
      </c>
    </row>
    <row r="25" spans="2:4" x14ac:dyDescent="0.15">
      <c r="B25" s="45" t="s">
        <v>40</v>
      </c>
      <c r="C25" s="29">
        <v>1.1000000000000001</v>
      </c>
    </row>
    <row r="26" spans="2:4" x14ac:dyDescent="0.15">
      <c r="B26" s="45" t="s">
        <v>41</v>
      </c>
      <c r="C26" s="29">
        <v>1.2</v>
      </c>
    </row>
    <row r="27" spans="2:4" x14ac:dyDescent="0.15">
      <c r="B27" s="45"/>
      <c r="C27" s="29"/>
    </row>
    <row r="28" spans="2:4" x14ac:dyDescent="0.15">
      <c r="B28" s="45" t="s">
        <v>42</v>
      </c>
      <c r="C28" s="29">
        <v>2.1</v>
      </c>
    </row>
    <row r="29" spans="2:4" x14ac:dyDescent="0.15">
      <c r="B29" s="45" t="s">
        <v>43</v>
      </c>
      <c r="C29" s="29">
        <v>2.2000000000000002</v>
      </c>
    </row>
    <row r="30" spans="2:4" x14ac:dyDescent="0.15">
      <c r="B30" s="45" t="s">
        <v>67</v>
      </c>
      <c r="C30" s="29">
        <v>2.2999999999999998</v>
      </c>
    </row>
    <row r="31" spans="2:4" x14ac:dyDescent="0.15">
      <c r="B31" s="45"/>
      <c r="C31" s="29"/>
    </row>
    <row r="32" spans="2:4" x14ac:dyDescent="0.15">
      <c r="B32" s="45" t="s">
        <v>62</v>
      </c>
      <c r="C32" s="29">
        <v>3.11</v>
      </c>
    </row>
    <row r="33" spans="2:3" x14ac:dyDescent="0.15">
      <c r="B33" s="45" t="s">
        <v>61</v>
      </c>
      <c r="C33" s="29">
        <v>3.12</v>
      </c>
    </row>
    <row r="34" spans="2:3" x14ac:dyDescent="0.15">
      <c r="B34" s="45" t="s">
        <v>68</v>
      </c>
      <c r="C34" s="29">
        <v>3.13</v>
      </c>
    </row>
    <row r="35" spans="2:3" x14ac:dyDescent="0.15">
      <c r="B35" s="45"/>
      <c r="C35" s="29"/>
    </row>
    <row r="36" spans="2:3" x14ac:dyDescent="0.15">
      <c r="B36" s="45" t="s">
        <v>66</v>
      </c>
      <c r="C36" s="29">
        <v>3.21</v>
      </c>
    </row>
    <row r="37" spans="2:3" x14ac:dyDescent="0.15">
      <c r="B37" s="45" t="s">
        <v>63</v>
      </c>
      <c r="C37" s="29">
        <v>3.22</v>
      </c>
    </row>
    <row r="38" spans="2:3" x14ac:dyDescent="0.15">
      <c r="B38" s="45" t="s">
        <v>69</v>
      </c>
      <c r="C38" s="29">
        <v>3.23</v>
      </c>
    </row>
    <row r="39" spans="2:3" x14ac:dyDescent="0.15">
      <c r="B39" s="45"/>
      <c r="C39" s="29"/>
    </row>
    <row r="40" spans="2:3" x14ac:dyDescent="0.15">
      <c r="B40" s="45" t="s">
        <v>64</v>
      </c>
      <c r="C40" s="29">
        <v>8</v>
      </c>
    </row>
    <row r="41" spans="2:3" x14ac:dyDescent="0.15">
      <c r="B41" s="45"/>
      <c r="C41" s="29"/>
    </row>
    <row r="42" spans="2:3" x14ac:dyDescent="0.15">
      <c r="B42" s="45" t="s">
        <v>71</v>
      </c>
      <c r="C42" s="29">
        <v>4.0999999999999996</v>
      </c>
    </row>
    <row r="43" spans="2:3" x14ac:dyDescent="0.15">
      <c r="B43" s="45" t="s">
        <v>70</v>
      </c>
      <c r="C43" s="29">
        <v>4.2</v>
      </c>
    </row>
    <row r="44" spans="2:3" x14ac:dyDescent="0.15">
      <c r="B44" s="45" t="s">
        <v>72</v>
      </c>
      <c r="C44" s="29">
        <v>4.3</v>
      </c>
    </row>
    <row r="45" spans="2:3" x14ac:dyDescent="0.15">
      <c r="B45" s="28"/>
      <c r="C45" s="29"/>
    </row>
    <row r="46" spans="2:3" x14ac:dyDescent="0.15">
      <c r="B46" s="45" t="s">
        <v>138</v>
      </c>
      <c r="C46" s="29">
        <v>6.1</v>
      </c>
    </row>
    <row r="47" spans="2:3" x14ac:dyDescent="0.15">
      <c r="B47" s="45" t="s">
        <v>45</v>
      </c>
      <c r="C47" s="29">
        <v>6.2</v>
      </c>
    </row>
    <row r="48" spans="2:3" x14ac:dyDescent="0.15">
      <c r="B48" s="45"/>
      <c r="C48" s="29"/>
    </row>
    <row r="49" spans="2:4" x14ac:dyDescent="0.15">
      <c r="B49" s="45" t="s">
        <v>44</v>
      </c>
      <c r="C49" s="29">
        <v>5</v>
      </c>
    </row>
    <row r="50" spans="2:4" x14ac:dyDescent="0.15">
      <c r="B50" s="45"/>
      <c r="C50" s="29"/>
    </row>
    <row r="51" spans="2:4" ht="14" thickBot="1" x14ac:dyDescent="0.2">
      <c r="B51" s="46" t="s">
        <v>73</v>
      </c>
      <c r="C51" s="30">
        <v>7</v>
      </c>
    </row>
    <row r="53" spans="2:4" x14ac:dyDescent="0.15">
      <c r="B53" s="164" t="s">
        <v>171</v>
      </c>
      <c r="C53" s="99">
        <v>24</v>
      </c>
      <c r="D53" s="99"/>
    </row>
    <row r="54" spans="2:4" x14ac:dyDescent="0.15">
      <c r="B54" s="164" t="s">
        <v>172</v>
      </c>
      <c r="C54" s="164" t="s">
        <v>185</v>
      </c>
      <c r="D54" s="99"/>
    </row>
    <row r="55" spans="2:4" x14ac:dyDescent="0.15">
      <c r="B55" s="164" t="s">
        <v>173</v>
      </c>
      <c r="C55" s="164" t="s">
        <v>186</v>
      </c>
      <c r="D55" s="99"/>
    </row>
    <row r="56" spans="2:4" x14ac:dyDescent="0.15">
      <c r="B56" s="164" t="s">
        <v>174</v>
      </c>
      <c r="C56" s="99">
        <v>3561029</v>
      </c>
      <c r="D56" s="99"/>
    </row>
    <row r="57" spans="2:4" x14ac:dyDescent="0.15">
      <c r="B57" s="164" t="s">
        <v>175</v>
      </c>
      <c r="C57" s="164" t="s">
        <v>187</v>
      </c>
      <c r="D57" s="99"/>
    </row>
    <row r="58" spans="2:4" x14ac:dyDescent="0.15">
      <c r="B58" s="164" t="s">
        <v>176</v>
      </c>
      <c r="C58" s="164" t="s">
        <v>188</v>
      </c>
      <c r="D58" s="99"/>
    </row>
    <row r="59" spans="2:4" x14ac:dyDescent="0.15">
      <c r="B59" s="164" t="s">
        <v>177</v>
      </c>
      <c r="C59" s="164" t="s">
        <v>189</v>
      </c>
      <c r="D59" s="99"/>
    </row>
    <row r="60" spans="2:4" x14ac:dyDescent="0.15">
      <c r="B60" s="164" t="s">
        <v>178</v>
      </c>
      <c r="C60" s="164" t="s">
        <v>190</v>
      </c>
      <c r="D60" s="99"/>
    </row>
    <row r="61" spans="2:4" x14ac:dyDescent="0.15">
      <c r="B61" s="164" t="s">
        <v>179</v>
      </c>
      <c r="C61" s="99">
        <v>29</v>
      </c>
      <c r="D61" s="99"/>
    </row>
    <row r="62" spans="2:4" x14ac:dyDescent="0.15">
      <c r="B62" s="164" t="s">
        <v>180</v>
      </c>
      <c r="C62" s="99">
        <v>2</v>
      </c>
      <c r="D62" s="99"/>
    </row>
    <row r="63" spans="2:4" x14ac:dyDescent="0.15">
      <c r="B63" s="164" t="s">
        <v>181</v>
      </c>
      <c r="C63" s="99">
        <v>1980</v>
      </c>
      <c r="D63" s="99"/>
    </row>
    <row r="64" spans="2:4" x14ac:dyDescent="0.15">
      <c r="B64" s="164" t="s">
        <v>182</v>
      </c>
      <c r="C64" s="99">
        <v>1</v>
      </c>
      <c r="D64" s="99"/>
    </row>
    <row r="65" spans="2:4" x14ac:dyDescent="0.15">
      <c r="B65" s="164" t="s">
        <v>183</v>
      </c>
      <c r="C65" s="164" t="s">
        <v>191</v>
      </c>
      <c r="D65" s="99"/>
    </row>
    <row r="66" spans="2:4" x14ac:dyDescent="0.15">
      <c r="B66" s="164" t="s">
        <v>184</v>
      </c>
      <c r="D66" s="99"/>
    </row>
    <row r="67" spans="2:4" x14ac:dyDescent="0.15">
      <c r="B67" s="99"/>
      <c r="C67" s="99"/>
      <c r="D67" s="99"/>
    </row>
    <row r="68" spans="2:4" x14ac:dyDescent="0.15">
      <c r="B68" s="99"/>
      <c r="C68" s="99"/>
      <c r="D68" s="99"/>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P10" sqref="P10"/>
    </sheetView>
  </sheetViews>
  <sheetFormatPr baseColWidth="10" defaultColWidth="8.83203125" defaultRowHeight="15" customHeight="1" x14ac:dyDescent="0.15"/>
  <cols>
    <col min="1" max="1" width="22.5" style="74" customWidth="1"/>
    <col min="2" max="3" width="3.33203125" style="74" customWidth="1"/>
    <col min="4" max="4" width="14.33203125" style="74" customWidth="1"/>
    <col min="5" max="5" width="35.5" style="74" bestFit="1" customWidth="1"/>
    <col min="6" max="6" width="2.33203125" style="74" bestFit="1" customWidth="1"/>
    <col min="7" max="7" width="14.83203125" style="74" bestFit="1" customWidth="1"/>
    <col min="8" max="8" width="9.83203125" style="74" customWidth="1"/>
    <col min="9" max="9" width="10.83203125" style="74" customWidth="1"/>
    <col min="10" max="10" width="11.83203125" style="74" customWidth="1"/>
    <col min="11" max="11" width="13.83203125" style="74" customWidth="1"/>
    <col min="12" max="12" width="2.33203125" style="74" customWidth="1"/>
    <col min="13" max="13" width="3.83203125" style="74" customWidth="1"/>
    <col min="14" max="14" width="2.33203125" style="74" customWidth="1"/>
    <col min="16" max="25" width="8.83203125" style="74"/>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74"/>
  </cols>
  <sheetData>
    <row r="1" spans="1:46" s="91" customFormat="1" ht="15" customHeight="1" x14ac:dyDescent="0.15">
      <c r="A1" s="70" t="s">
        <v>18</v>
      </c>
      <c r="C1" s="71" t="s">
        <v>8</v>
      </c>
      <c r="D1" s="70" t="s">
        <v>23</v>
      </c>
      <c r="E1" s="70" t="s">
        <v>0</v>
      </c>
      <c r="F1" s="70" t="s">
        <v>7</v>
      </c>
      <c r="G1" s="72" t="s">
        <v>13</v>
      </c>
      <c r="H1" s="70" t="s">
        <v>1</v>
      </c>
      <c r="I1" s="70" t="s">
        <v>2</v>
      </c>
      <c r="J1" s="70" t="s">
        <v>14</v>
      </c>
      <c r="K1" s="70" t="s">
        <v>3</v>
      </c>
      <c r="L1" s="70" t="s">
        <v>4</v>
      </c>
      <c r="M1" s="70" t="s">
        <v>5</v>
      </c>
      <c r="N1" s="70" t="s">
        <v>6</v>
      </c>
      <c r="O1"/>
      <c r="Z1"/>
      <c r="AA1"/>
      <c r="AB1"/>
      <c r="AC1"/>
      <c r="AD1"/>
      <c r="AE1"/>
      <c r="AF1"/>
      <c r="AG1"/>
      <c r="AH1"/>
      <c r="AI1"/>
      <c r="AJ1"/>
      <c r="AK1"/>
      <c r="AL1"/>
      <c r="AM1"/>
      <c r="AN1"/>
      <c r="AO1"/>
      <c r="AP1"/>
      <c r="AQ1"/>
      <c r="AR1"/>
      <c r="AS1"/>
      <c r="AT1"/>
    </row>
    <row r="2" spans="1:46" ht="15" customHeight="1" x14ac:dyDescent="0.15">
      <c r="C2" s="91">
        <v>1</v>
      </c>
      <c r="D2"/>
      <c r="E2" s="165" t="s">
        <v>192</v>
      </c>
      <c r="F2" s="74">
        <v>0</v>
      </c>
      <c r="G2" s="74">
        <v>4.5300000000000002E-3</v>
      </c>
      <c r="H2" s="74">
        <v>9.9000000000000005E-2</v>
      </c>
      <c r="I2" s="6">
        <v>8.4212389999999999</v>
      </c>
      <c r="J2" s="6">
        <v>0</v>
      </c>
      <c r="K2" s="6">
        <v>1.1755989999999999E-2</v>
      </c>
      <c r="L2" s="6">
        <v>0</v>
      </c>
      <c r="M2" s="74">
        <v>0.2</v>
      </c>
      <c r="N2" s="74">
        <v>0</v>
      </c>
    </row>
    <row r="3" spans="1:46" ht="15" customHeight="1" x14ac:dyDescent="0.15">
      <c r="A3" s="1" t="s">
        <v>9</v>
      </c>
      <c r="B3" s="4">
        <v>28</v>
      </c>
      <c r="C3" s="74">
        <v>2</v>
      </c>
      <c r="D3"/>
      <c r="E3" s="165" t="s">
        <v>193</v>
      </c>
      <c r="F3" s="74">
        <v>0</v>
      </c>
      <c r="G3" s="74">
        <v>6.1799999999999997E-3</v>
      </c>
      <c r="H3" s="74">
        <v>9.9000000000000005E-2</v>
      </c>
      <c r="I3" s="74">
        <v>4.1608390000000002</v>
      </c>
      <c r="J3" s="74">
        <v>0</v>
      </c>
      <c r="K3" s="74">
        <v>2.3793278300000002E-2</v>
      </c>
      <c r="L3" s="74">
        <v>0</v>
      </c>
      <c r="M3" s="74">
        <v>0.2</v>
      </c>
      <c r="N3" s="74">
        <v>0</v>
      </c>
    </row>
    <row r="4" spans="1:46" ht="15" customHeight="1" x14ac:dyDescent="0.15">
      <c r="A4" s="1" t="s">
        <v>10</v>
      </c>
      <c r="B4" s="4">
        <v>2</v>
      </c>
      <c r="C4" s="74">
        <v>3</v>
      </c>
      <c r="D4"/>
      <c r="E4" s="165" t="s">
        <v>194</v>
      </c>
      <c r="F4" s="74">
        <v>0</v>
      </c>
      <c r="G4" s="74">
        <v>6.9599999999999995E-2</v>
      </c>
      <c r="H4" s="74">
        <v>9.9000000000000005E-2</v>
      </c>
      <c r="I4" s="74">
        <v>5.0807659999999997</v>
      </c>
      <c r="J4" s="74">
        <v>0</v>
      </c>
      <c r="K4" s="74">
        <v>1.9485249999999999E-2</v>
      </c>
      <c r="L4" s="74">
        <v>0</v>
      </c>
      <c r="M4" s="74">
        <v>0.2</v>
      </c>
      <c r="N4" s="74">
        <v>0</v>
      </c>
      <c r="V4" s="1" t="s">
        <v>29</v>
      </c>
    </row>
    <row r="5" spans="1:46" ht="15" customHeight="1" thickBot="1" x14ac:dyDescent="0.2">
      <c r="A5" s="1" t="s">
        <v>11</v>
      </c>
      <c r="B5" s="4">
        <v>2</v>
      </c>
      <c r="C5" s="74">
        <v>4</v>
      </c>
      <c r="D5"/>
      <c r="E5" s="165" t="s">
        <v>195</v>
      </c>
      <c r="F5" s="74">
        <v>0</v>
      </c>
      <c r="G5" s="74">
        <v>4.3200000000000001E-3</v>
      </c>
      <c r="H5" s="74">
        <v>0.05</v>
      </c>
      <c r="I5" s="74">
        <v>6.2600126300000003</v>
      </c>
      <c r="J5" s="74">
        <v>0</v>
      </c>
      <c r="K5" s="74">
        <v>7.9872039999999995E-3</v>
      </c>
      <c r="L5" s="74">
        <v>0</v>
      </c>
      <c r="M5" s="74">
        <v>0.2</v>
      </c>
      <c r="N5" s="74">
        <v>0</v>
      </c>
      <c r="P5" s="66"/>
      <c r="Q5" s="66"/>
      <c r="R5" s="66"/>
    </row>
    <row r="6" spans="1:46" ht="15" customHeight="1" thickBot="1" x14ac:dyDescent="0.2">
      <c r="B6" s="1"/>
      <c r="C6" s="74">
        <v>5</v>
      </c>
      <c r="D6"/>
      <c r="E6" s="165" t="s">
        <v>196</v>
      </c>
      <c r="F6" s="74">
        <v>0</v>
      </c>
      <c r="G6" s="74">
        <v>8.4999999999999995E-4</v>
      </c>
      <c r="H6" s="74">
        <v>0.02</v>
      </c>
      <c r="I6" s="74">
        <v>6.1775612799999999</v>
      </c>
      <c r="J6" s="74">
        <v>0</v>
      </c>
      <c r="K6" s="74">
        <v>3.2375233699999998E-3</v>
      </c>
      <c r="L6" s="74">
        <v>0</v>
      </c>
      <c r="M6" s="74">
        <v>0.2</v>
      </c>
      <c r="N6" s="74">
        <v>0</v>
      </c>
      <c r="P6" s="66"/>
      <c r="Q6" s="66"/>
      <c r="R6" s="66"/>
      <c r="W6" s="32" t="s">
        <v>31</v>
      </c>
      <c r="X6" s="48">
        <f>MAX(MainOutputs!G:G)</f>
        <v>0.95000004768371582</v>
      </c>
    </row>
    <row r="7" spans="1:46" ht="15" customHeight="1" x14ac:dyDescent="0.15">
      <c r="A7" s="2" t="s">
        <v>27</v>
      </c>
      <c r="B7" s="74">
        <f ca="1">COUNTIF(OFFSET(cornerDiets,1,1,NumLiving+NumDead+1,NumLiving+NumDead),"&gt;0")+NumLiving+NumDead+1</f>
        <v>182</v>
      </c>
      <c r="C7" s="74">
        <v>6</v>
      </c>
      <c r="D7"/>
      <c r="E7" s="165" t="s">
        <v>197</v>
      </c>
      <c r="F7" s="74">
        <v>0</v>
      </c>
      <c r="G7" s="74">
        <v>2.47E-3</v>
      </c>
      <c r="H7" s="74">
        <v>0.06</v>
      </c>
      <c r="I7" s="74">
        <v>3.397751</v>
      </c>
      <c r="J7" s="74">
        <v>0</v>
      </c>
      <c r="K7" s="74">
        <v>1.7658738399999999E-2</v>
      </c>
      <c r="L7" s="74">
        <v>0</v>
      </c>
      <c r="M7" s="74">
        <v>0.2</v>
      </c>
      <c r="N7" s="74">
        <v>0</v>
      </c>
      <c r="P7" s="66"/>
      <c r="Q7" s="66"/>
      <c r="R7" s="66"/>
    </row>
    <row r="8" spans="1:46" ht="15" customHeight="1" x14ac:dyDescent="0.15">
      <c r="A8" s="2" t="s">
        <v>28</v>
      </c>
      <c r="B8" s="74">
        <f ca="1">COUNTIF(OFFSET(cornerFishing,1,2,NumLiving+NumDead,NumGears),"&gt;0")+NumDead*COUNTIF(OFFSET(cornerDiscards,1,2,NumLiving+NumDead,NumGears),"&gt;0")+NumLiving+NumDead+1</f>
        <v>59</v>
      </c>
      <c r="C8" s="74">
        <v>7</v>
      </c>
      <c r="D8"/>
      <c r="E8" s="165" t="s">
        <v>198</v>
      </c>
      <c r="F8" s="74">
        <v>0</v>
      </c>
      <c r="G8" s="74">
        <v>1.882E-2</v>
      </c>
      <c r="H8" s="74">
        <v>0.05</v>
      </c>
      <c r="I8" s="74">
        <v>5.0298886300000003</v>
      </c>
      <c r="J8" s="74">
        <v>0</v>
      </c>
      <c r="K8" s="74">
        <v>9.9405780000000003E-3</v>
      </c>
      <c r="L8" s="74">
        <v>0</v>
      </c>
      <c r="M8" s="74">
        <v>0.2</v>
      </c>
      <c r="N8" s="74">
        <v>0</v>
      </c>
      <c r="P8" s="66"/>
      <c r="Q8" s="66"/>
      <c r="R8" s="66"/>
    </row>
    <row r="9" spans="1:46" ht="15" customHeight="1" x14ac:dyDescent="0.15">
      <c r="B9" s="1"/>
      <c r="C9" s="74">
        <v>8</v>
      </c>
      <c r="D9"/>
      <c r="E9" s="165" t="s">
        <v>199</v>
      </c>
      <c r="F9" s="74">
        <v>0</v>
      </c>
      <c r="G9" s="74">
        <v>5.2631576500000005E-4</v>
      </c>
      <c r="H9" s="74">
        <v>0.02</v>
      </c>
      <c r="I9" s="74">
        <v>9.4683430000000008</v>
      </c>
      <c r="J9" s="74">
        <v>0.95</v>
      </c>
      <c r="K9" s="74">
        <v>2.1123019999999999E-3</v>
      </c>
      <c r="L9" s="74">
        <v>0</v>
      </c>
      <c r="M9" s="74">
        <v>0.2</v>
      </c>
      <c r="N9" s="74">
        <v>0</v>
      </c>
      <c r="P9" s="66"/>
      <c r="Q9" s="66"/>
      <c r="R9" s="66"/>
    </row>
    <row r="10" spans="1:46" ht="15" customHeight="1" x14ac:dyDescent="0.15">
      <c r="B10" s="1"/>
      <c r="C10" s="74">
        <v>9</v>
      </c>
      <c r="D10"/>
      <c r="E10" s="165" t="s">
        <v>200</v>
      </c>
      <c r="F10" s="74">
        <v>0</v>
      </c>
      <c r="G10" s="74">
        <v>1.2999999999999999E-4</v>
      </c>
      <c r="H10" s="74">
        <v>3.5999999999999997E-2</v>
      </c>
      <c r="I10" s="74">
        <v>9.9330510000000007</v>
      </c>
      <c r="J10" s="74">
        <v>0</v>
      </c>
      <c r="K10" s="74">
        <v>3.6242639999999999E-3</v>
      </c>
      <c r="L10" s="74">
        <v>0</v>
      </c>
      <c r="M10" s="74">
        <v>0.2</v>
      </c>
      <c r="N10" s="74">
        <v>0</v>
      </c>
    </row>
    <row r="11" spans="1:46" ht="15" customHeight="1" x14ac:dyDescent="0.15">
      <c r="C11" s="74">
        <v>10</v>
      </c>
      <c r="D11"/>
      <c r="E11" s="165" t="s">
        <v>201</v>
      </c>
      <c r="F11" s="74">
        <v>0</v>
      </c>
      <c r="G11" s="74">
        <v>0.04</v>
      </c>
      <c r="H11" s="74">
        <v>0.03</v>
      </c>
      <c r="I11" s="74">
        <v>14.4038916</v>
      </c>
      <c r="J11" s="74">
        <v>0.78436039999999996</v>
      </c>
      <c r="K11" s="74">
        <v>2.0827704600000002E-3</v>
      </c>
      <c r="L11" s="74">
        <v>0</v>
      </c>
      <c r="M11" s="74">
        <v>0.2</v>
      </c>
      <c r="N11" s="74">
        <v>0</v>
      </c>
    </row>
    <row r="12" spans="1:46" ht="15" customHeight="1" x14ac:dyDescent="0.15">
      <c r="C12" s="74">
        <v>11</v>
      </c>
      <c r="D12"/>
      <c r="E12" s="165" t="s">
        <v>202</v>
      </c>
      <c r="F12" s="74">
        <v>0</v>
      </c>
      <c r="G12" s="74">
        <v>2.0000000000000001E-4</v>
      </c>
      <c r="H12" s="74">
        <v>0.13</v>
      </c>
      <c r="I12" s="74">
        <v>73.69</v>
      </c>
      <c r="J12" s="74">
        <v>0</v>
      </c>
      <c r="K12" s="74">
        <v>1.764147E-3</v>
      </c>
      <c r="L12" s="74">
        <v>0</v>
      </c>
      <c r="M12" s="74">
        <v>0.2</v>
      </c>
      <c r="N12" s="74">
        <v>0</v>
      </c>
    </row>
    <row r="13" spans="1:46" ht="15" customHeight="1" x14ac:dyDescent="0.15">
      <c r="C13" s="74">
        <v>12</v>
      </c>
      <c r="D13"/>
      <c r="E13" s="165" t="s">
        <v>203</v>
      </c>
      <c r="F13" s="74">
        <v>0</v>
      </c>
      <c r="G13" s="74">
        <v>3.6999999999999998E-2</v>
      </c>
      <c r="H13" s="74">
        <v>0.83499999999999996</v>
      </c>
      <c r="I13" s="74">
        <v>3.5350000000000001</v>
      </c>
      <c r="J13" s="74">
        <v>0.29826265600000001</v>
      </c>
      <c r="K13" s="74">
        <v>0.236209318</v>
      </c>
      <c r="L13" s="74">
        <v>0</v>
      </c>
      <c r="M13" s="74">
        <v>0.2</v>
      </c>
      <c r="N13" s="74">
        <v>0</v>
      </c>
    </row>
    <row r="14" spans="1:46" ht="15" customHeight="1" x14ac:dyDescent="0.15">
      <c r="C14" s="74">
        <v>13</v>
      </c>
      <c r="D14"/>
      <c r="E14" s="165" t="s">
        <v>204</v>
      </c>
      <c r="F14" s="74">
        <v>0</v>
      </c>
      <c r="G14" s="74">
        <v>2.7199999999999998E-2</v>
      </c>
      <c r="H14" s="74">
        <v>2.35</v>
      </c>
      <c r="I14" s="74">
        <v>15.53</v>
      </c>
      <c r="J14" s="74">
        <v>0.34154442000000002</v>
      </c>
      <c r="K14" s="74">
        <v>0.151320025</v>
      </c>
      <c r="L14" s="74">
        <v>0</v>
      </c>
      <c r="M14" s="74">
        <v>0.2</v>
      </c>
      <c r="N14" s="74">
        <v>0</v>
      </c>
    </row>
    <row r="15" spans="1:46" ht="15" customHeight="1" x14ac:dyDescent="0.15">
      <c r="C15" s="74">
        <v>14</v>
      </c>
      <c r="D15"/>
      <c r="E15" s="165" t="s">
        <v>205</v>
      </c>
      <c r="F15" s="74">
        <v>0</v>
      </c>
      <c r="G15" s="74">
        <v>1.448168E-2</v>
      </c>
      <c r="H15" s="74">
        <v>2.5</v>
      </c>
      <c r="I15" s="74">
        <v>25</v>
      </c>
      <c r="J15" s="74">
        <v>0.95</v>
      </c>
      <c r="K15" s="74">
        <v>0.1</v>
      </c>
      <c r="L15" s="74">
        <v>0</v>
      </c>
      <c r="M15" s="74">
        <v>0.2</v>
      </c>
      <c r="N15" s="74">
        <v>0</v>
      </c>
    </row>
    <row r="16" spans="1:46" ht="15" customHeight="1" x14ac:dyDescent="0.15">
      <c r="C16" s="74">
        <v>15</v>
      </c>
      <c r="D16"/>
      <c r="E16" s="165" t="s">
        <v>206</v>
      </c>
      <c r="F16" s="74">
        <v>0</v>
      </c>
      <c r="G16" s="74">
        <v>2.7799999999999998E-2</v>
      </c>
      <c r="H16" s="74">
        <v>4.72</v>
      </c>
      <c r="I16" s="74">
        <v>20</v>
      </c>
      <c r="J16" s="74">
        <v>0.74063694499999999</v>
      </c>
      <c r="K16" s="74">
        <v>0.23599998699999999</v>
      </c>
      <c r="L16" s="74">
        <v>0</v>
      </c>
      <c r="M16" s="74">
        <v>0.2</v>
      </c>
      <c r="N16" s="74">
        <v>0</v>
      </c>
    </row>
    <row r="17" spans="1:22" ht="15" customHeight="1" x14ac:dyDescent="0.15">
      <c r="C17" s="74">
        <v>16</v>
      </c>
      <c r="D17"/>
      <c r="E17" s="165" t="s">
        <v>207</v>
      </c>
      <c r="F17" s="74">
        <v>0</v>
      </c>
      <c r="G17" s="74">
        <v>0.20799999999999999</v>
      </c>
      <c r="H17" s="74">
        <v>4</v>
      </c>
      <c r="I17" s="74">
        <v>24.76</v>
      </c>
      <c r="J17" s="74">
        <v>0.54250216500000004</v>
      </c>
      <c r="K17" s="74">
        <v>0.1615509</v>
      </c>
      <c r="L17" s="74">
        <v>0</v>
      </c>
      <c r="M17" s="74">
        <v>0.2</v>
      </c>
      <c r="N17" s="74">
        <v>0</v>
      </c>
      <c r="V17" s="1" t="s">
        <v>30</v>
      </c>
    </row>
    <row r="18" spans="1:22" ht="15" customHeight="1" x14ac:dyDescent="0.15">
      <c r="C18" s="74">
        <v>17</v>
      </c>
      <c r="D18"/>
      <c r="E18" s="165" t="s">
        <v>208</v>
      </c>
      <c r="F18" s="74">
        <v>0</v>
      </c>
      <c r="G18" s="74">
        <v>1.627</v>
      </c>
      <c r="H18" s="74">
        <v>1.863</v>
      </c>
      <c r="I18" s="74">
        <v>9.27</v>
      </c>
      <c r="J18" s="74">
        <v>0.16932220000000001</v>
      </c>
      <c r="K18" s="74">
        <v>0.20097087299999999</v>
      </c>
      <c r="L18" s="74">
        <v>0</v>
      </c>
      <c r="M18" s="74">
        <v>0.2</v>
      </c>
      <c r="N18" s="74">
        <v>0</v>
      </c>
      <c r="V18" s="1"/>
    </row>
    <row r="19" spans="1:22" ht="15" customHeight="1" x14ac:dyDescent="0.15">
      <c r="C19" s="74">
        <v>18</v>
      </c>
      <c r="D19"/>
      <c r="E19" s="165" t="s">
        <v>209</v>
      </c>
      <c r="F19" s="74">
        <v>0</v>
      </c>
      <c r="G19" s="74">
        <v>1.1599999999999999E-2</v>
      </c>
      <c r="H19" s="74">
        <v>0.4</v>
      </c>
      <c r="I19" s="74">
        <v>10</v>
      </c>
      <c r="J19" s="74">
        <v>0.264855385</v>
      </c>
      <c r="K19" s="74">
        <v>0.04</v>
      </c>
      <c r="L19" s="74">
        <v>0</v>
      </c>
      <c r="M19" s="74">
        <v>0.2</v>
      </c>
      <c r="N19" s="74">
        <v>0</v>
      </c>
    </row>
    <row r="20" spans="1:22" ht="15" customHeight="1" thickBot="1" x14ac:dyDescent="0.2">
      <c r="C20" s="74">
        <v>19</v>
      </c>
      <c r="D20"/>
      <c r="E20" s="165" t="s">
        <v>210</v>
      </c>
      <c r="F20" s="74">
        <v>0</v>
      </c>
      <c r="G20" s="74">
        <v>0.04</v>
      </c>
      <c r="H20" s="74">
        <v>0.112</v>
      </c>
      <c r="I20" s="74">
        <v>1.8</v>
      </c>
      <c r="J20" s="74">
        <v>0.595982134</v>
      </c>
      <c r="K20" s="74">
        <v>6.2222227499999998E-2</v>
      </c>
      <c r="L20" s="74">
        <v>0</v>
      </c>
      <c r="M20" s="74">
        <v>0.2</v>
      </c>
      <c r="N20" s="74">
        <v>0</v>
      </c>
    </row>
    <row r="21" spans="1:22" ht="15" customHeight="1" thickBot="1" x14ac:dyDescent="0.2">
      <c r="A21" s="43" t="s">
        <v>137</v>
      </c>
      <c r="B21" s="92"/>
      <c r="C21" s="74">
        <v>20</v>
      </c>
      <c r="D21"/>
      <c r="E21" s="165" t="s">
        <v>211</v>
      </c>
      <c r="F21" s="74">
        <v>0</v>
      </c>
      <c r="G21" s="74">
        <v>6.6000000000000003E-2</v>
      </c>
      <c r="H21" s="74">
        <v>6.22</v>
      </c>
      <c r="I21" s="74">
        <v>10.31</v>
      </c>
      <c r="J21" s="74">
        <v>6.0627680000000003E-2</v>
      </c>
      <c r="K21" s="74">
        <v>0.60329770000000005</v>
      </c>
      <c r="L21" s="74">
        <v>0</v>
      </c>
      <c r="M21" s="74">
        <v>0.2</v>
      </c>
      <c r="N21" s="74">
        <v>0</v>
      </c>
    </row>
    <row r="22" spans="1:22" ht="15" customHeight="1" x14ac:dyDescent="0.15">
      <c r="A22" s="93" t="s">
        <v>58</v>
      </c>
      <c r="B22" s="94">
        <v>0</v>
      </c>
      <c r="C22" s="74">
        <v>21</v>
      </c>
      <c r="D22"/>
      <c r="E22" s="165" t="s">
        <v>212</v>
      </c>
      <c r="F22" s="74">
        <v>0</v>
      </c>
      <c r="G22" s="74">
        <v>16.574999999999999</v>
      </c>
      <c r="H22" s="74">
        <v>2.94</v>
      </c>
      <c r="I22" s="74">
        <v>23.65</v>
      </c>
      <c r="J22" s="74">
        <v>0.45918189999999998</v>
      </c>
      <c r="K22" s="74">
        <v>0.1243129</v>
      </c>
      <c r="L22" s="74">
        <v>0</v>
      </c>
      <c r="M22" s="74">
        <v>0.2</v>
      </c>
      <c r="N22" s="74">
        <v>0</v>
      </c>
    </row>
    <row r="23" spans="1:22" ht="15" customHeight="1" x14ac:dyDescent="0.15">
      <c r="A23" s="93" t="s">
        <v>59</v>
      </c>
      <c r="B23" s="94">
        <v>1</v>
      </c>
      <c r="C23" s="74">
        <v>22</v>
      </c>
      <c r="D23"/>
      <c r="E23" s="165" t="s">
        <v>213</v>
      </c>
      <c r="F23" s="74">
        <v>0</v>
      </c>
      <c r="G23" s="74">
        <v>8.8993070000000003</v>
      </c>
      <c r="H23" s="74">
        <v>3.14</v>
      </c>
      <c r="I23" s="74">
        <v>21</v>
      </c>
      <c r="J23" s="74">
        <v>0.95</v>
      </c>
      <c r="K23" s="74">
        <v>0.14952381000000001</v>
      </c>
      <c r="L23" s="74">
        <v>0</v>
      </c>
      <c r="M23" s="74">
        <v>0.2</v>
      </c>
      <c r="N23" s="74">
        <v>0</v>
      </c>
    </row>
    <row r="24" spans="1:22" ht="15" customHeight="1" x14ac:dyDescent="0.15">
      <c r="A24" s="93" t="s">
        <v>60</v>
      </c>
      <c r="B24" s="94">
        <v>2</v>
      </c>
      <c r="C24" s="74">
        <v>23</v>
      </c>
      <c r="D24"/>
      <c r="E24" s="165" t="s">
        <v>214</v>
      </c>
      <c r="F24" s="74">
        <v>0</v>
      </c>
      <c r="G24" s="74">
        <v>1.26</v>
      </c>
      <c r="H24" s="74">
        <v>2.39</v>
      </c>
      <c r="I24" s="74">
        <v>7.22</v>
      </c>
      <c r="J24" s="74">
        <v>0.20341376999999999</v>
      </c>
      <c r="K24" s="74">
        <v>0.33102494500000001</v>
      </c>
      <c r="L24" s="74">
        <v>0</v>
      </c>
      <c r="M24" s="74">
        <v>0.2</v>
      </c>
      <c r="N24" s="74">
        <v>0</v>
      </c>
    </row>
    <row r="25" spans="1:22" ht="15" customHeight="1" thickBot="1" x14ac:dyDescent="0.2">
      <c r="A25" s="95" t="s">
        <v>44</v>
      </c>
      <c r="B25" s="96">
        <v>3</v>
      </c>
      <c r="C25" s="74">
        <v>24</v>
      </c>
      <c r="D25"/>
      <c r="E25" s="165" t="s">
        <v>215</v>
      </c>
      <c r="F25" s="74">
        <v>0</v>
      </c>
      <c r="G25" s="74">
        <v>5</v>
      </c>
      <c r="H25" s="74">
        <v>4.7249999999999996</v>
      </c>
      <c r="I25" s="74">
        <v>19.399999999999999</v>
      </c>
      <c r="J25" s="74">
        <v>0.45371985399999998</v>
      </c>
      <c r="K25" s="74">
        <v>0.24355670800000001</v>
      </c>
      <c r="L25" s="74">
        <v>0</v>
      </c>
      <c r="M25" s="74">
        <v>0.2</v>
      </c>
      <c r="N25" s="74">
        <v>0</v>
      </c>
    </row>
    <row r="26" spans="1:22" ht="15" customHeight="1" x14ac:dyDescent="0.15">
      <c r="A26" s="97" t="s">
        <v>140</v>
      </c>
      <c r="C26" s="74">
        <v>25</v>
      </c>
      <c r="D26"/>
      <c r="E26" s="165" t="s">
        <v>216</v>
      </c>
      <c r="F26" s="74">
        <v>0</v>
      </c>
      <c r="G26" s="74">
        <v>46.793556199999998</v>
      </c>
      <c r="H26" s="74">
        <v>20</v>
      </c>
      <c r="I26" s="74">
        <v>76.185000000000002</v>
      </c>
      <c r="J26" s="74">
        <v>0.95</v>
      </c>
      <c r="K26" s="74">
        <v>0.26251888299999998</v>
      </c>
      <c r="L26" s="74">
        <v>0</v>
      </c>
      <c r="M26" s="74">
        <v>0.2</v>
      </c>
      <c r="N26" s="74">
        <v>0</v>
      </c>
    </row>
    <row r="27" spans="1:22" ht="15" customHeight="1" x14ac:dyDescent="0.15">
      <c r="C27" s="74">
        <v>26</v>
      </c>
      <c r="D27"/>
      <c r="E27" s="165" t="s">
        <v>217</v>
      </c>
      <c r="F27" s="74">
        <v>0</v>
      </c>
      <c r="G27" s="74">
        <v>49.636000000000003</v>
      </c>
      <c r="H27" s="74">
        <v>12.9</v>
      </c>
      <c r="I27" s="74">
        <v>57.7</v>
      </c>
      <c r="J27" s="74">
        <v>0.82849390000000001</v>
      </c>
      <c r="K27" s="74">
        <v>0.22357018300000001</v>
      </c>
      <c r="L27" s="74">
        <v>0</v>
      </c>
      <c r="M27" s="74">
        <v>0.2</v>
      </c>
      <c r="N27" s="74">
        <v>0</v>
      </c>
    </row>
    <row r="28" spans="1:22" ht="15" customHeight="1" x14ac:dyDescent="0.15">
      <c r="C28" s="74">
        <v>27</v>
      </c>
      <c r="D28"/>
      <c r="E28" s="165" t="s">
        <v>218</v>
      </c>
      <c r="F28" s="74">
        <v>1</v>
      </c>
      <c r="G28" s="74">
        <v>17.3958969</v>
      </c>
      <c r="H28" s="74">
        <v>71.75</v>
      </c>
      <c r="I28" s="74">
        <v>0</v>
      </c>
      <c r="J28" s="74">
        <v>0.6</v>
      </c>
      <c r="K28" s="74">
        <v>0</v>
      </c>
      <c r="L28" s="74">
        <v>0</v>
      </c>
      <c r="M28" s="74">
        <v>0</v>
      </c>
      <c r="N28" s="74">
        <v>0</v>
      </c>
    </row>
    <row r="29" spans="1:22" customFormat="1" ht="15" customHeight="1" x14ac:dyDescent="0.15">
      <c r="C29" s="74">
        <v>28</v>
      </c>
      <c r="E29" s="165" t="s">
        <v>219</v>
      </c>
      <c r="F29" s="74">
        <v>1</v>
      </c>
      <c r="G29" s="74">
        <v>76.92</v>
      </c>
      <c r="H29" s="74">
        <v>42.8</v>
      </c>
      <c r="I29" s="74">
        <v>0</v>
      </c>
      <c r="J29" s="74">
        <v>0.6</v>
      </c>
      <c r="K29" s="74">
        <v>0</v>
      </c>
      <c r="L29" s="74">
        <v>0</v>
      </c>
      <c r="M29" s="74">
        <v>0</v>
      </c>
      <c r="N29" s="74">
        <v>0</v>
      </c>
    </row>
    <row r="30" spans="1:22" customFormat="1" ht="15" customHeight="1" x14ac:dyDescent="0.15">
      <c r="C30" s="74">
        <v>29</v>
      </c>
      <c r="E30" s="165" t="s">
        <v>220</v>
      </c>
      <c r="F30" s="74">
        <v>2</v>
      </c>
      <c r="G30" s="74">
        <v>600</v>
      </c>
      <c r="H30" s="74">
        <v>0.16339870000000001</v>
      </c>
      <c r="I30" s="74">
        <v>0</v>
      </c>
      <c r="J30" s="74">
        <v>0.85072159999999997</v>
      </c>
      <c r="K30" s="74">
        <v>0</v>
      </c>
      <c r="L30" s="74">
        <v>0</v>
      </c>
      <c r="M30" s="74">
        <v>0.2</v>
      </c>
      <c r="N30" s="74">
        <v>0</v>
      </c>
    </row>
    <row r="31" spans="1:22" customFormat="1" ht="15" customHeight="1" x14ac:dyDescent="0.15">
      <c r="C31" s="74">
        <v>30</v>
      </c>
      <c r="E31" s="165" t="s">
        <v>221</v>
      </c>
      <c r="F31" s="74">
        <v>2</v>
      </c>
      <c r="G31" s="74">
        <v>5</v>
      </c>
      <c r="H31" s="74">
        <v>0</v>
      </c>
      <c r="I31" s="74">
        <v>0</v>
      </c>
      <c r="J31" s="74">
        <v>0</v>
      </c>
      <c r="K31" s="74">
        <v>0</v>
      </c>
      <c r="L31" s="74">
        <v>0</v>
      </c>
      <c r="M31" s="74">
        <v>0</v>
      </c>
      <c r="N31" s="74">
        <v>0</v>
      </c>
    </row>
    <row r="32" spans="1:22" customFormat="1" ht="15" customHeight="1" x14ac:dyDescent="0.15">
      <c r="C32" s="74">
        <v>31</v>
      </c>
      <c r="E32" s="165" t="s">
        <v>222</v>
      </c>
      <c r="F32" s="74">
        <v>3</v>
      </c>
      <c r="G32" s="74">
        <v>0</v>
      </c>
      <c r="H32" s="74">
        <v>0</v>
      </c>
      <c r="I32" s="74">
        <v>0</v>
      </c>
      <c r="J32" s="74">
        <v>0</v>
      </c>
      <c r="K32" s="74">
        <v>0</v>
      </c>
      <c r="L32" s="74">
        <v>0</v>
      </c>
      <c r="M32" s="74">
        <v>0</v>
      </c>
      <c r="N32" s="74">
        <v>0</v>
      </c>
    </row>
    <row r="33" spans="3:14" customFormat="1" ht="15" customHeight="1" x14ac:dyDescent="0.15">
      <c r="C33" s="74">
        <v>32</v>
      </c>
      <c r="E33" s="165" t="s">
        <v>223</v>
      </c>
      <c r="F33" s="74">
        <v>3</v>
      </c>
      <c r="G33" s="74">
        <v>0</v>
      </c>
      <c r="H33" s="74">
        <v>0</v>
      </c>
      <c r="I33" s="74">
        <v>0</v>
      </c>
      <c r="J33" s="74">
        <v>0</v>
      </c>
      <c r="K33" s="74">
        <v>0</v>
      </c>
      <c r="L33" s="74">
        <v>0</v>
      </c>
      <c r="M33" s="74">
        <v>0</v>
      </c>
      <c r="N33" s="74">
        <v>0</v>
      </c>
    </row>
    <row r="34" spans="3:14" customFormat="1" ht="15" customHeight="1" x14ac:dyDescent="0.15"/>
    <row r="35" spans="3:14" customFormat="1" ht="15" customHeight="1" x14ac:dyDescent="0.15"/>
    <row r="36" spans="3:14" customFormat="1" ht="15" customHeight="1" x14ac:dyDescent="0.15"/>
    <row r="37" spans="3:14" customFormat="1" ht="15" customHeight="1" x14ac:dyDescent="0.15"/>
    <row r="38" spans="3:14" customFormat="1" ht="15" customHeight="1" x14ac:dyDescent="0.15"/>
    <row r="39" spans="3:14" customFormat="1" ht="15" customHeight="1" x14ac:dyDescent="0.15"/>
    <row r="40" spans="3:14" customFormat="1" ht="15" customHeight="1" x14ac:dyDescent="0.15"/>
    <row r="41" spans="3:14" customFormat="1" ht="15" customHeight="1" x14ac:dyDescent="0.15"/>
    <row r="42" spans="3:14" customFormat="1" ht="15" customHeight="1" x14ac:dyDescent="0.15"/>
    <row r="43" spans="3:14" customFormat="1" ht="15" customHeight="1" x14ac:dyDescent="0.15"/>
    <row r="44" spans="3:14" customFormat="1" ht="15" customHeight="1" x14ac:dyDescent="0.15"/>
    <row r="45" spans="3:14" customFormat="1" ht="15" customHeight="1" x14ac:dyDescent="0.15"/>
    <row r="46" spans="3:14" customFormat="1" ht="15" customHeight="1" x14ac:dyDescent="0.15"/>
    <row r="47" spans="3:14" customFormat="1" ht="15" customHeight="1" x14ac:dyDescent="0.15"/>
    <row r="48" spans="3:14"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H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35.5" style="132" bestFit="1" customWidth="1"/>
    <col min="2" max="2" width="5.83203125" style="132" bestFit="1" customWidth="1"/>
    <col min="3" max="3" width="14.83203125" style="132" bestFit="1" customWidth="1"/>
    <col min="4" max="5" width="5.83203125" style="132" bestFit="1" customWidth="1"/>
    <col min="6" max="6" width="14.83203125" style="132" bestFit="1" customWidth="1"/>
    <col min="7" max="7" width="3.83203125" style="132" bestFit="1" customWidth="1"/>
    <col min="8" max="8" width="15.5" style="132" bestFit="1" customWidth="1"/>
    <col min="9" max="10" width="6.83203125" style="132" bestFit="1" customWidth="1"/>
    <col min="11" max="11" width="13.83203125" style="132" bestFit="1" customWidth="1"/>
    <col min="12" max="12" width="5.83203125" style="132" bestFit="1" customWidth="1"/>
    <col min="13" max="13" width="4.83203125" style="132" bestFit="1" customWidth="1"/>
    <col min="14" max="18" width="5.83203125" style="132" bestFit="1" customWidth="1"/>
    <col min="19" max="19" width="14.83203125" style="132" bestFit="1" customWidth="1"/>
    <col min="20" max="27" width="5.83203125" style="132" bestFit="1" customWidth="1"/>
    <col min="28" max="29" width="2.33203125" style="132" bestFit="1" customWidth="1"/>
    <col min="30" max="31" width="2.33203125" style="132" customWidth="1"/>
    <col min="32" max="16384" width="8.83203125" style="132"/>
  </cols>
  <sheetData>
    <row r="1" spans="1:34" x14ac:dyDescent="0.15">
      <c r="A1" s="131" t="s">
        <v>19</v>
      </c>
      <c r="B1" s="167" t="s">
        <v>192</v>
      </c>
      <c r="C1" s="167" t="s">
        <v>193</v>
      </c>
      <c r="D1" s="167" t="s">
        <v>194</v>
      </c>
      <c r="E1" s="167" t="s">
        <v>195</v>
      </c>
      <c r="F1" s="167" t="s">
        <v>196</v>
      </c>
      <c r="G1" s="167" t="s">
        <v>197</v>
      </c>
      <c r="H1" s="167" t="s">
        <v>198</v>
      </c>
      <c r="I1" s="167" t="s">
        <v>199</v>
      </c>
      <c r="J1" s="167" t="s">
        <v>200</v>
      </c>
      <c r="K1" s="167" t="s">
        <v>201</v>
      </c>
      <c r="L1" s="167" t="s">
        <v>202</v>
      </c>
      <c r="M1" s="167" t="s">
        <v>203</v>
      </c>
      <c r="N1" s="167" t="s">
        <v>204</v>
      </c>
      <c r="O1" s="167" t="s">
        <v>205</v>
      </c>
      <c r="P1" s="167" t="s">
        <v>206</v>
      </c>
      <c r="Q1" s="167" t="s">
        <v>207</v>
      </c>
      <c r="R1" s="167" t="s">
        <v>208</v>
      </c>
      <c r="S1" s="167" t="s">
        <v>209</v>
      </c>
      <c r="T1" s="167" t="s">
        <v>210</v>
      </c>
      <c r="U1" s="167" t="s">
        <v>211</v>
      </c>
      <c r="V1" s="167" t="s">
        <v>212</v>
      </c>
      <c r="W1" s="167" t="s">
        <v>213</v>
      </c>
      <c r="X1" s="167" t="s">
        <v>214</v>
      </c>
      <c r="Y1" s="167" t="s">
        <v>215</v>
      </c>
      <c r="Z1" s="167" t="s">
        <v>216</v>
      </c>
      <c r="AA1" s="167" t="s">
        <v>217</v>
      </c>
      <c r="AB1" s="167" t="s">
        <v>218</v>
      </c>
      <c r="AC1" s="167" t="s">
        <v>219</v>
      </c>
      <c r="AD1" s="167" t="s">
        <v>220</v>
      </c>
      <c r="AE1" s="167" t="s">
        <v>221</v>
      </c>
      <c r="AF1"/>
      <c r="AG1"/>
      <c r="AH1"/>
    </row>
    <row r="2" spans="1:34" customFormat="1" x14ac:dyDescent="0.15">
      <c r="A2" s="166" t="s">
        <v>192</v>
      </c>
      <c r="B2" s="132">
        <v>0</v>
      </c>
      <c r="C2" s="132">
        <v>0</v>
      </c>
      <c r="D2" s="132">
        <v>0</v>
      </c>
      <c r="E2" s="132">
        <v>0</v>
      </c>
      <c r="F2" s="132">
        <v>0</v>
      </c>
      <c r="G2" s="132">
        <v>0</v>
      </c>
      <c r="H2" s="132">
        <v>0</v>
      </c>
      <c r="I2" s="132">
        <v>0</v>
      </c>
      <c r="J2" s="132">
        <v>0</v>
      </c>
      <c r="K2" s="132">
        <v>0</v>
      </c>
      <c r="L2" s="132">
        <v>0</v>
      </c>
      <c r="M2" s="132">
        <v>0</v>
      </c>
      <c r="N2" s="132">
        <v>0</v>
      </c>
      <c r="O2" s="132">
        <v>0</v>
      </c>
      <c r="P2" s="132">
        <v>0</v>
      </c>
      <c r="Q2" s="132">
        <v>0</v>
      </c>
      <c r="R2" s="132">
        <v>0</v>
      </c>
      <c r="S2" s="132">
        <v>0</v>
      </c>
      <c r="T2" s="132">
        <v>0</v>
      </c>
      <c r="U2" s="132">
        <v>0</v>
      </c>
      <c r="V2" s="132">
        <v>0</v>
      </c>
      <c r="W2" s="132">
        <v>0</v>
      </c>
      <c r="X2" s="132">
        <v>0</v>
      </c>
      <c r="Y2" s="132">
        <v>0</v>
      </c>
      <c r="Z2" s="132">
        <v>0</v>
      </c>
      <c r="AA2" s="132">
        <v>0</v>
      </c>
      <c r="AB2" s="132">
        <v>0</v>
      </c>
      <c r="AC2" s="132">
        <v>0</v>
      </c>
      <c r="AD2" s="132">
        <v>0</v>
      </c>
      <c r="AE2" s="132">
        <v>0</v>
      </c>
    </row>
    <row r="3" spans="1:34" customFormat="1" x14ac:dyDescent="0.15">
      <c r="A3" s="166" t="s">
        <v>193</v>
      </c>
      <c r="B3" s="132">
        <v>0</v>
      </c>
      <c r="C3" s="132">
        <v>0</v>
      </c>
      <c r="D3" s="132">
        <v>0</v>
      </c>
      <c r="E3" s="132">
        <v>0</v>
      </c>
      <c r="F3" s="132">
        <v>0</v>
      </c>
      <c r="G3" s="132">
        <v>0</v>
      </c>
      <c r="H3" s="132">
        <v>0</v>
      </c>
      <c r="I3" s="132">
        <v>0</v>
      </c>
      <c r="J3" s="132">
        <v>0</v>
      </c>
      <c r="K3" s="132">
        <v>0</v>
      </c>
      <c r="L3" s="132">
        <v>0</v>
      </c>
      <c r="M3" s="132">
        <v>0</v>
      </c>
      <c r="N3" s="132">
        <v>0</v>
      </c>
      <c r="O3" s="132">
        <v>0</v>
      </c>
      <c r="P3" s="132">
        <v>0</v>
      </c>
      <c r="Q3" s="132">
        <v>0</v>
      </c>
      <c r="R3" s="132">
        <v>0</v>
      </c>
      <c r="S3" s="132">
        <v>0</v>
      </c>
      <c r="T3" s="132">
        <v>0</v>
      </c>
      <c r="U3" s="132">
        <v>0</v>
      </c>
      <c r="V3" s="132">
        <v>0</v>
      </c>
      <c r="W3" s="132">
        <v>0</v>
      </c>
      <c r="X3" s="132">
        <v>0</v>
      </c>
      <c r="Y3" s="132">
        <v>0</v>
      </c>
      <c r="Z3" s="132">
        <v>0</v>
      </c>
      <c r="AA3" s="132">
        <v>0</v>
      </c>
      <c r="AB3" s="132">
        <v>0</v>
      </c>
      <c r="AC3" s="132">
        <v>0</v>
      </c>
      <c r="AD3" s="132">
        <v>0</v>
      </c>
      <c r="AE3" s="132">
        <v>0</v>
      </c>
    </row>
    <row r="4" spans="1:34" customFormat="1" x14ac:dyDescent="0.15">
      <c r="A4" s="166" t="s">
        <v>194</v>
      </c>
      <c r="B4" s="132">
        <v>0</v>
      </c>
      <c r="C4" s="132">
        <v>0</v>
      </c>
      <c r="D4" s="132">
        <v>0</v>
      </c>
      <c r="E4" s="132">
        <v>0</v>
      </c>
      <c r="F4" s="132">
        <v>0</v>
      </c>
      <c r="G4" s="132">
        <v>0</v>
      </c>
      <c r="H4" s="132">
        <v>0</v>
      </c>
      <c r="I4" s="132">
        <v>0</v>
      </c>
      <c r="J4" s="132">
        <v>0</v>
      </c>
      <c r="K4" s="132">
        <v>0</v>
      </c>
      <c r="L4" s="132">
        <v>0</v>
      </c>
      <c r="M4" s="132">
        <v>0</v>
      </c>
      <c r="N4" s="132">
        <v>0</v>
      </c>
      <c r="O4" s="132">
        <v>0</v>
      </c>
      <c r="P4" s="132">
        <v>0</v>
      </c>
      <c r="Q4" s="132">
        <v>0</v>
      </c>
      <c r="R4" s="132">
        <v>0</v>
      </c>
      <c r="S4" s="132">
        <v>0</v>
      </c>
      <c r="T4" s="132">
        <v>0</v>
      </c>
      <c r="U4" s="132">
        <v>0</v>
      </c>
      <c r="V4" s="132">
        <v>0</v>
      </c>
      <c r="W4" s="132">
        <v>0</v>
      </c>
      <c r="X4" s="132">
        <v>0</v>
      </c>
      <c r="Y4" s="132">
        <v>0</v>
      </c>
      <c r="Z4" s="132">
        <v>0</v>
      </c>
      <c r="AA4" s="132">
        <v>0</v>
      </c>
      <c r="AB4" s="132">
        <v>0</v>
      </c>
      <c r="AC4" s="132">
        <v>0</v>
      </c>
      <c r="AD4" s="132">
        <v>0</v>
      </c>
      <c r="AE4" s="132">
        <v>0</v>
      </c>
    </row>
    <row r="5" spans="1:34" customFormat="1" x14ac:dyDescent="0.15">
      <c r="A5" s="166" t="s">
        <v>195</v>
      </c>
      <c r="B5" s="132">
        <v>0</v>
      </c>
      <c r="C5" s="132">
        <v>0</v>
      </c>
      <c r="D5" s="132">
        <v>0</v>
      </c>
      <c r="E5" s="132">
        <v>0</v>
      </c>
      <c r="F5" s="132">
        <v>0</v>
      </c>
      <c r="G5" s="132">
        <v>0</v>
      </c>
      <c r="H5" s="132">
        <v>0</v>
      </c>
      <c r="I5" s="132">
        <v>0</v>
      </c>
      <c r="J5" s="132">
        <v>0</v>
      </c>
      <c r="K5" s="132">
        <v>0</v>
      </c>
      <c r="L5" s="132">
        <v>0</v>
      </c>
      <c r="M5" s="132">
        <v>0</v>
      </c>
      <c r="N5" s="132">
        <v>0</v>
      </c>
      <c r="O5" s="132">
        <v>0</v>
      </c>
      <c r="P5" s="132">
        <v>0</v>
      </c>
      <c r="Q5" s="132">
        <v>0</v>
      </c>
      <c r="R5" s="132">
        <v>0</v>
      </c>
      <c r="S5" s="132">
        <v>0</v>
      </c>
      <c r="T5" s="132">
        <v>0</v>
      </c>
      <c r="U5" s="132">
        <v>0</v>
      </c>
      <c r="V5" s="132">
        <v>0</v>
      </c>
      <c r="W5" s="132">
        <v>0</v>
      </c>
      <c r="X5" s="132">
        <v>0</v>
      </c>
      <c r="Y5" s="132">
        <v>0</v>
      </c>
      <c r="Z5" s="132">
        <v>0</v>
      </c>
      <c r="AA5" s="132">
        <v>0</v>
      </c>
      <c r="AB5" s="132">
        <v>0</v>
      </c>
      <c r="AC5" s="132">
        <v>0</v>
      </c>
      <c r="AD5" s="132">
        <v>0</v>
      </c>
      <c r="AE5" s="132">
        <v>0</v>
      </c>
    </row>
    <row r="6" spans="1:34" customFormat="1" x14ac:dyDescent="0.15">
      <c r="A6" s="166" t="s">
        <v>196</v>
      </c>
      <c r="B6" s="132">
        <v>0</v>
      </c>
      <c r="C6" s="132">
        <v>0</v>
      </c>
      <c r="D6" s="132">
        <v>0</v>
      </c>
      <c r="E6" s="132">
        <v>0</v>
      </c>
      <c r="F6" s="132">
        <v>0</v>
      </c>
      <c r="G6" s="132">
        <v>0</v>
      </c>
      <c r="H6" s="132">
        <v>0</v>
      </c>
      <c r="I6" s="132">
        <v>0</v>
      </c>
      <c r="J6" s="132">
        <v>0</v>
      </c>
      <c r="K6" s="132">
        <v>0</v>
      </c>
      <c r="L6" s="132">
        <v>0</v>
      </c>
      <c r="M6" s="132">
        <v>0</v>
      </c>
      <c r="N6" s="132">
        <v>0</v>
      </c>
      <c r="O6" s="132">
        <v>0</v>
      </c>
      <c r="P6" s="132">
        <v>0</v>
      </c>
      <c r="Q6" s="132">
        <v>0</v>
      </c>
      <c r="R6" s="132">
        <v>0</v>
      </c>
      <c r="S6" s="132">
        <v>0</v>
      </c>
      <c r="T6" s="132">
        <v>0</v>
      </c>
      <c r="U6" s="132">
        <v>0</v>
      </c>
      <c r="V6" s="132">
        <v>0</v>
      </c>
      <c r="W6" s="132">
        <v>0</v>
      </c>
      <c r="X6" s="132">
        <v>0</v>
      </c>
      <c r="Y6" s="132">
        <v>0</v>
      </c>
      <c r="Z6" s="132">
        <v>0</v>
      </c>
      <c r="AA6" s="132">
        <v>0</v>
      </c>
      <c r="AB6" s="132">
        <v>0</v>
      </c>
      <c r="AC6" s="132">
        <v>0</v>
      </c>
      <c r="AD6" s="132">
        <v>0</v>
      </c>
      <c r="AE6" s="132">
        <v>0</v>
      </c>
    </row>
    <row r="7" spans="1:34" customFormat="1" x14ac:dyDescent="0.15">
      <c r="A7" s="166" t="s">
        <v>197</v>
      </c>
      <c r="B7" s="132">
        <v>0</v>
      </c>
      <c r="C7" s="132">
        <v>0</v>
      </c>
      <c r="D7" s="132">
        <v>0</v>
      </c>
      <c r="E7" s="132">
        <v>0</v>
      </c>
      <c r="F7" s="132">
        <v>0</v>
      </c>
      <c r="G7" s="132">
        <v>0</v>
      </c>
      <c r="H7" s="132">
        <v>0</v>
      </c>
      <c r="I7" s="132">
        <v>0</v>
      </c>
      <c r="J7" s="132">
        <v>0</v>
      </c>
      <c r="K7" s="132">
        <v>0</v>
      </c>
      <c r="L7" s="132">
        <v>0</v>
      </c>
      <c r="M7" s="132">
        <v>0</v>
      </c>
      <c r="N7" s="132">
        <v>0</v>
      </c>
      <c r="O7" s="132">
        <v>0</v>
      </c>
      <c r="P7" s="132">
        <v>0</v>
      </c>
      <c r="Q7" s="132">
        <v>0</v>
      </c>
      <c r="R7" s="132">
        <v>0</v>
      </c>
      <c r="S7" s="132">
        <v>0</v>
      </c>
      <c r="T7" s="132">
        <v>0</v>
      </c>
      <c r="U7" s="132">
        <v>0</v>
      </c>
      <c r="V7" s="132">
        <v>0</v>
      </c>
      <c r="W7" s="132">
        <v>0</v>
      </c>
      <c r="X7" s="132">
        <v>0</v>
      </c>
      <c r="Y7" s="132">
        <v>0</v>
      </c>
      <c r="Z7" s="132">
        <v>0</v>
      </c>
      <c r="AA7" s="132">
        <v>0</v>
      </c>
      <c r="AB7" s="132">
        <v>0</v>
      </c>
      <c r="AC7" s="132">
        <v>0</v>
      </c>
      <c r="AD7" s="132">
        <v>0</v>
      </c>
      <c r="AE7" s="132">
        <v>0</v>
      </c>
    </row>
    <row r="8" spans="1:34" customFormat="1" x14ac:dyDescent="0.15">
      <c r="A8" s="166" t="s">
        <v>198</v>
      </c>
      <c r="B8" s="132">
        <v>0</v>
      </c>
      <c r="C8" s="132">
        <v>0</v>
      </c>
      <c r="D8" s="132">
        <v>0</v>
      </c>
      <c r="E8" s="132">
        <v>0</v>
      </c>
      <c r="F8" s="132">
        <v>0</v>
      </c>
      <c r="G8" s="132">
        <v>0</v>
      </c>
      <c r="H8" s="132">
        <v>0</v>
      </c>
      <c r="I8" s="132">
        <v>0</v>
      </c>
      <c r="J8" s="132">
        <v>0</v>
      </c>
      <c r="K8" s="132">
        <v>0</v>
      </c>
      <c r="L8" s="132">
        <v>0</v>
      </c>
      <c r="M8" s="132">
        <v>0</v>
      </c>
      <c r="N8" s="132">
        <v>0</v>
      </c>
      <c r="O8" s="132">
        <v>0</v>
      </c>
      <c r="P8" s="132">
        <v>0</v>
      </c>
      <c r="Q8" s="132">
        <v>0</v>
      </c>
      <c r="R8" s="132">
        <v>0</v>
      </c>
      <c r="S8" s="132">
        <v>0</v>
      </c>
      <c r="T8" s="132">
        <v>0</v>
      </c>
      <c r="U8" s="132">
        <v>0</v>
      </c>
      <c r="V8" s="132">
        <v>0</v>
      </c>
      <c r="W8" s="132">
        <v>0</v>
      </c>
      <c r="X8" s="132">
        <v>0</v>
      </c>
      <c r="Y8" s="132">
        <v>0</v>
      </c>
      <c r="Z8" s="132">
        <v>0</v>
      </c>
      <c r="AA8" s="132">
        <v>0</v>
      </c>
      <c r="AB8" s="132">
        <v>0</v>
      </c>
      <c r="AC8" s="132">
        <v>0</v>
      </c>
      <c r="AD8" s="132">
        <v>0</v>
      </c>
      <c r="AE8" s="132">
        <v>0</v>
      </c>
    </row>
    <row r="9" spans="1:34" customFormat="1" x14ac:dyDescent="0.15">
      <c r="A9" s="166" t="s">
        <v>199</v>
      </c>
      <c r="B9" s="132">
        <v>0</v>
      </c>
      <c r="C9" s="132">
        <v>0</v>
      </c>
      <c r="D9" s="132">
        <v>0</v>
      </c>
      <c r="E9" s="132">
        <v>0</v>
      </c>
      <c r="F9" s="132">
        <v>0</v>
      </c>
      <c r="G9" s="132">
        <v>0</v>
      </c>
      <c r="H9" s="132">
        <v>0</v>
      </c>
      <c r="I9" s="132">
        <v>0</v>
      </c>
      <c r="J9" s="132">
        <v>0</v>
      </c>
      <c r="K9" s="132">
        <v>0</v>
      </c>
      <c r="L9" s="132">
        <v>0</v>
      </c>
      <c r="M9" s="132">
        <v>0</v>
      </c>
      <c r="N9" s="132">
        <v>0</v>
      </c>
      <c r="O9" s="132">
        <v>0</v>
      </c>
      <c r="P9" s="132">
        <v>0</v>
      </c>
      <c r="Q9" s="132">
        <v>0</v>
      </c>
      <c r="R9" s="132">
        <v>0</v>
      </c>
      <c r="S9" s="132">
        <v>0</v>
      </c>
      <c r="T9" s="132">
        <v>0</v>
      </c>
      <c r="U9" s="132">
        <v>0</v>
      </c>
      <c r="V9" s="132">
        <v>0</v>
      </c>
      <c r="W9" s="132">
        <v>0</v>
      </c>
      <c r="X9" s="132">
        <v>0</v>
      </c>
      <c r="Y9" s="132">
        <v>0</v>
      </c>
      <c r="Z9" s="132">
        <v>0</v>
      </c>
      <c r="AA9" s="132">
        <v>0</v>
      </c>
      <c r="AB9" s="132">
        <v>0</v>
      </c>
      <c r="AC9" s="132">
        <v>0</v>
      </c>
      <c r="AD9" s="132">
        <v>0</v>
      </c>
      <c r="AE9" s="132">
        <v>0</v>
      </c>
    </row>
    <row r="10" spans="1:34" customFormat="1" x14ac:dyDescent="0.15">
      <c r="A10" s="166" t="s">
        <v>200</v>
      </c>
      <c r="B10" s="132">
        <v>0</v>
      </c>
      <c r="C10" s="132">
        <v>0</v>
      </c>
      <c r="D10" s="132">
        <v>0</v>
      </c>
      <c r="E10" s="132">
        <v>0</v>
      </c>
      <c r="F10" s="132">
        <v>0</v>
      </c>
      <c r="G10" s="132">
        <v>0</v>
      </c>
      <c r="H10" s="132">
        <v>0</v>
      </c>
      <c r="I10" s="132">
        <v>0</v>
      </c>
      <c r="J10" s="132">
        <v>0</v>
      </c>
      <c r="K10" s="132">
        <v>0</v>
      </c>
      <c r="L10" s="132">
        <v>0</v>
      </c>
      <c r="M10" s="132">
        <v>0</v>
      </c>
      <c r="N10" s="132">
        <v>0</v>
      </c>
      <c r="O10" s="132">
        <v>0</v>
      </c>
      <c r="P10" s="132">
        <v>0</v>
      </c>
      <c r="Q10" s="132">
        <v>0</v>
      </c>
      <c r="R10" s="132">
        <v>0</v>
      </c>
      <c r="S10" s="132">
        <v>0</v>
      </c>
      <c r="T10" s="132">
        <v>0</v>
      </c>
      <c r="U10" s="132">
        <v>0</v>
      </c>
      <c r="V10" s="132">
        <v>0</v>
      </c>
      <c r="W10" s="132">
        <v>0</v>
      </c>
      <c r="X10" s="132">
        <v>0</v>
      </c>
      <c r="Y10" s="132">
        <v>0</v>
      </c>
      <c r="Z10" s="132">
        <v>0</v>
      </c>
      <c r="AA10" s="132">
        <v>0</v>
      </c>
      <c r="AB10" s="132">
        <v>0</v>
      </c>
      <c r="AC10" s="132">
        <v>0</v>
      </c>
      <c r="AD10" s="132">
        <v>0</v>
      </c>
      <c r="AE10" s="132">
        <v>0</v>
      </c>
    </row>
    <row r="11" spans="1:34" customFormat="1" x14ac:dyDescent="0.15">
      <c r="A11" s="166" t="s">
        <v>201</v>
      </c>
      <c r="B11" s="132">
        <v>0</v>
      </c>
      <c r="C11" s="132">
        <v>0</v>
      </c>
      <c r="D11" s="132">
        <v>0</v>
      </c>
      <c r="E11" s="132">
        <v>0</v>
      </c>
      <c r="F11" s="132">
        <v>0</v>
      </c>
      <c r="G11" s="132">
        <v>0</v>
      </c>
      <c r="H11" s="132">
        <v>0</v>
      </c>
      <c r="I11" s="132">
        <v>0.15</v>
      </c>
      <c r="J11" s="132">
        <v>0</v>
      </c>
      <c r="K11" s="132">
        <v>1.000001000001E-4</v>
      </c>
      <c r="L11" s="132">
        <v>0</v>
      </c>
      <c r="M11" s="132">
        <v>0</v>
      </c>
      <c r="N11" s="132">
        <v>0</v>
      </c>
      <c r="O11" s="132">
        <v>0</v>
      </c>
      <c r="P11" s="132">
        <v>0</v>
      </c>
      <c r="Q11" s="132">
        <v>0</v>
      </c>
      <c r="R11" s="132">
        <v>0</v>
      </c>
      <c r="S11" s="132">
        <v>1.0010010657557538E-3</v>
      </c>
      <c r="T11" s="132">
        <v>0</v>
      </c>
      <c r="U11" s="132">
        <v>0</v>
      </c>
      <c r="V11" s="132">
        <v>0</v>
      </c>
      <c r="W11" s="132">
        <v>0</v>
      </c>
      <c r="X11" s="132">
        <v>0</v>
      </c>
      <c r="Y11" s="132">
        <v>0</v>
      </c>
      <c r="Z11" s="132">
        <v>0</v>
      </c>
      <c r="AA11" s="132">
        <v>0</v>
      </c>
      <c r="AB11" s="132">
        <v>0</v>
      </c>
      <c r="AC11" s="132">
        <v>0</v>
      </c>
      <c r="AD11" s="132">
        <v>0</v>
      </c>
      <c r="AE11" s="132">
        <v>0</v>
      </c>
    </row>
    <row r="12" spans="1:34" customFormat="1" x14ac:dyDescent="0.15">
      <c r="A12" s="166" t="s">
        <v>202</v>
      </c>
      <c r="B12" s="132">
        <v>0</v>
      </c>
      <c r="C12" s="132">
        <v>0</v>
      </c>
      <c r="D12" s="132">
        <v>0</v>
      </c>
      <c r="E12" s="132">
        <v>0</v>
      </c>
      <c r="F12" s="132">
        <v>0</v>
      </c>
      <c r="G12" s="132">
        <v>0</v>
      </c>
      <c r="H12" s="132">
        <v>0</v>
      </c>
      <c r="I12" s="132">
        <v>0</v>
      </c>
      <c r="J12" s="132">
        <v>0</v>
      </c>
      <c r="K12" s="132">
        <v>0</v>
      </c>
      <c r="L12" s="132">
        <v>0</v>
      </c>
      <c r="M12" s="132">
        <v>0</v>
      </c>
      <c r="N12" s="132">
        <v>0</v>
      </c>
      <c r="O12" s="132">
        <v>0</v>
      </c>
      <c r="P12" s="132">
        <v>0</v>
      </c>
      <c r="Q12" s="132">
        <v>0</v>
      </c>
      <c r="R12" s="132">
        <v>0</v>
      </c>
      <c r="S12" s="132">
        <v>0</v>
      </c>
      <c r="T12" s="132">
        <v>0</v>
      </c>
      <c r="U12" s="132">
        <v>0</v>
      </c>
      <c r="V12" s="132">
        <v>0</v>
      </c>
      <c r="W12" s="132">
        <v>0</v>
      </c>
      <c r="X12" s="132">
        <v>0</v>
      </c>
      <c r="Y12" s="132">
        <v>0</v>
      </c>
      <c r="Z12" s="132">
        <v>0</v>
      </c>
      <c r="AA12" s="132">
        <v>0</v>
      </c>
      <c r="AB12" s="132">
        <v>0</v>
      </c>
      <c r="AC12" s="132">
        <v>0</v>
      </c>
      <c r="AD12" s="132">
        <v>0</v>
      </c>
      <c r="AE12" s="132">
        <v>0</v>
      </c>
    </row>
    <row r="13" spans="1:34" customFormat="1" x14ac:dyDescent="0.15">
      <c r="A13" s="166" t="s">
        <v>203</v>
      </c>
      <c r="B13" s="132">
        <v>0</v>
      </c>
      <c r="C13" s="132">
        <v>0</v>
      </c>
      <c r="D13" s="132">
        <v>0</v>
      </c>
      <c r="E13" s="132">
        <v>0</v>
      </c>
      <c r="F13" s="132">
        <v>0</v>
      </c>
      <c r="G13" s="132">
        <v>0</v>
      </c>
      <c r="H13" s="132">
        <v>0</v>
      </c>
      <c r="I13" s="132">
        <v>0</v>
      </c>
      <c r="J13" s="132">
        <v>0</v>
      </c>
      <c r="K13" s="132">
        <v>0</v>
      </c>
      <c r="L13" s="132">
        <v>0</v>
      </c>
      <c r="M13" s="132">
        <v>0</v>
      </c>
      <c r="N13" s="132">
        <v>0</v>
      </c>
      <c r="O13" s="132">
        <v>0</v>
      </c>
      <c r="P13" s="132">
        <v>0</v>
      </c>
      <c r="Q13" s="132">
        <v>0</v>
      </c>
      <c r="R13" s="132">
        <v>0</v>
      </c>
      <c r="S13" s="132">
        <v>7.6076072797437555E-2</v>
      </c>
      <c r="T13" s="132">
        <v>5.0000000000000001E-3</v>
      </c>
      <c r="U13" s="132">
        <v>0</v>
      </c>
      <c r="V13" s="132">
        <v>0</v>
      </c>
      <c r="W13" s="132">
        <v>0</v>
      </c>
      <c r="X13" s="132">
        <v>0</v>
      </c>
      <c r="Y13" s="132">
        <v>0</v>
      </c>
      <c r="Z13" s="132">
        <v>0</v>
      </c>
      <c r="AA13" s="132">
        <v>0</v>
      </c>
      <c r="AB13" s="132">
        <v>0</v>
      </c>
      <c r="AC13" s="132">
        <v>0</v>
      </c>
      <c r="AD13" s="132">
        <v>0</v>
      </c>
      <c r="AE13" s="132">
        <v>0</v>
      </c>
    </row>
    <row r="14" spans="1:34" customFormat="1" x14ac:dyDescent="0.15">
      <c r="A14" s="166" t="s">
        <v>204</v>
      </c>
      <c r="B14" s="132">
        <v>0</v>
      </c>
      <c r="C14" s="132">
        <v>0</v>
      </c>
      <c r="D14" s="132">
        <v>0</v>
      </c>
      <c r="E14" s="132">
        <v>0</v>
      </c>
      <c r="F14" s="132">
        <v>0</v>
      </c>
      <c r="G14" s="132">
        <v>0</v>
      </c>
      <c r="H14" s="132">
        <v>0</v>
      </c>
      <c r="I14" s="132">
        <v>0</v>
      </c>
      <c r="J14" s="132">
        <v>0</v>
      </c>
      <c r="K14" s="132">
        <v>0</v>
      </c>
      <c r="L14" s="132">
        <v>0</v>
      </c>
      <c r="M14" s="132">
        <v>0</v>
      </c>
      <c r="N14" s="132">
        <v>8.0000000000000002E-3</v>
      </c>
      <c r="O14" s="132">
        <v>2.3E-2</v>
      </c>
      <c r="P14" s="132">
        <v>0</v>
      </c>
      <c r="Q14" s="132">
        <v>0</v>
      </c>
      <c r="R14" s="132">
        <v>0</v>
      </c>
      <c r="S14" s="132">
        <v>4.5045046459008961E-2</v>
      </c>
      <c r="T14" s="132">
        <v>0</v>
      </c>
      <c r="U14" s="132">
        <v>0</v>
      </c>
      <c r="V14" s="132">
        <v>0</v>
      </c>
      <c r="W14" s="132">
        <v>0</v>
      </c>
      <c r="X14" s="132">
        <v>0</v>
      </c>
      <c r="Y14" s="132">
        <v>0</v>
      </c>
      <c r="Z14" s="132">
        <v>0</v>
      </c>
      <c r="AA14" s="132">
        <v>0</v>
      </c>
      <c r="AB14" s="132">
        <v>0</v>
      </c>
      <c r="AC14" s="132">
        <v>0</v>
      </c>
      <c r="AD14" s="132">
        <v>0</v>
      </c>
      <c r="AE14" s="132">
        <v>0</v>
      </c>
    </row>
    <row r="15" spans="1:34" customFormat="1" x14ac:dyDescent="0.15">
      <c r="A15" s="166" t="s">
        <v>205</v>
      </c>
      <c r="B15" s="132">
        <v>0</v>
      </c>
      <c r="C15" s="132">
        <v>0</v>
      </c>
      <c r="D15" s="132">
        <v>0</v>
      </c>
      <c r="E15" s="132">
        <v>0</v>
      </c>
      <c r="F15" s="132">
        <v>0</v>
      </c>
      <c r="G15" s="132">
        <v>0</v>
      </c>
      <c r="H15" s="132">
        <v>0</v>
      </c>
      <c r="I15" s="132">
        <v>0</v>
      </c>
      <c r="J15" s="132">
        <v>0</v>
      </c>
      <c r="K15" s="132">
        <v>0</v>
      </c>
      <c r="L15" s="132">
        <v>0</v>
      </c>
      <c r="M15" s="132">
        <v>0</v>
      </c>
      <c r="N15" s="132">
        <v>0.02</v>
      </c>
      <c r="O15" s="132">
        <v>0.01</v>
      </c>
      <c r="P15" s="132">
        <v>5.0000000000000001E-3</v>
      </c>
      <c r="Q15" s="132">
        <v>0</v>
      </c>
      <c r="R15" s="132">
        <v>0</v>
      </c>
      <c r="S15" s="132">
        <v>3.0030028972672712E-3</v>
      </c>
      <c r="T15" s="132">
        <v>0.03</v>
      </c>
      <c r="U15" s="132">
        <v>1.5000000000000001E-2</v>
      </c>
      <c r="V15" s="132">
        <v>0</v>
      </c>
      <c r="W15" s="132">
        <v>0</v>
      </c>
      <c r="X15" s="132">
        <v>0</v>
      </c>
      <c r="Y15" s="132">
        <v>0</v>
      </c>
      <c r="Z15" s="132">
        <v>0</v>
      </c>
      <c r="AA15" s="132">
        <v>0</v>
      </c>
      <c r="AB15" s="132">
        <v>0</v>
      </c>
      <c r="AC15" s="132">
        <v>0</v>
      </c>
      <c r="AD15" s="132">
        <v>0</v>
      </c>
      <c r="AE15" s="132">
        <v>0</v>
      </c>
    </row>
    <row r="16" spans="1:34" customFormat="1" x14ac:dyDescent="0.15">
      <c r="A16" s="166" t="s">
        <v>206</v>
      </c>
      <c r="B16" s="132">
        <v>0</v>
      </c>
      <c r="C16" s="132">
        <v>0</v>
      </c>
      <c r="D16" s="132">
        <v>0</v>
      </c>
      <c r="E16" s="132">
        <v>0</v>
      </c>
      <c r="F16" s="132">
        <v>0</v>
      </c>
      <c r="G16" s="132">
        <v>0</v>
      </c>
      <c r="H16" s="132">
        <v>0</v>
      </c>
      <c r="I16" s="132">
        <v>0</v>
      </c>
      <c r="J16" s="132">
        <v>0</v>
      </c>
      <c r="K16" s="132">
        <v>0</v>
      </c>
      <c r="L16" s="132">
        <v>0</v>
      </c>
      <c r="M16" s="132">
        <v>0</v>
      </c>
      <c r="N16" s="132">
        <v>3.0000000000000001E-3</v>
      </c>
      <c r="O16" s="132">
        <v>1E-3</v>
      </c>
      <c r="P16" s="132">
        <v>0.16200000000000001</v>
      </c>
      <c r="Q16" s="132">
        <v>0</v>
      </c>
      <c r="R16" s="132">
        <v>0</v>
      </c>
      <c r="S16" s="132">
        <v>1.0010010657557538E-3</v>
      </c>
      <c r="T16" s="132">
        <v>3.0000000000000001E-3</v>
      </c>
      <c r="U16" s="132">
        <v>0</v>
      </c>
      <c r="V16" s="132">
        <v>0</v>
      </c>
      <c r="W16" s="132">
        <v>0</v>
      </c>
      <c r="X16" s="132">
        <v>0</v>
      </c>
      <c r="Y16" s="132">
        <v>0</v>
      </c>
      <c r="Z16" s="132">
        <v>0</v>
      </c>
      <c r="AA16" s="132">
        <v>0</v>
      </c>
      <c r="AB16" s="132">
        <v>0</v>
      </c>
      <c r="AC16" s="132">
        <v>0</v>
      </c>
      <c r="AD16" s="132">
        <v>0</v>
      </c>
      <c r="AE16" s="132">
        <v>0</v>
      </c>
    </row>
    <row r="17" spans="1:31" customFormat="1" x14ac:dyDescent="0.15">
      <c r="A17" s="166" t="s">
        <v>207</v>
      </c>
      <c r="B17" s="132">
        <v>0</v>
      </c>
      <c r="C17" s="132">
        <v>0</v>
      </c>
      <c r="D17" s="132">
        <v>0</v>
      </c>
      <c r="E17" s="132">
        <v>0</v>
      </c>
      <c r="F17" s="132">
        <v>0</v>
      </c>
      <c r="G17" s="132">
        <v>0</v>
      </c>
      <c r="H17" s="132">
        <v>0</v>
      </c>
      <c r="I17" s="132">
        <v>0</v>
      </c>
      <c r="J17" s="132">
        <v>0</v>
      </c>
      <c r="K17" s="132">
        <v>0</v>
      </c>
      <c r="L17" s="132">
        <v>0</v>
      </c>
      <c r="M17" s="132">
        <v>0</v>
      </c>
      <c r="N17" s="132">
        <v>1.0999999999999999E-2</v>
      </c>
      <c r="O17" s="132">
        <v>5.3999999999999999E-2</v>
      </c>
      <c r="P17" s="132">
        <v>0.68600000000000005</v>
      </c>
      <c r="Q17" s="132">
        <v>0</v>
      </c>
      <c r="R17" s="132">
        <v>0</v>
      </c>
      <c r="S17" s="132">
        <v>0</v>
      </c>
      <c r="T17" s="132">
        <v>0</v>
      </c>
      <c r="U17" s="132">
        <v>6.3000000000000014E-2</v>
      </c>
      <c r="V17" s="132">
        <v>0</v>
      </c>
      <c r="W17" s="132">
        <v>0</v>
      </c>
      <c r="X17" s="132">
        <v>0</v>
      </c>
      <c r="Y17" s="132">
        <v>0</v>
      </c>
      <c r="Z17" s="132">
        <v>0</v>
      </c>
      <c r="AA17" s="132">
        <v>0</v>
      </c>
      <c r="AB17" s="132">
        <v>0</v>
      </c>
      <c r="AC17" s="132">
        <v>0</v>
      </c>
      <c r="AD17" s="132">
        <v>0</v>
      </c>
      <c r="AE17" s="132">
        <v>0</v>
      </c>
    </row>
    <row r="18" spans="1:31" customFormat="1" x14ac:dyDescent="0.15">
      <c r="A18" s="166" t="s">
        <v>208</v>
      </c>
      <c r="B18" s="132">
        <v>0.01</v>
      </c>
      <c r="C18" s="132">
        <v>0</v>
      </c>
      <c r="D18" s="132">
        <v>8.9999999999999993E-3</v>
      </c>
      <c r="E18" s="132">
        <v>0.14899999999999999</v>
      </c>
      <c r="F18" s="132">
        <v>6.9993000699930009E-4</v>
      </c>
      <c r="G18" s="132">
        <v>0</v>
      </c>
      <c r="H18" s="132">
        <v>4.4006599053567673E-8</v>
      </c>
      <c r="I18" s="132">
        <v>0.1462</v>
      </c>
      <c r="J18" s="132">
        <v>0.17810000000000001</v>
      </c>
      <c r="K18" s="132">
        <v>0.37044537044537046</v>
      </c>
      <c r="L18" s="132">
        <v>0.32100000000000001</v>
      </c>
      <c r="M18" s="132">
        <v>0</v>
      </c>
      <c r="N18" s="132">
        <v>0.191</v>
      </c>
      <c r="O18" s="132">
        <v>0.52700000000000002</v>
      </c>
      <c r="P18" s="132">
        <v>1E-3</v>
      </c>
      <c r="Q18" s="132">
        <v>0</v>
      </c>
      <c r="R18" s="132">
        <v>0</v>
      </c>
      <c r="S18" s="132">
        <v>0.12412412075371383</v>
      </c>
      <c r="T18" s="132">
        <v>0</v>
      </c>
      <c r="U18" s="132">
        <v>0</v>
      </c>
      <c r="V18" s="132">
        <v>0</v>
      </c>
      <c r="W18" s="132">
        <v>0</v>
      </c>
      <c r="X18" s="132">
        <v>0</v>
      </c>
      <c r="Y18" s="132">
        <v>0</v>
      </c>
      <c r="Z18" s="132">
        <v>0</v>
      </c>
      <c r="AA18" s="132">
        <v>0</v>
      </c>
      <c r="AB18" s="132">
        <v>0</v>
      </c>
      <c r="AC18" s="132">
        <v>0</v>
      </c>
      <c r="AD18" s="132">
        <v>0</v>
      </c>
      <c r="AE18" s="132">
        <v>0</v>
      </c>
    </row>
    <row r="19" spans="1:31" customFormat="1" x14ac:dyDescent="0.15">
      <c r="A19" s="166" t="s">
        <v>209</v>
      </c>
      <c r="B19" s="132">
        <v>0</v>
      </c>
      <c r="C19" s="132">
        <v>0</v>
      </c>
      <c r="D19" s="132">
        <v>0</v>
      </c>
      <c r="E19" s="132">
        <v>0</v>
      </c>
      <c r="F19" s="132">
        <v>0</v>
      </c>
      <c r="G19" s="132">
        <v>0</v>
      </c>
      <c r="H19" s="132">
        <v>0</v>
      </c>
      <c r="I19" s="132">
        <v>0</v>
      </c>
      <c r="J19" s="132">
        <v>0</v>
      </c>
      <c r="K19" s="132">
        <v>0</v>
      </c>
      <c r="L19" s="132">
        <v>0</v>
      </c>
      <c r="M19" s="132">
        <v>0</v>
      </c>
      <c r="N19" s="132">
        <v>0</v>
      </c>
      <c r="O19" s="132">
        <v>0</v>
      </c>
      <c r="P19" s="132">
        <v>0</v>
      </c>
      <c r="Q19" s="132">
        <v>0</v>
      </c>
      <c r="R19" s="132">
        <v>0</v>
      </c>
      <c r="S19" s="132">
        <v>8.0080087260460224E-3</v>
      </c>
      <c r="T19" s="132">
        <v>0</v>
      </c>
      <c r="U19" s="132">
        <v>0</v>
      </c>
      <c r="V19" s="132">
        <v>0</v>
      </c>
      <c r="W19" s="132">
        <v>0</v>
      </c>
      <c r="X19" s="132">
        <v>0</v>
      </c>
      <c r="Y19" s="132">
        <v>0</v>
      </c>
      <c r="Z19" s="132">
        <v>0</v>
      </c>
      <c r="AA19" s="132">
        <v>0</v>
      </c>
      <c r="AB19" s="132">
        <v>0</v>
      </c>
      <c r="AC19" s="132">
        <v>0</v>
      </c>
      <c r="AD19" s="132">
        <v>0</v>
      </c>
      <c r="AE19" s="132">
        <v>0</v>
      </c>
    </row>
    <row r="20" spans="1:31" customFormat="1" x14ac:dyDescent="0.15">
      <c r="A20" s="166" t="s">
        <v>210</v>
      </c>
      <c r="B20" s="132">
        <v>0</v>
      </c>
      <c r="C20" s="132">
        <v>0</v>
      </c>
      <c r="D20" s="132">
        <v>0</v>
      </c>
      <c r="E20" s="132">
        <v>0</v>
      </c>
      <c r="F20" s="132">
        <v>0</v>
      </c>
      <c r="G20" s="132">
        <v>0</v>
      </c>
      <c r="H20" s="132">
        <v>0</v>
      </c>
      <c r="I20" s="132">
        <v>0</v>
      </c>
      <c r="J20" s="132">
        <v>0</v>
      </c>
      <c r="K20" s="132">
        <v>0</v>
      </c>
      <c r="L20" s="132">
        <v>0</v>
      </c>
      <c r="M20" s="132">
        <v>0</v>
      </c>
      <c r="N20" s="132">
        <v>0</v>
      </c>
      <c r="O20" s="132">
        <v>0</v>
      </c>
      <c r="P20" s="132">
        <v>0</v>
      </c>
      <c r="Q20" s="132">
        <v>0</v>
      </c>
      <c r="R20" s="132">
        <v>0</v>
      </c>
      <c r="S20" s="132">
        <v>0</v>
      </c>
      <c r="T20" s="132">
        <v>0.01</v>
      </c>
      <c r="U20" s="132">
        <v>0</v>
      </c>
      <c r="V20" s="132">
        <v>0</v>
      </c>
      <c r="W20" s="132">
        <v>0</v>
      </c>
      <c r="X20" s="132">
        <v>0</v>
      </c>
      <c r="Y20" s="132">
        <v>0</v>
      </c>
      <c r="Z20" s="132">
        <v>0</v>
      </c>
      <c r="AA20" s="132">
        <v>0</v>
      </c>
      <c r="AB20" s="132">
        <v>0</v>
      </c>
      <c r="AC20" s="132">
        <v>0</v>
      </c>
      <c r="AD20" s="132">
        <v>0</v>
      </c>
      <c r="AE20" s="132">
        <v>0</v>
      </c>
    </row>
    <row r="21" spans="1:31" customFormat="1" x14ac:dyDescent="0.15">
      <c r="A21" s="166" t="s">
        <v>211</v>
      </c>
      <c r="B21" s="132">
        <v>3.0000000000000001E-3</v>
      </c>
      <c r="C21" s="132">
        <v>0</v>
      </c>
      <c r="D21" s="132">
        <v>0</v>
      </c>
      <c r="E21" s="132">
        <v>7.0000000000000007E-2</v>
      </c>
      <c r="F21" s="132">
        <v>0</v>
      </c>
      <c r="G21" s="132">
        <v>0</v>
      </c>
      <c r="H21" s="132">
        <v>0</v>
      </c>
      <c r="I21" s="132">
        <v>0</v>
      </c>
      <c r="J21" s="132">
        <v>0</v>
      </c>
      <c r="K21" s="132">
        <v>0</v>
      </c>
      <c r="L21" s="132">
        <v>0</v>
      </c>
      <c r="M21" s="132">
        <v>0</v>
      </c>
      <c r="N21" s="132">
        <v>8.0000000000000002E-3</v>
      </c>
      <c r="O21" s="132">
        <v>3.0000000000000001E-3</v>
      </c>
      <c r="P21" s="132">
        <v>3.0000000000000001E-3</v>
      </c>
      <c r="Q21" s="132">
        <v>0</v>
      </c>
      <c r="R21" s="132">
        <v>0</v>
      </c>
      <c r="S21" s="132">
        <v>3.4034034935695665E-2</v>
      </c>
      <c r="T21" s="132">
        <v>0.01</v>
      </c>
      <c r="U21" s="132">
        <v>0</v>
      </c>
      <c r="V21" s="132">
        <v>0</v>
      </c>
      <c r="W21" s="132">
        <v>0</v>
      </c>
      <c r="X21" s="132">
        <v>0</v>
      </c>
      <c r="Y21" s="132">
        <v>0</v>
      </c>
      <c r="Z21" s="132">
        <v>0</v>
      </c>
      <c r="AA21" s="132">
        <v>0</v>
      </c>
      <c r="AB21" s="132">
        <v>0</v>
      </c>
      <c r="AC21" s="132">
        <v>0</v>
      </c>
      <c r="AD21" s="132">
        <v>0</v>
      </c>
      <c r="AE21" s="132">
        <v>0</v>
      </c>
    </row>
    <row r="22" spans="1:31" customFormat="1" x14ac:dyDescent="0.15">
      <c r="A22" s="166" t="s">
        <v>212</v>
      </c>
      <c r="B22" s="132">
        <v>4.9000000000000002E-2</v>
      </c>
      <c r="C22" s="132">
        <v>9.9970008997300806E-4</v>
      </c>
      <c r="D22" s="132">
        <v>3.4000000000000002E-2</v>
      </c>
      <c r="E22" s="132">
        <v>0.53600000000000003</v>
      </c>
      <c r="F22" s="132">
        <v>6.9993000699930009E-4</v>
      </c>
      <c r="G22" s="132">
        <v>0</v>
      </c>
      <c r="H22" s="132">
        <v>0</v>
      </c>
      <c r="I22" s="132">
        <v>0.2641</v>
      </c>
      <c r="J22" s="132">
        <v>0</v>
      </c>
      <c r="K22" s="132">
        <v>4.2164042164042168E-2</v>
      </c>
      <c r="L22" s="132">
        <v>0</v>
      </c>
      <c r="M22" s="132">
        <v>0.02</v>
      </c>
      <c r="N22" s="132">
        <v>0.51</v>
      </c>
      <c r="O22" s="132">
        <v>0.16900000000000001</v>
      </c>
      <c r="P22" s="132">
        <v>1E-3</v>
      </c>
      <c r="Q22" s="132">
        <v>8.1000000000000003E-2</v>
      </c>
      <c r="R22" s="132">
        <v>0</v>
      </c>
      <c r="S22" s="132">
        <v>2.902902900691692E-2</v>
      </c>
      <c r="T22" s="132">
        <v>5.7000000000000002E-2</v>
      </c>
      <c r="U22" s="132">
        <v>3.0000000000000005E-3</v>
      </c>
      <c r="V22" s="132">
        <v>2.1999999999999999E-2</v>
      </c>
      <c r="W22" s="132">
        <v>1.2999999999999999E-2</v>
      </c>
      <c r="X22" s="132">
        <v>0.20799999999999999</v>
      </c>
      <c r="Y22" s="132">
        <v>8.8999999999999996E-2</v>
      </c>
      <c r="Z22" s="132">
        <v>0</v>
      </c>
      <c r="AA22" s="132">
        <v>0</v>
      </c>
      <c r="AB22" s="132">
        <v>0</v>
      </c>
      <c r="AC22" s="132">
        <v>0</v>
      </c>
      <c r="AD22" s="132">
        <v>0</v>
      </c>
      <c r="AE22" s="132">
        <v>0</v>
      </c>
    </row>
    <row r="23" spans="1:31" customFormat="1" x14ac:dyDescent="0.15">
      <c r="A23" s="166" t="s">
        <v>213</v>
      </c>
      <c r="B23" s="132">
        <v>0</v>
      </c>
      <c r="C23" s="132">
        <v>0</v>
      </c>
      <c r="D23" s="132">
        <v>0</v>
      </c>
      <c r="E23" s="132">
        <v>0</v>
      </c>
      <c r="F23" s="132">
        <v>0</v>
      </c>
      <c r="G23" s="132">
        <v>0</v>
      </c>
      <c r="H23" s="132">
        <v>0</v>
      </c>
      <c r="I23" s="132">
        <v>0</v>
      </c>
      <c r="J23" s="132">
        <v>0</v>
      </c>
      <c r="K23" s="132">
        <v>0</v>
      </c>
      <c r="L23" s="132">
        <v>0.108</v>
      </c>
      <c r="M23" s="132">
        <v>0.48</v>
      </c>
      <c r="N23" s="132">
        <v>0</v>
      </c>
      <c r="O23" s="132">
        <v>0</v>
      </c>
      <c r="P23" s="132">
        <v>0</v>
      </c>
      <c r="Q23" s="132">
        <v>0</v>
      </c>
      <c r="R23" s="132">
        <v>2.7E-2</v>
      </c>
      <c r="S23" s="132">
        <v>0</v>
      </c>
      <c r="T23" s="132">
        <v>0.56200000000000006</v>
      </c>
      <c r="U23" s="132">
        <v>0</v>
      </c>
      <c r="V23" s="132">
        <v>8.0000000000000002E-3</v>
      </c>
      <c r="W23" s="132">
        <v>2.9000000000000001E-2</v>
      </c>
      <c r="X23" s="132">
        <v>3.3000000000000002E-2</v>
      </c>
      <c r="Y23" s="132">
        <v>0.03</v>
      </c>
      <c r="Z23" s="132">
        <v>4.0000000000000001E-3</v>
      </c>
      <c r="AA23" s="132">
        <v>0</v>
      </c>
      <c r="AB23" s="132">
        <v>0</v>
      </c>
      <c r="AC23" s="132">
        <v>0</v>
      </c>
      <c r="AD23" s="132">
        <v>0</v>
      </c>
      <c r="AE23" s="132">
        <v>0</v>
      </c>
    </row>
    <row r="24" spans="1:31" customFormat="1" x14ac:dyDescent="0.15">
      <c r="A24" s="166" t="s">
        <v>214</v>
      </c>
      <c r="B24" s="132">
        <v>1.2E-2</v>
      </c>
      <c r="C24" s="132">
        <v>1.9994001799460164E-4</v>
      </c>
      <c r="D24" s="132">
        <v>1.7000000000000001E-2</v>
      </c>
      <c r="E24" s="132">
        <v>0</v>
      </c>
      <c r="F24" s="132">
        <v>6.9993000699930009E-4</v>
      </c>
      <c r="G24" s="132">
        <v>0</v>
      </c>
      <c r="H24" s="132">
        <v>0</v>
      </c>
      <c r="I24" s="132">
        <v>0</v>
      </c>
      <c r="J24" s="132">
        <v>0</v>
      </c>
      <c r="K24" s="132">
        <v>0</v>
      </c>
      <c r="L24" s="132">
        <v>0.14399999999999999</v>
      </c>
      <c r="M24" s="132">
        <v>0.45</v>
      </c>
      <c r="N24" s="132">
        <v>6.5000000000000002E-2</v>
      </c>
      <c r="O24" s="132">
        <v>1E-3</v>
      </c>
      <c r="P24" s="132">
        <v>7.3999999999999996E-2</v>
      </c>
      <c r="Q24" s="132">
        <v>0</v>
      </c>
      <c r="R24" s="132">
        <v>0</v>
      </c>
      <c r="S24" s="132">
        <v>0.38338338688445434</v>
      </c>
      <c r="T24" s="132">
        <v>0</v>
      </c>
      <c r="U24" s="132">
        <v>0.48800000000000004</v>
      </c>
      <c r="V24" s="132">
        <v>0</v>
      </c>
      <c r="W24" s="132">
        <v>0</v>
      </c>
      <c r="X24" s="132">
        <v>0.01</v>
      </c>
      <c r="Y24" s="132">
        <v>0</v>
      </c>
      <c r="Z24" s="132">
        <v>0</v>
      </c>
      <c r="AA24" s="132">
        <v>0</v>
      </c>
      <c r="AB24" s="132">
        <v>0</v>
      </c>
      <c r="AC24" s="132">
        <v>0</v>
      </c>
      <c r="AD24" s="132">
        <v>0</v>
      </c>
      <c r="AE24" s="132">
        <v>0</v>
      </c>
    </row>
    <row r="25" spans="1:31" customFormat="1" x14ac:dyDescent="0.15">
      <c r="A25" s="166" t="s">
        <v>215</v>
      </c>
      <c r="B25" s="132">
        <v>0</v>
      </c>
      <c r="C25" s="132">
        <v>0</v>
      </c>
      <c r="D25" s="132">
        <v>0</v>
      </c>
      <c r="E25" s="132">
        <v>0</v>
      </c>
      <c r="F25" s="132">
        <v>0</v>
      </c>
      <c r="G25" s="132">
        <v>0</v>
      </c>
      <c r="H25" s="132">
        <v>0.99614937857621377</v>
      </c>
      <c r="I25" s="132">
        <v>0.36470000000000002</v>
      </c>
      <c r="J25" s="132">
        <v>0.68689999999999996</v>
      </c>
      <c r="K25" s="132">
        <v>0.58729058729058725</v>
      </c>
      <c r="L25" s="132">
        <v>0</v>
      </c>
      <c r="M25" s="132">
        <v>0</v>
      </c>
      <c r="N25" s="132">
        <v>0.13</v>
      </c>
      <c r="O25" s="132">
        <v>0.17299999999999999</v>
      </c>
      <c r="P25" s="132">
        <v>2.5999999999999999E-2</v>
      </c>
      <c r="Q25" s="132">
        <v>0</v>
      </c>
      <c r="R25" s="132">
        <v>0</v>
      </c>
      <c r="S25" s="132">
        <v>0.29029029006916918</v>
      </c>
      <c r="T25" s="132">
        <v>2.4E-2</v>
      </c>
      <c r="U25" s="132">
        <v>0.19800000000000004</v>
      </c>
      <c r="V25" s="132">
        <v>0</v>
      </c>
      <c r="W25" s="132">
        <v>4.0000000000000001E-3</v>
      </c>
      <c r="X25" s="132">
        <v>0.05</v>
      </c>
      <c r="Y25" s="132">
        <v>1.7000000000000001E-2</v>
      </c>
      <c r="Z25" s="132">
        <v>2E-3</v>
      </c>
      <c r="AA25" s="132">
        <v>0</v>
      </c>
      <c r="AB25" s="132">
        <v>0</v>
      </c>
      <c r="AC25" s="132">
        <v>0</v>
      </c>
      <c r="AD25" s="132">
        <v>0</v>
      </c>
      <c r="AE25" s="132">
        <v>0</v>
      </c>
    </row>
    <row r="26" spans="1:31" customFormat="1" x14ac:dyDescent="0.15">
      <c r="A26" s="166" t="s">
        <v>216</v>
      </c>
      <c r="B26" s="132">
        <v>0</v>
      </c>
      <c r="C26" s="132">
        <v>0</v>
      </c>
      <c r="D26" s="132">
        <v>0</v>
      </c>
      <c r="E26" s="132">
        <v>0</v>
      </c>
      <c r="F26" s="132">
        <v>0</v>
      </c>
      <c r="G26" s="132">
        <v>0</v>
      </c>
      <c r="H26" s="132">
        <v>3.850577417187172E-3</v>
      </c>
      <c r="I26" s="132">
        <v>0</v>
      </c>
      <c r="J26" s="132">
        <v>8.9099999999999999E-2</v>
      </c>
      <c r="K26" s="132">
        <v>0</v>
      </c>
      <c r="L26" s="132">
        <v>0.36899999999999999</v>
      </c>
      <c r="M26" s="132">
        <v>0</v>
      </c>
      <c r="N26" s="132">
        <v>0</v>
      </c>
      <c r="O26" s="132">
        <v>0</v>
      </c>
      <c r="P26" s="132">
        <v>0</v>
      </c>
      <c r="Q26" s="132">
        <v>0</v>
      </c>
      <c r="R26" s="132">
        <v>0</v>
      </c>
      <c r="S26" s="132">
        <v>0</v>
      </c>
      <c r="T26" s="132">
        <v>0.28299999999999997</v>
      </c>
      <c r="U26" s="132">
        <v>0</v>
      </c>
      <c r="V26" s="132">
        <v>0.115</v>
      </c>
      <c r="W26" s="132">
        <v>0.70399999999999996</v>
      </c>
      <c r="X26" s="132">
        <v>0.65500000000000003</v>
      </c>
      <c r="Y26" s="132">
        <v>0.66200000000000003</v>
      </c>
      <c r="Z26" s="132">
        <v>0.05</v>
      </c>
      <c r="AA26" s="132">
        <v>0.16200000000000001</v>
      </c>
      <c r="AB26" s="132">
        <v>0</v>
      </c>
      <c r="AC26" s="132">
        <v>0</v>
      </c>
      <c r="AD26" s="132">
        <v>0</v>
      </c>
      <c r="AE26" s="132">
        <v>0</v>
      </c>
    </row>
    <row r="27" spans="1:31" customFormat="1" x14ac:dyDescent="0.15">
      <c r="A27" s="166" t="s">
        <v>217</v>
      </c>
      <c r="B27" s="132">
        <v>2.5999999999999999E-2</v>
      </c>
      <c r="C27" s="132">
        <v>9.8070578826352103E-2</v>
      </c>
      <c r="D27" s="132">
        <v>0.04</v>
      </c>
      <c r="E27" s="132">
        <v>0.245</v>
      </c>
      <c r="F27" s="132">
        <v>9.799020097990202E-2</v>
      </c>
      <c r="G27" s="132">
        <v>0.1</v>
      </c>
      <c r="H27" s="132">
        <v>0</v>
      </c>
      <c r="I27" s="132">
        <v>7.4999999999999997E-2</v>
      </c>
      <c r="J27" s="132">
        <v>4.5900000000000003E-2</v>
      </c>
      <c r="K27" s="132">
        <v>0</v>
      </c>
      <c r="L27" s="132">
        <v>5.8000000000000003E-2</v>
      </c>
      <c r="M27" s="132">
        <v>0</v>
      </c>
      <c r="N27" s="132">
        <v>5.3999999999999999E-2</v>
      </c>
      <c r="O27" s="132">
        <v>3.9E-2</v>
      </c>
      <c r="P27" s="132">
        <v>4.2000000000000003E-2</v>
      </c>
      <c r="Q27" s="132">
        <v>0.91900000000000004</v>
      </c>
      <c r="R27" s="132">
        <v>0</v>
      </c>
      <c r="S27" s="132">
        <v>1.0010010657557538E-3</v>
      </c>
      <c r="T27" s="132">
        <v>0</v>
      </c>
      <c r="U27" s="132">
        <v>0.23300000000000004</v>
      </c>
      <c r="V27" s="132">
        <v>0.85499999999999998</v>
      </c>
      <c r="W27" s="132">
        <v>6.2E-2</v>
      </c>
      <c r="X27" s="132">
        <v>1.7000000000000001E-2</v>
      </c>
      <c r="Y27" s="132">
        <v>0.185</v>
      </c>
      <c r="Z27" s="132">
        <v>2.9000000000000001E-2</v>
      </c>
      <c r="AA27" s="132">
        <v>0.02</v>
      </c>
      <c r="AB27" s="132">
        <v>0</v>
      </c>
      <c r="AC27" s="132">
        <v>0</v>
      </c>
      <c r="AD27" s="132">
        <v>0</v>
      </c>
      <c r="AE27" s="132">
        <v>0</v>
      </c>
    </row>
    <row r="28" spans="1:31" customFormat="1" x14ac:dyDescent="0.15">
      <c r="A28" s="166" t="s">
        <v>218</v>
      </c>
      <c r="B28" s="132">
        <v>0</v>
      </c>
      <c r="C28" s="132">
        <v>0</v>
      </c>
      <c r="D28" s="132">
        <v>0</v>
      </c>
      <c r="E28" s="132">
        <v>0</v>
      </c>
      <c r="F28" s="132">
        <v>0</v>
      </c>
      <c r="G28" s="132">
        <v>0</v>
      </c>
      <c r="H28" s="132">
        <v>0</v>
      </c>
      <c r="I28" s="132">
        <v>0</v>
      </c>
      <c r="J28" s="132">
        <v>0</v>
      </c>
      <c r="K28" s="132">
        <v>0</v>
      </c>
      <c r="L28" s="132">
        <v>0</v>
      </c>
      <c r="M28" s="132">
        <v>0.05</v>
      </c>
      <c r="N28" s="132">
        <v>0</v>
      </c>
      <c r="O28" s="132">
        <v>0</v>
      </c>
      <c r="P28" s="132">
        <v>0</v>
      </c>
      <c r="Q28" s="132">
        <v>0</v>
      </c>
      <c r="R28" s="132">
        <v>0.97299999999999998</v>
      </c>
      <c r="S28" s="132">
        <v>0</v>
      </c>
      <c r="T28" s="132">
        <v>1E-3</v>
      </c>
      <c r="U28" s="132">
        <v>0</v>
      </c>
      <c r="V28" s="132">
        <v>0</v>
      </c>
      <c r="W28" s="132">
        <v>0.115</v>
      </c>
      <c r="X28" s="132">
        <v>0</v>
      </c>
      <c r="Y28" s="132">
        <v>1.7000000000000001E-2</v>
      </c>
      <c r="Z28" s="132">
        <v>0.185</v>
      </c>
      <c r="AA28" s="132">
        <v>1.7999999999999999E-2</v>
      </c>
      <c r="AB28" s="132">
        <v>0</v>
      </c>
      <c r="AC28" s="132">
        <v>0</v>
      </c>
      <c r="AD28" s="132">
        <v>0</v>
      </c>
      <c r="AE28" s="132">
        <v>0</v>
      </c>
    </row>
    <row r="29" spans="1:31" customFormat="1" x14ac:dyDescent="0.15">
      <c r="A29" s="166" t="s">
        <v>219</v>
      </c>
      <c r="B29" s="132">
        <v>0</v>
      </c>
      <c r="C29" s="132">
        <v>0</v>
      </c>
      <c r="D29" s="132">
        <v>0</v>
      </c>
      <c r="E29" s="132">
        <v>0</v>
      </c>
      <c r="F29" s="132">
        <v>0</v>
      </c>
      <c r="G29" s="132">
        <v>0</v>
      </c>
      <c r="H29" s="132">
        <v>0</v>
      </c>
      <c r="I29" s="132">
        <v>0</v>
      </c>
      <c r="J29" s="132">
        <v>0</v>
      </c>
      <c r="K29" s="132">
        <v>0</v>
      </c>
      <c r="L29" s="132">
        <v>0</v>
      </c>
      <c r="M29" s="132">
        <v>0</v>
      </c>
      <c r="N29" s="132">
        <v>0</v>
      </c>
      <c r="O29" s="132">
        <v>0</v>
      </c>
      <c r="P29" s="132">
        <v>0</v>
      </c>
      <c r="Q29" s="132">
        <v>0</v>
      </c>
      <c r="R29" s="132">
        <v>0</v>
      </c>
      <c r="S29" s="132">
        <v>0</v>
      </c>
      <c r="T29" s="132">
        <v>0</v>
      </c>
      <c r="U29" s="132">
        <v>0</v>
      </c>
      <c r="V29" s="132">
        <v>0</v>
      </c>
      <c r="W29" s="132">
        <v>7.2999999999999995E-2</v>
      </c>
      <c r="X29" s="132">
        <v>2.7E-2</v>
      </c>
      <c r="Y29" s="132">
        <v>0</v>
      </c>
      <c r="Z29" s="132">
        <v>2.8000000000000001E-2</v>
      </c>
      <c r="AA29" s="132">
        <v>0.65</v>
      </c>
      <c r="AB29" s="132">
        <v>0</v>
      </c>
      <c r="AC29" s="132">
        <v>0</v>
      </c>
      <c r="AD29" s="132">
        <v>0</v>
      </c>
      <c r="AE29" s="132">
        <v>0</v>
      </c>
    </row>
    <row r="30" spans="1:31" customFormat="1" x14ac:dyDescent="0.15">
      <c r="A30" s="166" t="s">
        <v>220</v>
      </c>
      <c r="B30" s="132">
        <v>0</v>
      </c>
      <c r="C30" s="132">
        <v>0</v>
      </c>
      <c r="D30" s="132">
        <v>0</v>
      </c>
      <c r="E30" s="132">
        <v>0</v>
      </c>
      <c r="F30" s="132">
        <v>0</v>
      </c>
      <c r="G30" s="132">
        <v>0</v>
      </c>
      <c r="H30" s="132">
        <v>0</v>
      </c>
      <c r="I30" s="132">
        <v>0</v>
      </c>
      <c r="J30" s="132">
        <v>0</v>
      </c>
      <c r="K30" s="132">
        <v>0</v>
      </c>
      <c r="L30" s="132">
        <v>0</v>
      </c>
      <c r="M30" s="132">
        <v>0</v>
      </c>
      <c r="N30" s="132">
        <v>0</v>
      </c>
      <c r="O30" s="132">
        <v>0</v>
      </c>
      <c r="P30" s="132">
        <v>0</v>
      </c>
      <c r="Q30" s="132">
        <v>0</v>
      </c>
      <c r="R30" s="132">
        <v>0</v>
      </c>
      <c r="S30" s="132">
        <v>4.0040042730230142E-3</v>
      </c>
      <c r="T30" s="132">
        <v>1.4999999999999999E-2</v>
      </c>
      <c r="U30" s="132">
        <v>0</v>
      </c>
      <c r="V30" s="132">
        <v>0</v>
      </c>
      <c r="W30" s="132">
        <v>0</v>
      </c>
      <c r="X30" s="132">
        <v>0</v>
      </c>
      <c r="Y30" s="132">
        <v>0</v>
      </c>
      <c r="Z30" s="132">
        <v>0.70199999999999996</v>
      </c>
      <c r="AA30" s="132">
        <v>0.15</v>
      </c>
      <c r="AB30" s="132">
        <v>0</v>
      </c>
      <c r="AC30" s="132">
        <v>0</v>
      </c>
      <c r="AD30" s="132">
        <v>0</v>
      </c>
      <c r="AE30" s="132">
        <v>0</v>
      </c>
    </row>
    <row r="31" spans="1:31" customFormat="1" x14ac:dyDescent="0.15">
      <c r="A31" s="166" t="s">
        <v>221</v>
      </c>
      <c r="B31" s="132">
        <v>0</v>
      </c>
      <c r="C31" s="132">
        <v>0</v>
      </c>
      <c r="D31" s="132">
        <v>0</v>
      </c>
      <c r="E31" s="132">
        <v>0</v>
      </c>
      <c r="F31" s="132">
        <v>0</v>
      </c>
      <c r="G31" s="132">
        <v>0</v>
      </c>
      <c r="H31" s="132">
        <v>0</v>
      </c>
      <c r="I31" s="132">
        <v>0</v>
      </c>
      <c r="J31" s="132">
        <v>0</v>
      </c>
      <c r="K31" s="132">
        <v>0</v>
      </c>
      <c r="L31" s="132">
        <v>0</v>
      </c>
      <c r="M31" s="132">
        <v>0</v>
      </c>
      <c r="N31" s="132">
        <v>0</v>
      </c>
      <c r="O31" s="132">
        <v>0</v>
      </c>
      <c r="P31" s="132">
        <v>0</v>
      </c>
      <c r="Q31" s="132">
        <v>0</v>
      </c>
      <c r="R31" s="132">
        <v>0</v>
      </c>
      <c r="S31" s="132">
        <v>0</v>
      </c>
      <c r="T31" s="132">
        <v>0</v>
      </c>
      <c r="U31" s="132">
        <v>0</v>
      </c>
      <c r="V31" s="132">
        <v>0</v>
      </c>
      <c r="W31" s="132">
        <v>0</v>
      </c>
      <c r="X31" s="132">
        <v>0</v>
      </c>
      <c r="Y31" s="132">
        <v>0</v>
      </c>
      <c r="Z31" s="132">
        <v>0</v>
      </c>
      <c r="AA31" s="132">
        <v>0</v>
      </c>
      <c r="AB31" s="132">
        <v>0</v>
      </c>
      <c r="AC31" s="132">
        <v>0</v>
      </c>
      <c r="AD31" s="132">
        <v>0</v>
      </c>
      <c r="AE31" s="132">
        <v>0</v>
      </c>
    </row>
    <row r="32" spans="1:31" customFormat="1" x14ac:dyDescent="0.15">
      <c r="A32" s="166" t="s">
        <v>224</v>
      </c>
      <c r="B32" s="132">
        <v>0.9</v>
      </c>
      <c r="C32" s="132">
        <v>0.90072978106568036</v>
      </c>
      <c r="D32" s="132">
        <v>0.9</v>
      </c>
      <c r="E32" s="132">
        <v>0</v>
      </c>
      <c r="F32" s="132">
        <v>0.89991000899910012</v>
      </c>
      <c r="G32" s="132">
        <v>0.9</v>
      </c>
      <c r="H32" s="132">
        <v>0</v>
      </c>
      <c r="I32" s="132">
        <v>0</v>
      </c>
      <c r="J32" s="132">
        <v>0</v>
      </c>
      <c r="K32" s="132">
        <v>0</v>
      </c>
      <c r="L32" s="132">
        <v>0</v>
      </c>
      <c r="M32" s="132">
        <v>0</v>
      </c>
      <c r="N32" s="132">
        <v>0</v>
      </c>
      <c r="O32" s="132">
        <v>0</v>
      </c>
      <c r="P32" s="132">
        <v>0</v>
      </c>
      <c r="Q32" s="132">
        <v>0</v>
      </c>
      <c r="R32" s="132">
        <v>0</v>
      </c>
      <c r="S32" s="132">
        <v>0</v>
      </c>
      <c r="T32" s="132">
        <v>0</v>
      </c>
      <c r="U32" s="132">
        <v>0</v>
      </c>
      <c r="V32" s="132">
        <v>0</v>
      </c>
      <c r="W32" s="132">
        <v>0</v>
      </c>
      <c r="X32" s="132">
        <v>0</v>
      </c>
      <c r="Y32" s="132">
        <v>0</v>
      </c>
      <c r="Z32" s="132">
        <v>0</v>
      </c>
      <c r="AA32" s="132">
        <v>0</v>
      </c>
      <c r="AB32" s="132">
        <v>1</v>
      </c>
      <c r="AC32" s="132">
        <v>0</v>
      </c>
      <c r="AD32" s="132">
        <v>0</v>
      </c>
      <c r="AE32" s="132">
        <v>0</v>
      </c>
    </row>
    <row r="33" customFormat="1" x14ac:dyDescent="0.15"/>
    <row r="34" customFormat="1" x14ac:dyDescent="0.15"/>
    <row r="35" customFormat="1" x14ac:dyDescent="0.15"/>
    <row r="36" customFormat="1" x14ac:dyDescent="0.15"/>
    <row r="37" customFormat="1" x14ac:dyDescent="0.15"/>
    <row r="38" customForma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15" activePane="bottomRight" state="frozen"/>
      <selection pane="topRight" activeCell="C1" sqref="C1"/>
      <selection pane="bottomLeft" activeCell="A2" sqref="A2"/>
      <selection pane="bottomRight" activeCell="G36" sqref="G36"/>
    </sheetView>
  </sheetViews>
  <sheetFormatPr baseColWidth="10" defaultColWidth="8.83203125" defaultRowHeight="13" x14ac:dyDescent="0.15"/>
  <cols>
    <col min="1" max="1" width="3.33203125" customWidth="1"/>
    <col min="2" max="2" width="35.5" customWidth="1"/>
    <col min="3" max="4" width="20.6640625" style="101" customWidth="1"/>
    <col min="5" max="6" width="20.6640625" style="100" customWidth="1"/>
    <col min="7" max="7" width="20.6640625" style="101" customWidth="1"/>
    <col min="8" max="8" width="8.83203125" style="101"/>
  </cols>
  <sheetData>
    <row r="1" spans="1:8" ht="70" x14ac:dyDescent="0.15">
      <c r="A1" s="5" t="s">
        <v>20</v>
      </c>
      <c r="B1" s="1" t="s">
        <v>0</v>
      </c>
      <c r="C1" s="169" t="s">
        <v>220</v>
      </c>
      <c r="D1" s="169" t="s">
        <v>221</v>
      </c>
      <c r="E1" s="169" t="s">
        <v>225</v>
      </c>
      <c r="F1" s="169" t="s">
        <v>226</v>
      </c>
      <c r="G1"/>
      <c r="H1"/>
    </row>
    <row r="2" spans="1:8" x14ac:dyDescent="0.15">
      <c r="A2">
        <v>1</v>
      </c>
      <c r="B2" s="168" t="s">
        <v>192</v>
      </c>
      <c r="C2" s="101">
        <v>1</v>
      </c>
      <c r="D2" s="101">
        <v>0</v>
      </c>
      <c r="E2" s="100">
        <v>0</v>
      </c>
      <c r="F2" s="100">
        <v>1</v>
      </c>
      <c r="G2"/>
      <c r="H2"/>
    </row>
    <row r="3" spans="1:8" x14ac:dyDescent="0.15">
      <c r="A3">
        <v>2</v>
      </c>
      <c r="B3" s="168" t="s">
        <v>193</v>
      </c>
      <c r="C3" s="101">
        <v>1</v>
      </c>
      <c r="D3" s="101">
        <v>0</v>
      </c>
      <c r="E3" s="100">
        <v>0</v>
      </c>
      <c r="F3" s="100">
        <v>1</v>
      </c>
      <c r="G3"/>
      <c r="H3"/>
    </row>
    <row r="4" spans="1:8" x14ac:dyDescent="0.15">
      <c r="A4">
        <v>3</v>
      </c>
      <c r="B4" s="168" t="s">
        <v>194</v>
      </c>
      <c r="C4" s="101">
        <v>1</v>
      </c>
      <c r="D4" s="101">
        <v>0</v>
      </c>
      <c r="E4" s="100">
        <v>0</v>
      </c>
      <c r="F4" s="100">
        <v>1</v>
      </c>
      <c r="G4"/>
      <c r="H4"/>
    </row>
    <row r="5" spans="1:8" x14ac:dyDescent="0.15">
      <c r="A5">
        <v>4</v>
      </c>
      <c r="B5" s="168" t="s">
        <v>195</v>
      </c>
      <c r="C5" s="101">
        <v>1</v>
      </c>
      <c r="D5" s="101">
        <v>0</v>
      </c>
      <c r="E5" s="100">
        <v>0</v>
      </c>
      <c r="F5" s="100">
        <v>1</v>
      </c>
      <c r="G5"/>
      <c r="H5"/>
    </row>
    <row r="6" spans="1:8" x14ac:dyDescent="0.15">
      <c r="A6">
        <v>5</v>
      </c>
      <c r="B6" s="168" t="s">
        <v>196</v>
      </c>
      <c r="C6" s="101">
        <v>1</v>
      </c>
      <c r="D6" s="101">
        <v>0</v>
      </c>
      <c r="E6" s="100">
        <v>0</v>
      </c>
      <c r="F6" s="100">
        <v>1</v>
      </c>
      <c r="G6"/>
      <c r="H6"/>
    </row>
    <row r="7" spans="1:8" x14ac:dyDescent="0.15">
      <c r="A7">
        <v>6</v>
      </c>
      <c r="B7" s="168" t="s">
        <v>197</v>
      </c>
      <c r="C7" s="101">
        <v>1</v>
      </c>
      <c r="D7" s="101">
        <v>0</v>
      </c>
      <c r="E7" s="100">
        <v>0</v>
      </c>
      <c r="F7" s="100">
        <v>1</v>
      </c>
      <c r="G7"/>
      <c r="H7"/>
    </row>
    <row r="8" spans="1:8" x14ac:dyDescent="0.15">
      <c r="A8">
        <v>7</v>
      </c>
      <c r="B8" s="168" t="s">
        <v>198</v>
      </c>
      <c r="C8" s="101">
        <v>1</v>
      </c>
      <c r="D8" s="101">
        <v>0</v>
      </c>
      <c r="E8" s="100">
        <v>0</v>
      </c>
      <c r="F8" s="100">
        <v>1</v>
      </c>
      <c r="G8"/>
      <c r="H8"/>
    </row>
    <row r="9" spans="1:8" x14ac:dyDescent="0.15">
      <c r="A9">
        <v>8</v>
      </c>
      <c r="B9" s="168" t="s">
        <v>199</v>
      </c>
      <c r="C9" s="101">
        <v>1</v>
      </c>
      <c r="D9" s="101">
        <v>0</v>
      </c>
      <c r="E9" s="100">
        <v>0</v>
      </c>
      <c r="F9" s="100">
        <v>1</v>
      </c>
      <c r="G9"/>
      <c r="H9"/>
    </row>
    <row r="10" spans="1:8" x14ac:dyDescent="0.15">
      <c r="A10">
        <v>9</v>
      </c>
      <c r="B10" s="168" t="s">
        <v>200</v>
      </c>
      <c r="C10" s="101">
        <v>1</v>
      </c>
      <c r="D10" s="101">
        <v>0</v>
      </c>
      <c r="E10" s="100">
        <v>0</v>
      </c>
      <c r="F10" s="100">
        <v>1</v>
      </c>
      <c r="G10"/>
      <c r="H10"/>
    </row>
    <row r="11" spans="1:8" x14ac:dyDescent="0.15">
      <c r="A11">
        <v>10</v>
      </c>
      <c r="B11" s="168" t="s">
        <v>201</v>
      </c>
      <c r="C11" s="101">
        <v>1</v>
      </c>
      <c r="D11" s="101">
        <v>0</v>
      </c>
      <c r="E11" s="100">
        <v>0</v>
      </c>
      <c r="F11" s="100">
        <v>1</v>
      </c>
      <c r="G11"/>
      <c r="H11"/>
    </row>
    <row r="12" spans="1:8" x14ac:dyDescent="0.15">
      <c r="A12">
        <v>11</v>
      </c>
      <c r="B12" s="168" t="s">
        <v>202</v>
      </c>
      <c r="C12" s="101">
        <v>1</v>
      </c>
      <c r="D12" s="101">
        <v>0</v>
      </c>
      <c r="E12" s="100">
        <v>0</v>
      </c>
      <c r="F12" s="100">
        <v>1</v>
      </c>
      <c r="G12"/>
      <c r="H12"/>
    </row>
    <row r="13" spans="1:8" x14ac:dyDescent="0.15">
      <c r="A13">
        <v>12</v>
      </c>
      <c r="B13" s="168" t="s">
        <v>203</v>
      </c>
      <c r="C13" s="101">
        <v>1</v>
      </c>
      <c r="D13" s="101">
        <v>0</v>
      </c>
      <c r="E13" s="100">
        <v>0</v>
      </c>
      <c r="F13" s="100">
        <v>1</v>
      </c>
      <c r="G13"/>
      <c r="H13"/>
    </row>
    <row r="14" spans="1:8" x14ac:dyDescent="0.15">
      <c r="A14">
        <v>13</v>
      </c>
      <c r="B14" s="168" t="s">
        <v>204</v>
      </c>
      <c r="C14" s="101">
        <v>1</v>
      </c>
      <c r="D14" s="101">
        <v>0</v>
      </c>
      <c r="E14" s="100">
        <v>0</v>
      </c>
      <c r="F14" s="100">
        <v>1</v>
      </c>
      <c r="G14"/>
      <c r="H14"/>
    </row>
    <row r="15" spans="1:8" x14ac:dyDescent="0.15">
      <c r="A15">
        <v>14</v>
      </c>
      <c r="B15" s="168" t="s">
        <v>205</v>
      </c>
      <c r="C15" s="101">
        <v>1</v>
      </c>
      <c r="D15" s="101">
        <v>0</v>
      </c>
      <c r="E15" s="100">
        <v>0</v>
      </c>
      <c r="F15" s="100">
        <v>1</v>
      </c>
      <c r="G15"/>
      <c r="H15"/>
    </row>
    <row r="16" spans="1:8" x14ac:dyDescent="0.15">
      <c r="A16">
        <v>15</v>
      </c>
      <c r="B16" s="168" t="s">
        <v>206</v>
      </c>
      <c r="C16" s="101">
        <v>1</v>
      </c>
      <c r="D16" s="101">
        <v>0</v>
      </c>
      <c r="E16" s="100">
        <v>0</v>
      </c>
      <c r="F16" s="100">
        <v>1</v>
      </c>
      <c r="G16"/>
      <c r="H16"/>
    </row>
    <row r="17" spans="1:8" ht="15" customHeight="1" x14ac:dyDescent="0.15">
      <c r="A17">
        <v>16</v>
      </c>
      <c r="B17" s="168" t="s">
        <v>207</v>
      </c>
      <c r="C17" s="101">
        <v>1</v>
      </c>
      <c r="D17" s="101">
        <v>0</v>
      </c>
      <c r="E17" s="100">
        <v>0</v>
      </c>
      <c r="F17" s="100">
        <v>1</v>
      </c>
      <c r="G17"/>
      <c r="H17"/>
    </row>
    <row r="18" spans="1:8" ht="15" customHeight="1" x14ac:dyDescent="0.15">
      <c r="A18">
        <v>17</v>
      </c>
      <c r="B18" s="168" t="s">
        <v>208</v>
      </c>
      <c r="C18" s="101">
        <v>1</v>
      </c>
      <c r="D18" s="101">
        <v>0</v>
      </c>
      <c r="E18" s="100">
        <v>0</v>
      </c>
      <c r="F18" s="100">
        <v>1</v>
      </c>
      <c r="G18"/>
      <c r="H18"/>
    </row>
    <row r="19" spans="1:8" ht="15" customHeight="1" x14ac:dyDescent="0.15">
      <c r="A19">
        <v>18</v>
      </c>
      <c r="B19" s="168" t="s">
        <v>209</v>
      </c>
      <c r="C19" s="101">
        <v>1</v>
      </c>
      <c r="D19" s="101">
        <v>0</v>
      </c>
      <c r="E19" s="100">
        <v>0</v>
      </c>
      <c r="F19" s="100">
        <v>1</v>
      </c>
      <c r="G19"/>
      <c r="H19"/>
    </row>
    <row r="20" spans="1:8" ht="15" customHeight="1" x14ac:dyDescent="0.15">
      <c r="A20">
        <v>19</v>
      </c>
      <c r="B20" s="168" t="s">
        <v>210</v>
      </c>
      <c r="C20" s="101">
        <v>1</v>
      </c>
      <c r="D20" s="101">
        <v>0</v>
      </c>
      <c r="E20" s="100">
        <v>0</v>
      </c>
      <c r="F20" s="100">
        <v>1</v>
      </c>
      <c r="G20"/>
      <c r="H20"/>
    </row>
    <row r="21" spans="1:8" ht="15" customHeight="1" x14ac:dyDescent="0.15">
      <c r="A21">
        <v>20</v>
      </c>
      <c r="B21" s="168" t="s">
        <v>211</v>
      </c>
      <c r="C21" s="101">
        <v>1</v>
      </c>
      <c r="D21" s="101">
        <v>0</v>
      </c>
      <c r="E21" s="100">
        <v>0</v>
      </c>
      <c r="F21" s="100">
        <v>1</v>
      </c>
      <c r="G21"/>
      <c r="H21"/>
    </row>
    <row r="22" spans="1:8" ht="15" customHeight="1" x14ac:dyDescent="0.15">
      <c r="A22">
        <v>21</v>
      </c>
      <c r="B22" s="168" t="s">
        <v>212</v>
      </c>
      <c r="C22" s="101">
        <v>1</v>
      </c>
      <c r="D22" s="101">
        <v>0</v>
      </c>
      <c r="E22" s="100">
        <v>0</v>
      </c>
      <c r="F22" s="100">
        <v>1</v>
      </c>
      <c r="G22"/>
      <c r="H22"/>
    </row>
    <row r="23" spans="1:8" ht="15" customHeight="1" x14ac:dyDescent="0.15">
      <c r="A23">
        <v>22</v>
      </c>
      <c r="B23" s="168" t="s">
        <v>213</v>
      </c>
      <c r="C23" s="101">
        <v>1</v>
      </c>
      <c r="D23" s="101">
        <v>0</v>
      </c>
      <c r="E23" s="100">
        <v>0</v>
      </c>
      <c r="F23" s="100">
        <v>1</v>
      </c>
      <c r="G23"/>
      <c r="H23"/>
    </row>
    <row r="24" spans="1:8" ht="15" customHeight="1" x14ac:dyDescent="0.15">
      <c r="A24">
        <v>23</v>
      </c>
      <c r="B24" s="168" t="s">
        <v>214</v>
      </c>
      <c r="C24" s="101">
        <v>1</v>
      </c>
      <c r="D24" s="101">
        <v>0</v>
      </c>
      <c r="E24" s="100">
        <v>0</v>
      </c>
      <c r="F24" s="100">
        <v>1</v>
      </c>
      <c r="G24"/>
      <c r="H24"/>
    </row>
    <row r="25" spans="1:8" ht="15" customHeight="1" x14ac:dyDescent="0.15">
      <c r="A25">
        <v>24</v>
      </c>
      <c r="B25" s="168" t="s">
        <v>215</v>
      </c>
      <c r="C25" s="101">
        <v>1</v>
      </c>
      <c r="D25" s="101">
        <v>0</v>
      </c>
      <c r="E25" s="100">
        <v>0</v>
      </c>
      <c r="F25" s="100">
        <v>1</v>
      </c>
      <c r="G25"/>
      <c r="H25"/>
    </row>
    <row r="26" spans="1:8" ht="15" customHeight="1" x14ac:dyDescent="0.15">
      <c r="A26">
        <v>25</v>
      </c>
      <c r="B26" s="168" t="s">
        <v>216</v>
      </c>
      <c r="C26" s="101">
        <v>1</v>
      </c>
      <c r="D26" s="101">
        <v>0</v>
      </c>
      <c r="E26" s="100">
        <v>0</v>
      </c>
      <c r="F26" s="100">
        <v>1</v>
      </c>
      <c r="G26"/>
      <c r="H26"/>
    </row>
    <row r="27" spans="1:8" ht="15" customHeight="1" x14ac:dyDescent="0.15">
      <c r="A27">
        <v>26</v>
      </c>
      <c r="B27" s="168" t="s">
        <v>217</v>
      </c>
      <c r="C27" s="101">
        <v>1</v>
      </c>
      <c r="D27" s="101">
        <v>0</v>
      </c>
      <c r="E27" s="100">
        <v>0</v>
      </c>
      <c r="F27" s="100">
        <v>1</v>
      </c>
      <c r="G27"/>
      <c r="H27"/>
    </row>
    <row r="28" spans="1:8" ht="15" customHeight="1" x14ac:dyDescent="0.15">
      <c r="A28">
        <v>27</v>
      </c>
      <c r="B28" s="168" t="s">
        <v>218</v>
      </c>
      <c r="C28" s="101">
        <v>1</v>
      </c>
      <c r="D28" s="101">
        <v>0</v>
      </c>
      <c r="E28" s="100">
        <v>0</v>
      </c>
      <c r="F28" s="100">
        <v>1</v>
      </c>
      <c r="G28"/>
      <c r="H28"/>
    </row>
    <row r="29" spans="1:8" ht="15" customHeight="1" x14ac:dyDescent="0.15">
      <c r="A29">
        <v>28</v>
      </c>
      <c r="B29" s="168" t="s">
        <v>219</v>
      </c>
      <c r="C29" s="101">
        <v>1</v>
      </c>
      <c r="D29" s="101">
        <v>0</v>
      </c>
      <c r="E29" s="100">
        <v>0</v>
      </c>
      <c r="F29" s="100">
        <v>1</v>
      </c>
      <c r="G29"/>
      <c r="H29"/>
    </row>
    <row r="30" spans="1:8" ht="15" customHeight="1" x14ac:dyDescent="0.15">
      <c r="A30">
        <v>29</v>
      </c>
      <c r="B30" s="168" t="s">
        <v>220</v>
      </c>
      <c r="C30" s="101">
        <v>0</v>
      </c>
      <c r="D30" s="101">
        <v>1</v>
      </c>
      <c r="E30" s="100">
        <v>0</v>
      </c>
      <c r="F30" s="100">
        <v>1</v>
      </c>
      <c r="G30"/>
      <c r="H30"/>
    </row>
    <row r="31" spans="1:8" ht="15" customHeight="1" x14ac:dyDescent="0.15">
      <c r="A31">
        <v>30</v>
      </c>
      <c r="B31" s="168" t="s">
        <v>221</v>
      </c>
      <c r="C31" s="101">
        <v>0</v>
      </c>
      <c r="D31" s="101">
        <v>0</v>
      </c>
      <c r="E31" s="100">
        <v>1</v>
      </c>
      <c r="F31" s="100">
        <v>1</v>
      </c>
      <c r="G31"/>
      <c r="H31"/>
    </row>
    <row r="32" spans="1:8" ht="15" customHeight="1" x14ac:dyDescent="0.15">
      <c r="A32">
        <v>31</v>
      </c>
      <c r="B32" s="168" t="s">
        <v>222</v>
      </c>
      <c r="C32" s="101">
        <v>0</v>
      </c>
      <c r="D32" s="101">
        <v>1</v>
      </c>
      <c r="E32" s="100">
        <v>0</v>
      </c>
      <c r="F32" s="100">
        <v>1</v>
      </c>
    </row>
    <row r="33" spans="1:8" ht="15" customHeight="1" x14ac:dyDescent="0.15">
      <c r="A33">
        <v>32</v>
      </c>
      <c r="B33" s="168" t="s">
        <v>223</v>
      </c>
      <c r="C33" s="101">
        <v>0</v>
      </c>
      <c r="D33" s="101">
        <v>1</v>
      </c>
      <c r="E33" s="100">
        <v>0</v>
      </c>
      <c r="F33" s="100">
        <v>1</v>
      </c>
    </row>
    <row r="34" spans="1:8" ht="15" customHeight="1" x14ac:dyDescent="0.15"/>
    <row r="35" spans="1:8" ht="15" customHeight="1" x14ac:dyDescent="0.15"/>
    <row r="36" spans="1:8" ht="15" customHeight="1" x14ac:dyDescent="0.15">
      <c r="C36"/>
      <c r="D36"/>
      <c r="E36" s="101"/>
      <c r="F36" s="101"/>
      <c r="G36"/>
      <c r="H36"/>
    </row>
    <row r="37" spans="1:8" ht="15" customHeight="1" x14ac:dyDescent="0.15">
      <c r="C37"/>
      <c r="D37"/>
      <c r="E37" s="101"/>
      <c r="F37" s="101"/>
      <c r="G37"/>
      <c r="H37"/>
    </row>
    <row r="38" spans="1:8" ht="15" customHeight="1" x14ac:dyDescent="0.15">
      <c r="C38"/>
      <c r="D38"/>
      <c r="E38" s="101"/>
      <c r="F38" s="101"/>
      <c r="G38"/>
      <c r="H38"/>
    </row>
    <row r="39" spans="1:8" ht="15" customHeight="1" x14ac:dyDescent="0.15">
      <c r="C39"/>
      <c r="D39"/>
      <c r="E39" s="101"/>
      <c r="F39" s="101"/>
      <c r="G39"/>
      <c r="H39"/>
    </row>
    <row r="40" spans="1:8" ht="15" customHeight="1" x14ac:dyDescent="0.15">
      <c r="C40"/>
      <c r="D40"/>
      <c r="E40" s="101"/>
      <c r="F40" s="101"/>
      <c r="G40"/>
      <c r="H40"/>
    </row>
    <row r="41" spans="1:8" ht="15" customHeight="1" x14ac:dyDescent="0.15">
      <c r="C41"/>
      <c r="D41"/>
      <c r="E41" s="101"/>
      <c r="F41" s="101"/>
      <c r="G41"/>
      <c r="H41"/>
    </row>
    <row r="42" spans="1:8" ht="15" customHeight="1" x14ac:dyDescent="0.15">
      <c r="C42"/>
      <c r="D42"/>
      <c r="E42" s="101"/>
      <c r="F42" s="101"/>
      <c r="G42"/>
      <c r="H42"/>
    </row>
    <row r="43" spans="1:8" ht="15" customHeight="1" x14ac:dyDescent="0.15">
      <c r="C43"/>
      <c r="D43"/>
      <c r="E43" s="101"/>
      <c r="F43" s="101"/>
      <c r="G43"/>
      <c r="H43"/>
    </row>
    <row r="44" spans="1:8" ht="15" customHeight="1" x14ac:dyDescent="0.15">
      <c r="C44"/>
      <c r="D44"/>
      <c r="G44"/>
      <c r="H44"/>
    </row>
    <row r="45" spans="1:8" ht="15" customHeight="1" x14ac:dyDescent="0.15">
      <c r="C45"/>
      <c r="D45"/>
      <c r="G45"/>
      <c r="H45"/>
    </row>
    <row r="46" spans="1:8" ht="15" customHeight="1" x14ac:dyDescent="0.15">
      <c r="C46"/>
      <c r="D46"/>
      <c r="E46" s="101"/>
      <c r="F46" s="101"/>
      <c r="G46"/>
      <c r="H46"/>
    </row>
    <row r="47" spans="1:8" ht="15" customHeight="1" x14ac:dyDescent="0.15">
      <c r="C47"/>
      <c r="D47"/>
      <c r="G47"/>
      <c r="H47"/>
    </row>
    <row r="48" spans="1: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E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5.5" bestFit="1" customWidth="1"/>
    <col min="3" max="4" width="7.83203125" bestFit="1" customWidth="1"/>
    <col min="5" max="5" width="9.5" bestFit="1" customWidth="1"/>
  </cols>
  <sheetData>
    <row r="1" spans="1:5" s="102" customFormat="1" ht="112" x14ac:dyDescent="0.15">
      <c r="A1" s="5" t="s">
        <v>21</v>
      </c>
      <c r="B1" s="3" t="s">
        <v>0</v>
      </c>
      <c r="C1" s="171" t="s">
        <v>222</v>
      </c>
      <c r="D1" s="171" t="s">
        <v>223</v>
      </c>
      <c r="E1" s="171" t="s">
        <v>227</v>
      </c>
    </row>
    <row r="2" spans="1:5" ht="15" customHeight="1" x14ac:dyDescent="0.15">
      <c r="A2">
        <v>1</v>
      </c>
      <c r="B2" s="170" t="s">
        <v>192</v>
      </c>
      <c r="C2">
        <v>0</v>
      </c>
      <c r="D2">
        <v>0</v>
      </c>
      <c r="E2">
        <v>0</v>
      </c>
    </row>
    <row r="3" spans="1:5" ht="15" customHeight="1" x14ac:dyDescent="0.15">
      <c r="A3">
        <v>2</v>
      </c>
      <c r="B3" s="170" t="s">
        <v>193</v>
      </c>
      <c r="C3">
        <v>0</v>
      </c>
      <c r="D3">
        <v>0</v>
      </c>
      <c r="E3">
        <v>0</v>
      </c>
    </row>
    <row r="4" spans="1:5" ht="15" customHeight="1" x14ac:dyDescent="0.15">
      <c r="A4">
        <v>3</v>
      </c>
      <c r="B4" s="170" t="s">
        <v>194</v>
      </c>
      <c r="C4">
        <v>0</v>
      </c>
      <c r="D4">
        <v>0</v>
      </c>
      <c r="E4">
        <v>0</v>
      </c>
    </row>
    <row r="5" spans="1:5" ht="15" customHeight="1" x14ac:dyDescent="0.15">
      <c r="A5">
        <v>4</v>
      </c>
      <c r="B5" s="170" t="s">
        <v>195</v>
      </c>
      <c r="C5">
        <v>0</v>
      </c>
      <c r="D5">
        <v>0</v>
      </c>
      <c r="E5">
        <v>0</v>
      </c>
    </row>
    <row r="6" spans="1:5" ht="15" customHeight="1" x14ac:dyDescent="0.15">
      <c r="A6">
        <v>5</v>
      </c>
      <c r="B6" s="170" t="s">
        <v>196</v>
      </c>
      <c r="C6">
        <v>0</v>
      </c>
      <c r="D6">
        <v>0</v>
      </c>
      <c r="E6">
        <v>0</v>
      </c>
    </row>
    <row r="7" spans="1:5" ht="15" customHeight="1" x14ac:dyDescent="0.15">
      <c r="A7">
        <v>6</v>
      </c>
      <c r="B7" s="170" t="s">
        <v>197</v>
      </c>
      <c r="C7">
        <v>0</v>
      </c>
      <c r="D7">
        <v>0</v>
      </c>
      <c r="E7">
        <v>0</v>
      </c>
    </row>
    <row r="8" spans="1:5" ht="15" customHeight="1" x14ac:dyDescent="0.15">
      <c r="A8">
        <v>7</v>
      </c>
      <c r="B8" s="170" t="s">
        <v>198</v>
      </c>
      <c r="C8">
        <v>0</v>
      </c>
      <c r="D8">
        <v>0</v>
      </c>
      <c r="E8">
        <v>0</v>
      </c>
    </row>
    <row r="9" spans="1:5" ht="15" customHeight="1" x14ac:dyDescent="0.15">
      <c r="A9">
        <v>8</v>
      </c>
      <c r="B9" s="170" t="s">
        <v>199</v>
      </c>
      <c r="C9">
        <v>1.0000000000000001E-5</v>
      </c>
      <c r="D9">
        <v>0</v>
      </c>
      <c r="E9">
        <v>1.0000000000000001E-5</v>
      </c>
    </row>
    <row r="10" spans="1:5" ht="15" customHeight="1" x14ac:dyDescent="0.15">
      <c r="A10">
        <v>9</v>
      </c>
      <c r="B10" s="170" t="s">
        <v>200</v>
      </c>
      <c r="C10">
        <v>0</v>
      </c>
      <c r="D10">
        <v>0</v>
      </c>
      <c r="E10">
        <v>0</v>
      </c>
    </row>
    <row r="11" spans="1:5" ht="15" customHeight="1" x14ac:dyDescent="0.15">
      <c r="A11">
        <v>10</v>
      </c>
      <c r="B11" s="170" t="s">
        <v>201</v>
      </c>
      <c r="C11">
        <v>2.0000000000000002E-5</v>
      </c>
      <c r="D11">
        <v>0</v>
      </c>
      <c r="E11">
        <v>2.0000000000000002E-5</v>
      </c>
    </row>
    <row r="12" spans="1:5" ht="15" customHeight="1" x14ac:dyDescent="0.15">
      <c r="A12">
        <v>11</v>
      </c>
      <c r="B12" s="170" t="s">
        <v>202</v>
      </c>
      <c r="C12">
        <v>0</v>
      </c>
      <c r="D12">
        <v>0</v>
      </c>
      <c r="E12">
        <v>0</v>
      </c>
    </row>
    <row r="13" spans="1:5" ht="15" customHeight="1" x14ac:dyDescent="0.15">
      <c r="A13">
        <v>12</v>
      </c>
      <c r="B13" s="170" t="s">
        <v>203</v>
      </c>
      <c r="C13">
        <v>3.0000000000000001E-5</v>
      </c>
      <c r="D13">
        <v>0</v>
      </c>
      <c r="E13">
        <v>3.0000000000000001E-5</v>
      </c>
    </row>
    <row r="14" spans="1:5" ht="15" customHeight="1" x14ac:dyDescent="0.15">
      <c r="A14">
        <v>13</v>
      </c>
      <c r="B14" s="170" t="s">
        <v>204</v>
      </c>
      <c r="C14">
        <v>4.6699999999999997E-3</v>
      </c>
      <c r="D14">
        <v>2.3000000000000001E-4</v>
      </c>
      <c r="E14">
        <v>4.8999999999999998E-3</v>
      </c>
    </row>
    <row r="15" spans="1:5" ht="15" customHeight="1" x14ac:dyDescent="0.15">
      <c r="A15">
        <v>14</v>
      </c>
      <c r="B15" s="170" t="s">
        <v>205</v>
      </c>
      <c r="C15">
        <v>6.7799999999999996E-3</v>
      </c>
      <c r="D15">
        <v>5.0000000000000002E-5</v>
      </c>
      <c r="E15">
        <v>6.8299999999999993E-3</v>
      </c>
    </row>
    <row r="16" spans="1:5" ht="15" customHeight="1" x14ac:dyDescent="0.15">
      <c r="A16">
        <v>15</v>
      </c>
      <c r="B16" s="170" t="s">
        <v>206</v>
      </c>
      <c r="C16">
        <v>5.1200000000000004E-3</v>
      </c>
      <c r="D16">
        <v>3.0000000000000001E-5</v>
      </c>
      <c r="E16">
        <v>5.1500000000000001E-3</v>
      </c>
    </row>
    <row r="17" spans="1:5" ht="15" customHeight="1" x14ac:dyDescent="0.15">
      <c r="A17">
        <v>16</v>
      </c>
      <c r="B17" s="170" t="s">
        <v>207</v>
      </c>
      <c r="C17">
        <v>2.8800000000000002E-3</v>
      </c>
      <c r="D17">
        <v>0</v>
      </c>
      <c r="E17">
        <v>2.8800000000000002E-3</v>
      </c>
    </row>
    <row r="18" spans="1:5" ht="15" customHeight="1" x14ac:dyDescent="0.15">
      <c r="A18">
        <v>17</v>
      </c>
      <c r="B18" s="170" t="s">
        <v>208</v>
      </c>
      <c r="C18">
        <v>4.9999999999999998E-8</v>
      </c>
      <c r="D18">
        <v>8.0000000000000007E-5</v>
      </c>
      <c r="E18">
        <v>8.0050000000000008E-5</v>
      </c>
    </row>
    <row r="19" spans="1:5" ht="15" customHeight="1" x14ac:dyDescent="0.15">
      <c r="A19">
        <v>18</v>
      </c>
      <c r="B19" s="170" t="s">
        <v>209</v>
      </c>
      <c r="C19">
        <v>2.5000000000000001E-4</v>
      </c>
      <c r="D19">
        <v>5.0000000000000002E-5</v>
      </c>
      <c r="E19">
        <v>3.0000000000000003E-4</v>
      </c>
    </row>
    <row r="20" spans="1:5" ht="15" customHeight="1" x14ac:dyDescent="0.15">
      <c r="A20">
        <v>19</v>
      </c>
      <c r="B20" s="170" t="s">
        <v>210</v>
      </c>
      <c r="C20">
        <v>1.7700000000000001E-3</v>
      </c>
      <c r="D20">
        <v>1.8000000000000001E-4</v>
      </c>
      <c r="E20">
        <v>1.9500000000000001E-3</v>
      </c>
    </row>
    <row r="21" spans="1:5" ht="15" customHeight="1" x14ac:dyDescent="0.15">
      <c r="A21">
        <v>20</v>
      </c>
      <c r="B21" s="170" t="s">
        <v>211</v>
      </c>
      <c r="C21">
        <v>1.129E-2</v>
      </c>
      <c r="D21">
        <v>7.9000000000000001E-4</v>
      </c>
      <c r="E21">
        <v>1.208E-2</v>
      </c>
    </row>
    <row r="22" spans="1:5" ht="15" customHeight="1" x14ac:dyDescent="0.15">
      <c r="A22">
        <v>21</v>
      </c>
      <c r="B22" s="170" t="s">
        <v>212</v>
      </c>
      <c r="C22">
        <v>3.4779999999999998E-2</v>
      </c>
      <c r="D22">
        <v>2.2000000000000001E-3</v>
      </c>
      <c r="E22">
        <v>3.6979999999999999E-2</v>
      </c>
    </row>
    <row r="23" spans="1:5" ht="15" customHeight="1" x14ac:dyDescent="0.15">
      <c r="A23">
        <v>22</v>
      </c>
      <c r="B23" s="170" t="s">
        <v>213</v>
      </c>
      <c r="C23">
        <v>7.92E-3</v>
      </c>
      <c r="D23">
        <v>9.1E-4</v>
      </c>
      <c r="E23">
        <v>8.8299999999999993E-3</v>
      </c>
    </row>
    <row r="24" spans="1:5" ht="15" customHeight="1" x14ac:dyDescent="0.15">
      <c r="A24">
        <v>23</v>
      </c>
      <c r="B24" s="170" t="s">
        <v>214</v>
      </c>
      <c r="C24">
        <v>7.3499999999999998E-3</v>
      </c>
      <c r="D24">
        <v>1.2800000000000001E-3</v>
      </c>
      <c r="E24">
        <v>8.6300000000000005E-3</v>
      </c>
    </row>
    <row r="25" spans="1:5" ht="15" customHeight="1" x14ac:dyDescent="0.15">
      <c r="A25">
        <v>24</v>
      </c>
      <c r="B25" s="170" t="s">
        <v>215</v>
      </c>
      <c r="C25">
        <v>2.7E-4</v>
      </c>
      <c r="D25">
        <v>3.0000000000000001E-5</v>
      </c>
      <c r="E25">
        <v>3.0000000000000003E-4</v>
      </c>
    </row>
    <row r="26" spans="1:5" ht="15" customHeight="1" x14ac:dyDescent="0.15">
      <c r="A26">
        <v>25</v>
      </c>
      <c r="B26" s="170" t="s">
        <v>216</v>
      </c>
      <c r="C26">
        <v>1.4189999999999999E-2</v>
      </c>
      <c r="D26">
        <v>1.32E-3</v>
      </c>
      <c r="E26">
        <v>1.5509999999999999E-2</v>
      </c>
    </row>
    <row r="27" spans="1:5" ht="15" customHeight="1" x14ac:dyDescent="0.15">
      <c r="A27">
        <v>26</v>
      </c>
      <c r="B27" s="170" t="s">
        <v>217</v>
      </c>
      <c r="C27">
        <v>0</v>
      </c>
      <c r="D27">
        <v>0</v>
      </c>
      <c r="E27">
        <v>0</v>
      </c>
    </row>
    <row r="28" spans="1:5" ht="15" customHeight="1" x14ac:dyDescent="0.15">
      <c r="A28">
        <v>27</v>
      </c>
      <c r="B28" s="170" t="s">
        <v>218</v>
      </c>
      <c r="C28">
        <v>0</v>
      </c>
      <c r="D28">
        <v>0</v>
      </c>
      <c r="E28">
        <v>0</v>
      </c>
    </row>
    <row r="29" spans="1:5" ht="15" customHeight="1" x14ac:dyDescent="0.15">
      <c r="A29">
        <v>28</v>
      </c>
      <c r="B29" s="170" t="s">
        <v>219</v>
      </c>
      <c r="C29">
        <v>0</v>
      </c>
      <c r="D29">
        <v>0</v>
      </c>
      <c r="E29">
        <v>0</v>
      </c>
    </row>
    <row r="30" spans="1:5" ht="15" customHeight="1" x14ac:dyDescent="0.15">
      <c r="A30">
        <v>29</v>
      </c>
      <c r="B30" s="170" t="s">
        <v>220</v>
      </c>
      <c r="C30">
        <v>0</v>
      </c>
      <c r="D30">
        <v>0</v>
      </c>
      <c r="E30">
        <v>0</v>
      </c>
    </row>
    <row r="31" spans="1:5" ht="15" customHeight="1" x14ac:dyDescent="0.15">
      <c r="A31">
        <v>30</v>
      </c>
      <c r="B31" s="170" t="s">
        <v>221</v>
      </c>
      <c r="C31">
        <v>0</v>
      </c>
      <c r="D31">
        <v>0</v>
      </c>
      <c r="E31">
        <v>0</v>
      </c>
    </row>
    <row r="32" spans="1:5"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E31"/>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5.5" bestFit="1" customWidth="1"/>
    <col min="3" max="5" width="2.33203125" bestFit="1" customWidth="1"/>
  </cols>
  <sheetData>
    <row r="1" spans="1:5" s="102" customFormat="1" ht="112" x14ac:dyDescent="0.15">
      <c r="A1" s="5" t="s">
        <v>22</v>
      </c>
      <c r="B1" s="3" t="s">
        <v>0</v>
      </c>
      <c r="C1" s="173" t="s">
        <v>222</v>
      </c>
      <c r="D1" s="173" t="s">
        <v>223</v>
      </c>
      <c r="E1" s="173" t="s">
        <v>227</v>
      </c>
    </row>
    <row r="2" spans="1:5" x14ac:dyDescent="0.15">
      <c r="A2">
        <v>1</v>
      </c>
      <c r="B2" s="172" t="s">
        <v>192</v>
      </c>
      <c r="C2">
        <v>0</v>
      </c>
      <c r="D2">
        <v>0</v>
      </c>
      <c r="E2">
        <v>0</v>
      </c>
    </row>
    <row r="3" spans="1:5" x14ac:dyDescent="0.15">
      <c r="A3">
        <v>2</v>
      </c>
      <c r="B3" s="172" t="s">
        <v>193</v>
      </c>
      <c r="C3">
        <v>0</v>
      </c>
      <c r="D3">
        <v>0</v>
      </c>
      <c r="E3">
        <v>0</v>
      </c>
    </row>
    <row r="4" spans="1:5" x14ac:dyDescent="0.15">
      <c r="A4">
        <v>3</v>
      </c>
      <c r="B4" s="172" t="s">
        <v>194</v>
      </c>
      <c r="C4">
        <v>0</v>
      </c>
      <c r="D4">
        <v>0</v>
      </c>
      <c r="E4">
        <v>0</v>
      </c>
    </row>
    <row r="5" spans="1:5" x14ac:dyDescent="0.15">
      <c r="A5">
        <v>4</v>
      </c>
      <c r="B5" s="172" t="s">
        <v>195</v>
      </c>
      <c r="C5">
        <v>0</v>
      </c>
      <c r="D5">
        <v>0</v>
      </c>
      <c r="E5">
        <v>0</v>
      </c>
    </row>
    <row r="6" spans="1:5" x14ac:dyDescent="0.15">
      <c r="A6">
        <v>5</v>
      </c>
      <c r="B6" s="172" t="s">
        <v>196</v>
      </c>
      <c r="C6">
        <v>0</v>
      </c>
      <c r="D6">
        <v>0</v>
      </c>
      <c r="E6">
        <v>0</v>
      </c>
    </row>
    <row r="7" spans="1:5" x14ac:dyDescent="0.15">
      <c r="A7">
        <v>6</v>
      </c>
      <c r="B7" s="172" t="s">
        <v>197</v>
      </c>
      <c r="C7">
        <v>0</v>
      </c>
      <c r="D7">
        <v>0</v>
      </c>
      <c r="E7">
        <v>0</v>
      </c>
    </row>
    <row r="8" spans="1:5" x14ac:dyDescent="0.15">
      <c r="A8">
        <v>7</v>
      </c>
      <c r="B8" s="172" t="s">
        <v>198</v>
      </c>
      <c r="C8">
        <v>0</v>
      </c>
      <c r="D8">
        <v>0</v>
      </c>
      <c r="E8">
        <v>0</v>
      </c>
    </row>
    <row r="9" spans="1:5" x14ac:dyDescent="0.15">
      <c r="A9">
        <v>8</v>
      </c>
      <c r="B9" s="172" t="s">
        <v>199</v>
      </c>
      <c r="C9">
        <v>0</v>
      </c>
      <c r="D9">
        <v>0</v>
      </c>
      <c r="E9">
        <v>0</v>
      </c>
    </row>
    <row r="10" spans="1:5" x14ac:dyDescent="0.15">
      <c r="A10">
        <v>9</v>
      </c>
      <c r="B10" s="172" t="s">
        <v>200</v>
      </c>
      <c r="C10">
        <v>0</v>
      </c>
      <c r="D10">
        <v>0</v>
      </c>
      <c r="E10">
        <v>0</v>
      </c>
    </row>
    <row r="11" spans="1:5" x14ac:dyDescent="0.15">
      <c r="A11">
        <v>10</v>
      </c>
      <c r="B11" s="172" t="s">
        <v>201</v>
      </c>
      <c r="C11">
        <v>0</v>
      </c>
      <c r="D11">
        <v>0</v>
      </c>
      <c r="E11">
        <v>0</v>
      </c>
    </row>
    <row r="12" spans="1:5" x14ac:dyDescent="0.15">
      <c r="A12">
        <v>11</v>
      </c>
      <c r="B12" s="172" t="s">
        <v>202</v>
      </c>
      <c r="C12">
        <v>0</v>
      </c>
      <c r="D12">
        <v>0</v>
      </c>
      <c r="E12">
        <v>0</v>
      </c>
    </row>
    <row r="13" spans="1:5" x14ac:dyDescent="0.15">
      <c r="A13">
        <v>12</v>
      </c>
      <c r="B13" s="172" t="s">
        <v>203</v>
      </c>
      <c r="C13">
        <v>0</v>
      </c>
      <c r="D13">
        <v>0</v>
      </c>
      <c r="E13">
        <v>0</v>
      </c>
    </row>
    <row r="14" spans="1:5" x14ac:dyDescent="0.15">
      <c r="A14">
        <v>13</v>
      </c>
      <c r="B14" s="172" t="s">
        <v>204</v>
      </c>
      <c r="C14">
        <v>0</v>
      </c>
      <c r="D14">
        <v>0</v>
      </c>
      <c r="E14">
        <v>0</v>
      </c>
    </row>
    <row r="15" spans="1:5" x14ac:dyDescent="0.15">
      <c r="A15">
        <v>14</v>
      </c>
      <c r="B15" s="172" t="s">
        <v>205</v>
      </c>
      <c r="C15">
        <v>0</v>
      </c>
      <c r="D15">
        <v>0</v>
      </c>
      <c r="E15">
        <v>0</v>
      </c>
    </row>
    <row r="16" spans="1:5" x14ac:dyDescent="0.15">
      <c r="A16">
        <v>15</v>
      </c>
      <c r="B16" s="172" t="s">
        <v>206</v>
      </c>
      <c r="C16">
        <v>0</v>
      </c>
      <c r="D16">
        <v>0</v>
      </c>
      <c r="E16">
        <v>0</v>
      </c>
    </row>
    <row r="17" spans="1:5" x14ac:dyDescent="0.15">
      <c r="A17">
        <v>16</v>
      </c>
      <c r="B17" s="172" t="s">
        <v>207</v>
      </c>
      <c r="C17">
        <v>0</v>
      </c>
      <c r="D17">
        <v>0</v>
      </c>
      <c r="E17">
        <v>0</v>
      </c>
    </row>
    <row r="18" spans="1:5" x14ac:dyDescent="0.15">
      <c r="A18">
        <v>17</v>
      </c>
      <c r="B18" s="172" t="s">
        <v>208</v>
      </c>
      <c r="C18">
        <v>0</v>
      </c>
      <c r="D18">
        <v>0</v>
      </c>
      <c r="E18">
        <v>0</v>
      </c>
    </row>
    <row r="19" spans="1:5" x14ac:dyDescent="0.15">
      <c r="A19">
        <v>18</v>
      </c>
      <c r="B19" s="172" t="s">
        <v>209</v>
      </c>
      <c r="C19">
        <v>0</v>
      </c>
      <c r="D19">
        <v>0</v>
      </c>
      <c r="E19">
        <v>0</v>
      </c>
    </row>
    <row r="20" spans="1:5" x14ac:dyDescent="0.15">
      <c r="A20">
        <v>19</v>
      </c>
      <c r="B20" s="172" t="s">
        <v>210</v>
      </c>
      <c r="C20">
        <v>0</v>
      </c>
      <c r="D20">
        <v>0</v>
      </c>
      <c r="E20">
        <v>0</v>
      </c>
    </row>
    <row r="21" spans="1:5" x14ac:dyDescent="0.15">
      <c r="A21">
        <v>20</v>
      </c>
      <c r="B21" s="172" t="s">
        <v>211</v>
      </c>
      <c r="C21">
        <v>0</v>
      </c>
      <c r="D21">
        <v>0</v>
      </c>
      <c r="E21">
        <v>0</v>
      </c>
    </row>
    <row r="22" spans="1:5" x14ac:dyDescent="0.15">
      <c r="A22">
        <v>21</v>
      </c>
      <c r="B22" s="172" t="s">
        <v>212</v>
      </c>
      <c r="C22">
        <v>0</v>
      </c>
      <c r="D22">
        <v>0</v>
      </c>
      <c r="E22">
        <v>0</v>
      </c>
    </row>
    <row r="23" spans="1:5" x14ac:dyDescent="0.15">
      <c r="A23">
        <v>22</v>
      </c>
      <c r="B23" s="172" t="s">
        <v>213</v>
      </c>
      <c r="C23">
        <v>0</v>
      </c>
      <c r="D23">
        <v>0</v>
      </c>
      <c r="E23">
        <v>0</v>
      </c>
    </row>
    <row r="24" spans="1:5" x14ac:dyDescent="0.15">
      <c r="A24">
        <v>23</v>
      </c>
      <c r="B24" s="172" t="s">
        <v>214</v>
      </c>
      <c r="C24">
        <v>0</v>
      </c>
      <c r="D24">
        <v>0</v>
      </c>
      <c r="E24">
        <v>0</v>
      </c>
    </row>
    <row r="25" spans="1:5" x14ac:dyDescent="0.15">
      <c r="A25">
        <v>24</v>
      </c>
      <c r="B25" s="172" t="s">
        <v>215</v>
      </c>
      <c r="C25">
        <v>0</v>
      </c>
      <c r="D25">
        <v>0</v>
      </c>
      <c r="E25">
        <v>0</v>
      </c>
    </row>
    <row r="26" spans="1:5" x14ac:dyDescent="0.15">
      <c r="A26">
        <v>25</v>
      </c>
      <c r="B26" s="172" t="s">
        <v>216</v>
      </c>
      <c r="C26">
        <v>0</v>
      </c>
      <c r="D26">
        <v>0</v>
      </c>
      <c r="E26">
        <v>0</v>
      </c>
    </row>
    <row r="27" spans="1:5" x14ac:dyDescent="0.15">
      <c r="A27">
        <v>26</v>
      </c>
      <c r="B27" s="172" t="s">
        <v>217</v>
      </c>
      <c r="C27">
        <v>0</v>
      </c>
      <c r="D27">
        <v>0</v>
      </c>
      <c r="E27">
        <v>0</v>
      </c>
    </row>
    <row r="28" spans="1:5" x14ac:dyDescent="0.15">
      <c r="A28">
        <v>27</v>
      </c>
      <c r="B28" s="172" t="s">
        <v>218</v>
      </c>
      <c r="C28">
        <v>0</v>
      </c>
      <c r="D28">
        <v>0</v>
      </c>
      <c r="E28">
        <v>0</v>
      </c>
    </row>
    <row r="29" spans="1:5" x14ac:dyDescent="0.15">
      <c r="A29">
        <v>28</v>
      </c>
      <c r="B29" s="172" t="s">
        <v>219</v>
      </c>
      <c r="C29">
        <v>0</v>
      </c>
      <c r="D29">
        <v>0</v>
      </c>
      <c r="E29">
        <v>0</v>
      </c>
    </row>
    <row r="30" spans="1:5" x14ac:dyDescent="0.15">
      <c r="A30">
        <v>29</v>
      </c>
      <c r="B30" s="172" t="s">
        <v>220</v>
      </c>
      <c r="C30">
        <v>0</v>
      </c>
      <c r="D30">
        <v>0</v>
      </c>
      <c r="E30">
        <v>0</v>
      </c>
    </row>
    <row r="31" spans="1:5" x14ac:dyDescent="0.15">
      <c r="A31">
        <v>30</v>
      </c>
      <c r="B31" s="172" t="s">
        <v>221</v>
      </c>
      <c r="C31">
        <v>0</v>
      </c>
      <c r="D31">
        <v>0</v>
      </c>
      <c r="E31">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35.5" bestFit="1" customWidth="1"/>
    <col min="6" max="6" width="4.83203125" bestFit="1" customWidth="1"/>
    <col min="7" max="9" width="3.83203125" bestFit="1" customWidth="1"/>
    <col min="10" max="11" width="4.83203125" style="101"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03" customFormat="1" ht="14" thickBot="1" x14ac:dyDescent="0.2">
      <c r="D1" s="104" t="s">
        <v>8</v>
      </c>
      <c r="E1" s="104" t="s">
        <v>0</v>
      </c>
      <c r="F1" s="105" t="s">
        <v>99</v>
      </c>
      <c r="G1" s="106" t="s">
        <v>84</v>
      </c>
      <c r="H1" s="106" t="s">
        <v>85</v>
      </c>
      <c r="I1" s="106" t="s">
        <v>86</v>
      </c>
      <c r="J1" s="106" t="s">
        <v>87</v>
      </c>
      <c r="K1" s="106" t="s">
        <v>88</v>
      </c>
      <c r="L1" s="107" t="s">
        <v>89</v>
      </c>
      <c r="M1" s="107" t="s">
        <v>93</v>
      </c>
      <c r="N1" s="107" t="s">
        <v>92</v>
      </c>
      <c r="O1" s="107" t="s">
        <v>90</v>
      </c>
      <c r="P1" s="107" t="s">
        <v>91</v>
      </c>
      <c r="Q1" s="108" t="s">
        <v>94</v>
      </c>
      <c r="R1" s="108" t="s">
        <v>95</v>
      </c>
      <c r="S1" s="108" t="s">
        <v>96</v>
      </c>
      <c r="T1" s="108" t="s">
        <v>97</v>
      </c>
      <c r="U1" s="108" t="s">
        <v>98</v>
      </c>
      <c r="V1" s="106" t="s">
        <v>100</v>
      </c>
      <c r="W1" s="106" t="s">
        <v>101</v>
      </c>
      <c r="X1" s="106" t="s">
        <v>102</v>
      </c>
      <c r="Y1" s="106" t="s">
        <v>134</v>
      </c>
      <c r="Z1" s="107" t="s">
        <v>103</v>
      </c>
      <c r="AA1" s="107" t="s">
        <v>104</v>
      </c>
      <c r="AB1" s="107" t="s">
        <v>105</v>
      </c>
      <c r="AC1" s="109" t="s">
        <v>135</v>
      </c>
      <c r="AD1" s="108" t="s">
        <v>106</v>
      </c>
      <c r="AE1" s="108" t="s">
        <v>107</v>
      </c>
      <c r="AF1" s="108" t="s">
        <v>108</v>
      </c>
      <c r="AG1" s="108" t="s">
        <v>136</v>
      </c>
      <c r="AH1" s="106" t="s">
        <v>109</v>
      </c>
      <c r="AI1" s="106" t="s">
        <v>111</v>
      </c>
      <c r="AJ1" s="106" t="s">
        <v>110</v>
      </c>
      <c r="AK1" s="107" t="s">
        <v>115</v>
      </c>
      <c r="AL1" s="107" t="s">
        <v>116</v>
      </c>
      <c r="AM1" s="107" t="s">
        <v>117</v>
      </c>
      <c r="AN1" s="108" t="s">
        <v>112</v>
      </c>
      <c r="AO1" s="108" t="s">
        <v>113</v>
      </c>
      <c r="AP1" s="108" t="s">
        <v>114</v>
      </c>
    </row>
    <row r="2" spans="1:42" x14ac:dyDescent="0.15">
      <c r="A2" s="110" t="s">
        <v>74</v>
      </c>
      <c r="B2" s="111">
        <v>1</v>
      </c>
      <c r="D2">
        <v>1</v>
      </c>
      <c r="E2" s="174" t="s">
        <v>192</v>
      </c>
      <c r="F2">
        <v>0.98</v>
      </c>
      <c r="G2">
        <v>0.8</v>
      </c>
      <c r="H2">
        <v>0.8</v>
      </c>
      <c r="I2">
        <v>0.8</v>
      </c>
      <c r="J2" s="101">
        <v>0.25</v>
      </c>
      <c r="K2" s="101">
        <v>0.05</v>
      </c>
    </row>
    <row r="3" spans="1:42" x14ac:dyDescent="0.15">
      <c r="A3" s="110" t="s">
        <v>75</v>
      </c>
      <c r="B3" s="112">
        <v>1</v>
      </c>
      <c r="D3">
        <v>2</v>
      </c>
      <c r="E3" s="174" t="s">
        <v>193</v>
      </c>
      <c r="F3">
        <v>0.98</v>
      </c>
      <c r="G3">
        <v>0.8</v>
      </c>
      <c r="H3">
        <v>0.8</v>
      </c>
      <c r="I3">
        <v>0.8</v>
      </c>
      <c r="J3" s="101">
        <v>0.25</v>
      </c>
      <c r="K3" s="101">
        <v>0.05</v>
      </c>
    </row>
    <row r="4" spans="1:42" x14ac:dyDescent="0.15">
      <c r="A4" s="110" t="s">
        <v>76</v>
      </c>
      <c r="B4" s="112">
        <v>1</v>
      </c>
      <c r="D4">
        <v>3</v>
      </c>
      <c r="E4" s="174" t="s">
        <v>194</v>
      </c>
      <c r="F4">
        <v>0.98</v>
      </c>
      <c r="G4">
        <v>0.8</v>
      </c>
      <c r="H4">
        <v>0.8</v>
      </c>
      <c r="I4">
        <v>0.8</v>
      </c>
      <c r="J4" s="101">
        <v>0.25</v>
      </c>
      <c r="K4" s="101">
        <v>0.05</v>
      </c>
    </row>
    <row r="5" spans="1:42" x14ac:dyDescent="0.15">
      <c r="A5" s="110" t="s">
        <v>77</v>
      </c>
      <c r="B5" s="112">
        <v>1</v>
      </c>
      <c r="D5">
        <v>4</v>
      </c>
      <c r="E5" s="174" t="s">
        <v>195</v>
      </c>
      <c r="F5">
        <v>0.98</v>
      </c>
      <c r="G5">
        <v>0.8</v>
      </c>
      <c r="H5">
        <v>0.8</v>
      </c>
      <c r="I5">
        <v>0.8</v>
      </c>
      <c r="J5" s="101">
        <v>0.25</v>
      </c>
      <c r="K5" s="101">
        <v>0.05</v>
      </c>
    </row>
    <row r="6" spans="1:42" x14ac:dyDescent="0.15">
      <c r="A6" s="110" t="s">
        <v>78</v>
      </c>
      <c r="B6" s="112">
        <v>1</v>
      </c>
      <c r="D6">
        <v>5</v>
      </c>
      <c r="E6" s="174" t="s">
        <v>196</v>
      </c>
      <c r="F6">
        <v>0.98</v>
      </c>
      <c r="G6">
        <v>0.8</v>
      </c>
      <c r="H6">
        <v>0.8</v>
      </c>
      <c r="I6">
        <v>0.8</v>
      </c>
      <c r="J6" s="101">
        <v>0.25</v>
      </c>
      <c r="K6" s="101">
        <v>0.05</v>
      </c>
    </row>
    <row r="7" spans="1:42" x14ac:dyDescent="0.15">
      <c r="A7" s="110" t="s">
        <v>79</v>
      </c>
      <c r="B7" s="112">
        <v>1</v>
      </c>
      <c r="D7">
        <v>6</v>
      </c>
      <c r="E7" s="174" t="s">
        <v>197</v>
      </c>
      <c r="F7">
        <v>0.98</v>
      </c>
      <c r="G7">
        <v>0.8</v>
      </c>
      <c r="H7">
        <v>0.8</v>
      </c>
      <c r="I7">
        <v>0.8</v>
      </c>
      <c r="J7" s="101">
        <v>0.25</v>
      </c>
      <c r="K7" s="101">
        <v>0.05</v>
      </c>
    </row>
    <row r="8" spans="1:42" x14ac:dyDescent="0.15">
      <c r="A8" s="110" t="s">
        <v>80</v>
      </c>
      <c r="B8" s="112">
        <v>1</v>
      </c>
      <c r="D8">
        <v>7</v>
      </c>
      <c r="E8" s="174" t="s">
        <v>198</v>
      </c>
      <c r="F8">
        <v>0.98</v>
      </c>
      <c r="G8">
        <v>0.8</v>
      </c>
      <c r="H8">
        <v>0.8</v>
      </c>
      <c r="I8">
        <v>0.8</v>
      </c>
      <c r="J8" s="101">
        <v>0.25</v>
      </c>
      <c r="K8" s="101">
        <v>0.05</v>
      </c>
    </row>
    <row r="9" spans="1:42" x14ac:dyDescent="0.15">
      <c r="A9" s="110" t="s">
        <v>81</v>
      </c>
      <c r="B9" s="112">
        <v>0.1</v>
      </c>
      <c r="C9" s="57" t="s">
        <v>150</v>
      </c>
      <c r="D9">
        <v>8</v>
      </c>
      <c r="E9" s="174" t="s">
        <v>199</v>
      </c>
      <c r="F9">
        <v>0.98</v>
      </c>
      <c r="G9">
        <v>0.8</v>
      </c>
      <c r="H9">
        <v>0.8</v>
      </c>
      <c r="I9">
        <v>0.8</v>
      </c>
      <c r="J9" s="101">
        <v>0.25</v>
      </c>
      <c r="K9" s="101">
        <v>0.05</v>
      </c>
    </row>
    <row r="10" spans="1:42" ht="14" thickBot="1" x14ac:dyDescent="0.2">
      <c r="A10" s="110" t="s">
        <v>149</v>
      </c>
      <c r="B10" s="113">
        <f>1/3</f>
        <v>0.33333333333333331</v>
      </c>
      <c r="C10" s="57" t="s">
        <v>150</v>
      </c>
      <c r="D10">
        <v>9</v>
      </c>
      <c r="E10" s="174" t="s">
        <v>200</v>
      </c>
      <c r="F10">
        <v>0.98</v>
      </c>
      <c r="G10">
        <v>0.8</v>
      </c>
      <c r="H10">
        <v>0.8</v>
      </c>
      <c r="I10">
        <v>0.8</v>
      </c>
      <c r="J10" s="101">
        <v>0.25</v>
      </c>
      <c r="K10" s="101">
        <v>0.05</v>
      </c>
    </row>
    <row r="11" spans="1:42" x14ac:dyDescent="0.15">
      <c r="D11">
        <v>10</v>
      </c>
      <c r="E11" s="174" t="s">
        <v>201</v>
      </c>
      <c r="F11">
        <v>0.98</v>
      </c>
      <c r="G11">
        <v>0.8</v>
      </c>
      <c r="H11">
        <v>0.8</v>
      </c>
      <c r="I11">
        <v>0.8</v>
      </c>
      <c r="J11" s="101">
        <v>0.25</v>
      </c>
      <c r="K11" s="101">
        <v>0.05</v>
      </c>
    </row>
    <row r="12" spans="1:42" x14ac:dyDescent="0.15">
      <c r="D12">
        <v>11</v>
      </c>
      <c r="E12" s="174" t="s">
        <v>202</v>
      </c>
      <c r="F12">
        <v>0.98</v>
      </c>
      <c r="G12">
        <v>0.8</v>
      </c>
      <c r="H12">
        <v>0.8</v>
      </c>
      <c r="I12">
        <v>0.8</v>
      </c>
      <c r="J12" s="101">
        <v>0.25</v>
      </c>
      <c r="K12" s="101">
        <v>0.05</v>
      </c>
    </row>
    <row r="13" spans="1:42" x14ac:dyDescent="0.15">
      <c r="D13">
        <v>12</v>
      </c>
      <c r="E13" s="174" t="s">
        <v>203</v>
      </c>
      <c r="F13">
        <v>0.98</v>
      </c>
      <c r="G13">
        <v>0.8</v>
      </c>
      <c r="H13">
        <v>0.8</v>
      </c>
      <c r="I13">
        <v>0.8</v>
      </c>
      <c r="J13" s="101">
        <v>0.25</v>
      </c>
      <c r="K13" s="101">
        <v>0.05</v>
      </c>
    </row>
    <row r="14" spans="1:42" x14ac:dyDescent="0.15">
      <c r="D14">
        <v>13</v>
      </c>
      <c r="E14" s="174" t="s">
        <v>204</v>
      </c>
      <c r="F14">
        <v>0.98</v>
      </c>
      <c r="G14">
        <v>0.8</v>
      </c>
      <c r="H14">
        <v>0.8</v>
      </c>
      <c r="I14">
        <v>0.8</v>
      </c>
      <c r="J14" s="101">
        <v>0.25</v>
      </c>
      <c r="K14" s="101">
        <v>0.05</v>
      </c>
    </row>
    <row r="15" spans="1:42" x14ac:dyDescent="0.15">
      <c r="D15">
        <v>14</v>
      </c>
      <c r="E15" s="174" t="s">
        <v>205</v>
      </c>
      <c r="F15">
        <v>0.98</v>
      </c>
      <c r="G15">
        <v>0.8</v>
      </c>
      <c r="H15">
        <v>0.8</v>
      </c>
      <c r="I15">
        <v>0.8</v>
      </c>
      <c r="J15" s="101">
        <v>0.25</v>
      </c>
      <c r="K15" s="101">
        <v>0.05</v>
      </c>
    </row>
    <row r="16" spans="1:42" x14ac:dyDescent="0.15">
      <c r="D16">
        <v>15</v>
      </c>
      <c r="E16" s="174" t="s">
        <v>206</v>
      </c>
      <c r="F16">
        <v>0.98</v>
      </c>
      <c r="G16">
        <v>0.8</v>
      </c>
      <c r="H16">
        <v>0.8</v>
      </c>
      <c r="I16">
        <v>0.8</v>
      </c>
      <c r="J16" s="101">
        <v>0.25</v>
      </c>
      <c r="K16" s="101">
        <v>0.05</v>
      </c>
    </row>
    <row r="17" spans="4:33" ht="15" customHeight="1" x14ac:dyDescent="0.15">
      <c r="D17">
        <v>16</v>
      </c>
      <c r="E17" s="174" t="s">
        <v>207</v>
      </c>
      <c r="F17">
        <v>0.98</v>
      </c>
      <c r="G17">
        <v>0.8</v>
      </c>
      <c r="H17">
        <v>0.8</v>
      </c>
      <c r="I17">
        <v>0.8</v>
      </c>
      <c r="J17" s="101">
        <v>0.25</v>
      </c>
      <c r="K17" s="101">
        <v>0.05</v>
      </c>
    </row>
    <row r="18" spans="4:33" ht="15" customHeight="1" x14ac:dyDescent="0.15">
      <c r="D18">
        <v>17</v>
      </c>
      <c r="E18" s="174" t="s">
        <v>208</v>
      </c>
      <c r="F18">
        <v>0.98</v>
      </c>
      <c r="G18">
        <v>0.8</v>
      </c>
      <c r="H18">
        <v>0.8</v>
      </c>
      <c r="I18">
        <v>0.8</v>
      </c>
      <c r="J18" s="101">
        <v>0.25</v>
      </c>
      <c r="K18" s="101">
        <v>0.05</v>
      </c>
    </row>
    <row r="19" spans="4:33" ht="15" customHeight="1" x14ac:dyDescent="0.15">
      <c r="D19">
        <v>18</v>
      </c>
      <c r="E19" s="174" t="s">
        <v>209</v>
      </c>
      <c r="F19">
        <v>0.98</v>
      </c>
      <c r="G19">
        <v>0.8</v>
      </c>
      <c r="H19">
        <v>0.8</v>
      </c>
      <c r="I19">
        <v>0.8</v>
      </c>
      <c r="J19" s="101">
        <v>0.25</v>
      </c>
      <c r="K19" s="101">
        <v>0.05</v>
      </c>
    </row>
    <row r="20" spans="4:33" ht="15" customHeight="1" x14ac:dyDescent="0.15">
      <c r="D20">
        <v>19</v>
      </c>
      <c r="E20" s="174" t="s">
        <v>210</v>
      </c>
      <c r="F20">
        <v>0.98</v>
      </c>
      <c r="G20">
        <v>0.8</v>
      </c>
      <c r="H20">
        <v>0.8</v>
      </c>
      <c r="I20">
        <v>0.8</v>
      </c>
      <c r="J20" s="101">
        <v>0.25</v>
      </c>
      <c r="K20" s="101">
        <v>0.05</v>
      </c>
    </row>
    <row r="21" spans="4:33" ht="15" customHeight="1" x14ac:dyDescent="0.15">
      <c r="D21">
        <v>20</v>
      </c>
      <c r="E21" s="174" t="s">
        <v>211</v>
      </c>
      <c r="F21">
        <v>0.98</v>
      </c>
      <c r="G21">
        <v>0.8</v>
      </c>
      <c r="H21">
        <v>0.8</v>
      </c>
      <c r="I21">
        <v>0.8</v>
      </c>
      <c r="J21" s="101">
        <v>0.25</v>
      </c>
      <c r="K21" s="101">
        <v>0.05</v>
      </c>
    </row>
    <row r="22" spans="4:33" ht="15" customHeight="1" x14ac:dyDescent="0.15">
      <c r="D22">
        <v>21</v>
      </c>
      <c r="E22" s="174" t="s">
        <v>212</v>
      </c>
      <c r="F22">
        <v>0.98</v>
      </c>
      <c r="G22">
        <v>0.8</v>
      </c>
      <c r="H22">
        <v>0.8</v>
      </c>
      <c r="I22">
        <v>0.8</v>
      </c>
      <c r="J22" s="101">
        <v>0.25</v>
      </c>
      <c r="K22" s="101">
        <v>0.05</v>
      </c>
    </row>
    <row r="23" spans="4:33" ht="15" customHeight="1" x14ac:dyDescent="0.15">
      <c r="D23">
        <v>22</v>
      </c>
      <c r="E23" s="174" t="s">
        <v>213</v>
      </c>
      <c r="F23">
        <v>0.98</v>
      </c>
      <c r="G23">
        <v>0.8</v>
      </c>
      <c r="H23">
        <v>0.8</v>
      </c>
      <c r="I23">
        <v>0.8</v>
      </c>
      <c r="J23" s="101">
        <v>0.25</v>
      </c>
      <c r="K23" s="101">
        <v>0.05</v>
      </c>
    </row>
    <row r="24" spans="4:33" ht="15" customHeight="1" x14ac:dyDescent="0.15">
      <c r="D24">
        <v>23</v>
      </c>
      <c r="E24" s="174" t="s">
        <v>214</v>
      </c>
      <c r="F24">
        <v>0.98</v>
      </c>
      <c r="G24">
        <v>0.8</v>
      </c>
      <c r="H24">
        <v>0.8</v>
      </c>
      <c r="I24">
        <v>0.8</v>
      </c>
      <c r="J24" s="101">
        <v>0.25</v>
      </c>
      <c r="K24" s="101">
        <v>0.05</v>
      </c>
    </row>
    <row r="25" spans="4:33" ht="15" customHeight="1" x14ac:dyDescent="0.15">
      <c r="D25">
        <v>24</v>
      </c>
      <c r="E25" s="174" t="s">
        <v>215</v>
      </c>
      <c r="F25">
        <v>0.98</v>
      </c>
      <c r="G25">
        <v>0.8</v>
      </c>
      <c r="H25">
        <v>0.8</v>
      </c>
      <c r="I25">
        <v>0.8</v>
      </c>
      <c r="J25" s="101">
        <v>0.25</v>
      </c>
      <c r="K25" s="101">
        <v>0.05</v>
      </c>
    </row>
    <row r="26" spans="4:33" ht="15" customHeight="1" x14ac:dyDescent="0.15">
      <c r="D26">
        <v>25</v>
      </c>
      <c r="E26" s="174" t="s">
        <v>216</v>
      </c>
      <c r="F26">
        <v>0.98</v>
      </c>
      <c r="G26">
        <v>0.8</v>
      </c>
      <c r="H26">
        <v>0.8</v>
      </c>
      <c r="I26">
        <v>0.8</v>
      </c>
      <c r="J26" s="101">
        <v>0.25</v>
      </c>
      <c r="K26" s="101">
        <v>0.05</v>
      </c>
    </row>
    <row r="27" spans="4:33" ht="15" customHeight="1" x14ac:dyDescent="0.15">
      <c r="D27">
        <v>26</v>
      </c>
      <c r="E27" s="174" t="s">
        <v>217</v>
      </c>
      <c r="F27">
        <v>0.98</v>
      </c>
      <c r="G27">
        <v>0.8</v>
      </c>
      <c r="H27">
        <v>0.8</v>
      </c>
      <c r="I27">
        <v>0.8</v>
      </c>
      <c r="J27" s="101">
        <v>0.25</v>
      </c>
      <c r="K27" s="101">
        <v>0.05</v>
      </c>
    </row>
    <row r="28" spans="4:33" ht="15" customHeight="1" x14ac:dyDescent="0.15">
      <c r="D28">
        <v>27</v>
      </c>
      <c r="E28" s="174" t="s">
        <v>218</v>
      </c>
      <c r="F28">
        <v>0.98</v>
      </c>
      <c r="G28">
        <v>0.8</v>
      </c>
      <c r="H28">
        <v>0.8</v>
      </c>
      <c r="I28">
        <v>0</v>
      </c>
      <c r="J28" s="101">
        <v>0</v>
      </c>
      <c r="K28" s="101">
        <v>0</v>
      </c>
    </row>
    <row r="29" spans="4:33" ht="15" customHeight="1" x14ac:dyDescent="0.15">
      <c r="D29">
        <v>28</v>
      </c>
      <c r="E29" s="174" t="s">
        <v>219</v>
      </c>
      <c r="F29">
        <v>0.98</v>
      </c>
      <c r="G29">
        <v>0.8</v>
      </c>
      <c r="H29">
        <v>0.8</v>
      </c>
      <c r="I29">
        <v>0</v>
      </c>
      <c r="J29" s="101">
        <v>0</v>
      </c>
      <c r="K29" s="101">
        <v>0</v>
      </c>
      <c r="Y29"/>
      <c r="AC29"/>
      <c r="AG29"/>
    </row>
    <row r="30" spans="4:33" ht="15" customHeight="1" x14ac:dyDescent="0.15">
      <c r="D30">
        <v>29</v>
      </c>
      <c r="E30" s="174" t="s">
        <v>220</v>
      </c>
      <c r="F30">
        <v>0.98</v>
      </c>
      <c r="G30">
        <v>0.8</v>
      </c>
      <c r="H30">
        <v>0</v>
      </c>
      <c r="I30">
        <v>0</v>
      </c>
      <c r="J30" s="101">
        <v>0</v>
      </c>
      <c r="K30" s="101">
        <v>0</v>
      </c>
      <c r="Y30"/>
      <c r="AC30"/>
      <c r="AG30"/>
    </row>
    <row r="31" spans="4:33" ht="15" customHeight="1" x14ac:dyDescent="0.15">
      <c r="D31">
        <v>30</v>
      </c>
      <c r="E31" s="174" t="s">
        <v>221</v>
      </c>
      <c r="F31">
        <v>0.98</v>
      </c>
      <c r="G31">
        <v>0.8</v>
      </c>
      <c r="H31">
        <v>0</v>
      </c>
      <c r="I31">
        <v>0</v>
      </c>
      <c r="J31" s="101">
        <v>0</v>
      </c>
      <c r="K31" s="101">
        <v>0</v>
      </c>
      <c r="Y31"/>
      <c r="AC31"/>
      <c r="AG31"/>
    </row>
    <row r="32" spans="4:33" ht="15" customHeight="1" x14ac:dyDescent="0.15">
      <c r="J32"/>
      <c r="K32"/>
      <c r="Y32"/>
      <c r="AC32"/>
      <c r="AG32"/>
    </row>
    <row r="33" spans="10:33" ht="15" customHeight="1" x14ac:dyDescent="0.15">
      <c r="J33"/>
      <c r="K33"/>
      <c r="Y33"/>
      <c r="AC33"/>
      <c r="AG33"/>
    </row>
    <row r="34" spans="10:33" ht="15" customHeight="1" x14ac:dyDescent="0.15">
      <c r="J34"/>
      <c r="K34"/>
      <c r="Y34"/>
      <c r="AC34"/>
      <c r="AG34"/>
    </row>
    <row r="35" spans="10:33" ht="15" customHeight="1" x14ac:dyDescent="0.15">
      <c r="J35"/>
      <c r="K35"/>
      <c r="Y35"/>
      <c r="AC35"/>
      <c r="AG35"/>
    </row>
    <row r="36" spans="10:33" ht="15" customHeight="1" x14ac:dyDescent="0.15">
      <c r="J36"/>
      <c r="K36"/>
      <c r="Y36"/>
      <c r="AC36"/>
      <c r="AG36"/>
    </row>
    <row r="37" spans="10:33" ht="15" customHeight="1" x14ac:dyDescent="0.15">
      <c r="J37"/>
      <c r="K37"/>
      <c r="Y37"/>
      <c r="AC37"/>
      <c r="AG37"/>
    </row>
    <row r="38" spans="10:33" ht="15" customHeight="1" x14ac:dyDescent="0.15">
      <c r="J38"/>
      <c r="K38"/>
      <c r="Y38"/>
      <c r="AC38"/>
      <c r="AG38"/>
    </row>
    <row r="39" spans="10:33" ht="15" customHeight="1" x14ac:dyDescent="0.15">
      <c r="J39"/>
      <c r="K39"/>
    </row>
    <row r="40" spans="10:33" ht="15" customHeight="1" x14ac:dyDescent="0.15">
      <c r="J40"/>
      <c r="K40"/>
      <c r="Y40"/>
      <c r="AC40"/>
      <c r="AG40"/>
    </row>
    <row r="41" spans="10:33" ht="15" customHeight="1" x14ac:dyDescent="0.15">
      <c r="J41"/>
      <c r="K41"/>
      <c r="Y41"/>
      <c r="AC41"/>
      <c r="AG41"/>
    </row>
    <row r="42" spans="10:33" ht="15" customHeight="1" x14ac:dyDescent="0.15">
      <c r="J42"/>
      <c r="K42"/>
      <c r="Y42"/>
      <c r="AC42"/>
      <c r="AG42"/>
    </row>
    <row r="43" spans="10:33" ht="15" customHeight="1" x14ac:dyDescent="0.15">
      <c r="J43"/>
      <c r="K43"/>
      <c r="Y43"/>
      <c r="AC43"/>
      <c r="AG43"/>
    </row>
    <row r="44" spans="10:33" ht="15" customHeight="1" x14ac:dyDescent="0.15">
      <c r="J44"/>
      <c r="K44"/>
      <c r="Y44"/>
      <c r="AC44"/>
      <c r="AG44"/>
    </row>
    <row r="45" spans="10:33" ht="15" customHeight="1" x14ac:dyDescent="0.15">
      <c r="J45"/>
      <c r="K45"/>
      <c r="Y45"/>
      <c r="AC45"/>
      <c r="AG45"/>
    </row>
    <row r="46" spans="10:33" ht="15" customHeight="1" x14ac:dyDescent="0.15">
      <c r="J46"/>
      <c r="K46"/>
      <c r="Y46"/>
      <c r="AC46"/>
      <c r="AG46"/>
    </row>
    <row r="47" spans="10:33" ht="15" customHeight="1" x14ac:dyDescent="0.15">
      <c r="J47"/>
      <c r="K47"/>
      <c r="Y47"/>
      <c r="AC47"/>
      <c r="AG47"/>
    </row>
    <row r="48" spans="10: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E32"/>
  <sheetViews>
    <sheetView workbookViewId="0">
      <selection activeCell="A3" sqref="A3"/>
    </sheetView>
  </sheetViews>
  <sheetFormatPr baseColWidth="10" defaultRowHeight="13" x14ac:dyDescent="0.15"/>
  <cols>
    <col min="1" max="1" width="35.5" style="99" bestFit="1" customWidth="1"/>
    <col min="2" max="27" width="3.83203125" style="99" customWidth="1"/>
    <col min="28" max="31" width="2.33203125" style="99" customWidth="1"/>
    <col min="32" max="16384" width="10.83203125" style="99"/>
  </cols>
  <sheetData>
    <row r="1" spans="1:31" x14ac:dyDescent="0.15">
      <c r="A1" s="59" t="s">
        <v>118</v>
      </c>
      <c r="B1" s="176" t="s">
        <v>192</v>
      </c>
      <c r="C1" s="176" t="s">
        <v>193</v>
      </c>
      <c r="D1" s="176" t="s">
        <v>194</v>
      </c>
      <c r="E1" s="176" t="s">
        <v>195</v>
      </c>
      <c r="F1" s="176" t="s">
        <v>196</v>
      </c>
      <c r="G1" s="176" t="s">
        <v>197</v>
      </c>
      <c r="H1" s="176" t="s">
        <v>198</v>
      </c>
      <c r="I1" s="176" t="s">
        <v>199</v>
      </c>
      <c r="J1" s="176" t="s">
        <v>200</v>
      </c>
      <c r="K1" s="176" t="s">
        <v>201</v>
      </c>
      <c r="L1" s="176" t="s">
        <v>202</v>
      </c>
      <c r="M1" s="176" t="s">
        <v>203</v>
      </c>
      <c r="N1" s="176" t="s">
        <v>204</v>
      </c>
      <c r="O1" s="176" t="s">
        <v>205</v>
      </c>
      <c r="P1" s="176" t="s">
        <v>206</v>
      </c>
      <c r="Q1" s="176" t="s">
        <v>207</v>
      </c>
      <c r="R1" s="176" t="s">
        <v>208</v>
      </c>
      <c r="S1" s="176" t="s">
        <v>209</v>
      </c>
      <c r="T1" s="176" t="s">
        <v>210</v>
      </c>
      <c r="U1" s="176" t="s">
        <v>211</v>
      </c>
      <c r="V1" s="176" t="s">
        <v>212</v>
      </c>
      <c r="W1" s="176" t="s">
        <v>213</v>
      </c>
      <c r="X1" s="176" t="s">
        <v>214</v>
      </c>
      <c r="Y1" s="176" t="s">
        <v>215</v>
      </c>
      <c r="Z1" s="176" t="s">
        <v>216</v>
      </c>
      <c r="AA1" s="176" t="s">
        <v>217</v>
      </c>
      <c r="AB1" s="176" t="s">
        <v>218</v>
      </c>
      <c r="AC1" s="176" t="s">
        <v>219</v>
      </c>
      <c r="AD1" s="176" t="s">
        <v>220</v>
      </c>
      <c r="AE1" s="176" t="s">
        <v>221</v>
      </c>
    </row>
    <row r="2" spans="1:31" customFormat="1" x14ac:dyDescent="0.15">
      <c r="A2" s="175" t="s">
        <v>192</v>
      </c>
      <c r="B2" s="99">
        <v>0</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99">
        <v>0</v>
      </c>
      <c r="X2" s="99">
        <v>0</v>
      </c>
      <c r="Y2" s="99">
        <v>0</v>
      </c>
      <c r="Z2" s="99">
        <v>0</v>
      </c>
      <c r="AA2" s="99">
        <v>0</v>
      </c>
      <c r="AB2" s="99">
        <v>0</v>
      </c>
      <c r="AC2" s="99">
        <v>0</v>
      </c>
      <c r="AD2" s="99">
        <v>0</v>
      </c>
      <c r="AE2" s="99">
        <v>0</v>
      </c>
    </row>
    <row r="3" spans="1:31" customFormat="1" x14ac:dyDescent="0.15">
      <c r="A3" s="175" t="s">
        <v>193</v>
      </c>
      <c r="B3" s="99">
        <v>0</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99">
        <v>0</v>
      </c>
      <c r="X3" s="99">
        <v>0</v>
      </c>
      <c r="Y3" s="99">
        <v>0</v>
      </c>
      <c r="Z3" s="99">
        <v>0</v>
      </c>
      <c r="AA3" s="99">
        <v>0</v>
      </c>
      <c r="AB3" s="99">
        <v>0</v>
      </c>
      <c r="AC3" s="99">
        <v>0</v>
      </c>
      <c r="AD3" s="99">
        <v>0</v>
      </c>
      <c r="AE3" s="99">
        <v>0</v>
      </c>
    </row>
    <row r="4" spans="1:31" customFormat="1" x14ac:dyDescent="0.15">
      <c r="A4" s="175" t="s">
        <v>194</v>
      </c>
      <c r="B4" s="99">
        <v>0</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99">
        <v>0</v>
      </c>
      <c r="X4" s="99">
        <v>0</v>
      </c>
      <c r="Y4" s="99">
        <v>0</v>
      </c>
      <c r="Z4" s="99">
        <v>0</v>
      </c>
      <c r="AA4" s="99">
        <v>0</v>
      </c>
      <c r="AB4" s="99">
        <v>0</v>
      </c>
      <c r="AC4" s="99">
        <v>0</v>
      </c>
      <c r="AD4" s="99">
        <v>0</v>
      </c>
      <c r="AE4" s="99">
        <v>0</v>
      </c>
    </row>
    <row r="5" spans="1:31" customFormat="1" x14ac:dyDescent="0.15">
      <c r="A5" s="175" t="s">
        <v>195</v>
      </c>
      <c r="B5" s="99">
        <v>0</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99">
        <v>0</v>
      </c>
      <c r="X5" s="99">
        <v>0</v>
      </c>
      <c r="Y5" s="99">
        <v>0</v>
      </c>
      <c r="Z5" s="99">
        <v>0</v>
      </c>
      <c r="AA5" s="99">
        <v>0</v>
      </c>
      <c r="AB5" s="99">
        <v>0</v>
      </c>
      <c r="AC5" s="99">
        <v>0</v>
      </c>
      <c r="AD5" s="99">
        <v>0</v>
      </c>
      <c r="AE5" s="99">
        <v>0</v>
      </c>
    </row>
    <row r="6" spans="1:31" customFormat="1" x14ac:dyDescent="0.15">
      <c r="A6" s="175" t="s">
        <v>196</v>
      </c>
      <c r="B6" s="99">
        <v>0</v>
      </c>
      <c r="C6" s="99">
        <v>0</v>
      </c>
      <c r="D6" s="99">
        <v>0</v>
      </c>
      <c r="E6" s="99">
        <v>0</v>
      </c>
      <c r="F6" s="99">
        <v>0</v>
      </c>
      <c r="G6" s="99">
        <v>0</v>
      </c>
      <c r="H6" s="99">
        <v>0</v>
      </c>
      <c r="I6" s="99">
        <v>0</v>
      </c>
      <c r="J6" s="99">
        <v>0</v>
      </c>
      <c r="K6" s="99">
        <v>0</v>
      </c>
      <c r="L6" s="99">
        <v>0</v>
      </c>
      <c r="M6" s="99">
        <v>0</v>
      </c>
      <c r="N6" s="99">
        <v>0</v>
      </c>
      <c r="O6" s="99">
        <v>0</v>
      </c>
      <c r="P6" s="99">
        <v>0</v>
      </c>
      <c r="Q6" s="99">
        <v>0</v>
      </c>
      <c r="R6" s="99">
        <v>0</v>
      </c>
      <c r="S6" s="99">
        <v>0</v>
      </c>
      <c r="T6" s="99">
        <v>0</v>
      </c>
      <c r="U6" s="99">
        <v>0</v>
      </c>
      <c r="V6" s="99">
        <v>0</v>
      </c>
      <c r="W6" s="99">
        <v>0</v>
      </c>
      <c r="X6" s="99">
        <v>0</v>
      </c>
      <c r="Y6" s="99">
        <v>0</v>
      </c>
      <c r="Z6" s="99">
        <v>0</v>
      </c>
      <c r="AA6" s="99">
        <v>0</v>
      </c>
      <c r="AB6" s="99">
        <v>0</v>
      </c>
      <c r="AC6" s="99">
        <v>0</v>
      </c>
      <c r="AD6" s="99">
        <v>0</v>
      </c>
      <c r="AE6" s="99">
        <v>0</v>
      </c>
    </row>
    <row r="7" spans="1:31" customFormat="1" x14ac:dyDescent="0.15">
      <c r="A7" s="175" t="s">
        <v>197</v>
      </c>
      <c r="B7" s="99">
        <v>0</v>
      </c>
      <c r="C7" s="99">
        <v>0</v>
      </c>
      <c r="D7" s="99">
        <v>0</v>
      </c>
      <c r="E7" s="99">
        <v>0</v>
      </c>
      <c r="F7" s="99">
        <v>0</v>
      </c>
      <c r="G7" s="99">
        <v>0</v>
      </c>
      <c r="H7" s="99">
        <v>0</v>
      </c>
      <c r="I7" s="99">
        <v>0</v>
      </c>
      <c r="J7" s="99">
        <v>0</v>
      </c>
      <c r="K7" s="99">
        <v>0</v>
      </c>
      <c r="L7" s="99">
        <v>0</v>
      </c>
      <c r="M7" s="99">
        <v>0</v>
      </c>
      <c r="N7" s="99">
        <v>0</v>
      </c>
      <c r="O7" s="99">
        <v>0</v>
      </c>
      <c r="P7" s="99">
        <v>0</v>
      </c>
      <c r="Q7" s="99">
        <v>0</v>
      </c>
      <c r="R7" s="99">
        <v>0</v>
      </c>
      <c r="S7" s="99">
        <v>0</v>
      </c>
      <c r="T7" s="99">
        <v>0</v>
      </c>
      <c r="U7" s="99">
        <v>0</v>
      </c>
      <c r="V7" s="99">
        <v>0</v>
      </c>
      <c r="W7" s="99">
        <v>0</v>
      </c>
      <c r="X7" s="99">
        <v>0</v>
      </c>
      <c r="Y7" s="99">
        <v>0</v>
      </c>
      <c r="Z7" s="99">
        <v>0</v>
      </c>
      <c r="AA7" s="99">
        <v>0</v>
      </c>
      <c r="AB7" s="99">
        <v>0</v>
      </c>
      <c r="AC7" s="99">
        <v>0</v>
      </c>
      <c r="AD7" s="99">
        <v>0</v>
      </c>
      <c r="AE7" s="99">
        <v>0</v>
      </c>
    </row>
    <row r="8" spans="1:31" customFormat="1" x14ac:dyDescent="0.15">
      <c r="A8" s="175" t="s">
        <v>198</v>
      </c>
      <c r="B8" s="99">
        <v>0</v>
      </c>
      <c r="C8" s="99">
        <v>0</v>
      </c>
      <c r="D8" s="99">
        <v>0</v>
      </c>
      <c r="E8" s="99">
        <v>0</v>
      </c>
      <c r="F8" s="99">
        <v>0</v>
      </c>
      <c r="G8" s="99">
        <v>0</v>
      </c>
      <c r="H8" s="99">
        <v>0</v>
      </c>
      <c r="I8" s="99">
        <v>0</v>
      </c>
      <c r="J8" s="99">
        <v>0</v>
      </c>
      <c r="K8" s="99">
        <v>0</v>
      </c>
      <c r="L8" s="99">
        <v>0</v>
      </c>
      <c r="M8" s="99">
        <v>0</v>
      </c>
      <c r="N8" s="99">
        <v>0</v>
      </c>
      <c r="O8" s="99">
        <v>0</v>
      </c>
      <c r="P8" s="99">
        <v>0</v>
      </c>
      <c r="Q8" s="99">
        <v>0</v>
      </c>
      <c r="R8" s="99">
        <v>0</v>
      </c>
      <c r="S8" s="99">
        <v>0</v>
      </c>
      <c r="T8" s="99">
        <v>0</v>
      </c>
      <c r="U8" s="99">
        <v>0</v>
      </c>
      <c r="V8" s="99">
        <v>0</v>
      </c>
      <c r="W8" s="99">
        <v>0</v>
      </c>
      <c r="X8" s="99">
        <v>0</v>
      </c>
      <c r="Y8" s="99">
        <v>0</v>
      </c>
      <c r="Z8" s="99">
        <v>0</v>
      </c>
      <c r="AA8" s="99">
        <v>0</v>
      </c>
      <c r="AB8" s="99">
        <v>0</v>
      </c>
      <c r="AC8" s="99">
        <v>0</v>
      </c>
      <c r="AD8" s="99">
        <v>0</v>
      </c>
      <c r="AE8" s="99">
        <v>0</v>
      </c>
    </row>
    <row r="9" spans="1:31" customFormat="1" x14ac:dyDescent="0.15">
      <c r="A9" s="175" t="s">
        <v>199</v>
      </c>
      <c r="B9" s="99">
        <v>0</v>
      </c>
      <c r="C9" s="99">
        <v>0</v>
      </c>
      <c r="D9" s="99">
        <v>0</v>
      </c>
      <c r="E9" s="99">
        <v>0</v>
      </c>
      <c r="F9" s="99">
        <v>0</v>
      </c>
      <c r="G9" s="99">
        <v>0</v>
      </c>
      <c r="H9" s="99">
        <v>0</v>
      </c>
      <c r="I9" s="99">
        <v>0</v>
      </c>
      <c r="J9" s="99">
        <v>0</v>
      </c>
      <c r="K9" s="99">
        <v>0</v>
      </c>
      <c r="L9" s="99">
        <v>0</v>
      </c>
      <c r="M9" s="99">
        <v>0</v>
      </c>
      <c r="N9" s="99">
        <v>0</v>
      </c>
      <c r="O9" s="99">
        <v>0</v>
      </c>
      <c r="P9" s="99">
        <v>0</v>
      </c>
      <c r="Q9" s="99">
        <v>0</v>
      </c>
      <c r="R9" s="99">
        <v>0</v>
      </c>
      <c r="S9" s="99">
        <v>0</v>
      </c>
      <c r="T9" s="99">
        <v>0</v>
      </c>
      <c r="U9" s="99">
        <v>0</v>
      </c>
      <c r="V9" s="99">
        <v>0</v>
      </c>
      <c r="W9" s="99">
        <v>0</v>
      </c>
      <c r="X9" s="99">
        <v>0</v>
      </c>
      <c r="Y9" s="99">
        <v>0</v>
      </c>
      <c r="Z9" s="99">
        <v>0</v>
      </c>
      <c r="AA9" s="99">
        <v>0</v>
      </c>
      <c r="AB9" s="99">
        <v>0</v>
      </c>
      <c r="AC9" s="99">
        <v>0</v>
      </c>
      <c r="AD9" s="99">
        <v>0</v>
      </c>
      <c r="AE9" s="99">
        <v>0</v>
      </c>
    </row>
    <row r="10" spans="1:31" customFormat="1" x14ac:dyDescent="0.15">
      <c r="A10" s="175" t="s">
        <v>200</v>
      </c>
      <c r="B10" s="99">
        <v>0</v>
      </c>
      <c r="C10" s="99">
        <v>0</v>
      </c>
      <c r="D10" s="99">
        <v>0</v>
      </c>
      <c r="E10" s="99">
        <v>0</v>
      </c>
      <c r="F10" s="99">
        <v>0</v>
      </c>
      <c r="G10" s="99">
        <v>0</v>
      </c>
      <c r="H10" s="99">
        <v>0</v>
      </c>
      <c r="I10" s="99">
        <v>0</v>
      </c>
      <c r="J10" s="99">
        <v>0</v>
      </c>
      <c r="K10" s="99">
        <v>0</v>
      </c>
      <c r="L10" s="99">
        <v>0</v>
      </c>
      <c r="M10" s="99">
        <v>0</v>
      </c>
      <c r="N10" s="99">
        <v>0</v>
      </c>
      <c r="O10" s="99">
        <v>0</v>
      </c>
      <c r="P10" s="99">
        <v>0</v>
      </c>
      <c r="Q10" s="99">
        <v>0</v>
      </c>
      <c r="R10" s="99">
        <v>0</v>
      </c>
      <c r="S10" s="99">
        <v>0</v>
      </c>
      <c r="T10" s="99">
        <v>0</v>
      </c>
      <c r="U10" s="99">
        <v>0</v>
      </c>
      <c r="V10" s="99">
        <v>0</v>
      </c>
      <c r="W10" s="99">
        <v>0</v>
      </c>
      <c r="X10" s="99">
        <v>0</v>
      </c>
      <c r="Y10" s="99">
        <v>0</v>
      </c>
      <c r="Z10" s="99">
        <v>0</v>
      </c>
      <c r="AA10" s="99">
        <v>0</v>
      </c>
      <c r="AB10" s="99">
        <v>0</v>
      </c>
      <c r="AC10" s="99">
        <v>0</v>
      </c>
      <c r="AD10" s="99">
        <v>0</v>
      </c>
      <c r="AE10" s="99">
        <v>0</v>
      </c>
    </row>
    <row r="11" spans="1:31" customFormat="1" x14ac:dyDescent="0.15">
      <c r="A11" s="175" t="s">
        <v>201</v>
      </c>
      <c r="B11" s="99">
        <v>0</v>
      </c>
      <c r="C11" s="99">
        <v>0</v>
      </c>
      <c r="D11" s="99">
        <v>0</v>
      </c>
      <c r="E11" s="99">
        <v>0</v>
      </c>
      <c r="F11" s="99">
        <v>0</v>
      </c>
      <c r="G11" s="99">
        <v>0</v>
      </c>
      <c r="H11" s="99">
        <v>0</v>
      </c>
      <c r="I11" s="99">
        <v>0.8</v>
      </c>
      <c r="J11" s="99">
        <v>0</v>
      </c>
      <c r="K11" s="99">
        <v>0.8</v>
      </c>
      <c r="L11" s="99">
        <v>0</v>
      </c>
      <c r="M11" s="99">
        <v>0</v>
      </c>
      <c r="N11" s="99">
        <v>0</v>
      </c>
      <c r="O11" s="99">
        <v>0</v>
      </c>
      <c r="P11" s="99">
        <v>0</v>
      </c>
      <c r="Q11" s="99">
        <v>0</v>
      </c>
      <c r="R11" s="99">
        <v>0</v>
      </c>
      <c r="S11" s="99">
        <v>0.8</v>
      </c>
      <c r="T11" s="99">
        <v>0</v>
      </c>
      <c r="U11" s="99">
        <v>0</v>
      </c>
      <c r="V11" s="99">
        <v>0</v>
      </c>
      <c r="W11" s="99">
        <v>0</v>
      </c>
      <c r="X11" s="99">
        <v>0</v>
      </c>
      <c r="Y11" s="99">
        <v>0</v>
      </c>
      <c r="Z11" s="99">
        <v>0</v>
      </c>
      <c r="AA11" s="99">
        <v>0</v>
      </c>
      <c r="AB11" s="99">
        <v>0</v>
      </c>
      <c r="AC11" s="99">
        <v>0</v>
      </c>
      <c r="AD11" s="99">
        <v>0</v>
      </c>
      <c r="AE11" s="99">
        <v>0</v>
      </c>
    </row>
    <row r="12" spans="1:31" customFormat="1" x14ac:dyDescent="0.15">
      <c r="A12" s="175" t="s">
        <v>202</v>
      </c>
      <c r="B12" s="99">
        <v>0</v>
      </c>
      <c r="C12" s="99">
        <v>0</v>
      </c>
      <c r="D12" s="99">
        <v>0</v>
      </c>
      <c r="E12" s="99">
        <v>0</v>
      </c>
      <c r="F12" s="99">
        <v>0</v>
      </c>
      <c r="G12" s="99">
        <v>0</v>
      </c>
      <c r="H12" s="99">
        <v>0</v>
      </c>
      <c r="I12" s="99">
        <v>0</v>
      </c>
      <c r="J12" s="99">
        <v>0</v>
      </c>
      <c r="K12" s="99">
        <v>0</v>
      </c>
      <c r="L12" s="99">
        <v>0</v>
      </c>
      <c r="M12" s="99">
        <v>0</v>
      </c>
      <c r="N12" s="99">
        <v>0</v>
      </c>
      <c r="O12" s="99">
        <v>0</v>
      </c>
      <c r="P12" s="99">
        <v>0</v>
      </c>
      <c r="Q12" s="99">
        <v>0</v>
      </c>
      <c r="R12" s="99">
        <v>0</v>
      </c>
      <c r="S12" s="99">
        <v>0</v>
      </c>
      <c r="T12" s="99">
        <v>0</v>
      </c>
      <c r="U12" s="99">
        <v>0</v>
      </c>
      <c r="V12" s="99">
        <v>0</v>
      </c>
      <c r="W12" s="99">
        <v>0</v>
      </c>
      <c r="X12" s="99">
        <v>0</v>
      </c>
      <c r="Y12" s="99">
        <v>0</v>
      </c>
      <c r="Z12" s="99">
        <v>0</v>
      </c>
      <c r="AA12" s="99">
        <v>0</v>
      </c>
      <c r="AB12" s="99">
        <v>0</v>
      </c>
      <c r="AC12" s="99">
        <v>0</v>
      </c>
      <c r="AD12" s="99">
        <v>0</v>
      </c>
      <c r="AE12" s="99">
        <v>0</v>
      </c>
    </row>
    <row r="13" spans="1:31" customFormat="1" x14ac:dyDescent="0.15">
      <c r="A13" s="175" t="s">
        <v>203</v>
      </c>
      <c r="B13" s="99">
        <v>0</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0.8</v>
      </c>
      <c r="T13" s="99">
        <v>0.8</v>
      </c>
      <c r="U13" s="99">
        <v>0</v>
      </c>
      <c r="V13" s="99">
        <v>0</v>
      </c>
      <c r="W13" s="99">
        <v>0</v>
      </c>
      <c r="X13" s="99">
        <v>0</v>
      </c>
      <c r="Y13" s="99">
        <v>0</v>
      </c>
      <c r="Z13" s="99">
        <v>0</v>
      </c>
      <c r="AA13" s="99">
        <v>0</v>
      </c>
      <c r="AB13" s="99">
        <v>0</v>
      </c>
      <c r="AC13" s="99">
        <v>0</v>
      </c>
      <c r="AD13" s="99">
        <v>0</v>
      </c>
      <c r="AE13" s="99">
        <v>0</v>
      </c>
    </row>
    <row r="14" spans="1:31" customFormat="1" x14ac:dyDescent="0.15">
      <c r="A14" s="175" t="s">
        <v>204</v>
      </c>
      <c r="B14" s="99">
        <v>0</v>
      </c>
      <c r="C14" s="99">
        <v>0</v>
      </c>
      <c r="D14" s="99">
        <v>0</v>
      </c>
      <c r="E14" s="99">
        <v>0</v>
      </c>
      <c r="F14" s="99">
        <v>0</v>
      </c>
      <c r="G14" s="99">
        <v>0</v>
      </c>
      <c r="H14" s="99">
        <v>0</v>
      </c>
      <c r="I14" s="99">
        <v>0</v>
      </c>
      <c r="J14" s="99">
        <v>0</v>
      </c>
      <c r="K14" s="99">
        <v>0</v>
      </c>
      <c r="L14" s="99">
        <v>0</v>
      </c>
      <c r="M14" s="99">
        <v>0</v>
      </c>
      <c r="N14" s="99">
        <v>0.8</v>
      </c>
      <c r="O14" s="99">
        <v>0.8</v>
      </c>
      <c r="P14" s="99">
        <v>0</v>
      </c>
      <c r="Q14" s="99">
        <v>0</v>
      </c>
      <c r="R14" s="99">
        <v>0</v>
      </c>
      <c r="S14" s="99">
        <v>0.8</v>
      </c>
      <c r="T14" s="99">
        <v>0</v>
      </c>
      <c r="U14" s="99">
        <v>0</v>
      </c>
      <c r="V14" s="99">
        <v>0</v>
      </c>
      <c r="W14" s="99">
        <v>0</v>
      </c>
      <c r="X14" s="99">
        <v>0</v>
      </c>
      <c r="Y14" s="99">
        <v>0</v>
      </c>
      <c r="Z14" s="99">
        <v>0</v>
      </c>
      <c r="AA14" s="99">
        <v>0</v>
      </c>
      <c r="AB14" s="99">
        <v>0</v>
      </c>
      <c r="AC14" s="99">
        <v>0</v>
      </c>
      <c r="AD14" s="99">
        <v>0</v>
      </c>
      <c r="AE14" s="99">
        <v>0</v>
      </c>
    </row>
    <row r="15" spans="1:31" customFormat="1" x14ac:dyDescent="0.15">
      <c r="A15" s="175" t="s">
        <v>205</v>
      </c>
      <c r="B15" s="99">
        <v>0</v>
      </c>
      <c r="C15" s="99">
        <v>0</v>
      </c>
      <c r="D15" s="99">
        <v>0</v>
      </c>
      <c r="E15" s="99">
        <v>0</v>
      </c>
      <c r="F15" s="99">
        <v>0</v>
      </c>
      <c r="G15" s="99">
        <v>0</v>
      </c>
      <c r="H15" s="99">
        <v>0</v>
      </c>
      <c r="I15" s="99">
        <v>0</v>
      </c>
      <c r="J15" s="99">
        <v>0</v>
      </c>
      <c r="K15" s="99">
        <v>0</v>
      </c>
      <c r="L15" s="99">
        <v>0</v>
      </c>
      <c r="M15" s="99">
        <v>0</v>
      </c>
      <c r="N15" s="99">
        <v>0.8</v>
      </c>
      <c r="O15" s="99">
        <v>0.8</v>
      </c>
      <c r="P15" s="99">
        <v>0.8</v>
      </c>
      <c r="Q15" s="99">
        <v>0</v>
      </c>
      <c r="R15" s="99">
        <v>0</v>
      </c>
      <c r="S15" s="99">
        <v>0.8</v>
      </c>
      <c r="T15" s="99">
        <v>0.8</v>
      </c>
      <c r="U15" s="99">
        <v>0.8</v>
      </c>
      <c r="V15" s="99">
        <v>0</v>
      </c>
      <c r="W15" s="99">
        <v>0</v>
      </c>
      <c r="X15" s="99">
        <v>0</v>
      </c>
      <c r="Y15" s="99">
        <v>0</v>
      </c>
      <c r="Z15" s="99">
        <v>0</v>
      </c>
      <c r="AA15" s="99">
        <v>0</v>
      </c>
      <c r="AB15" s="99">
        <v>0</v>
      </c>
      <c r="AC15" s="99">
        <v>0</v>
      </c>
      <c r="AD15" s="99">
        <v>0</v>
      </c>
      <c r="AE15" s="99">
        <v>0</v>
      </c>
    </row>
    <row r="16" spans="1:31" customFormat="1" x14ac:dyDescent="0.15">
      <c r="A16" s="175" t="s">
        <v>206</v>
      </c>
      <c r="B16" s="99">
        <v>0</v>
      </c>
      <c r="C16" s="99">
        <v>0</v>
      </c>
      <c r="D16" s="99">
        <v>0</v>
      </c>
      <c r="E16" s="99">
        <v>0</v>
      </c>
      <c r="F16" s="99">
        <v>0</v>
      </c>
      <c r="G16" s="99">
        <v>0</v>
      </c>
      <c r="H16" s="99">
        <v>0</v>
      </c>
      <c r="I16" s="99">
        <v>0</v>
      </c>
      <c r="J16" s="99">
        <v>0</v>
      </c>
      <c r="K16" s="99">
        <v>0</v>
      </c>
      <c r="L16" s="99">
        <v>0</v>
      </c>
      <c r="M16" s="99">
        <v>0</v>
      </c>
      <c r="N16" s="99">
        <v>0.8</v>
      </c>
      <c r="O16" s="99">
        <v>0.8</v>
      </c>
      <c r="P16" s="99">
        <v>0.8</v>
      </c>
      <c r="Q16" s="99">
        <v>0</v>
      </c>
      <c r="R16" s="99">
        <v>0</v>
      </c>
      <c r="S16" s="99">
        <v>0.8</v>
      </c>
      <c r="T16" s="99">
        <v>0.8</v>
      </c>
      <c r="U16" s="99">
        <v>0</v>
      </c>
      <c r="V16" s="99">
        <v>0</v>
      </c>
      <c r="W16" s="99">
        <v>0</v>
      </c>
      <c r="X16" s="99">
        <v>0</v>
      </c>
      <c r="Y16" s="99">
        <v>0</v>
      </c>
      <c r="Z16" s="99">
        <v>0</v>
      </c>
      <c r="AA16" s="99">
        <v>0</v>
      </c>
      <c r="AB16" s="99">
        <v>0</v>
      </c>
      <c r="AC16" s="99">
        <v>0</v>
      </c>
      <c r="AD16" s="99">
        <v>0</v>
      </c>
      <c r="AE16" s="99">
        <v>0</v>
      </c>
    </row>
    <row r="17" spans="1:31" customFormat="1" x14ac:dyDescent="0.15">
      <c r="A17" s="175" t="s">
        <v>207</v>
      </c>
      <c r="B17" s="99">
        <v>0</v>
      </c>
      <c r="C17" s="99">
        <v>0</v>
      </c>
      <c r="D17" s="99">
        <v>0</v>
      </c>
      <c r="E17" s="99">
        <v>0</v>
      </c>
      <c r="F17" s="99">
        <v>0</v>
      </c>
      <c r="G17" s="99">
        <v>0</v>
      </c>
      <c r="H17" s="99">
        <v>0</v>
      </c>
      <c r="I17" s="99">
        <v>0</v>
      </c>
      <c r="J17" s="99">
        <v>0</v>
      </c>
      <c r="K17" s="99">
        <v>0</v>
      </c>
      <c r="L17" s="99">
        <v>0</v>
      </c>
      <c r="M17" s="99">
        <v>0</v>
      </c>
      <c r="N17" s="99">
        <v>0.8</v>
      </c>
      <c r="O17" s="99">
        <v>0.8</v>
      </c>
      <c r="P17" s="99">
        <v>0.8</v>
      </c>
      <c r="Q17" s="99">
        <v>0</v>
      </c>
      <c r="R17" s="99">
        <v>0</v>
      </c>
      <c r="S17" s="99">
        <v>0</v>
      </c>
      <c r="T17" s="99">
        <v>0</v>
      </c>
      <c r="U17" s="99">
        <v>0.8</v>
      </c>
      <c r="V17" s="99">
        <v>0</v>
      </c>
      <c r="W17" s="99">
        <v>0</v>
      </c>
      <c r="X17" s="99">
        <v>0</v>
      </c>
      <c r="Y17" s="99">
        <v>0</v>
      </c>
      <c r="Z17" s="99">
        <v>0</v>
      </c>
      <c r="AA17" s="99">
        <v>0</v>
      </c>
      <c r="AB17" s="99">
        <v>0</v>
      </c>
      <c r="AC17" s="99">
        <v>0</v>
      </c>
      <c r="AD17" s="99">
        <v>0</v>
      </c>
      <c r="AE17" s="99">
        <v>0</v>
      </c>
    </row>
    <row r="18" spans="1:31" customFormat="1" x14ac:dyDescent="0.15">
      <c r="A18" s="175" t="s">
        <v>208</v>
      </c>
      <c r="B18" s="99">
        <v>0.8</v>
      </c>
      <c r="C18" s="99">
        <v>0</v>
      </c>
      <c r="D18" s="99">
        <v>0.8</v>
      </c>
      <c r="E18" s="99">
        <v>0.8</v>
      </c>
      <c r="F18" s="99">
        <v>0.8</v>
      </c>
      <c r="G18" s="99">
        <v>0</v>
      </c>
      <c r="H18" s="99">
        <v>0.8</v>
      </c>
      <c r="I18" s="99">
        <v>0.8</v>
      </c>
      <c r="J18" s="99">
        <v>0.8</v>
      </c>
      <c r="K18" s="99">
        <v>0.8</v>
      </c>
      <c r="L18" s="99">
        <v>0.8</v>
      </c>
      <c r="M18" s="99">
        <v>0</v>
      </c>
      <c r="N18" s="99">
        <v>0.8</v>
      </c>
      <c r="O18" s="99">
        <v>0.8</v>
      </c>
      <c r="P18" s="99">
        <v>0.8</v>
      </c>
      <c r="Q18" s="99">
        <v>0</v>
      </c>
      <c r="R18" s="99">
        <v>0</v>
      </c>
      <c r="S18" s="99">
        <v>0.8</v>
      </c>
      <c r="T18" s="99">
        <v>0</v>
      </c>
      <c r="U18" s="99">
        <v>0</v>
      </c>
      <c r="V18" s="99">
        <v>0</v>
      </c>
      <c r="W18" s="99">
        <v>0</v>
      </c>
      <c r="X18" s="99">
        <v>0</v>
      </c>
      <c r="Y18" s="99">
        <v>0</v>
      </c>
      <c r="Z18" s="99">
        <v>0</v>
      </c>
      <c r="AA18" s="99">
        <v>0</v>
      </c>
      <c r="AB18" s="99">
        <v>0</v>
      </c>
      <c r="AC18" s="99">
        <v>0</v>
      </c>
      <c r="AD18" s="99">
        <v>0</v>
      </c>
      <c r="AE18" s="99">
        <v>0</v>
      </c>
    </row>
    <row r="19" spans="1:31" customFormat="1" x14ac:dyDescent="0.15">
      <c r="A19" s="175" t="s">
        <v>209</v>
      </c>
      <c r="B19" s="99">
        <v>0</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0.8</v>
      </c>
      <c r="T19" s="99">
        <v>0</v>
      </c>
      <c r="U19" s="99">
        <v>0</v>
      </c>
      <c r="V19" s="99">
        <v>0</v>
      </c>
      <c r="W19" s="99">
        <v>0</v>
      </c>
      <c r="X19" s="99">
        <v>0</v>
      </c>
      <c r="Y19" s="99">
        <v>0</v>
      </c>
      <c r="Z19" s="99">
        <v>0</v>
      </c>
      <c r="AA19" s="99">
        <v>0</v>
      </c>
      <c r="AB19" s="99">
        <v>0</v>
      </c>
      <c r="AC19" s="99">
        <v>0</v>
      </c>
      <c r="AD19" s="99">
        <v>0</v>
      </c>
      <c r="AE19" s="99">
        <v>0</v>
      </c>
    </row>
    <row r="20" spans="1:31" customFormat="1" x14ac:dyDescent="0.15">
      <c r="A20" s="175" t="s">
        <v>210</v>
      </c>
      <c r="B20" s="99">
        <v>0</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0.8</v>
      </c>
      <c r="U20" s="99">
        <v>0</v>
      </c>
      <c r="V20" s="99">
        <v>0</v>
      </c>
      <c r="W20" s="99">
        <v>0</v>
      </c>
      <c r="X20" s="99">
        <v>0</v>
      </c>
      <c r="Y20" s="99">
        <v>0</v>
      </c>
      <c r="Z20" s="99">
        <v>0</v>
      </c>
      <c r="AA20" s="99">
        <v>0</v>
      </c>
      <c r="AB20" s="99">
        <v>0</v>
      </c>
      <c r="AC20" s="99">
        <v>0</v>
      </c>
      <c r="AD20" s="99">
        <v>0</v>
      </c>
      <c r="AE20" s="99">
        <v>0</v>
      </c>
    </row>
    <row r="21" spans="1:31" customFormat="1" x14ac:dyDescent="0.15">
      <c r="A21" s="175" t="s">
        <v>211</v>
      </c>
      <c r="B21" s="99">
        <v>0.8</v>
      </c>
      <c r="C21" s="99">
        <v>0</v>
      </c>
      <c r="D21" s="99">
        <v>0</v>
      </c>
      <c r="E21" s="99">
        <v>0.8</v>
      </c>
      <c r="F21" s="99">
        <v>0</v>
      </c>
      <c r="G21" s="99">
        <v>0</v>
      </c>
      <c r="H21" s="99">
        <v>0</v>
      </c>
      <c r="I21" s="99">
        <v>0</v>
      </c>
      <c r="J21" s="99">
        <v>0</v>
      </c>
      <c r="K21" s="99">
        <v>0</v>
      </c>
      <c r="L21" s="99">
        <v>0</v>
      </c>
      <c r="M21" s="99">
        <v>0</v>
      </c>
      <c r="N21" s="99">
        <v>0.8</v>
      </c>
      <c r="O21" s="99">
        <v>0.8</v>
      </c>
      <c r="P21" s="99">
        <v>0.8</v>
      </c>
      <c r="Q21" s="99">
        <v>0</v>
      </c>
      <c r="R21" s="99">
        <v>0</v>
      </c>
      <c r="S21" s="99">
        <v>0.8</v>
      </c>
      <c r="T21" s="99">
        <v>0.8</v>
      </c>
      <c r="U21" s="99">
        <v>0</v>
      </c>
      <c r="V21" s="99">
        <v>0</v>
      </c>
      <c r="W21" s="99">
        <v>0</v>
      </c>
      <c r="X21" s="99">
        <v>0</v>
      </c>
      <c r="Y21" s="99">
        <v>0</v>
      </c>
      <c r="Z21" s="99">
        <v>0</v>
      </c>
      <c r="AA21" s="99">
        <v>0</v>
      </c>
      <c r="AB21" s="99">
        <v>0</v>
      </c>
      <c r="AC21" s="99">
        <v>0</v>
      </c>
      <c r="AD21" s="99">
        <v>0</v>
      </c>
      <c r="AE21" s="99">
        <v>0</v>
      </c>
    </row>
    <row r="22" spans="1:31" customFormat="1" x14ac:dyDescent="0.15">
      <c r="A22" s="175" t="s">
        <v>212</v>
      </c>
      <c r="B22" s="99">
        <v>0.8</v>
      </c>
      <c r="C22" s="99">
        <v>0.8</v>
      </c>
      <c r="D22" s="99">
        <v>0.8</v>
      </c>
      <c r="E22" s="99">
        <v>0.8</v>
      </c>
      <c r="F22" s="99">
        <v>0.8</v>
      </c>
      <c r="G22" s="99">
        <v>0</v>
      </c>
      <c r="H22" s="99">
        <v>0</v>
      </c>
      <c r="I22" s="99">
        <v>0.8</v>
      </c>
      <c r="J22" s="99">
        <v>0</v>
      </c>
      <c r="K22" s="99">
        <v>0.8</v>
      </c>
      <c r="L22" s="99">
        <v>0</v>
      </c>
      <c r="M22" s="99">
        <v>0.8</v>
      </c>
      <c r="N22" s="99">
        <v>0.8</v>
      </c>
      <c r="O22" s="99">
        <v>0.8</v>
      </c>
      <c r="P22" s="99">
        <v>0.8</v>
      </c>
      <c r="Q22" s="99">
        <v>0.8</v>
      </c>
      <c r="R22" s="99">
        <v>0</v>
      </c>
      <c r="S22" s="99">
        <v>0.8</v>
      </c>
      <c r="T22" s="99">
        <v>0.8</v>
      </c>
      <c r="U22" s="99">
        <v>0.8</v>
      </c>
      <c r="V22" s="99">
        <v>0.8</v>
      </c>
      <c r="W22" s="99">
        <v>0.8</v>
      </c>
      <c r="X22" s="99">
        <v>0.8</v>
      </c>
      <c r="Y22" s="99">
        <v>0.8</v>
      </c>
      <c r="Z22" s="99">
        <v>0</v>
      </c>
      <c r="AA22" s="99">
        <v>0</v>
      </c>
      <c r="AB22" s="99">
        <v>0</v>
      </c>
      <c r="AC22" s="99">
        <v>0</v>
      </c>
      <c r="AD22" s="99">
        <v>0</v>
      </c>
      <c r="AE22" s="99">
        <v>0</v>
      </c>
    </row>
    <row r="23" spans="1:31" customFormat="1" x14ac:dyDescent="0.15">
      <c r="A23" s="175" t="s">
        <v>213</v>
      </c>
      <c r="B23" s="99">
        <v>0</v>
      </c>
      <c r="C23" s="99">
        <v>0</v>
      </c>
      <c r="D23" s="99">
        <v>0</v>
      </c>
      <c r="E23" s="99">
        <v>0</v>
      </c>
      <c r="F23" s="99">
        <v>0</v>
      </c>
      <c r="G23" s="99">
        <v>0</v>
      </c>
      <c r="H23" s="99">
        <v>0</v>
      </c>
      <c r="I23" s="99">
        <v>0</v>
      </c>
      <c r="J23" s="99">
        <v>0</v>
      </c>
      <c r="K23" s="99">
        <v>0</v>
      </c>
      <c r="L23" s="99">
        <v>0.8</v>
      </c>
      <c r="M23" s="99">
        <v>0.8</v>
      </c>
      <c r="N23" s="99">
        <v>0</v>
      </c>
      <c r="O23" s="99">
        <v>0</v>
      </c>
      <c r="P23" s="99">
        <v>0</v>
      </c>
      <c r="Q23" s="99">
        <v>0</v>
      </c>
      <c r="R23" s="99">
        <v>0.8</v>
      </c>
      <c r="S23" s="99">
        <v>0</v>
      </c>
      <c r="T23" s="99">
        <v>0.8</v>
      </c>
      <c r="U23" s="99">
        <v>0</v>
      </c>
      <c r="V23" s="99">
        <v>0.8</v>
      </c>
      <c r="W23" s="99">
        <v>0.8</v>
      </c>
      <c r="X23" s="99">
        <v>0.8</v>
      </c>
      <c r="Y23" s="99">
        <v>0.8</v>
      </c>
      <c r="Z23" s="99">
        <v>0.8</v>
      </c>
      <c r="AA23" s="99">
        <v>0</v>
      </c>
      <c r="AB23" s="99">
        <v>0</v>
      </c>
      <c r="AC23" s="99">
        <v>0</v>
      </c>
      <c r="AD23" s="99">
        <v>0</v>
      </c>
      <c r="AE23" s="99">
        <v>0</v>
      </c>
    </row>
    <row r="24" spans="1:31" customFormat="1" x14ac:dyDescent="0.15">
      <c r="A24" s="175" t="s">
        <v>214</v>
      </c>
      <c r="B24" s="99">
        <v>0.8</v>
      </c>
      <c r="C24" s="99">
        <v>0.8</v>
      </c>
      <c r="D24" s="99">
        <v>0.8</v>
      </c>
      <c r="E24" s="99">
        <v>0</v>
      </c>
      <c r="F24" s="99">
        <v>0.8</v>
      </c>
      <c r="G24" s="99">
        <v>0</v>
      </c>
      <c r="H24" s="99">
        <v>0</v>
      </c>
      <c r="I24" s="99">
        <v>0</v>
      </c>
      <c r="J24" s="99">
        <v>0</v>
      </c>
      <c r="K24" s="99">
        <v>0</v>
      </c>
      <c r="L24" s="99">
        <v>0.8</v>
      </c>
      <c r="M24" s="99">
        <v>0.8</v>
      </c>
      <c r="N24" s="99">
        <v>0.8</v>
      </c>
      <c r="O24" s="99">
        <v>0.8</v>
      </c>
      <c r="P24" s="99">
        <v>0.8</v>
      </c>
      <c r="Q24" s="99">
        <v>0</v>
      </c>
      <c r="R24" s="99">
        <v>0</v>
      </c>
      <c r="S24" s="99">
        <v>0.8</v>
      </c>
      <c r="T24" s="99">
        <v>0</v>
      </c>
      <c r="U24" s="99">
        <v>0.8</v>
      </c>
      <c r="V24" s="99">
        <v>0</v>
      </c>
      <c r="W24" s="99">
        <v>0</v>
      </c>
      <c r="X24" s="99">
        <v>0.8</v>
      </c>
      <c r="Y24" s="99">
        <v>0</v>
      </c>
      <c r="Z24" s="99">
        <v>0</v>
      </c>
      <c r="AA24" s="99">
        <v>0</v>
      </c>
      <c r="AB24" s="99">
        <v>0</v>
      </c>
      <c r="AC24" s="99">
        <v>0</v>
      </c>
      <c r="AD24" s="99">
        <v>0</v>
      </c>
      <c r="AE24" s="99">
        <v>0</v>
      </c>
    </row>
    <row r="25" spans="1:31" customFormat="1" x14ac:dyDescent="0.15">
      <c r="A25" s="175" t="s">
        <v>215</v>
      </c>
      <c r="B25" s="99">
        <v>0</v>
      </c>
      <c r="C25" s="99">
        <v>0</v>
      </c>
      <c r="D25" s="99">
        <v>0</v>
      </c>
      <c r="E25" s="99">
        <v>0</v>
      </c>
      <c r="F25" s="99">
        <v>0</v>
      </c>
      <c r="G25" s="99">
        <v>0</v>
      </c>
      <c r="H25" s="99">
        <v>0.8</v>
      </c>
      <c r="I25" s="99">
        <v>0.8</v>
      </c>
      <c r="J25" s="99">
        <v>0.8</v>
      </c>
      <c r="K25" s="99">
        <v>0.8</v>
      </c>
      <c r="L25" s="99">
        <v>0</v>
      </c>
      <c r="M25" s="99">
        <v>0</v>
      </c>
      <c r="N25" s="99">
        <v>0.8</v>
      </c>
      <c r="O25" s="99">
        <v>0.8</v>
      </c>
      <c r="P25" s="99">
        <v>0.8</v>
      </c>
      <c r="Q25" s="99">
        <v>0</v>
      </c>
      <c r="R25" s="99">
        <v>0</v>
      </c>
      <c r="S25" s="99">
        <v>0.8</v>
      </c>
      <c r="T25" s="99">
        <v>0.8</v>
      </c>
      <c r="U25" s="99">
        <v>0.8</v>
      </c>
      <c r="V25" s="99">
        <v>0</v>
      </c>
      <c r="W25" s="99">
        <v>0.8</v>
      </c>
      <c r="X25" s="99">
        <v>0.8</v>
      </c>
      <c r="Y25" s="99">
        <v>0.8</v>
      </c>
      <c r="Z25" s="99">
        <v>0.8</v>
      </c>
      <c r="AA25" s="99">
        <v>0</v>
      </c>
      <c r="AB25" s="99">
        <v>0</v>
      </c>
      <c r="AC25" s="99">
        <v>0</v>
      </c>
      <c r="AD25" s="99">
        <v>0</v>
      </c>
      <c r="AE25" s="99">
        <v>0</v>
      </c>
    </row>
    <row r="26" spans="1:31" customFormat="1" x14ac:dyDescent="0.15">
      <c r="A26" s="175" t="s">
        <v>216</v>
      </c>
      <c r="B26" s="99">
        <v>0</v>
      </c>
      <c r="C26" s="99">
        <v>0</v>
      </c>
      <c r="D26" s="99">
        <v>0</v>
      </c>
      <c r="E26" s="99">
        <v>0</v>
      </c>
      <c r="F26" s="99">
        <v>0</v>
      </c>
      <c r="G26" s="99">
        <v>0</v>
      </c>
      <c r="H26" s="99">
        <v>0.8</v>
      </c>
      <c r="I26" s="99">
        <v>0</v>
      </c>
      <c r="J26" s="99">
        <v>0.8</v>
      </c>
      <c r="K26" s="99">
        <v>0</v>
      </c>
      <c r="L26" s="99">
        <v>0.8</v>
      </c>
      <c r="M26" s="99">
        <v>0</v>
      </c>
      <c r="N26" s="99">
        <v>0</v>
      </c>
      <c r="O26" s="99">
        <v>0</v>
      </c>
      <c r="P26" s="99">
        <v>0</v>
      </c>
      <c r="Q26" s="99">
        <v>0</v>
      </c>
      <c r="R26" s="99">
        <v>0</v>
      </c>
      <c r="S26" s="99">
        <v>0</v>
      </c>
      <c r="T26" s="99">
        <v>0.8</v>
      </c>
      <c r="U26" s="99">
        <v>0</v>
      </c>
      <c r="V26" s="99">
        <v>0.8</v>
      </c>
      <c r="W26" s="99">
        <v>0.8</v>
      </c>
      <c r="X26" s="99">
        <v>0.8</v>
      </c>
      <c r="Y26" s="99">
        <v>0.8</v>
      </c>
      <c r="Z26" s="99">
        <v>0.8</v>
      </c>
      <c r="AA26" s="99">
        <v>0.8</v>
      </c>
      <c r="AB26" s="99">
        <v>0</v>
      </c>
      <c r="AC26" s="99">
        <v>0</v>
      </c>
      <c r="AD26" s="99">
        <v>0</v>
      </c>
      <c r="AE26" s="99">
        <v>0</v>
      </c>
    </row>
    <row r="27" spans="1:31" customFormat="1" x14ac:dyDescent="0.15">
      <c r="A27" s="175" t="s">
        <v>217</v>
      </c>
      <c r="B27" s="99">
        <v>0.8</v>
      </c>
      <c r="C27" s="99">
        <v>0.8</v>
      </c>
      <c r="D27" s="99">
        <v>0.8</v>
      </c>
      <c r="E27" s="99">
        <v>0.8</v>
      </c>
      <c r="F27" s="99">
        <v>0.8</v>
      </c>
      <c r="G27" s="99">
        <v>0.8</v>
      </c>
      <c r="H27" s="99">
        <v>0</v>
      </c>
      <c r="I27" s="99">
        <v>0.8</v>
      </c>
      <c r="J27" s="99">
        <v>0.8</v>
      </c>
      <c r="K27" s="99">
        <v>0</v>
      </c>
      <c r="L27" s="99">
        <v>0.8</v>
      </c>
      <c r="M27" s="99">
        <v>0</v>
      </c>
      <c r="N27" s="99">
        <v>0.8</v>
      </c>
      <c r="O27" s="99">
        <v>0.8</v>
      </c>
      <c r="P27" s="99">
        <v>0.8</v>
      </c>
      <c r="Q27" s="99">
        <v>0.8</v>
      </c>
      <c r="R27" s="99">
        <v>0</v>
      </c>
      <c r="S27" s="99">
        <v>0.8</v>
      </c>
      <c r="T27" s="99">
        <v>0</v>
      </c>
      <c r="U27" s="99">
        <v>0.8</v>
      </c>
      <c r="V27" s="99">
        <v>0.8</v>
      </c>
      <c r="W27" s="99">
        <v>0.8</v>
      </c>
      <c r="X27" s="99">
        <v>0.8</v>
      </c>
      <c r="Y27" s="99">
        <v>0.8</v>
      </c>
      <c r="Z27" s="99">
        <v>0.8</v>
      </c>
      <c r="AA27" s="99">
        <v>0.8</v>
      </c>
      <c r="AB27" s="99">
        <v>0</v>
      </c>
      <c r="AC27" s="99">
        <v>0</v>
      </c>
      <c r="AD27" s="99">
        <v>0</v>
      </c>
      <c r="AE27" s="99">
        <v>0</v>
      </c>
    </row>
    <row r="28" spans="1:31" customFormat="1" x14ac:dyDescent="0.15">
      <c r="A28" s="175" t="s">
        <v>218</v>
      </c>
      <c r="B28" s="99">
        <v>0</v>
      </c>
      <c r="C28" s="99">
        <v>0</v>
      </c>
      <c r="D28" s="99">
        <v>0</v>
      </c>
      <c r="E28" s="99">
        <v>0</v>
      </c>
      <c r="F28" s="99">
        <v>0</v>
      </c>
      <c r="G28" s="99">
        <v>0</v>
      </c>
      <c r="H28" s="99">
        <v>0</v>
      </c>
      <c r="I28" s="99">
        <v>0</v>
      </c>
      <c r="J28" s="99">
        <v>0</v>
      </c>
      <c r="K28" s="99">
        <v>0</v>
      </c>
      <c r="L28" s="99">
        <v>0</v>
      </c>
      <c r="M28" s="99">
        <v>0.8</v>
      </c>
      <c r="N28" s="99">
        <v>0</v>
      </c>
      <c r="O28" s="99">
        <v>0</v>
      </c>
      <c r="P28" s="99">
        <v>0</v>
      </c>
      <c r="Q28" s="99">
        <v>0</v>
      </c>
      <c r="R28" s="99">
        <v>0.8</v>
      </c>
      <c r="S28" s="99">
        <v>0</v>
      </c>
      <c r="T28" s="99">
        <v>0.8</v>
      </c>
      <c r="U28" s="99">
        <v>0</v>
      </c>
      <c r="V28" s="99">
        <v>0</v>
      </c>
      <c r="W28" s="99">
        <v>0.8</v>
      </c>
      <c r="X28" s="99">
        <v>0</v>
      </c>
      <c r="Y28" s="99">
        <v>0.8</v>
      </c>
      <c r="Z28" s="99">
        <v>0.8</v>
      </c>
      <c r="AA28" s="99">
        <v>0.8</v>
      </c>
      <c r="AB28" s="99">
        <v>0</v>
      </c>
      <c r="AC28" s="99">
        <v>0</v>
      </c>
      <c r="AD28" s="99">
        <v>0</v>
      </c>
      <c r="AE28" s="99">
        <v>0</v>
      </c>
    </row>
    <row r="29" spans="1:31" customFormat="1" x14ac:dyDescent="0.15">
      <c r="A29" s="175" t="s">
        <v>219</v>
      </c>
      <c r="B29" s="99">
        <v>0</v>
      </c>
      <c r="C29" s="99">
        <v>0</v>
      </c>
      <c r="D29" s="99">
        <v>0</v>
      </c>
      <c r="E29" s="99">
        <v>0</v>
      </c>
      <c r="F29" s="99">
        <v>0</v>
      </c>
      <c r="G29" s="99">
        <v>0</v>
      </c>
      <c r="H29" s="99">
        <v>0</v>
      </c>
      <c r="I29" s="99">
        <v>0</v>
      </c>
      <c r="J29" s="99">
        <v>0</v>
      </c>
      <c r="K29" s="99">
        <v>0</v>
      </c>
      <c r="L29" s="99">
        <v>0</v>
      </c>
      <c r="M29" s="99">
        <v>0</v>
      </c>
      <c r="N29" s="99">
        <v>0</v>
      </c>
      <c r="O29" s="99">
        <v>0</v>
      </c>
      <c r="P29" s="99">
        <v>0</v>
      </c>
      <c r="Q29" s="99">
        <v>0</v>
      </c>
      <c r="R29" s="99">
        <v>0</v>
      </c>
      <c r="S29" s="99">
        <v>0</v>
      </c>
      <c r="T29" s="99">
        <v>0</v>
      </c>
      <c r="U29" s="99">
        <v>0</v>
      </c>
      <c r="V29" s="99">
        <v>0</v>
      </c>
      <c r="W29" s="99">
        <v>0.8</v>
      </c>
      <c r="X29" s="99">
        <v>0.8</v>
      </c>
      <c r="Y29" s="99">
        <v>0</v>
      </c>
      <c r="Z29" s="99">
        <v>0.8</v>
      </c>
      <c r="AA29" s="99">
        <v>0.8</v>
      </c>
      <c r="AB29" s="99">
        <v>0</v>
      </c>
      <c r="AC29" s="99">
        <v>0</v>
      </c>
      <c r="AD29" s="99">
        <v>0</v>
      </c>
      <c r="AE29" s="99">
        <v>0</v>
      </c>
    </row>
    <row r="30" spans="1:31" customFormat="1" x14ac:dyDescent="0.15">
      <c r="A30" s="175" t="s">
        <v>220</v>
      </c>
      <c r="B30" s="99">
        <v>0</v>
      </c>
      <c r="C30" s="99">
        <v>0</v>
      </c>
      <c r="D30" s="99">
        <v>0</v>
      </c>
      <c r="E30" s="99">
        <v>0</v>
      </c>
      <c r="F30" s="99">
        <v>0</v>
      </c>
      <c r="G30" s="99">
        <v>0</v>
      </c>
      <c r="H30" s="99">
        <v>0</v>
      </c>
      <c r="I30" s="99">
        <v>0</v>
      </c>
      <c r="J30" s="99">
        <v>0</v>
      </c>
      <c r="K30" s="99">
        <v>0</v>
      </c>
      <c r="L30" s="99">
        <v>0</v>
      </c>
      <c r="M30" s="99">
        <v>0</v>
      </c>
      <c r="N30" s="99">
        <v>0</v>
      </c>
      <c r="O30" s="99">
        <v>0</v>
      </c>
      <c r="P30" s="99">
        <v>0</v>
      </c>
      <c r="Q30" s="99">
        <v>0</v>
      </c>
      <c r="R30" s="99">
        <v>0</v>
      </c>
      <c r="S30" s="99">
        <v>0.8</v>
      </c>
      <c r="T30" s="99">
        <v>0.8</v>
      </c>
      <c r="U30" s="99">
        <v>0</v>
      </c>
      <c r="V30" s="99">
        <v>0</v>
      </c>
      <c r="W30" s="99">
        <v>0</v>
      </c>
      <c r="X30" s="99">
        <v>0</v>
      </c>
      <c r="Y30" s="99">
        <v>0</v>
      </c>
      <c r="Z30" s="99">
        <v>0.8</v>
      </c>
      <c r="AA30" s="99">
        <v>0.8</v>
      </c>
      <c r="AB30" s="99">
        <v>0</v>
      </c>
      <c r="AC30" s="99">
        <v>0</v>
      </c>
      <c r="AD30" s="99">
        <v>0</v>
      </c>
      <c r="AE30" s="99">
        <v>0</v>
      </c>
    </row>
    <row r="31" spans="1:31" customFormat="1" x14ac:dyDescent="0.15">
      <c r="A31" s="175" t="s">
        <v>221</v>
      </c>
      <c r="B31" s="99">
        <v>0</v>
      </c>
      <c r="C31" s="99">
        <v>0</v>
      </c>
      <c r="D31" s="99">
        <v>0</v>
      </c>
      <c r="E31" s="99">
        <v>0</v>
      </c>
      <c r="F31" s="99">
        <v>0</v>
      </c>
      <c r="G31" s="99">
        <v>0</v>
      </c>
      <c r="H31" s="99">
        <v>0</v>
      </c>
      <c r="I31" s="99">
        <v>0</v>
      </c>
      <c r="J31" s="99">
        <v>0</v>
      </c>
      <c r="K31" s="99">
        <v>0</v>
      </c>
      <c r="L31" s="99">
        <v>0</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row>
    <row r="32" spans="1:31" customFormat="1" x14ac:dyDescent="0.15">
      <c r="A32" s="175" t="s">
        <v>224</v>
      </c>
      <c r="B32" s="99">
        <v>0.8</v>
      </c>
      <c r="C32" s="99">
        <v>0.8</v>
      </c>
      <c r="D32" s="99">
        <v>0.8</v>
      </c>
      <c r="E32" s="99">
        <v>0</v>
      </c>
      <c r="F32" s="99">
        <v>0.8</v>
      </c>
      <c r="G32" s="99">
        <v>0.8</v>
      </c>
      <c r="H32" s="99">
        <v>0</v>
      </c>
      <c r="I32" s="99">
        <v>0</v>
      </c>
      <c r="J32" s="99">
        <v>0</v>
      </c>
      <c r="K32" s="99">
        <v>0</v>
      </c>
      <c r="L32" s="99">
        <v>0</v>
      </c>
      <c r="M32" s="99">
        <v>0</v>
      </c>
      <c r="N32" s="99">
        <v>0</v>
      </c>
      <c r="O32" s="99">
        <v>0</v>
      </c>
      <c r="P32" s="99">
        <v>0</v>
      </c>
      <c r="Q32" s="99">
        <v>0</v>
      </c>
      <c r="R32" s="99">
        <v>0</v>
      </c>
      <c r="S32" s="99">
        <v>0</v>
      </c>
      <c r="T32" s="99">
        <v>0</v>
      </c>
      <c r="U32" s="99">
        <v>0</v>
      </c>
      <c r="V32" s="99">
        <v>0</v>
      </c>
      <c r="W32" s="99">
        <v>0</v>
      </c>
      <c r="X32" s="99">
        <v>0</v>
      </c>
      <c r="Y32" s="99">
        <v>0</v>
      </c>
      <c r="Z32" s="99">
        <v>0</v>
      </c>
      <c r="AA32" s="99">
        <v>0</v>
      </c>
      <c r="AB32" s="99">
        <v>0.8</v>
      </c>
      <c r="AC32" s="99">
        <v>0</v>
      </c>
      <c r="AD32" s="99">
        <v>0</v>
      </c>
      <c r="AE32" s="99">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E32"/>
  <sheetViews>
    <sheetView workbookViewId="0">
      <selection activeCell="A3" sqref="A3"/>
    </sheetView>
  </sheetViews>
  <sheetFormatPr baseColWidth="10" defaultRowHeight="13" x14ac:dyDescent="0.15"/>
  <cols>
    <col min="1" max="1" width="35.5" style="99" bestFit="1" customWidth="1"/>
    <col min="2" max="31" width="2.33203125" style="99" customWidth="1"/>
    <col min="32" max="16384" width="10.83203125" style="99"/>
  </cols>
  <sheetData>
    <row r="1" spans="1:31" x14ac:dyDescent="0.15">
      <c r="A1" s="59" t="s">
        <v>139</v>
      </c>
      <c r="B1" s="178" t="s">
        <v>192</v>
      </c>
      <c r="C1" s="178" t="s">
        <v>193</v>
      </c>
      <c r="D1" s="178" t="s">
        <v>194</v>
      </c>
      <c r="E1" s="178" t="s">
        <v>195</v>
      </c>
      <c r="F1" s="178" t="s">
        <v>196</v>
      </c>
      <c r="G1" s="178" t="s">
        <v>197</v>
      </c>
      <c r="H1" s="178" t="s">
        <v>198</v>
      </c>
      <c r="I1" s="178" t="s">
        <v>199</v>
      </c>
      <c r="J1" s="178" t="s">
        <v>200</v>
      </c>
      <c r="K1" s="178" t="s">
        <v>201</v>
      </c>
      <c r="L1" s="178" t="s">
        <v>202</v>
      </c>
      <c r="M1" s="178" t="s">
        <v>203</v>
      </c>
      <c r="N1" s="178" t="s">
        <v>204</v>
      </c>
      <c r="O1" s="178" t="s">
        <v>205</v>
      </c>
      <c r="P1" s="178" t="s">
        <v>206</v>
      </c>
      <c r="Q1" s="178" t="s">
        <v>207</v>
      </c>
      <c r="R1" s="178" t="s">
        <v>208</v>
      </c>
      <c r="S1" s="178" t="s">
        <v>209</v>
      </c>
      <c r="T1" s="178" t="s">
        <v>210</v>
      </c>
      <c r="U1" s="178" t="s">
        <v>211</v>
      </c>
      <c r="V1" s="178" t="s">
        <v>212</v>
      </c>
      <c r="W1" s="178" t="s">
        <v>213</v>
      </c>
      <c r="X1" s="178" t="s">
        <v>214</v>
      </c>
      <c r="Y1" s="178" t="s">
        <v>215</v>
      </c>
      <c r="Z1" s="178" t="s">
        <v>216</v>
      </c>
      <c r="AA1" s="178" t="s">
        <v>217</v>
      </c>
      <c r="AB1" s="178" t="s">
        <v>218</v>
      </c>
      <c r="AC1" s="178" t="s">
        <v>219</v>
      </c>
      <c r="AD1" s="178" t="s">
        <v>220</v>
      </c>
      <c r="AE1" s="178" t="s">
        <v>221</v>
      </c>
    </row>
    <row r="2" spans="1:31" customFormat="1" x14ac:dyDescent="0.15">
      <c r="A2" s="177" t="s">
        <v>192</v>
      </c>
      <c r="B2" s="99">
        <v>0</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99">
        <v>0</v>
      </c>
      <c r="X2" s="99">
        <v>0</v>
      </c>
      <c r="Y2" s="99">
        <v>0</v>
      </c>
      <c r="Z2" s="99">
        <v>0</v>
      </c>
      <c r="AA2" s="99">
        <v>0</v>
      </c>
      <c r="AB2" s="99">
        <v>0</v>
      </c>
      <c r="AC2" s="99">
        <v>0</v>
      </c>
      <c r="AD2" s="99">
        <v>0</v>
      </c>
      <c r="AE2" s="99">
        <v>0</v>
      </c>
    </row>
    <row r="3" spans="1:31" customFormat="1" x14ac:dyDescent="0.15">
      <c r="A3" s="177" t="s">
        <v>193</v>
      </c>
      <c r="B3" s="99">
        <v>0</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99">
        <v>0</v>
      </c>
      <c r="X3" s="99">
        <v>0</v>
      </c>
      <c r="Y3" s="99">
        <v>0</v>
      </c>
      <c r="Z3" s="99">
        <v>0</v>
      </c>
      <c r="AA3" s="99">
        <v>0</v>
      </c>
      <c r="AB3" s="99">
        <v>0</v>
      </c>
      <c r="AC3" s="99">
        <v>0</v>
      </c>
      <c r="AD3" s="99">
        <v>0</v>
      </c>
      <c r="AE3" s="99">
        <v>0</v>
      </c>
    </row>
    <row r="4" spans="1:31" customFormat="1" x14ac:dyDescent="0.15">
      <c r="A4" s="177" t="s">
        <v>194</v>
      </c>
      <c r="B4" s="99">
        <v>0</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99">
        <v>0</v>
      </c>
      <c r="X4" s="99">
        <v>0</v>
      </c>
      <c r="Y4" s="99">
        <v>0</v>
      </c>
      <c r="Z4" s="99">
        <v>0</v>
      </c>
      <c r="AA4" s="99">
        <v>0</v>
      </c>
      <c r="AB4" s="99">
        <v>0</v>
      </c>
      <c r="AC4" s="99">
        <v>0</v>
      </c>
      <c r="AD4" s="99">
        <v>0</v>
      </c>
      <c r="AE4" s="99">
        <v>0</v>
      </c>
    </row>
    <row r="5" spans="1:31" customFormat="1" x14ac:dyDescent="0.15">
      <c r="A5" s="177" t="s">
        <v>195</v>
      </c>
      <c r="B5" s="99">
        <v>0</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99">
        <v>0</v>
      </c>
      <c r="X5" s="99">
        <v>0</v>
      </c>
      <c r="Y5" s="99">
        <v>0</v>
      </c>
      <c r="Z5" s="99">
        <v>0</v>
      </c>
      <c r="AA5" s="99">
        <v>0</v>
      </c>
      <c r="AB5" s="99">
        <v>0</v>
      </c>
      <c r="AC5" s="99">
        <v>0</v>
      </c>
      <c r="AD5" s="99">
        <v>0</v>
      </c>
      <c r="AE5" s="99">
        <v>0</v>
      </c>
    </row>
    <row r="6" spans="1:31" customFormat="1" x14ac:dyDescent="0.15">
      <c r="A6" s="177" t="s">
        <v>196</v>
      </c>
      <c r="B6" s="99">
        <v>0</v>
      </c>
      <c r="C6" s="99">
        <v>0</v>
      </c>
      <c r="D6" s="99">
        <v>0</v>
      </c>
      <c r="E6" s="99">
        <v>0</v>
      </c>
      <c r="F6" s="99">
        <v>0</v>
      </c>
      <c r="G6" s="99">
        <v>0</v>
      </c>
      <c r="H6" s="99">
        <v>0</v>
      </c>
      <c r="I6" s="99">
        <v>0</v>
      </c>
      <c r="J6" s="99">
        <v>0</v>
      </c>
      <c r="K6" s="99">
        <v>0</v>
      </c>
      <c r="L6" s="99">
        <v>0</v>
      </c>
      <c r="M6" s="99">
        <v>0</v>
      </c>
      <c r="N6" s="99">
        <v>0</v>
      </c>
      <c r="O6" s="99">
        <v>0</v>
      </c>
      <c r="P6" s="99">
        <v>0</v>
      </c>
      <c r="Q6" s="99">
        <v>0</v>
      </c>
      <c r="R6" s="99">
        <v>0</v>
      </c>
      <c r="S6" s="99">
        <v>0</v>
      </c>
      <c r="T6" s="99">
        <v>0</v>
      </c>
      <c r="U6" s="99">
        <v>0</v>
      </c>
      <c r="V6" s="99">
        <v>0</v>
      </c>
      <c r="W6" s="99">
        <v>0</v>
      </c>
      <c r="X6" s="99">
        <v>0</v>
      </c>
      <c r="Y6" s="99">
        <v>0</v>
      </c>
      <c r="Z6" s="99">
        <v>0</v>
      </c>
      <c r="AA6" s="99">
        <v>0</v>
      </c>
      <c r="AB6" s="99">
        <v>0</v>
      </c>
      <c r="AC6" s="99">
        <v>0</v>
      </c>
      <c r="AD6" s="99">
        <v>0</v>
      </c>
      <c r="AE6" s="99">
        <v>0</v>
      </c>
    </row>
    <row r="7" spans="1:31" customFormat="1" x14ac:dyDescent="0.15">
      <c r="A7" s="177" t="s">
        <v>197</v>
      </c>
      <c r="B7" s="99">
        <v>0</v>
      </c>
      <c r="C7" s="99">
        <v>0</v>
      </c>
      <c r="D7" s="99">
        <v>0</v>
      </c>
      <c r="E7" s="99">
        <v>0</v>
      </c>
      <c r="F7" s="99">
        <v>0</v>
      </c>
      <c r="G7" s="99">
        <v>0</v>
      </c>
      <c r="H7" s="99">
        <v>0</v>
      </c>
      <c r="I7" s="99">
        <v>0</v>
      </c>
      <c r="J7" s="99">
        <v>0</v>
      </c>
      <c r="K7" s="99">
        <v>0</v>
      </c>
      <c r="L7" s="99">
        <v>0</v>
      </c>
      <c r="M7" s="99">
        <v>0</v>
      </c>
      <c r="N7" s="99">
        <v>0</v>
      </c>
      <c r="O7" s="99">
        <v>0</v>
      </c>
      <c r="P7" s="99">
        <v>0</v>
      </c>
      <c r="Q7" s="99">
        <v>0</v>
      </c>
      <c r="R7" s="99">
        <v>0</v>
      </c>
      <c r="S7" s="99">
        <v>0</v>
      </c>
      <c r="T7" s="99">
        <v>0</v>
      </c>
      <c r="U7" s="99">
        <v>0</v>
      </c>
      <c r="V7" s="99">
        <v>0</v>
      </c>
      <c r="W7" s="99">
        <v>0</v>
      </c>
      <c r="X7" s="99">
        <v>0</v>
      </c>
      <c r="Y7" s="99">
        <v>0</v>
      </c>
      <c r="Z7" s="99">
        <v>0</v>
      </c>
      <c r="AA7" s="99">
        <v>0</v>
      </c>
      <c r="AB7" s="99">
        <v>0</v>
      </c>
      <c r="AC7" s="99">
        <v>0</v>
      </c>
      <c r="AD7" s="99">
        <v>0</v>
      </c>
      <c r="AE7" s="99">
        <v>0</v>
      </c>
    </row>
    <row r="8" spans="1:31" customFormat="1" x14ac:dyDescent="0.15">
      <c r="A8" s="177" t="s">
        <v>198</v>
      </c>
      <c r="B8" s="99">
        <v>0</v>
      </c>
      <c r="C8" s="99">
        <v>0</v>
      </c>
      <c r="D8" s="99">
        <v>0</v>
      </c>
      <c r="E8" s="99">
        <v>0</v>
      </c>
      <c r="F8" s="99">
        <v>0</v>
      </c>
      <c r="G8" s="99">
        <v>0</v>
      </c>
      <c r="H8" s="99">
        <v>0</v>
      </c>
      <c r="I8" s="99">
        <v>0</v>
      </c>
      <c r="J8" s="99">
        <v>0</v>
      </c>
      <c r="K8" s="99">
        <v>0</v>
      </c>
      <c r="L8" s="99">
        <v>0</v>
      </c>
      <c r="M8" s="99">
        <v>0</v>
      </c>
      <c r="N8" s="99">
        <v>0</v>
      </c>
      <c r="O8" s="99">
        <v>0</v>
      </c>
      <c r="P8" s="99">
        <v>0</v>
      </c>
      <c r="Q8" s="99">
        <v>0</v>
      </c>
      <c r="R8" s="99">
        <v>0</v>
      </c>
      <c r="S8" s="99">
        <v>0</v>
      </c>
      <c r="T8" s="99">
        <v>0</v>
      </c>
      <c r="U8" s="99">
        <v>0</v>
      </c>
      <c r="V8" s="99">
        <v>0</v>
      </c>
      <c r="W8" s="99">
        <v>0</v>
      </c>
      <c r="X8" s="99">
        <v>0</v>
      </c>
      <c r="Y8" s="99">
        <v>0</v>
      </c>
      <c r="Z8" s="99">
        <v>0</v>
      </c>
      <c r="AA8" s="99">
        <v>0</v>
      </c>
      <c r="AB8" s="99">
        <v>0</v>
      </c>
      <c r="AC8" s="99">
        <v>0</v>
      </c>
      <c r="AD8" s="99">
        <v>0</v>
      </c>
      <c r="AE8" s="99">
        <v>0</v>
      </c>
    </row>
    <row r="9" spans="1:31" customFormat="1" x14ac:dyDescent="0.15">
      <c r="A9" s="177" t="s">
        <v>199</v>
      </c>
      <c r="B9" s="99">
        <v>0</v>
      </c>
      <c r="C9" s="99">
        <v>0</v>
      </c>
      <c r="D9" s="99">
        <v>0</v>
      </c>
      <c r="E9" s="99">
        <v>0</v>
      </c>
      <c r="F9" s="99">
        <v>0</v>
      </c>
      <c r="G9" s="99">
        <v>0</v>
      </c>
      <c r="H9" s="99">
        <v>0</v>
      </c>
      <c r="I9" s="99">
        <v>0</v>
      </c>
      <c r="J9" s="99">
        <v>0</v>
      </c>
      <c r="K9" s="99">
        <v>0</v>
      </c>
      <c r="L9" s="99">
        <v>0</v>
      </c>
      <c r="M9" s="99">
        <v>0</v>
      </c>
      <c r="N9" s="99">
        <v>0</v>
      </c>
      <c r="O9" s="99">
        <v>0</v>
      </c>
      <c r="P9" s="99">
        <v>0</v>
      </c>
      <c r="Q9" s="99">
        <v>0</v>
      </c>
      <c r="R9" s="99">
        <v>0</v>
      </c>
      <c r="S9" s="99">
        <v>0</v>
      </c>
      <c r="T9" s="99">
        <v>0</v>
      </c>
      <c r="U9" s="99">
        <v>0</v>
      </c>
      <c r="V9" s="99">
        <v>0</v>
      </c>
      <c r="W9" s="99">
        <v>0</v>
      </c>
      <c r="X9" s="99">
        <v>0</v>
      </c>
      <c r="Y9" s="99">
        <v>0</v>
      </c>
      <c r="Z9" s="99">
        <v>0</v>
      </c>
      <c r="AA9" s="99">
        <v>0</v>
      </c>
      <c r="AB9" s="99">
        <v>0</v>
      </c>
      <c r="AC9" s="99">
        <v>0</v>
      </c>
      <c r="AD9" s="99">
        <v>0</v>
      </c>
      <c r="AE9" s="99">
        <v>0</v>
      </c>
    </row>
    <row r="10" spans="1:31" customFormat="1" x14ac:dyDescent="0.15">
      <c r="A10" s="177" t="s">
        <v>200</v>
      </c>
      <c r="B10" s="99">
        <v>0</v>
      </c>
      <c r="C10" s="99">
        <v>0</v>
      </c>
      <c r="D10" s="99">
        <v>0</v>
      </c>
      <c r="E10" s="99">
        <v>0</v>
      </c>
      <c r="F10" s="99">
        <v>0</v>
      </c>
      <c r="G10" s="99">
        <v>0</v>
      </c>
      <c r="H10" s="99">
        <v>0</v>
      </c>
      <c r="I10" s="99">
        <v>0</v>
      </c>
      <c r="J10" s="99">
        <v>0</v>
      </c>
      <c r="K10" s="99">
        <v>0</v>
      </c>
      <c r="L10" s="99">
        <v>0</v>
      </c>
      <c r="M10" s="99">
        <v>0</v>
      </c>
      <c r="N10" s="99">
        <v>0</v>
      </c>
      <c r="O10" s="99">
        <v>0</v>
      </c>
      <c r="P10" s="99">
        <v>0</v>
      </c>
      <c r="Q10" s="99">
        <v>0</v>
      </c>
      <c r="R10" s="99">
        <v>0</v>
      </c>
      <c r="S10" s="99">
        <v>0</v>
      </c>
      <c r="T10" s="99">
        <v>0</v>
      </c>
      <c r="U10" s="99">
        <v>0</v>
      </c>
      <c r="V10" s="99">
        <v>0</v>
      </c>
      <c r="W10" s="99">
        <v>0</v>
      </c>
      <c r="X10" s="99">
        <v>0</v>
      </c>
      <c r="Y10" s="99">
        <v>0</v>
      </c>
      <c r="Z10" s="99">
        <v>0</v>
      </c>
      <c r="AA10" s="99">
        <v>0</v>
      </c>
      <c r="AB10" s="99">
        <v>0</v>
      </c>
      <c r="AC10" s="99">
        <v>0</v>
      </c>
      <c r="AD10" s="99">
        <v>0</v>
      </c>
      <c r="AE10" s="99">
        <v>0</v>
      </c>
    </row>
    <row r="11" spans="1:31" customFormat="1" x14ac:dyDescent="0.15">
      <c r="A11" s="177" t="s">
        <v>201</v>
      </c>
      <c r="B11" s="99">
        <v>0</v>
      </c>
      <c r="C11" s="99">
        <v>0</v>
      </c>
      <c r="D11" s="99">
        <v>0</v>
      </c>
      <c r="E11" s="99">
        <v>0</v>
      </c>
      <c r="F11" s="99">
        <v>0</v>
      </c>
      <c r="G11" s="99">
        <v>0</v>
      </c>
      <c r="H11" s="99">
        <v>0</v>
      </c>
      <c r="I11" s="99">
        <v>1</v>
      </c>
      <c r="J11" s="99">
        <v>0</v>
      </c>
      <c r="K11" s="99">
        <v>1</v>
      </c>
      <c r="L11" s="99">
        <v>0</v>
      </c>
      <c r="M11" s="99">
        <v>0</v>
      </c>
      <c r="N11" s="99">
        <v>0</v>
      </c>
      <c r="O11" s="99">
        <v>0</v>
      </c>
      <c r="P11" s="99">
        <v>0</v>
      </c>
      <c r="Q11" s="99">
        <v>0</v>
      </c>
      <c r="R11" s="99">
        <v>0</v>
      </c>
      <c r="S11" s="99">
        <v>1</v>
      </c>
      <c r="T11" s="99">
        <v>0</v>
      </c>
      <c r="U11" s="99">
        <v>0</v>
      </c>
      <c r="V11" s="99">
        <v>0</v>
      </c>
      <c r="W11" s="99">
        <v>0</v>
      </c>
      <c r="X11" s="99">
        <v>0</v>
      </c>
      <c r="Y11" s="99">
        <v>0</v>
      </c>
      <c r="Z11" s="99">
        <v>0</v>
      </c>
      <c r="AA11" s="99">
        <v>0</v>
      </c>
      <c r="AB11" s="99">
        <v>0</v>
      </c>
      <c r="AC11" s="99">
        <v>0</v>
      </c>
      <c r="AD11" s="99">
        <v>0</v>
      </c>
      <c r="AE11" s="99">
        <v>0</v>
      </c>
    </row>
    <row r="12" spans="1:31" customFormat="1" x14ac:dyDescent="0.15">
      <c r="A12" s="177" t="s">
        <v>202</v>
      </c>
      <c r="B12" s="99">
        <v>0</v>
      </c>
      <c r="C12" s="99">
        <v>0</v>
      </c>
      <c r="D12" s="99">
        <v>0</v>
      </c>
      <c r="E12" s="99">
        <v>0</v>
      </c>
      <c r="F12" s="99">
        <v>0</v>
      </c>
      <c r="G12" s="99">
        <v>0</v>
      </c>
      <c r="H12" s="99">
        <v>0</v>
      </c>
      <c r="I12" s="99">
        <v>0</v>
      </c>
      <c r="J12" s="99">
        <v>0</v>
      </c>
      <c r="K12" s="99">
        <v>0</v>
      </c>
      <c r="L12" s="99">
        <v>0</v>
      </c>
      <c r="M12" s="99">
        <v>0</v>
      </c>
      <c r="N12" s="99">
        <v>0</v>
      </c>
      <c r="O12" s="99">
        <v>0</v>
      </c>
      <c r="P12" s="99">
        <v>0</v>
      </c>
      <c r="Q12" s="99">
        <v>0</v>
      </c>
      <c r="R12" s="99">
        <v>0</v>
      </c>
      <c r="S12" s="99">
        <v>0</v>
      </c>
      <c r="T12" s="99">
        <v>0</v>
      </c>
      <c r="U12" s="99">
        <v>0</v>
      </c>
      <c r="V12" s="99">
        <v>0</v>
      </c>
      <c r="W12" s="99">
        <v>0</v>
      </c>
      <c r="X12" s="99">
        <v>0</v>
      </c>
      <c r="Y12" s="99">
        <v>0</v>
      </c>
      <c r="Z12" s="99">
        <v>0</v>
      </c>
      <c r="AA12" s="99">
        <v>0</v>
      </c>
      <c r="AB12" s="99">
        <v>0</v>
      </c>
      <c r="AC12" s="99">
        <v>0</v>
      </c>
      <c r="AD12" s="99">
        <v>0</v>
      </c>
      <c r="AE12" s="99">
        <v>0</v>
      </c>
    </row>
    <row r="13" spans="1:31" customFormat="1" x14ac:dyDescent="0.15">
      <c r="A13" s="177" t="s">
        <v>203</v>
      </c>
      <c r="B13" s="99">
        <v>0</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1</v>
      </c>
      <c r="T13" s="99">
        <v>1</v>
      </c>
      <c r="U13" s="99">
        <v>0</v>
      </c>
      <c r="V13" s="99">
        <v>0</v>
      </c>
      <c r="W13" s="99">
        <v>0</v>
      </c>
      <c r="X13" s="99">
        <v>0</v>
      </c>
      <c r="Y13" s="99">
        <v>0</v>
      </c>
      <c r="Z13" s="99">
        <v>0</v>
      </c>
      <c r="AA13" s="99">
        <v>0</v>
      </c>
      <c r="AB13" s="99">
        <v>0</v>
      </c>
      <c r="AC13" s="99">
        <v>0</v>
      </c>
      <c r="AD13" s="99">
        <v>0</v>
      </c>
      <c r="AE13" s="99">
        <v>0</v>
      </c>
    </row>
    <row r="14" spans="1:31" customFormat="1" x14ac:dyDescent="0.15">
      <c r="A14" s="177" t="s">
        <v>204</v>
      </c>
      <c r="B14" s="99">
        <v>0</v>
      </c>
      <c r="C14" s="99">
        <v>0</v>
      </c>
      <c r="D14" s="99">
        <v>0</v>
      </c>
      <c r="E14" s="99">
        <v>0</v>
      </c>
      <c r="F14" s="99">
        <v>0</v>
      </c>
      <c r="G14" s="99">
        <v>0</v>
      </c>
      <c r="H14" s="99">
        <v>0</v>
      </c>
      <c r="I14" s="99">
        <v>0</v>
      </c>
      <c r="J14" s="99">
        <v>0</v>
      </c>
      <c r="K14" s="99">
        <v>0</v>
      </c>
      <c r="L14" s="99">
        <v>0</v>
      </c>
      <c r="M14" s="99">
        <v>0</v>
      </c>
      <c r="N14" s="99">
        <v>1</v>
      </c>
      <c r="O14" s="99">
        <v>1</v>
      </c>
      <c r="P14" s="99">
        <v>0</v>
      </c>
      <c r="Q14" s="99">
        <v>0</v>
      </c>
      <c r="R14" s="99">
        <v>0</v>
      </c>
      <c r="S14" s="99">
        <v>1</v>
      </c>
      <c r="T14" s="99">
        <v>0</v>
      </c>
      <c r="U14" s="99">
        <v>0</v>
      </c>
      <c r="V14" s="99">
        <v>0</v>
      </c>
      <c r="W14" s="99">
        <v>0</v>
      </c>
      <c r="X14" s="99">
        <v>0</v>
      </c>
      <c r="Y14" s="99">
        <v>0</v>
      </c>
      <c r="Z14" s="99">
        <v>0</v>
      </c>
      <c r="AA14" s="99">
        <v>0</v>
      </c>
      <c r="AB14" s="99">
        <v>0</v>
      </c>
      <c r="AC14" s="99">
        <v>0</v>
      </c>
      <c r="AD14" s="99">
        <v>0</v>
      </c>
      <c r="AE14" s="99">
        <v>0</v>
      </c>
    </row>
    <row r="15" spans="1:31" customFormat="1" x14ac:dyDescent="0.15">
      <c r="A15" s="177" t="s">
        <v>205</v>
      </c>
      <c r="B15" s="99">
        <v>0</v>
      </c>
      <c r="C15" s="99">
        <v>0</v>
      </c>
      <c r="D15" s="99">
        <v>0</v>
      </c>
      <c r="E15" s="99">
        <v>0</v>
      </c>
      <c r="F15" s="99">
        <v>0</v>
      </c>
      <c r="G15" s="99">
        <v>0</v>
      </c>
      <c r="H15" s="99">
        <v>0</v>
      </c>
      <c r="I15" s="99">
        <v>0</v>
      </c>
      <c r="J15" s="99">
        <v>0</v>
      </c>
      <c r="K15" s="99">
        <v>0</v>
      </c>
      <c r="L15" s="99">
        <v>0</v>
      </c>
      <c r="M15" s="99">
        <v>0</v>
      </c>
      <c r="N15" s="99">
        <v>1</v>
      </c>
      <c r="O15" s="99">
        <v>1</v>
      </c>
      <c r="P15" s="99">
        <v>1</v>
      </c>
      <c r="Q15" s="99">
        <v>0</v>
      </c>
      <c r="R15" s="99">
        <v>0</v>
      </c>
      <c r="S15" s="99">
        <v>1</v>
      </c>
      <c r="T15" s="99">
        <v>1</v>
      </c>
      <c r="U15" s="99">
        <v>1</v>
      </c>
      <c r="V15" s="99">
        <v>0</v>
      </c>
      <c r="W15" s="99">
        <v>0</v>
      </c>
      <c r="X15" s="99">
        <v>0</v>
      </c>
      <c r="Y15" s="99">
        <v>0</v>
      </c>
      <c r="Z15" s="99">
        <v>0</v>
      </c>
      <c r="AA15" s="99">
        <v>0</v>
      </c>
      <c r="AB15" s="99">
        <v>0</v>
      </c>
      <c r="AC15" s="99">
        <v>0</v>
      </c>
      <c r="AD15" s="99">
        <v>0</v>
      </c>
      <c r="AE15" s="99">
        <v>0</v>
      </c>
    </row>
    <row r="16" spans="1:31" customFormat="1" x14ac:dyDescent="0.15">
      <c r="A16" s="177" t="s">
        <v>206</v>
      </c>
      <c r="B16" s="99">
        <v>0</v>
      </c>
      <c r="C16" s="99">
        <v>0</v>
      </c>
      <c r="D16" s="99">
        <v>0</v>
      </c>
      <c r="E16" s="99">
        <v>0</v>
      </c>
      <c r="F16" s="99">
        <v>0</v>
      </c>
      <c r="G16" s="99">
        <v>0</v>
      </c>
      <c r="H16" s="99">
        <v>0</v>
      </c>
      <c r="I16" s="99">
        <v>0</v>
      </c>
      <c r="J16" s="99">
        <v>0</v>
      </c>
      <c r="K16" s="99">
        <v>0</v>
      </c>
      <c r="L16" s="99">
        <v>0</v>
      </c>
      <c r="M16" s="99">
        <v>0</v>
      </c>
      <c r="N16" s="99">
        <v>1</v>
      </c>
      <c r="O16" s="99">
        <v>1</v>
      </c>
      <c r="P16" s="99">
        <v>1</v>
      </c>
      <c r="Q16" s="99">
        <v>0</v>
      </c>
      <c r="R16" s="99">
        <v>0</v>
      </c>
      <c r="S16" s="99">
        <v>1</v>
      </c>
      <c r="T16" s="99">
        <v>1</v>
      </c>
      <c r="U16" s="99">
        <v>0</v>
      </c>
      <c r="V16" s="99">
        <v>0</v>
      </c>
      <c r="W16" s="99">
        <v>0</v>
      </c>
      <c r="X16" s="99">
        <v>0</v>
      </c>
      <c r="Y16" s="99">
        <v>0</v>
      </c>
      <c r="Z16" s="99">
        <v>0</v>
      </c>
      <c r="AA16" s="99">
        <v>0</v>
      </c>
      <c r="AB16" s="99">
        <v>0</v>
      </c>
      <c r="AC16" s="99">
        <v>0</v>
      </c>
      <c r="AD16" s="99">
        <v>0</v>
      </c>
      <c r="AE16" s="99">
        <v>0</v>
      </c>
    </row>
    <row r="17" spans="1:31" customFormat="1" x14ac:dyDescent="0.15">
      <c r="A17" s="177" t="s">
        <v>207</v>
      </c>
      <c r="B17" s="99">
        <v>0</v>
      </c>
      <c r="C17" s="99">
        <v>0</v>
      </c>
      <c r="D17" s="99">
        <v>0</v>
      </c>
      <c r="E17" s="99">
        <v>0</v>
      </c>
      <c r="F17" s="99">
        <v>0</v>
      </c>
      <c r="G17" s="99">
        <v>0</v>
      </c>
      <c r="H17" s="99">
        <v>0</v>
      </c>
      <c r="I17" s="99">
        <v>0</v>
      </c>
      <c r="J17" s="99">
        <v>0</v>
      </c>
      <c r="K17" s="99">
        <v>0</v>
      </c>
      <c r="L17" s="99">
        <v>0</v>
      </c>
      <c r="M17" s="99">
        <v>0</v>
      </c>
      <c r="N17" s="99">
        <v>1</v>
      </c>
      <c r="O17" s="99">
        <v>1</v>
      </c>
      <c r="P17" s="99">
        <v>1</v>
      </c>
      <c r="Q17" s="99">
        <v>0</v>
      </c>
      <c r="R17" s="99">
        <v>0</v>
      </c>
      <c r="S17" s="99">
        <v>0</v>
      </c>
      <c r="T17" s="99">
        <v>0</v>
      </c>
      <c r="U17" s="99">
        <v>1</v>
      </c>
      <c r="V17" s="99">
        <v>0</v>
      </c>
      <c r="W17" s="99">
        <v>0</v>
      </c>
      <c r="X17" s="99">
        <v>0</v>
      </c>
      <c r="Y17" s="99">
        <v>0</v>
      </c>
      <c r="Z17" s="99">
        <v>0</v>
      </c>
      <c r="AA17" s="99">
        <v>0</v>
      </c>
      <c r="AB17" s="99">
        <v>0</v>
      </c>
      <c r="AC17" s="99">
        <v>0</v>
      </c>
      <c r="AD17" s="99">
        <v>0</v>
      </c>
      <c r="AE17" s="99">
        <v>0</v>
      </c>
    </row>
    <row r="18" spans="1:31" customFormat="1" x14ac:dyDescent="0.15">
      <c r="A18" s="177" t="s">
        <v>208</v>
      </c>
      <c r="B18" s="99">
        <v>1</v>
      </c>
      <c r="C18" s="99">
        <v>0</v>
      </c>
      <c r="D18" s="99">
        <v>1</v>
      </c>
      <c r="E18" s="99">
        <v>1</v>
      </c>
      <c r="F18" s="99">
        <v>1</v>
      </c>
      <c r="G18" s="99">
        <v>0</v>
      </c>
      <c r="H18" s="99">
        <v>1</v>
      </c>
      <c r="I18" s="99">
        <v>1</v>
      </c>
      <c r="J18" s="99">
        <v>1</v>
      </c>
      <c r="K18" s="99">
        <v>1</v>
      </c>
      <c r="L18" s="99">
        <v>1</v>
      </c>
      <c r="M18" s="99">
        <v>0</v>
      </c>
      <c r="N18" s="99">
        <v>1</v>
      </c>
      <c r="O18" s="99">
        <v>1</v>
      </c>
      <c r="P18" s="99">
        <v>1</v>
      </c>
      <c r="Q18" s="99">
        <v>0</v>
      </c>
      <c r="R18" s="99">
        <v>0</v>
      </c>
      <c r="S18" s="99">
        <v>1</v>
      </c>
      <c r="T18" s="99">
        <v>0</v>
      </c>
      <c r="U18" s="99">
        <v>0</v>
      </c>
      <c r="V18" s="99">
        <v>0</v>
      </c>
      <c r="W18" s="99">
        <v>0</v>
      </c>
      <c r="X18" s="99">
        <v>0</v>
      </c>
      <c r="Y18" s="99">
        <v>0</v>
      </c>
      <c r="Z18" s="99">
        <v>0</v>
      </c>
      <c r="AA18" s="99">
        <v>0</v>
      </c>
      <c r="AB18" s="99">
        <v>0</v>
      </c>
      <c r="AC18" s="99">
        <v>0</v>
      </c>
      <c r="AD18" s="99">
        <v>0</v>
      </c>
      <c r="AE18" s="99">
        <v>0</v>
      </c>
    </row>
    <row r="19" spans="1:31" customFormat="1" x14ac:dyDescent="0.15">
      <c r="A19" s="177" t="s">
        <v>209</v>
      </c>
      <c r="B19" s="99">
        <v>0</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1</v>
      </c>
      <c r="T19" s="99">
        <v>0</v>
      </c>
      <c r="U19" s="99">
        <v>0</v>
      </c>
      <c r="V19" s="99">
        <v>0</v>
      </c>
      <c r="W19" s="99">
        <v>0</v>
      </c>
      <c r="X19" s="99">
        <v>0</v>
      </c>
      <c r="Y19" s="99">
        <v>0</v>
      </c>
      <c r="Z19" s="99">
        <v>0</v>
      </c>
      <c r="AA19" s="99">
        <v>0</v>
      </c>
      <c r="AB19" s="99">
        <v>0</v>
      </c>
      <c r="AC19" s="99">
        <v>0</v>
      </c>
      <c r="AD19" s="99">
        <v>0</v>
      </c>
      <c r="AE19" s="99">
        <v>0</v>
      </c>
    </row>
    <row r="20" spans="1:31" customFormat="1" x14ac:dyDescent="0.15">
      <c r="A20" s="177" t="s">
        <v>210</v>
      </c>
      <c r="B20" s="99">
        <v>0</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1</v>
      </c>
      <c r="U20" s="99">
        <v>0</v>
      </c>
      <c r="V20" s="99">
        <v>0</v>
      </c>
      <c r="W20" s="99">
        <v>0</v>
      </c>
      <c r="X20" s="99">
        <v>0</v>
      </c>
      <c r="Y20" s="99">
        <v>0</v>
      </c>
      <c r="Z20" s="99">
        <v>0</v>
      </c>
      <c r="AA20" s="99">
        <v>0</v>
      </c>
      <c r="AB20" s="99">
        <v>0</v>
      </c>
      <c r="AC20" s="99">
        <v>0</v>
      </c>
      <c r="AD20" s="99">
        <v>0</v>
      </c>
      <c r="AE20" s="99">
        <v>0</v>
      </c>
    </row>
    <row r="21" spans="1:31" customFormat="1" x14ac:dyDescent="0.15">
      <c r="A21" s="177" t="s">
        <v>211</v>
      </c>
      <c r="B21" s="99">
        <v>1</v>
      </c>
      <c r="C21" s="99">
        <v>0</v>
      </c>
      <c r="D21" s="99">
        <v>0</v>
      </c>
      <c r="E21" s="99">
        <v>1</v>
      </c>
      <c r="F21" s="99">
        <v>0</v>
      </c>
      <c r="G21" s="99">
        <v>0</v>
      </c>
      <c r="H21" s="99">
        <v>0</v>
      </c>
      <c r="I21" s="99">
        <v>0</v>
      </c>
      <c r="J21" s="99">
        <v>0</v>
      </c>
      <c r="K21" s="99">
        <v>0</v>
      </c>
      <c r="L21" s="99">
        <v>0</v>
      </c>
      <c r="M21" s="99">
        <v>0</v>
      </c>
      <c r="N21" s="99">
        <v>1</v>
      </c>
      <c r="O21" s="99">
        <v>1</v>
      </c>
      <c r="P21" s="99">
        <v>1</v>
      </c>
      <c r="Q21" s="99">
        <v>0</v>
      </c>
      <c r="R21" s="99">
        <v>0</v>
      </c>
      <c r="S21" s="99">
        <v>1</v>
      </c>
      <c r="T21" s="99">
        <v>1</v>
      </c>
      <c r="U21" s="99">
        <v>0</v>
      </c>
      <c r="V21" s="99">
        <v>0</v>
      </c>
      <c r="W21" s="99">
        <v>0</v>
      </c>
      <c r="X21" s="99">
        <v>0</v>
      </c>
      <c r="Y21" s="99">
        <v>0</v>
      </c>
      <c r="Z21" s="99">
        <v>0</v>
      </c>
      <c r="AA21" s="99">
        <v>0</v>
      </c>
      <c r="AB21" s="99">
        <v>0</v>
      </c>
      <c r="AC21" s="99">
        <v>0</v>
      </c>
      <c r="AD21" s="99">
        <v>0</v>
      </c>
      <c r="AE21" s="99">
        <v>0</v>
      </c>
    </row>
    <row r="22" spans="1:31" customFormat="1" x14ac:dyDescent="0.15">
      <c r="A22" s="177" t="s">
        <v>212</v>
      </c>
      <c r="B22" s="99">
        <v>1</v>
      </c>
      <c r="C22" s="99">
        <v>1</v>
      </c>
      <c r="D22" s="99">
        <v>1</v>
      </c>
      <c r="E22" s="99">
        <v>1</v>
      </c>
      <c r="F22" s="99">
        <v>1</v>
      </c>
      <c r="G22" s="99">
        <v>0</v>
      </c>
      <c r="H22" s="99">
        <v>0</v>
      </c>
      <c r="I22" s="99">
        <v>1</v>
      </c>
      <c r="J22" s="99">
        <v>0</v>
      </c>
      <c r="K22" s="99">
        <v>1</v>
      </c>
      <c r="L22" s="99">
        <v>0</v>
      </c>
      <c r="M22" s="99">
        <v>1</v>
      </c>
      <c r="N22" s="99">
        <v>1</v>
      </c>
      <c r="O22" s="99">
        <v>1</v>
      </c>
      <c r="P22" s="99">
        <v>1</v>
      </c>
      <c r="Q22" s="99">
        <v>1</v>
      </c>
      <c r="R22" s="99">
        <v>0</v>
      </c>
      <c r="S22" s="99">
        <v>1</v>
      </c>
      <c r="T22" s="99">
        <v>1</v>
      </c>
      <c r="U22" s="99">
        <v>1</v>
      </c>
      <c r="V22" s="99">
        <v>1</v>
      </c>
      <c r="W22" s="99">
        <v>1</v>
      </c>
      <c r="X22" s="99">
        <v>1</v>
      </c>
      <c r="Y22" s="99">
        <v>1</v>
      </c>
      <c r="Z22" s="99">
        <v>0</v>
      </c>
      <c r="AA22" s="99">
        <v>0</v>
      </c>
      <c r="AB22" s="99">
        <v>0</v>
      </c>
      <c r="AC22" s="99">
        <v>0</v>
      </c>
      <c r="AD22" s="99">
        <v>0</v>
      </c>
      <c r="AE22" s="99">
        <v>0</v>
      </c>
    </row>
    <row r="23" spans="1:31" customFormat="1" x14ac:dyDescent="0.15">
      <c r="A23" s="177" t="s">
        <v>213</v>
      </c>
      <c r="B23" s="99">
        <v>0</v>
      </c>
      <c r="C23" s="99">
        <v>0</v>
      </c>
      <c r="D23" s="99">
        <v>0</v>
      </c>
      <c r="E23" s="99">
        <v>0</v>
      </c>
      <c r="F23" s="99">
        <v>0</v>
      </c>
      <c r="G23" s="99">
        <v>0</v>
      </c>
      <c r="H23" s="99">
        <v>0</v>
      </c>
      <c r="I23" s="99">
        <v>0</v>
      </c>
      <c r="J23" s="99">
        <v>0</v>
      </c>
      <c r="K23" s="99">
        <v>0</v>
      </c>
      <c r="L23" s="99">
        <v>1</v>
      </c>
      <c r="M23" s="99">
        <v>1</v>
      </c>
      <c r="N23" s="99">
        <v>0</v>
      </c>
      <c r="O23" s="99">
        <v>0</v>
      </c>
      <c r="P23" s="99">
        <v>0</v>
      </c>
      <c r="Q23" s="99">
        <v>0</v>
      </c>
      <c r="R23" s="99">
        <v>1</v>
      </c>
      <c r="S23" s="99">
        <v>0</v>
      </c>
      <c r="T23" s="99">
        <v>1</v>
      </c>
      <c r="U23" s="99">
        <v>0</v>
      </c>
      <c r="V23" s="99">
        <v>1</v>
      </c>
      <c r="W23" s="99">
        <v>1</v>
      </c>
      <c r="X23" s="99">
        <v>1</v>
      </c>
      <c r="Y23" s="99">
        <v>1</v>
      </c>
      <c r="Z23" s="99">
        <v>1</v>
      </c>
      <c r="AA23" s="99">
        <v>0</v>
      </c>
      <c r="AB23" s="99">
        <v>0</v>
      </c>
      <c r="AC23" s="99">
        <v>0</v>
      </c>
      <c r="AD23" s="99">
        <v>0</v>
      </c>
      <c r="AE23" s="99">
        <v>0</v>
      </c>
    </row>
    <row r="24" spans="1:31" customFormat="1" x14ac:dyDescent="0.15">
      <c r="A24" s="177" t="s">
        <v>214</v>
      </c>
      <c r="B24" s="99">
        <v>1</v>
      </c>
      <c r="C24" s="99">
        <v>1</v>
      </c>
      <c r="D24" s="99">
        <v>1</v>
      </c>
      <c r="E24" s="99">
        <v>0</v>
      </c>
      <c r="F24" s="99">
        <v>1</v>
      </c>
      <c r="G24" s="99">
        <v>0</v>
      </c>
      <c r="H24" s="99">
        <v>0</v>
      </c>
      <c r="I24" s="99">
        <v>0</v>
      </c>
      <c r="J24" s="99">
        <v>0</v>
      </c>
      <c r="K24" s="99">
        <v>0</v>
      </c>
      <c r="L24" s="99">
        <v>1</v>
      </c>
      <c r="M24" s="99">
        <v>1</v>
      </c>
      <c r="N24" s="99">
        <v>1</v>
      </c>
      <c r="O24" s="99">
        <v>1</v>
      </c>
      <c r="P24" s="99">
        <v>1</v>
      </c>
      <c r="Q24" s="99">
        <v>0</v>
      </c>
      <c r="R24" s="99">
        <v>0</v>
      </c>
      <c r="S24" s="99">
        <v>1</v>
      </c>
      <c r="T24" s="99">
        <v>0</v>
      </c>
      <c r="U24" s="99">
        <v>1</v>
      </c>
      <c r="V24" s="99">
        <v>0</v>
      </c>
      <c r="W24" s="99">
        <v>0</v>
      </c>
      <c r="X24" s="99">
        <v>1</v>
      </c>
      <c r="Y24" s="99">
        <v>0</v>
      </c>
      <c r="Z24" s="99">
        <v>0</v>
      </c>
      <c r="AA24" s="99">
        <v>0</v>
      </c>
      <c r="AB24" s="99">
        <v>0</v>
      </c>
      <c r="AC24" s="99">
        <v>0</v>
      </c>
      <c r="AD24" s="99">
        <v>0</v>
      </c>
      <c r="AE24" s="99">
        <v>0</v>
      </c>
    </row>
    <row r="25" spans="1:31" customFormat="1" x14ac:dyDescent="0.15">
      <c r="A25" s="177" t="s">
        <v>215</v>
      </c>
      <c r="B25" s="99">
        <v>0</v>
      </c>
      <c r="C25" s="99">
        <v>0</v>
      </c>
      <c r="D25" s="99">
        <v>0</v>
      </c>
      <c r="E25" s="99">
        <v>0</v>
      </c>
      <c r="F25" s="99">
        <v>0</v>
      </c>
      <c r="G25" s="99">
        <v>0</v>
      </c>
      <c r="H25" s="99">
        <v>1</v>
      </c>
      <c r="I25" s="99">
        <v>1</v>
      </c>
      <c r="J25" s="99">
        <v>1</v>
      </c>
      <c r="K25" s="99">
        <v>1</v>
      </c>
      <c r="L25" s="99">
        <v>0</v>
      </c>
      <c r="M25" s="99">
        <v>0</v>
      </c>
      <c r="N25" s="99">
        <v>1</v>
      </c>
      <c r="O25" s="99">
        <v>1</v>
      </c>
      <c r="P25" s="99">
        <v>1</v>
      </c>
      <c r="Q25" s="99">
        <v>0</v>
      </c>
      <c r="R25" s="99">
        <v>0</v>
      </c>
      <c r="S25" s="99">
        <v>1</v>
      </c>
      <c r="T25" s="99">
        <v>1</v>
      </c>
      <c r="U25" s="99">
        <v>1</v>
      </c>
      <c r="V25" s="99">
        <v>0</v>
      </c>
      <c r="W25" s="99">
        <v>1</v>
      </c>
      <c r="X25" s="99">
        <v>1</v>
      </c>
      <c r="Y25" s="99">
        <v>1</v>
      </c>
      <c r="Z25" s="99">
        <v>1</v>
      </c>
      <c r="AA25" s="99">
        <v>0</v>
      </c>
      <c r="AB25" s="99">
        <v>0</v>
      </c>
      <c r="AC25" s="99">
        <v>0</v>
      </c>
      <c r="AD25" s="99">
        <v>0</v>
      </c>
      <c r="AE25" s="99">
        <v>0</v>
      </c>
    </row>
    <row r="26" spans="1:31" customFormat="1" x14ac:dyDescent="0.15">
      <c r="A26" s="177" t="s">
        <v>216</v>
      </c>
      <c r="B26" s="99">
        <v>0</v>
      </c>
      <c r="C26" s="99">
        <v>0</v>
      </c>
      <c r="D26" s="99">
        <v>0</v>
      </c>
      <c r="E26" s="99">
        <v>0</v>
      </c>
      <c r="F26" s="99">
        <v>0</v>
      </c>
      <c r="G26" s="99">
        <v>0</v>
      </c>
      <c r="H26" s="99">
        <v>1</v>
      </c>
      <c r="I26" s="99">
        <v>0</v>
      </c>
      <c r="J26" s="99">
        <v>1</v>
      </c>
      <c r="K26" s="99">
        <v>0</v>
      </c>
      <c r="L26" s="99">
        <v>1</v>
      </c>
      <c r="M26" s="99">
        <v>0</v>
      </c>
      <c r="N26" s="99">
        <v>0</v>
      </c>
      <c r="O26" s="99">
        <v>0</v>
      </c>
      <c r="P26" s="99">
        <v>0</v>
      </c>
      <c r="Q26" s="99">
        <v>0</v>
      </c>
      <c r="R26" s="99">
        <v>0</v>
      </c>
      <c r="S26" s="99">
        <v>0</v>
      </c>
      <c r="T26" s="99">
        <v>1</v>
      </c>
      <c r="U26" s="99">
        <v>0</v>
      </c>
      <c r="V26" s="99">
        <v>1</v>
      </c>
      <c r="W26" s="99">
        <v>1</v>
      </c>
      <c r="X26" s="99">
        <v>1</v>
      </c>
      <c r="Y26" s="99">
        <v>1</v>
      </c>
      <c r="Z26" s="99">
        <v>1</v>
      </c>
      <c r="AA26" s="99">
        <v>1</v>
      </c>
      <c r="AB26" s="99">
        <v>0</v>
      </c>
      <c r="AC26" s="99">
        <v>0</v>
      </c>
      <c r="AD26" s="99">
        <v>0</v>
      </c>
      <c r="AE26" s="99">
        <v>0</v>
      </c>
    </row>
    <row r="27" spans="1:31" customFormat="1" x14ac:dyDescent="0.15">
      <c r="A27" s="177" t="s">
        <v>217</v>
      </c>
      <c r="B27" s="99">
        <v>1</v>
      </c>
      <c r="C27" s="99">
        <v>1</v>
      </c>
      <c r="D27" s="99">
        <v>1</v>
      </c>
      <c r="E27" s="99">
        <v>1</v>
      </c>
      <c r="F27" s="99">
        <v>1</v>
      </c>
      <c r="G27" s="99">
        <v>1</v>
      </c>
      <c r="H27" s="99">
        <v>0</v>
      </c>
      <c r="I27" s="99">
        <v>1</v>
      </c>
      <c r="J27" s="99">
        <v>1</v>
      </c>
      <c r="K27" s="99">
        <v>0</v>
      </c>
      <c r="L27" s="99">
        <v>1</v>
      </c>
      <c r="M27" s="99">
        <v>0</v>
      </c>
      <c r="N27" s="99">
        <v>1</v>
      </c>
      <c r="O27" s="99">
        <v>1</v>
      </c>
      <c r="P27" s="99">
        <v>1</v>
      </c>
      <c r="Q27" s="99">
        <v>1</v>
      </c>
      <c r="R27" s="99">
        <v>0</v>
      </c>
      <c r="S27" s="99">
        <v>1</v>
      </c>
      <c r="T27" s="99">
        <v>0</v>
      </c>
      <c r="U27" s="99">
        <v>1</v>
      </c>
      <c r="V27" s="99">
        <v>1</v>
      </c>
      <c r="W27" s="99">
        <v>1</v>
      </c>
      <c r="X27" s="99">
        <v>1</v>
      </c>
      <c r="Y27" s="99">
        <v>1</v>
      </c>
      <c r="Z27" s="99">
        <v>1</v>
      </c>
      <c r="AA27" s="99">
        <v>1</v>
      </c>
      <c r="AB27" s="99">
        <v>0</v>
      </c>
      <c r="AC27" s="99">
        <v>0</v>
      </c>
      <c r="AD27" s="99">
        <v>0</v>
      </c>
      <c r="AE27" s="99">
        <v>0</v>
      </c>
    </row>
    <row r="28" spans="1:31" customFormat="1" x14ac:dyDescent="0.15">
      <c r="A28" s="177" t="s">
        <v>218</v>
      </c>
      <c r="B28" s="99">
        <v>0</v>
      </c>
      <c r="C28" s="99">
        <v>0</v>
      </c>
      <c r="D28" s="99">
        <v>0</v>
      </c>
      <c r="E28" s="99">
        <v>0</v>
      </c>
      <c r="F28" s="99">
        <v>0</v>
      </c>
      <c r="G28" s="99">
        <v>0</v>
      </c>
      <c r="H28" s="99">
        <v>0</v>
      </c>
      <c r="I28" s="99">
        <v>0</v>
      </c>
      <c r="J28" s="99">
        <v>0</v>
      </c>
      <c r="K28" s="99">
        <v>0</v>
      </c>
      <c r="L28" s="99">
        <v>0</v>
      </c>
      <c r="M28" s="99">
        <v>1</v>
      </c>
      <c r="N28" s="99">
        <v>0</v>
      </c>
      <c r="O28" s="99">
        <v>0</v>
      </c>
      <c r="P28" s="99">
        <v>0</v>
      </c>
      <c r="Q28" s="99">
        <v>0</v>
      </c>
      <c r="R28" s="99">
        <v>1</v>
      </c>
      <c r="S28" s="99">
        <v>0</v>
      </c>
      <c r="T28" s="99">
        <v>1</v>
      </c>
      <c r="U28" s="99">
        <v>0</v>
      </c>
      <c r="V28" s="99">
        <v>0</v>
      </c>
      <c r="W28" s="99">
        <v>1</v>
      </c>
      <c r="X28" s="99">
        <v>0</v>
      </c>
      <c r="Y28" s="99">
        <v>1</v>
      </c>
      <c r="Z28" s="99">
        <v>1</v>
      </c>
      <c r="AA28" s="99">
        <v>1</v>
      </c>
      <c r="AB28" s="99">
        <v>0</v>
      </c>
      <c r="AC28" s="99">
        <v>0</v>
      </c>
      <c r="AD28" s="99">
        <v>0</v>
      </c>
      <c r="AE28" s="99">
        <v>0</v>
      </c>
    </row>
    <row r="29" spans="1:31" customFormat="1" x14ac:dyDescent="0.15">
      <c r="A29" s="177" t="s">
        <v>219</v>
      </c>
      <c r="B29" s="99">
        <v>0</v>
      </c>
      <c r="C29" s="99">
        <v>0</v>
      </c>
      <c r="D29" s="99">
        <v>0</v>
      </c>
      <c r="E29" s="99">
        <v>0</v>
      </c>
      <c r="F29" s="99">
        <v>0</v>
      </c>
      <c r="G29" s="99">
        <v>0</v>
      </c>
      <c r="H29" s="99">
        <v>0</v>
      </c>
      <c r="I29" s="99">
        <v>0</v>
      </c>
      <c r="J29" s="99">
        <v>0</v>
      </c>
      <c r="K29" s="99">
        <v>0</v>
      </c>
      <c r="L29" s="99">
        <v>0</v>
      </c>
      <c r="M29" s="99">
        <v>0</v>
      </c>
      <c r="N29" s="99">
        <v>0</v>
      </c>
      <c r="O29" s="99">
        <v>0</v>
      </c>
      <c r="P29" s="99">
        <v>0</v>
      </c>
      <c r="Q29" s="99">
        <v>0</v>
      </c>
      <c r="R29" s="99">
        <v>0</v>
      </c>
      <c r="S29" s="99">
        <v>0</v>
      </c>
      <c r="T29" s="99">
        <v>0</v>
      </c>
      <c r="U29" s="99">
        <v>0</v>
      </c>
      <c r="V29" s="99">
        <v>0</v>
      </c>
      <c r="W29" s="99">
        <v>1</v>
      </c>
      <c r="X29" s="99">
        <v>1</v>
      </c>
      <c r="Y29" s="99">
        <v>0</v>
      </c>
      <c r="Z29" s="99">
        <v>1</v>
      </c>
      <c r="AA29" s="99">
        <v>1</v>
      </c>
      <c r="AB29" s="99">
        <v>0</v>
      </c>
      <c r="AC29" s="99">
        <v>0</v>
      </c>
      <c r="AD29" s="99">
        <v>0</v>
      </c>
      <c r="AE29" s="99">
        <v>0</v>
      </c>
    </row>
    <row r="30" spans="1:31" customFormat="1" x14ac:dyDescent="0.15">
      <c r="A30" s="177" t="s">
        <v>220</v>
      </c>
      <c r="B30" s="99">
        <v>0</v>
      </c>
      <c r="C30" s="99">
        <v>0</v>
      </c>
      <c r="D30" s="99">
        <v>0</v>
      </c>
      <c r="E30" s="99">
        <v>0</v>
      </c>
      <c r="F30" s="99">
        <v>0</v>
      </c>
      <c r="G30" s="99">
        <v>0</v>
      </c>
      <c r="H30" s="99">
        <v>0</v>
      </c>
      <c r="I30" s="99">
        <v>0</v>
      </c>
      <c r="J30" s="99">
        <v>0</v>
      </c>
      <c r="K30" s="99">
        <v>0</v>
      </c>
      <c r="L30" s="99">
        <v>0</v>
      </c>
      <c r="M30" s="99">
        <v>0</v>
      </c>
      <c r="N30" s="99">
        <v>0</v>
      </c>
      <c r="O30" s="99">
        <v>0</v>
      </c>
      <c r="P30" s="99">
        <v>0</v>
      </c>
      <c r="Q30" s="99">
        <v>0</v>
      </c>
      <c r="R30" s="99">
        <v>0</v>
      </c>
      <c r="S30" s="99">
        <v>1</v>
      </c>
      <c r="T30" s="99">
        <v>1</v>
      </c>
      <c r="U30" s="99">
        <v>0</v>
      </c>
      <c r="V30" s="99">
        <v>0</v>
      </c>
      <c r="W30" s="99">
        <v>0</v>
      </c>
      <c r="X30" s="99">
        <v>0</v>
      </c>
      <c r="Y30" s="99">
        <v>0</v>
      </c>
      <c r="Z30" s="99">
        <v>1</v>
      </c>
      <c r="AA30" s="99">
        <v>1</v>
      </c>
      <c r="AB30" s="99">
        <v>0</v>
      </c>
      <c r="AC30" s="99">
        <v>0</v>
      </c>
      <c r="AD30" s="99">
        <v>0</v>
      </c>
      <c r="AE30" s="99">
        <v>0</v>
      </c>
    </row>
    <row r="31" spans="1:31" customFormat="1" x14ac:dyDescent="0.15">
      <c r="A31" s="177" t="s">
        <v>221</v>
      </c>
      <c r="B31" s="99">
        <v>0</v>
      </c>
      <c r="C31" s="99">
        <v>0</v>
      </c>
      <c r="D31" s="99">
        <v>0</v>
      </c>
      <c r="E31" s="99">
        <v>0</v>
      </c>
      <c r="F31" s="99">
        <v>0</v>
      </c>
      <c r="G31" s="99">
        <v>0</v>
      </c>
      <c r="H31" s="99">
        <v>0</v>
      </c>
      <c r="I31" s="99">
        <v>0</v>
      </c>
      <c r="J31" s="99">
        <v>0</v>
      </c>
      <c r="K31" s="99">
        <v>0</v>
      </c>
      <c r="L31" s="99">
        <v>0</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row>
    <row r="32" spans="1:31" x14ac:dyDescent="0.15">
      <c r="A32" s="177" t="s">
        <v>224</v>
      </c>
      <c r="B32" s="99">
        <v>1</v>
      </c>
      <c r="C32" s="99">
        <v>1</v>
      </c>
      <c r="D32" s="99">
        <v>1</v>
      </c>
      <c r="E32" s="99">
        <v>0</v>
      </c>
      <c r="F32" s="99">
        <v>1</v>
      </c>
      <c r="G32" s="99">
        <v>1</v>
      </c>
      <c r="H32" s="99">
        <v>0</v>
      </c>
      <c r="I32" s="99">
        <v>0</v>
      </c>
      <c r="J32" s="99">
        <v>0</v>
      </c>
      <c r="K32" s="99">
        <v>0</v>
      </c>
      <c r="L32" s="99">
        <v>0</v>
      </c>
      <c r="M32" s="99">
        <v>0</v>
      </c>
      <c r="N32" s="99">
        <v>0</v>
      </c>
      <c r="O32" s="99">
        <v>0</v>
      </c>
      <c r="P32" s="99">
        <v>0</v>
      </c>
      <c r="Q32" s="99">
        <v>0</v>
      </c>
      <c r="R32" s="99">
        <v>0</v>
      </c>
      <c r="S32" s="99">
        <v>0</v>
      </c>
      <c r="T32" s="99">
        <v>0</v>
      </c>
      <c r="U32" s="99">
        <v>0</v>
      </c>
      <c r="V32" s="99">
        <v>0</v>
      </c>
      <c r="W32" s="99">
        <v>0</v>
      </c>
      <c r="X32" s="99">
        <v>0</v>
      </c>
      <c r="Y32" s="99">
        <v>0</v>
      </c>
      <c r="Z32" s="99">
        <v>0</v>
      </c>
      <c r="AA32" s="99">
        <v>0</v>
      </c>
      <c r="AB32" s="99">
        <v>1</v>
      </c>
      <c r="AC32" s="99">
        <v>0</v>
      </c>
      <c r="AD32" s="99">
        <v>0</v>
      </c>
      <c r="AE32" s="99">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D185"/>
  <sheetViews>
    <sheetView workbookViewId="0">
      <selection activeCell="A3" sqref="A3"/>
    </sheetView>
  </sheetViews>
  <sheetFormatPr baseColWidth="10" defaultRowHeight="13" x14ac:dyDescent="0.15"/>
  <cols>
    <col min="1" max="1" width="3.33203125" customWidth="1"/>
    <col min="2" max="2" width="35.5" bestFit="1" customWidth="1"/>
    <col min="3" max="4" width="3.83203125" bestFit="1" customWidth="1"/>
  </cols>
  <sheetData>
    <row r="1" spans="1:4" ht="112" x14ac:dyDescent="0.15">
      <c r="A1" s="5" t="s">
        <v>83</v>
      </c>
      <c r="B1" s="3" t="s">
        <v>0</v>
      </c>
      <c r="C1" s="180" t="s">
        <v>222</v>
      </c>
      <c r="D1" s="180" t="s">
        <v>223</v>
      </c>
    </row>
    <row r="2" spans="1:4" x14ac:dyDescent="0.15">
      <c r="A2">
        <v>1</v>
      </c>
      <c r="B2" s="179" t="s">
        <v>192</v>
      </c>
      <c r="C2">
        <v>0</v>
      </c>
      <c r="D2">
        <v>0</v>
      </c>
    </row>
    <row r="3" spans="1:4" x14ac:dyDescent="0.15">
      <c r="A3">
        <v>2</v>
      </c>
      <c r="B3" s="179" t="s">
        <v>193</v>
      </c>
      <c r="C3">
        <v>0</v>
      </c>
      <c r="D3">
        <v>0</v>
      </c>
    </row>
    <row r="4" spans="1:4" x14ac:dyDescent="0.15">
      <c r="A4">
        <v>3</v>
      </c>
      <c r="B4" s="179" t="s">
        <v>194</v>
      </c>
      <c r="C4">
        <v>0</v>
      </c>
      <c r="D4">
        <v>0</v>
      </c>
    </row>
    <row r="5" spans="1:4" x14ac:dyDescent="0.15">
      <c r="A5">
        <v>4</v>
      </c>
      <c r="B5" s="179" t="s">
        <v>195</v>
      </c>
      <c r="C5">
        <v>0</v>
      </c>
      <c r="D5">
        <v>0</v>
      </c>
    </row>
    <row r="6" spans="1:4" x14ac:dyDescent="0.15">
      <c r="A6">
        <v>5</v>
      </c>
      <c r="B6" s="179" t="s">
        <v>196</v>
      </c>
      <c r="C6">
        <v>0</v>
      </c>
      <c r="D6">
        <v>0</v>
      </c>
    </row>
    <row r="7" spans="1:4" x14ac:dyDescent="0.15">
      <c r="A7">
        <v>6</v>
      </c>
      <c r="B7" s="179" t="s">
        <v>197</v>
      </c>
      <c r="C7">
        <v>0</v>
      </c>
      <c r="D7">
        <v>0</v>
      </c>
    </row>
    <row r="8" spans="1:4" x14ac:dyDescent="0.15">
      <c r="A8">
        <v>7</v>
      </c>
      <c r="B8" s="179" t="s">
        <v>198</v>
      </c>
      <c r="C8">
        <v>0</v>
      </c>
      <c r="D8">
        <v>0</v>
      </c>
    </row>
    <row r="9" spans="1:4" x14ac:dyDescent="0.15">
      <c r="A9">
        <v>8</v>
      </c>
      <c r="B9" s="179" t="s">
        <v>199</v>
      </c>
      <c r="C9">
        <v>0.8</v>
      </c>
      <c r="D9">
        <v>0</v>
      </c>
    </row>
    <row r="10" spans="1:4" x14ac:dyDescent="0.15">
      <c r="A10">
        <v>9</v>
      </c>
      <c r="B10" s="179" t="s">
        <v>200</v>
      </c>
      <c r="C10">
        <v>0</v>
      </c>
      <c r="D10">
        <v>0</v>
      </c>
    </row>
    <row r="11" spans="1:4" x14ac:dyDescent="0.15">
      <c r="A11">
        <v>10</v>
      </c>
      <c r="B11" s="179" t="s">
        <v>201</v>
      </c>
      <c r="C11">
        <v>0.8</v>
      </c>
      <c r="D11">
        <v>0</v>
      </c>
    </row>
    <row r="12" spans="1:4" x14ac:dyDescent="0.15">
      <c r="A12">
        <v>11</v>
      </c>
      <c r="B12" s="179" t="s">
        <v>202</v>
      </c>
      <c r="C12">
        <v>0</v>
      </c>
      <c r="D12">
        <v>0</v>
      </c>
    </row>
    <row r="13" spans="1:4" x14ac:dyDescent="0.15">
      <c r="A13">
        <v>12</v>
      </c>
      <c r="B13" s="179" t="s">
        <v>203</v>
      </c>
      <c r="C13">
        <v>0.8</v>
      </c>
      <c r="D13">
        <v>0</v>
      </c>
    </row>
    <row r="14" spans="1:4" x14ac:dyDescent="0.15">
      <c r="A14">
        <v>13</v>
      </c>
      <c r="B14" s="179" t="s">
        <v>204</v>
      </c>
      <c r="C14">
        <v>0.8</v>
      </c>
      <c r="D14">
        <v>0.8</v>
      </c>
    </row>
    <row r="15" spans="1:4" x14ac:dyDescent="0.15">
      <c r="A15">
        <v>14</v>
      </c>
      <c r="B15" s="179" t="s">
        <v>205</v>
      </c>
      <c r="C15">
        <v>0.8</v>
      </c>
      <c r="D15">
        <v>0.8</v>
      </c>
    </row>
    <row r="16" spans="1:4" x14ac:dyDescent="0.15">
      <c r="A16">
        <v>15</v>
      </c>
      <c r="B16" s="179" t="s">
        <v>206</v>
      </c>
      <c r="C16">
        <v>0.8</v>
      </c>
      <c r="D16">
        <v>0.8</v>
      </c>
    </row>
    <row r="17" spans="1:4" x14ac:dyDescent="0.15">
      <c r="A17">
        <v>16</v>
      </c>
      <c r="B17" s="179" t="s">
        <v>207</v>
      </c>
      <c r="C17">
        <v>0.8</v>
      </c>
      <c r="D17">
        <v>0</v>
      </c>
    </row>
    <row r="18" spans="1:4" x14ac:dyDescent="0.15">
      <c r="A18">
        <v>17</v>
      </c>
      <c r="B18" s="179" t="s">
        <v>208</v>
      </c>
      <c r="C18">
        <v>0.8</v>
      </c>
      <c r="D18">
        <v>0.8</v>
      </c>
    </row>
    <row r="19" spans="1:4" x14ac:dyDescent="0.15">
      <c r="A19">
        <v>18</v>
      </c>
      <c r="B19" s="179" t="s">
        <v>209</v>
      </c>
      <c r="C19">
        <v>0.8</v>
      </c>
      <c r="D19">
        <v>0.8</v>
      </c>
    </row>
    <row r="20" spans="1:4" x14ac:dyDescent="0.15">
      <c r="A20">
        <v>19</v>
      </c>
      <c r="B20" s="179" t="s">
        <v>210</v>
      </c>
      <c r="C20">
        <v>0.8</v>
      </c>
      <c r="D20">
        <v>0.8</v>
      </c>
    </row>
    <row r="21" spans="1:4" x14ac:dyDescent="0.15">
      <c r="A21">
        <v>20</v>
      </c>
      <c r="B21" s="179" t="s">
        <v>211</v>
      </c>
      <c r="C21">
        <v>0.8</v>
      </c>
      <c r="D21">
        <v>0.8</v>
      </c>
    </row>
    <row r="22" spans="1:4" x14ac:dyDescent="0.15">
      <c r="A22">
        <v>21</v>
      </c>
      <c r="B22" s="179" t="s">
        <v>212</v>
      </c>
      <c r="C22">
        <v>0.8</v>
      </c>
      <c r="D22">
        <v>0.8</v>
      </c>
    </row>
    <row r="23" spans="1:4" x14ac:dyDescent="0.15">
      <c r="A23">
        <v>22</v>
      </c>
      <c r="B23" s="179" t="s">
        <v>213</v>
      </c>
      <c r="C23">
        <v>0.8</v>
      </c>
      <c r="D23">
        <v>0.8</v>
      </c>
    </row>
    <row r="24" spans="1:4" x14ac:dyDescent="0.15">
      <c r="A24">
        <v>23</v>
      </c>
      <c r="B24" s="179" t="s">
        <v>214</v>
      </c>
      <c r="C24">
        <v>0.8</v>
      </c>
      <c r="D24">
        <v>0.8</v>
      </c>
    </row>
    <row r="25" spans="1:4" x14ac:dyDescent="0.15">
      <c r="A25">
        <v>24</v>
      </c>
      <c r="B25" s="179" t="s">
        <v>215</v>
      </c>
      <c r="C25">
        <v>0.8</v>
      </c>
      <c r="D25">
        <v>0.8</v>
      </c>
    </row>
    <row r="26" spans="1:4" x14ac:dyDescent="0.15">
      <c r="A26">
        <v>25</v>
      </c>
      <c r="B26" s="179" t="s">
        <v>216</v>
      </c>
      <c r="C26">
        <v>0.8</v>
      </c>
      <c r="D26">
        <v>0.8</v>
      </c>
    </row>
    <row r="27" spans="1:4" x14ac:dyDescent="0.15">
      <c r="A27">
        <v>26</v>
      </c>
      <c r="B27" s="179" t="s">
        <v>217</v>
      </c>
      <c r="C27">
        <v>0</v>
      </c>
      <c r="D27">
        <v>0</v>
      </c>
    </row>
    <row r="28" spans="1:4" x14ac:dyDescent="0.15">
      <c r="A28">
        <v>27</v>
      </c>
      <c r="B28" s="179" t="s">
        <v>218</v>
      </c>
      <c r="C28">
        <v>0</v>
      </c>
      <c r="D28">
        <v>0</v>
      </c>
    </row>
    <row r="29" spans="1:4" x14ac:dyDescent="0.15">
      <c r="A29">
        <v>28</v>
      </c>
      <c r="B29" s="179" t="s">
        <v>219</v>
      </c>
      <c r="C29">
        <v>0</v>
      </c>
      <c r="D29">
        <v>0</v>
      </c>
    </row>
    <row r="30" spans="1:4" x14ac:dyDescent="0.15">
      <c r="A30">
        <v>29</v>
      </c>
      <c r="B30" s="179" t="s">
        <v>220</v>
      </c>
      <c r="C30">
        <v>0</v>
      </c>
      <c r="D30">
        <v>0</v>
      </c>
    </row>
    <row r="31" spans="1:4" x14ac:dyDescent="0.15">
      <c r="A31">
        <v>30</v>
      </c>
      <c r="B31" s="179" t="s">
        <v>221</v>
      </c>
      <c r="C31">
        <v>0</v>
      </c>
      <c r="D31">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D31"/>
  <sheetViews>
    <sheetView workbookViewId="0">
      <selection activeCell="A3" sqref="A3"/>
    </sheetView>
  </sheetViews>
  <sheetFormatPr baseColWidth="10" defaultRowHeight="13" x14ac:dyDescent="0.15"/>
  <cols>
    <col min="1" max="1" width="3.33203125" customWidth="1"/>
    <col min="2" max="2" width="35.5" bestFit="1" customWidth="1"/>
    <col min="3" max="4" width="3.83203125" bestFit="1" customWidth="1"/>
  </cols>
  <sheetData>
    <row r="1" spans="1:4" ht="112" x14ac:dyDescent="0.15">
      <c r="A1" s="5" t="s">
        <v>82</v>
      </c>
      <c r="B1" s="3" t="s">
        <v>0</v>
      </c>
      <c r="C1" s="182" t="s">
        <v>222</v>
      </c>
      <c r="D1" s="182" t="s">
        <v>223</v>
      </c>
    </row>
    <row r="2" spans="1:4" x14ac:dyDescent="0.15">
      <c r="A2">
        <v>1</v>
      </c>
      <c r="B2" s="181" t="s">
        <v>192</v>
      </c>
      <c r="C2">
        <v>0</v>
      </c>
      <c r="D2">
        <v>0</v>
      </c>
    </row>
    <row r="3" spans="1:4" x14ac:dyDescent="0.15">
      <c r="A3">
        <v>2</v>
      </c>
      <c r="B3" s="181" t="s">
        <v>193</v>
      </c>
      <c r="C3">
        <v>0</v>
      </c>
      <c r="D3">
        <v>0</v>
      </c>
    </row>
    <row r="4" spans="1:4" x14ac:dyDescent="0.15">
      <c r="A4">
        <v>3</v>
      </c>
      <c r="B4" s="181" t="s">
        <v>194</v>
      </c>
      <c r="C4">
        <v>0</v>
      </c>
      <c r="D4">
        <v>0</v>
      </c>
    </row>
    <row r="5" spans="1:4" x14ac:dyDescent="0.15">
      <c r="A5">
        <v>4</v>
      </c>
      <c r="B5" s="181" t="s">
        <v>195</v>
      </c>
      <c r="C5">
        <v>0</v>
      </c>
      <c r="D5">
        <v>0</v>
      </c>
    </row>
    <row r="6" spans="1:4" x14ac:dyDescent="0.15">
      <c r="A6">
        <v>5</v>
      </c>
      <c r="B6" s="181" t="s">
        <v>196</v>
      </c>
      <c r="C6">
        <v>0</v>
      </c>
      <c r="D6">
        <v>0</v>
      </c>
    </row>
    <row r="7" spans="1:4" x14ac:dyDescent="0.15">
      <c r="A7">
        <v>6</v>
      </c>
      <c r="B7" s="181" t="s">
        <v>197</v>
      </c>
      <c r="C7">
        <v>0</v>
      </c>
      <c r="D7">
        <v>0</v>
      </c>
    </row>
    <row r="8" spans="1:4" x14ac:dyDescent="0.15">
      <c r="A8">
        <v>7</v>
      </c>
      <c r="B8" s="181" t="s">
        <v>198</v>
      </c>
      <c r="C8">
        <v>0</v>
      </c>
      <c r="D8">
        <v>0</v>
      </c>
    </row>
    <row r="9" spans="1:4" x14ac:dyDescent="0.15">
      <c r="A9">
        <v>8</v>
      </c>
      <c r="B9" s="181" t="s">
        <v>199</v>
      </c>
      <c r="C9">
        <v>0.8</v>
      </c>
      <c r="D9">
        <v>0</v>
      </c>
    </row>
    <row r="10" spans="1:4" x14ac:dyDescent="0.15">
      <c r="A10">
        <v>9</v>
      </c>
      <c r="B10" s="181" t="s">
        <v>200</v>
      </c>
      <c r="C10">
        <v>0</v>
      </c>
      <c r="D10">
        <v>0</v>
      </c>
    </row>
    <row r="11" spans="1:4" x14ac:dyDescent="0.15">
      <c r="A11">
        <v>10</v>
      </c>
      <c r="B11" s="181" t="s">
        <v>201</v>
      </c>
      <c r="C11">
        <v>0.8</v>
      </c>
      <c r="D11">
        <v>0</v>
      </c>
    </row>
    <row r="12" spans="1:4" x14ac:dyDescent="0.15">
      <c r="A12">
        <v>11</v>
      </c>
      <c r="B12" s="181" t="s">
        <v>202</v>
      </c>
      <c r="C12">
        <v>0</v>
      </c>
      <c r="D12">
        <v>0</v>
      </c>
    </row>
    <row r="13" spans="1:4" x14ac:dyDescent="0.15">
      <c r="A13">
        <v>12</v>
      </c>
      <c r="B13" s="181" t="s">
        <v>203</v>
      </c>
      <c r="C13">
        <v>0.8</v>
      </c>
      <c r="D13">
        <v>0</v>
      </c>
    </row>
    <row r="14" spans="1:4" x14ac:dyDescent="0.15">
      <c r="A14">
        <v>13</v>
      </c>
      <c r="B14" s="181" t="s">
        <v>204</v>
      </c>
      <c r="C14">
        <v>0.8</v>
      </c>
      <c r="D14">
        <v>0.8</v>
      </c>
    </row>
    <row r="15" spans="1:4" x14ac:dyDescent="0.15">
      <c r="A15">
        <v>14</v>
      </c>
      <c r="B15" s="181" t="s">
        <v>205</v>
      </c>
      <c r="C15">
        <v>0.8</v>
      </c>
      <c r="D15">
        <v>0.8</v>
      </c>
    </row>
    <row r="16" spans="1:4" x14ac:dyDescent="0.15">
      <c r="A16">
        <v>15</v>
      </c>
      <c r="B16" s="181" t="s">
        <v>206</v>
      </c>
      <c r="C16">
        <v>0.8</v>
      </c>
      <c r="D16">
        <v>0.8</v>
      </c>
    </row>
    <row r="17" spans="1:4" x14ac:dyDescent="0.15">
      <c r="A17">
        <v>16</v>
      </c>
      <c r="B17" s="181" t="s">
        <v>207</v>
      </c>
      <c r="C17">
        <v>0.8</v>
      </c>
      <c r="D17">
        <v>0</v>
      </c>
    </row>
    <row r="18" spans="1:4" x14ac:dyDescent="0.15">
      <c r="A18">
        <v>17</v>
      </c>
      <c r="B18" s="181" t="s">
        <v>208</v>
      </c>
      <c r="C18">
        <v>0.8</v>
      </c>
      <c r="D18">
        <v>0.8</v>
      </c>
    </row>
    <row r="19" spans="1:4" x14ac:dyDescent="0.15">
      <c r="A19">
        <v>18</v>
      </c>
      <c r="B19" s="181" t="s">
        <v>209</v>
      </c>
      <c r="C19">
        <v>0.8</v>
      </c>
      <c r="D19">
        <v>0.8</v>
      </c>
    </row>
    <row r="20" spans="1:4" x14ac:dyDescent="0.15">
      <c r="A20">
        <v>19</v>
      </c>
      <c r="B20" s="181" t="s">
        <v>210</v>
      </c>
      <c r="C20">
        <v>0.8</v>
      </c>
      <c r="D20">
        <v>0.8</v>
      </c>
    </row>
    <row r="21" spans="1:4" x14ac:dyDescent="0.15">
      <c r="A21">
        <v>20</v>
      </c>
      <c r="B21" s="181" t="s">
        <v>211</v>
      </c>
      <c r="C21">
        <v>0.8</v>
      </c>
      <c r="D21">
        <v>0.8</v>
      </c>
    </row>
    <row r="22" spans="1:4" x14ac:dyDescent="0.15">
      <c r="A22">
        <v>21</v>
      </c>
      <c r="B22" s="181" t="s">
        <v>212</v>
      </c>
      <c r="C22">
        <v>0.8</v>
      </c>
      <c r="D22">
        <v>0.8</v>
      </c>
    </row>
    <row r="23" spans="1:4" x14ac:dyDescent="0.15">
      <c r="A23">
        <v>22</v>
      </c>
      <c r="B23" s="181" t="s">
        <v>213</v>
      </c>
      <c r="C23">
        <v>0.8</v>
      </c>
      <c r="D23">
        <v>0.8</v>
      </c>
    </row>
    <row r="24" spans="1:4" x14ac:dyDescent="0.15">
      <c r="A24">
        <v>23</v>
      </c>
      <c r="B24" s="181" t="s">
        <v>214</v>
      </c>
      <c r="C24">
        <v>0.8</v>
      </c>
      <c r="D24">
        <v>0.8</v>
      </c>
    </row>
    <row r="25" spans="1:4" x14ac:dyDescent="0.15">
      <c r="A25">
        <v>24</v>
      </c>
      <c r="B25" s="181" t="s">
        <v>215</v>
      </c>
      <c r="C25">
        <v>0.8</v>
      </c>
      <c r="D25">
        <v>0.8</v>
      </c>
    </row>
    <row r="26" spans="1:4" x14ac:dyDescent="0.15">
      <c r="A26">
        <v>25</v>
      </c>
      <c r="B26" s="181" t="s">
        <v>216</v>
      </c>
      <c r="C26">
        <v>0.8</v>
      </c>
      <c r="D26">
        <v>0.8</v>
      </c>
    </row>
    <row r="27" spans="1:4" x14ac:dyDescent="0.15">
      <c r="A27">
        <v>26</v>
      </c>
      <c r="B27" s="181" t="s">
        <v>217</v>
      </c>
      <c r="C27">
        <v>0</v>
      </c>
      <c r="D27">
        <v>0</v>
      </c>
    </row>
    <row r="28" spans="1:4" x14ac:dyDescent="0.15">
      <c r="A28">
        <v>27</v>
      </c>
      <c r="B28" s="181" t="s">
        <v>218</v>
      </c>
      <c r="C28">
        <v>0</v>
      </c>
      <c r="D28">
        <v>0</v>
      </c>
    </row>
    <row r="29" spans="1:4" x14ac:dyDescent="0.15">
      <c r="A29">
        <v>28</v>
      </c>
      <c r="B29" s="181" t="s">
        <v>219</v>
      </c>
      <c r="C29">
        <v>0</v>
      </c>
      <c r="D29">
        <v>0</v>
      </c>
    </row>
    <row r="30" spans="1:4" x14ac:dyDescent="0.15">
      <c r="A30">
        <v>29</v>
      </c>
      <c r="B30" s="181" t="s">
        <v>220</v>
      </c>
      <c r="C30">
        <v>0</v>
      </c>
      <c r="D30">
        <v>0</v>
      </c>
    </row>
    <row r="31" spans="1:4" x14ac:dyDescent="0.15">
      <c r="A31">
        <v>30</v>
      </c>
      <c r="B31" s="181" t="s">
        <v>221</v>
      </c>
      <c r="C31">
        <v>0</v>
      </c>
      <c r="D3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G17" sqref="G17"/>
    </sheetView>
  </sheetViews>
  <sheetFormatPr baseColWidth="10" defaultColWidth="8.83203125" defaultRowHeight="15" customHeight="1" x14ac:dyDescent="0.15"/>
  <cols>
    <col min="1" max="1" width="8.83203125" style="74"/>
    <col min="2" max="2" width="41.83203125" style="74" bestFit="1" customWidth="1"/>
    <col min="3" max="3" width="9.33203125" style="74" bestFit="1" customWidth="1"/>
    <col min="4" max="4" width="13" style="74" bestFit="1" customWidth="1"/>
    <col min="5" max="6" width="9.33203125" style="74" bestFit="1" customWidth="1"/>
    <col min="7" max="7" width="9.33203125" style="90" bestFit="1" customWidth="1"/>
    <col min="8" max="8" width="9.33203125" style="74" bestFit="1" customWidth="1"/>
    <col min="9" max="9" width="11" style="74" customWidth="1"/>
    <col min="10" max="10" width="8.83203125" style="74"/>
    <col min="15" max="16384" width="8.83203125" style="74"/>
  </cols>
  <sheetData>
    <row r="1" spans="1:10" ht="15" customHeight="1" x14ac:dyDescent="0.15">
      <c r="A1" s="4" t="s">
        <v>25</v>
      </c>
      <c r="B1" s="1" t="s">
        <v>0</v>
      </c>
      <c r="C1" s="1" t="s">
        <v>12</v>
      </c>
      <c r="D1" s="1" t="s">
        <v>13</v>
      </c>
      <c r="E1" s="1" t="s">
        <v>1</v>
      </c>
      <c r="F1" s="1" t="s">
        <v>2</v>
      </c>
      <c r="G1" s="31" t="s">
        <v>14</v>
      </c>
      <c r="H1" s="1" t="s">
        <v>26</v>
      </c>
      <c r="I1" s="1" t="s">
        <v>24</v>
      </c>
    </row>
    <row r="2" spans="1:10" ht="15" customHeight="1" x14ac:dyDescent="0.15">
      <c r="A2" s="134">
        <v>1</v>
      </c>
      <c r="B2" s="134" t="s">
        <v>192</v>
      </c>
      <c r="C2" s="8">
        <v>3.8866205215454102</v>
      </c>
      <c r="D2" s="9">
        <v>4.5300000347197056E-3</v>
      </c>
      <c r="E2" s="9">
        <v>9.8999999463558197E-2</v>
      </c>
      <c r="F2" s="9">
        <v>8.421238899230957</v>
      </c>
      <c r="G2" s="7">
        <v>0</v>
      </c>
      <c r="H2" s="9">
        <v>1.1755989864468575E-2</v>
      </c>
      <c r="I2">
        <v>0</v>
      </c>
      <c r="J2"/>
    </row>
    <row r="3" spans="1:10" ht="15" customHeight="1" x14ac:dyDescent="0.15">
      <c r="A3" s="135">
        <v>2</v>
      </c>
      <c r="B3" s="135" t="s">
        <v>193</v>
      </c>
      <c r="C3" s="8">
        <v>3.2152788639068604</v>
      </c>
      <c r="D3" s="9">
        <v>6.1800000257790089E-3</v>
      </c>
      <c r="E3" s="9">
        <v>9.8999999463558197E-2</v>
      </c>
      <c r="F3" s="9">
        <v>4.1608390808105469</v>
      </c>
      <c r="G3" s="7">
        <v>0</v>
      </c>
      <c r="H3" s="9">
        <v>2.3793278262019157E-2</v>
      </c>
      <c r="I3">
        <v>0</v>
      </c>
      <c r="J3"/>
    </row>
    <row r="4" spans="1:10" ht="15" customHeight="1" x14ac:dyDescent="0.15">
      <c r="A4" s="136">
        <v>3</v>
      </c>
      <c r="B4" s="136" t="s">
        <v>194</v>
      </c>
      <c r="C4" s="8">
        <v>3.7391445636749268</v>
      </c>
      <c r="D4" s="9">
        <v>6.9600000977516174E-2</v>
      </c>
      <c r="E4" s="9">
        <v>9.8999999463558197E-2</v>
      </c>
      <c r="F4" s="9">
        <v>5.0807662010192871</v>
      </c>
      <c r="G4" s="7">
        <v>0</v>
      </c>
      <c r="H4" s="9">
        <v>1.9485250115394592E-2</v>
      </c>
      <c r="I4">
        <v>0</v>
      </c>
      <c r="J4"/>
    </row>
    <row r="5" spans="1:10" ht="15" customHeight="1" x14ac:dyDescent="0.15">
      <c r="A5" s="137">
        <v>4</v>
      </c>
      <c r="B5" s="137" t="s">
        <v>195</v>
      </c>
      <c r="C5" s="8">
        <v>3.8572146892547607</v>
      </c>
      <c r="D5" s="9">
        <v>4.3199998326599598E-3</v>
      </c>
      <c r="E5" s="9">
        <v>5.000000074505806E-2</v>
      </c>
      <c r="F5" s="9">
        <v>6.2600126266479492</v>
      </c>
      <c r="G5" s="7">
        <v>0</v>
      </c>
      <c r="H5" s="9">
        <v>7.9872040078043938E-3</v>
      </c>
      <c r="I5">
        <v>0</v>
      </c>
      <c r="J5"/>
    </row>
    <row r="6" spans="1:10" ht="15" customHeight="1" x14ac:dyDescent="0.15">
      <c r="A6" s="138">
        <v>5</v>
      </c>
      <c r="B6" s="138" t="s">
        <v>196</v>
      </c>
      <c r="C6" s="8">
        <v>3.2170844078063965</v>
      </c>
      <c r="D6" s="9">
        <v>8.5000001126900315E-4</v>
      </c>
      <c r="E6" s="9">
        <v>1.9999999552965164E-2</v>
      </c>
      <c r="F6" s="9">
        <v>6.1775612831115723</v>
      </c>
      <c r="G6" s="7">
        <v>0</v>
      </c>
      <c r="H6" s="9">
        <v>3.2375233713537455E-3</v>
      </c>
      <c r="I6">
        <v>0</v>
      </c>
      <c r="J6"/>
    </row>
    <row r="7" spans="1:10" ht="15" customHeight="1" x14ac:dyDescent="0.15">
      <c r="A7" s="139">
        <v>6</v>
      </c>
      <c r="B7" s="139" t="s">
        <v>197</v>
      </c>
      <c r="C7" s="8">
        <v>3.2026185989379883</v>
      </c>
      <c r="D7" s="9">
        <v>2.4699999485164881E-3</v>
      </c>
      <c r="E7" s="9">
        <v>5.9999998658895493E-2</v>
      </c>
      <c r="F7" s="9">
        <v>3.3977510929107666</v>
      </c>
      <c r="G7" s="7">
        <v>0</v>
      </c>
      <c r="H7" s="9">
        <v>1.7658738419413567E-2</v>
      </c>
      <c r="I7">
        <v>0</v>
      </c>
      <c r="J7"/>
    </row>
    <row r="8" spans="1:10" ht="15" customHeight="1" x14ac:dyDescent="0.15">
      <c r="A8" s="140">
        <v>7</v>
      </c>
      <c r="B8" s="140" t="s">
        <v>198</v>
      </c>
      <c r="C8" s="8">
        <v>4.2418303489685059</v>
      </c>
      <c r="D8" s="9">
        <v>1.8820000812411308E-2</v>
      </c>
      <c r="E8" s="9">
        <v>5.000000074505806E-2</v>
      </c>
      <c r="F8" s="9">
        <v>5.0298886299133301</v>
      </c>
      <c r="G8" s="7">
        <v>0</v>
      </c>
      <c r="H8" s="9">
        <v>9.9405776709318161E-3</v>
      </c>
      <c r="I8">
        <v>0</v>
      </c>
      <c r="J8"/>
    </row>
    <row r="9" spans="1:10" ht="15" customHeight="1" x14ac:dyDescent="0.15">
      <c r="A9" s="141">
        <v>8</v>
      </c>
      <c r="B9" s="141" t="s">
        <v>199</v>
      </c>
      <c r="C9" s="8">
        <v>4.069857120513916</v>
      </c>
      <c r="D9" s="9">
        <v>5.2631576545536518E-4</v>
      </c>
      <c r="E9" s="9">
        <v>1.9999999552965164E-2</v>
      </c>
      <c r="F9" s="9">
        <v>9.4683427810668945</v>
      </c>
      <c r="G9" s="9">
        <v>0.95000004768371582</v>
      </c>
      <c r="H9" s="9">
        <v>2.1123019978404045E-3</v>
      </c>
      <c r="I9">
        <v>9.9999997473787516E-6</v>
      </c>
      <c r="J9"/>
    </row>
    <row r="10" spans="1:10" ht="15" customHeight="1" x14ac:dyDescent="0.15">
      <c r="A10" s="142">
        <v>9</v>
      </c>
      <c r="B10" s="142" t="s">
        <v>200</v>
      </c>
      <c r="C10" s="8">
        <v>3.883803129196167</v>
      </c>
      <c r="D10" s="9">
        <v>1.3000000035390258E-4</v>
      </c>
      <c r="E10" s="9">
        <v>3.5999998450279236E-2</v>
      </c>
      <c r="F10" s="9">
        <v>9.9330511093139648</v>
      </c>
      <c r="G10" s="7">
        <v>0</v>
      </c>
      <c r="H10" s="9">
        <v>3.6242639180272818E-3</v>
      </c>
      <c r="I10">
        <v>0</v>
      </c>
      <c r="J10"/>
    </row>
    <row r="11" spans="1:10" ht="15" customHeight="1" x14ac:dyDescent="0.15">
      <c r="A11" s="143">
        <v>10</v>
      </c>
      <c r="B11" s="143" t="s">
        <v>201</v>
      </c>
      <c r="C11" s="8">
        <v>3.8029489517211914</v>
      </c>
      <c r="D11" s="9">
        <v>3.9999999105930328E-2</v>
      </c>
      <c r="E11" s="9">
        <v>2.9999999329447746E-2</v>
      </c>
      <c r="F11" s="9">
        <v>14.403891563415527</v>
      </c>
      <c r="G11" s="9">
        <v>0.78436046838760376</v>
      </c>
      <c r="H11" s="9">
        <v>2.0827704574912786E-3</v>
      </c>
      <c r="I11">
        <v>1.9999999494757503E-5</v>
      </c>
      <c r="J11"/>
    </row>
    <row r="12" spans="1:10" ht="15" customHeight="1" x14ac:dyDescent="0.15">
      <c r="A12" s="144">
        <v>11</v>
      </c>
      <c r="B12" s="144" t="s">
        <v>202</v>
      </c>
      <c r="C12" s="8">
        <v>3.3706400394439697</v>
      </c>
      <c r="D12" s="9">
        <v>1.9999999494757503E-4</v>
      </c>
      <c r="E12" s="9">
        <v>0.12999999523162842</v>
      </c>
      <c r="F12" s="9">
        <v>73.69000244140625</v>
      </c>
      <c r="G12" s="7">
        <v>0</v>
      </c>
      <c r="H12" s="9">
        <v>1.7641469603404403E-3</v>
      </c>
      <c r="I12">
        <v>0</v>
      </c>
      <c r="J12"/>
    </row>
    <row r="13" spans="1:10" ht="15" customHeight="1" x14ac:dyDescent="0.15">
      <c r="A13" s="145">
        <v>12</v>
      </c>
      <c r="B13" s="145" t="s">
        <v>203</v>
      </c>
      <c r="C13" s="8">
        <v>4.0599532127380371</v>
      </c>
      <c r="D13" s="9">
        <v>3.7000000476837158E-2</v>
      </c>
      <c r="E13" s="9">
        <v>0.83499997854232788</v>
      </c>
      <c r="F13" s="9">
        <v>3.5350000858306885</v>
      </c>
      <c r="G13" s="9">
        <v>0.29826265573501587</v>
      </c>
      <c r="H13" s="9">
        <v>0.23620931804180145</v>
      </c>
      <c r="I13">
        <v>2.9999999242136255E-5</v>
      </c>
      <c r="J13"/>
    </row>
    <row r="14" spans="1:10" ht="15" customHeight="1" x14ac:dyDescent="0.15">
      <c r="A14" s="146">
        <v>13</v>
      </c>
      <c r="B14" s="146" t="s">
        <v>204</v>
      </c>
      <c r="C14" s="8">
        <v>3.9821374416351318</v>
      </c>
      <c r="D14" s="9">
        <v>2.7200000360608101E-2</v>
      </c>
      <c r="E14" s="9">
        <v>2.3499999046325684</v>
      </c>
      <c r="F14" s="9">
        <v>15.529999732971191</v>
      </c>
      <c r="G14" s="9">
        <v>0.34154441952705383</v>
      </c>
      <c r="H14" s="9">
        <v>0.15132002532482147</v>
      </c>
      <c r="I14">
        <v>4.9000000581145287E-3</v>
      </c>
      <c r="J14"/>
    </row>
    <row r="15" spans="1:10" ht="15" customHeight="1" x14ac:dyDescent="0.15">
      <c r="A15" s="147">
        <v>14</v>
      </c>
      <c r="B15" s="147" t="s">
        <v>205</v>
      </c>
      <c r="C15" s="8">
        <v>3.5983150005340576</v>
      </c>
      <c r="D15" s="9">
        <v>1.4481679536402225E-2</v>
      </c>
      <c r="E15" s="9">
        <v>2.5</v>
      </c>
      <c r="F15" s="9">
        <v>25</v>
      </c>
      <c r="G15" s="9">
        <v>0.94999992847442627</v>
      </c>
      <c r="H15" s="9">
        <v>0.10000000149011612</v>
      </c>
      <c r="I15">
        <v>6.829999852925539E-3</v>
      </c>
      <c r="J15"/>
    </row>
    <row r="16" spans="1:10" ht="15" customHeight="1" x14ac:dyDescent="0.15">
      <c r="A16" s="148">
        <v>15</v>
      </c>
      <c r="B16" s="148" t="s">
        <v>206</v>
      </c>
      <c r="C16" s="8">
        <v>4.4366025924682617</v>
      </c>
      <c r="D16" s="9">
        <v>2.7799999341368675E-2</v>
      </c>
      <c r="E16" s="9">
        <v>4.7199997901916504</v>
      </c>
      <c r="F16" s="9">
        <v>20</v>
      </c>
      <c r="G16" s="9">
        <v>0.74063694477081299</v>
      </c>
      <c r="H16" s="9">
        <v>0.23599998652935028</v>
      </c>
      <c r="I16">
        <v>5.1500000990927219E-3</v>
      </c>
      <c r="J16"/>
    </row>
    <row r="17" spans="1:10" ht="15" customHeight="1" x14ac:dyDescent="0.15">
      <c r="A17" s="149">
        <v>16</v>
      </c>
      <c r="B17" s="149" t="s">
        <v>207</v>
      </c>
      <c r="C17" s="8">
        <v>3.2849764823913574</v>
      </c>
      <c r="D17" s="9">
        <v>0.20800000429153442</v>
      </c>
      <c r="E17" s="9">
        <v>4</v>
      </c>
      <c r="F17" s="9">
        <v>24.760000228881836</v>
      </c>
      <c r="G17" s="9">
        <v>0.54250216484069824</v>
      </c>
      <c r="H17" s="9">
        <v>0.16155089437961578</v>
      </c>
      <c r="I17">
        <v>2.8800000436604023E-3</v>
      </c>
      <c r="J17"/>
    </row>
    <row r="18" spans="1:10" ht="15" customHeight="1" x14ac:dyDescent="0.15">
      <c r="A18" s="150">
        <v>17</v>
      </c>
      <c r="B18" s="150" t="s">
        <v>208</v>
      </c>
      <c r="C18" s="8">
        <v>2.0525093078613281</v>
      </c>
      <c r="D18" s="9">
        <v>1.6269999742507935</v>
      </c>
      <c r="E18" s="9">
        <v>1.8630000352859497</v>
      </c>
      <c r="F18" s="9">
        <v>9.2700004577636719</v>
      </c>
      <c r="G18" s="9">
        <v>0.16932226717472076</v>
      </c>
      <c r="H18" s="9">
        <v>0.20097087323665619</v>
      </c>
      <c r="I18">
        <v>8.0049998359754682E-5</v>
      </c>
      <c r="J18"/>
    </row>
    <row r="19" spans="1:10" ht="15" customHeight="1" x14ac:dyDescent="0.15">
      <c r="A19" s="151">
        <v>18</v>
      </c>
      <c r="B19" s="151" t="s">
        <v>209</v>
      </c>
      <c r="C19" s="8">
        <v>4.2827672958374023</v>
      </c>
      <c r="D19" s="9">
        <v>1.1599999852478504E-2</v>
      </c>
      <c r="E19" s="9">
        <v>0.40000000596046448</v>
      </c>
      <c r="F19" s="9">
        <v>10</v>
      </c>
      <c r="G19" s="9">
        <v>0.26485538482666016</v>
      </c>
      <c r="H19" s="9">
        <v>3.9999999105930328E-2</v>
      </c>
      <c r="I19">
        <v>3.0000001424923539E-4</v>
      </c>
      <c r="J19"/>
    </row>
    <row r="20" spans="1:10" ht="15" customHeight="1" x14ac:dyDescent="0.15">
      <c r="A20" s="152">
        <v>19</v>
      </c>
      <c r="B20" s="152" t="s">
        <v>210</v>
      </c>
      <c r="C20" s="8">
        <v>3.7472374439239502</v>
      </c>
      <c r="D20" s="9">
        <v>3.9999999105930328E-2</v>
      </c>
      <c r="E20" s="9">
        <v>0.1120000034570694</v>
      </c>
      <c r="F20" s="9">
        <v>1.7999999523162842</v>
      </c>
      <c r="G20" s="9">
        <v>0.5959821343421936</v>
      </c>
      <c r="H20" s="9">
        <v>6.2222227454185486E-2</v>
      </c>
      <c r="I20">
        <v>1.9499999471008778E-3</v>
      </c>
      <c r="J20"/>
    </row>
    <row r="21" spans="1:10" ht="15" customHeight="1" x14ac:dyDescent="0.15">
      <c r="A21" s="153">
        <v>20</v>
      </c>
      <c r="B21" s="153" t="s">
        <v>211</v>
      </c>
      <c r="C21" s="8">
        <v>4.0879921913146973</v>
      </c>
      <c r="D21" s="9">
        <v>6.5999999642372131E-2</v>
      </c>
      <c r="E21" s="9">
        <v>6.2199997901916504</v>
      </c>
      <c r="F21" s="9">
        <v>10.310000419616699</v>
      </c>
      <c r="G21" s="9">
        <v>6.0627680271863937E-2</v>
      </c>
      <c r="H21" s="9">
        <v>0.60329771041870117</v>
      </c>
      <c r="I21">
        <v>1.2079999782145023E-2</v>
      </c>
      <c r="J21"/>
    </row>
    <row r="22" spans="1:10" ht="15" customHeight="1" x14ac:dyDescent="0.15">
      <c r="A22" s="154">
        <v>21</v>
      </c>
      <c r="B22" s="154" t="s">
        <v>212</v>
      </c>
      <c r="C22" s="8">
        <v>3.219383716583252</v>
      </c>
      <c r="D22" s="9">
        <v>16.575000762939453</v>
      </c>
      <c r="E22" s="9">
        <v>2.940000057220459</v>
      </c>
      <c r="F22" s="9">
        <v>23.649999618530273</v>
      </c>
      <c r="G22" s="9">
        <v>0.45918190479278564</v>
      </c>
      <c r="H22" s="9">
        <v>0.12431290000677109</v>
      </c>
      <c r="I22">
        <v>3.6979999393224716E-2</v>
      </c>
      <c r="J22"/>
    </row>
    <row r="23" spans="1:10" ht="15" customHeight="1" x14ac:dyDescent="0.15">
      <c r="A23" s="155">
        <v>22</v>
      </c>
      <c r="B23" s="155" t="s">
        <v>213</v>
      </c>
      <c r="C23" s="8">
        <v>2.9447896480560303</v>
      </c>
      <c r="D23" s="9">
        <v>8.8993072509765625</v>
      </c>
      <c r="E23" s="9">
        <v>3.1400001049041748</v>
      </c>
      <c r="F23" s="9">
        <v>21</v>
      </c>
      <c r="G23" s="9">
        <v>0.94999992847442627</v>
      </c>
      <c r="H23" s="9">
        <v>0.14952380955219269</v>
      </c>
      <c r="I23">
        <v>8.829999715089798E-3</v>
      </c>
      <c r="J23"/>
    </row>
    <row r="24" spans="1:10" ht="15" customHeight="1" x14ac:dyDescent="0.15">
      <c r="A24" s="156">
        <v>23</v>
      </c>
      <c r="B24" s="156" t="s">
        <v>214</v>
      </c>
      <c r="C24" s="8">
        <v>3.404592752456665</v>
      </c>
      <c r="D24" s="9">
        <v>1.2599999904632568</v>
      </c>
      <c r="E24" s="9">
        <v>2.3900001049041748</v>
      </c>
      <c r="F24" s="9">
        <v>7.2199997901916504</v>
      </c>
      <c r="G24" s="9">
        <v>0.20341376960277557</v>
      </c>
      <c r="H24" s="9">
        <v>0.33102494478225708</v>
      </c>
      <c r="I24">
        <v>8.6300000548362732E-3</v>
      </c>
      <c r="J24"/>
    </row>
    <row r="25" spans="1:10" ht="15" customHeight="1" x14ac:dyDescent="0.15">
      <c r="A25" s="157">
        <v>24</v>
      </c>
      <c r="B25" s="157" t="s">
        <v>215</v>
      </c>
      <c r="C25" s="8">
        <v>3.2462358474731445</v>
      </c>
      <c r="D25" s="9">
        <v>5</v>
      </c>
      <c r="E25" s="9">
        <v>4.7249999046325684</v>
      </c>
      <c r="F25" s="9">
        <v>19.399999618530273</v>
      </c>
      <c r="G25" s="9">
        <v>0.45372045040130615</v>
      </c>
      <c r="H25" s="9">
        <v>0.24355670809745789</v>
      </c>
      <c r="I25">
        <v>2.9999998514540493E-4</v>
      </c>
      <c r="J25"/>
    </row>
    <row r="26" spans="1:10" ht="15" customHeight="1" x14ac:dyDescent="0.15">
      <c r="A26" s="158">
        <v>25</v>
      </c>
      <c r="B26" s="158" t="s">
        <v>216</v>
      </c>
      <c r="C26" s="8">
        <v>2.1022605895996094</v>
      </c>
      <c r="D26" s="9">
        <v>46.793556213378906</v>
      </c>
      <c r="E26" s="9">
        <v>20</v>
      </c>
      <c r="F26" s="9">
        <v>76.18499755859375</v>
      </c>
      <c r="G26" s="9">
        <v>0.94999998807907104</v>
      </c>
      <c r="H26" s="9">
        <v>0.26251888275146484</v>
      </c>
      <c r="I26">
        <v>1.5509999357163906E-2</v>
      </c>
      <c r="J26"/>
    </row>
    <row r="27" spans="1:10" ht="15" customHeight="1" x14ac:dyDescent="0.15">
      <c r="A27" s="159">
        <v>26</v>
      </c>
      <c r="B27" s="159" t="s">
        <v>217</v>
      </c>
      <c r="C27" s="8">
        <v>2.2026185989379883</v>
      </c>
      <c r="D27" s="9">
        <v>49.636001586914062</v>
      </c>
      <c r="E27" s="9">
        <v>12.899999618530273</v>
      </c>
      <c r="F27" s="9">
        <v>57.700000762939453</v>
      </c>
      <c r="G27" s="9">
        <v>0.82849389314651489</v>
      </c>
      <c r="H27" s="9">
        <v>0.22357018291950226</v>
      </c>
      <c r="I27">
        <v>0</v>
      </c>
      <c r="J27"/>
    </row>
    <row r="28" spans="1:10" ht="15" customHeight="1" x14ac:dyDescent="0.15">
      <c r="A28" s="160">
        <v>27</v>
      </c>
      <c r="B28" s="160" t="s">
        <v>218</v>
      </c>
      <c r="C28" s="8">
        <v>1</v>
      </c>
      <c r="D28" s="9">
        <v>17.395896911621094</v>
      </c>
      <c r="E28" s="9">
        <v>71.75</v>
      </c>
      <c r="F28" s="10"/>
      <c r="G28" s="9">
        <v>0.60000002384185791</v>
      </c>
      <c r="H28" s="10"/>
      <c r="I28">
        <v>0</v>
      </c>
      <c r="J28"/>
    </row>
    <row r="29" spans="1:10" ht="15" customHeight="1" x14ac:dyDescent="0.15">
      <c r="A29" s="161">
        <v>28</v>
      </c>
      <c r="B29" s="161" t="s">
        <v>219</v>
      </c>
      <c r="C29" s="8">
        <v>1</v>
      </c>
      <c r="D29" s="9">
        <v>76.919998168945312</v>
      </c>
      <c r="E29" s="9">
        <v>42.799999237060547</v>
      </c>
      <c r="F29" s="10"/>
      <c r="G29" s="9">
        <v>0.60000002384185791</v>
      </c>
      <c r="H29" s="10"/>
      <c r="I29">
        <v>0</v>
      </c>
      <c r="J29"/>
    </row>
    <row r="30" spans="1:10" ht="15" customHeight="1" x14ac:dyDescent="0.15">
      <c r="A30" s="162">
        <v>29</v>
      </c>
      <c r="B30" s="162" t="s">
        <v>220</v>
      </c>
      <c r="C30" s="8">
        <v>1</v>
      </c>
      <c r="D30" s="9">
        <v>600</v>
      </c>
      <c r="E30" s="9">
        <v>0.16339869797229767</v>
      </c>
      <c r="F30" s="10"/>
      <c r="G30" s="9">
        <v>0.85072159767150879</v>
      </c>
      <c r="H30" s="10"/>
      <c r="I30">
        <v>0</v>
      </c>
      <c r="J30"/>
    </row>
    <row r="31" spans="1:10" ht="15" customHeight="1" x14ac:dyDescent="0.15">
      <c r="A31" s="163">
        <v>30</v>
      </c>
      <c r="B31" s="163" t="s">
        <v>221</v>
      </c>
      <c r="C31" s="8">
        <v>1</v>
      </c>
      <c r="D31" s="9">
        <v>5</v>
      </c>
      <c r="E31" s="10"/>
      <c r="F31" s="10"/>
      <c r="G31" s="7">
        <v>0</v>
      </c>
      <c r="H31" s="10"/>
      <c r="I31">
        <v>0</v>
      </c>
      <c r="J31"/>
    </row>
    <row r="32" spans="1:10" ht="15" customHeight="1" x14ac:dyDescent="0.15">
      <c r="A32" s="191">
        <v>31</v>
      </c>
      <c r="B32" s="191" t="s">
        <v>222</v>
      </c>
      <c r="C32" s="8">
        <v>4.2907505035400391</v>
      </c>
      <c r="D32" s="10"/>
      <c r="E32" s="10"/>
      <c r="F32" s="10"/>
      <c r="G32" s="10"/>
      <c r="H32" s="10"/>
      <c r="I32">
        <v>9.7330048680305481E-2</v>
      </c>
      <c r="J32"/>
    </row>
    <row r="33" spans="1:10" ht="15" customHeight="1" x14ac:dyDescent="0.15">
      <c r="A33" s="192">
        <v>32</v>
      </c>
      <c r="B33" s="192" t="s">
        <v>223</v>
      </c>
      <c r="C33" s="8">
        <v>4.1474008560180664</v>
      </c>
      <c r="D33" s="10"/>
      <c r="E33" s="10"/>
      <c r="F33" s="10"/>
      <c r="G33" s="10"/>
      <c r="H33" s="10"/>
      <c r="I33">
        <v>7.1499999612569809E-3</v>
      </c>
      <c r="J33"/>
    </row>
    <row r="34" spans="1:10" ht="15" customHeight="1" x14ac:dyDescent="0.15">
      <c r="A34"/>
      <c r="B34"/>
      <c r="C34"/>
      <c r="D34"/>
      <c r="E34"/>
      <c r="F34"/>
      <c r="G34"/>
      <c r="H34"/>
      <c r="I34"/>
      <c r="J34"/>
    </row>
    <row r="35" spans="1:10" ht="15" customHeight="1" x14ac:dyDescent="0.15">
      <c r="A35"/>
      <c r="B35"/>
      <c r="C35"/>
      <c r="D35"/>
      <c r="E35"/>
      <c r="F35"/>
      <c r="G35"/>
      <c r="H35"/>
      <c r="I35"/>
      <c r="J35"/>
    </row>
    <row r="36" spans="1:10" ht="15" customHeight="1" x14ac:dyDescent="0.15">
      <c r="A36"/>
      <c r="B36"/>
      <c r="C36"/>
      <c r="D36"/>
      <c r="E36"/>
      <c r="F36"/>
      <c r="G36"/>
      <c r="H36"/>
      <c r="I36"/>
      <c r="J36"/>
    </row>
    <row r="37" spans="1:10" ht="15" customHeight="1" x14ac:dyDescent="0.15">
      <c r="A37"/>
      <c r="B37"/>
      <c r="C37"/>
      <c r="D37"/>
      <c r="E37"/>
      <c r="F37"/>
      <c r="G37"/>
      <c r="H37"/>
      <c r="I37"/>
      <c r="J37"/>
    </row>
    <row r="38" spans="1:10" ht="15" customHeight="1" x14ac:dyDescent="0.15">
      <c r="A38"/>
      <c r="B38"/>
      <c r="C38"/>
      <c r="D38"/>
      <c r="E38"/>
      <c r="F38"/>
      <c r="G38"/>
      <c r="H38"/>
      <c r="I38"/>
      <c r="J38"/>
    </row>
    <row r="39" spans="1:10" ht="15" customHeight="1" x14ac:dyDescent="0.15">
      <c r="A39"/>
      <c r="B39"/>
      <c r="C39"/>
      <c r="D39"/>
      <c r="E39"/>
      <c r="F39"/>
      <c r="G39"/>
      <c r="H39"/>
      <c r="I39"/>
      <c r="J39"/>
    </row>
    <row r="40" spans="1:10" ht="15" customHeight="1" x14ac:dyDescent="0.15">
      <c r="A40"/>
      <c r="B40"/>
      <c r="C40"/>
      <c r="D40"/>
      <c r="E40"/>
      <c r="F40"/>
      <c r="G40"/>
      <c r="H40"/>
      <c r="I40"/>
      <c r="J40"/>
    </row>
    <row r="41" spans="1:10" ht="15" customHeight="1" x14ac:dyDescent="0.15">
      <c r="A41"/>
      <c r="B41"/>
      <c r="C41"/>
      <c r="D41"/>
      <c r="E41"/>
      <c r="F41"/>
      <c r="G41"/>
      <c r="H41"/>
      <c r="I41"/>
      <c r="J41"/>
    </row>
    <row r="42" spans="1:10" ht="15" customHeight="1" x14ac:dyDescent="0.15">
      <c r="A42"/>
      <c r="B42"/>
      <c r="C42"/>
      <c r="D42"/>
      <c r="E42"/>
      <c r="F42"/>
      <c r="G42"/>
      <c r="H42"/>
      <c r="I42"/>
      <c r="J42"/>
    </row>
    <row r="43" spans="1:10" ht="15" customHeight="1" x14ac:dyDescent="0.15">
      <c r="A43"/>
      <c r="B43"/>
      <c r="C43"/>
      <c r="D43"/>
      <c r="E43"/>
      <c r="F43"/>
      <c r="G43"/>
      <c r="H43"/>
      <c r="I43"/>
      <c r="J43"/>
    </row>
    <row r="44" spans="1:10" ht="15" customHeight="1" x14ac:dyDescent="0.15">
      <c r="A44"/>
      <c r="B44"/>
      <c r="C44"/>
      <c r="D44"/>
      <c r="E44"/>
      <c r="F44"/>
      <c r="G44"/>
      <c r="H44"/>
      <c r="I44"/>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74" bestFit="1" customWidth="1"/>
    <col min="2" max="4" width="9.5" style="74" bestFit="1" customWidth="1"/>
    <col min="5" max="7" width="9" style="74" bestFit="1" customWidth="1"/>
    <col min="8" max="16" width="12.6640625" style="74" bestFit="1" customWidth="1"/>
    <col min="17" max="17" width="12.33203125" style="74" bestFit="1" customWidth="1"/>
    <col min="18" max="18" width="8.83203125" style="74"/>
    <col min="19" max="21" width="9.33203125" style="74" bestFit="1" customWidth="1"/>
    <col min="22" max="23" width="8.83203125" style="74"/>
    <col min="24" max="24" width="9.33203125" style="74" bestFit="1" customWidth="1"/>
    <col min="25" max="27" width="8.83203125" style="74"/>
    <col min="28" max="58" width="9" style="74" bestFit="1" customWidth="1"/>
    <col min="59" max="59" width="12.33203125" style="74" bestFit="1" customWidth="1"/>
    <col min="60" max="60" width="9" style="74" bestFit="1" customWidth="1"/>
    <col min="61" max="61" width="11.33203125" style="74" bestFit="1" customWidth="1"/>
    <col min="62" max="77" width="9" style="74" bestFit="1" customWidth="1"/>
    <col min="78" max="78" width="12.33203125" style="74" bestFit="1" customWidth="1"/>
    <col min="79" max="79" width="9" style="74" bestFit="1" customWidth="1"/>
    <col min="80" max="80" width="12.33203125" style="74" bestFit="1" customWidth="1"/>
    <col min="81" max="107" width="9" style="74" bestFit="1" customWidth="1"/>
    <col min="108" max="108" width="11.33203125" style="74" bestFit="1" customWidth="1"/>
    <col min="109" max="124" width="9" style="74" bestFit="1" customWidth="1"/>
    <col min="125" max="125" width="10.33203125" style="74" bestFit="1" customWidth="1"/>
    <col min="126" max="129" width="9.33203125" style="74" bestFit="1" customWidth="1"/>
    <col min="130" max="130" width="9" style="74" bestFit="1" customWidth="1"/>
    <col min="131" max="134" width="9.33203125" style="74" bestFit="1" customWidth="1"/>
    <col min="135" max="165" width="9" style="74" bestFit="1" customWidth="1"/>
    <col min="166" max="166" width="12.33203125" style="74" bestFit="1" customWidth="1"/>
    <col min="167" max="170" width="9" style="74" bestFit="1" customWidth="1"/>
    <col min="171" max="176" width="8.83203125" style="74"/>
    <col min="177" max="177" width="13.83203125" style="74" bestFit="1" customWidth="1"/>
    <col min="178" max="16384" width="8.83203125" style="74"/>
  </cols>
  <sheetData>
    <row r="1" spans="1:209" ht="15" customHeight="1" x14ac:dyDescent="0.15">
      <c r="A1" t="s">
        <v>15</v>
      </c>
      <c r="B1" t="s">
        <v>1</v>
      </c>
      <c r="C1" t="s">
        <v>16</v>
      </c>
      <c r="D1" t="s">
        <v>228</v>
      </c>
      <c r="E1" t="s">
        <v>229</v>
      </c>
      <c r="F1" t="s">
        <v>192</v>
      </c>
      <c r="G1" t="s">
        <v>193</v>
      </c>
      <c r="H1" t="s">
        <v>194</v>
      </c>
      <c r="I1" t="s">
        <v>195</v>
      </c>
      <c r="J1" t="s">
        <v>196</v>
      </c>
      <c r="K1" t="s">
        <v>197</v>
      </c>
      <c r="L1" t="s">
        <v>198</v>
      </c>
      <c r="M1" t="s">
        <v>199</v>
      </c>
      <c r="N1" t="s">
        <v>200</v>
      </c>
      <c r="O1" t="s">
        <v>201</v>
      </c>
      <c r="P1" t="s">
        <v>202</v>
      </c>
      <c r="Q1" t="s">
        <v>203</v>
      </c>
      <c r="R1" t="s">
        <v>204</v>
      </c>
      <c r="S1" t="s">
        <v>205</v>
      </c>
      <c r="T1" t="s">
        <v>206</v>
      </c>
      <c r="U1" t="s">
        <v>207</v>
      </c>
      <c r="V1" t="s">
        <v>208</v>
      </c>
      <c r="W1" t="s">
        <v>209</v>
      </c>
      <c r="X1" t="s">
        <v>210</v>
      </c>
      <c r="Y1" t="s">
        <v>211</v>
      </c>
      <c r="Z1" t="s">
        <v>212</v>
      </c>
      <c r="AA1" t="s">
        <v>213</v>
      </c>
      <c r="AB1" t="s">
        <v>214</v>
      </c>
      <c r="AC1" t="s">
        <v>215</v>
      </c>
      <c r="AD1" t="s">
        <v>216</v>
      </c>
      <c r="AE1" t="s">
        <v>217</v>
      </c>
      <c r="AF1" t="s">
        <v>218</v>
      </c>
      <c r="AG1" t="s">
        <v>219</v>
      </c>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9.8999999463558197E-2</v>
      </c>
      <c r="C2">
        <v>9.8999999463558197E-2</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9.8999999463558197E-2</v>
      </c>
      <c r="C3">
        <v>9.8999999463558197E-2</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9.8999999463558197E-2</v>
      </c>
      <c r="C4">
        <v>9.8999999463558197E-2</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5.000000074505806E-2</v>
      </c>
      <c r="C5">
        <v>5.000000074505806E-2</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1.9999999552965164E-2</v>
      </c>
      <c r="C6">
        <v>1.9999999552965164E-2</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5.9999998658895493E-2</v>
      </c>
      <c r="C7">
        <v>5.9999998658895493E-2</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5.000000074505806E-2</v>
      </c>
      <c r="C8">
        <v>5.000000074505806E-2</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1.9999999552965164E-2</v>
      </c>
      <c r="C9">
        <v>9.9999899975955486E-4</v>
      </c>
      <c r="D9" s="193">
        <v>1.900000125169754E-2</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3.5999998450279236E-2</v>
      </c>
      <c r="C10">
        <v>3.5999998450279236E-2</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2.9999999329447746E-2</v>
      </c>
      <c r="C11">
        <v>6.4691859297454357E-3</v>
      </c>
      <c r="D11" s="18">
        <v>5.0000002374872565E-4</v>
      </c>
      <c r="E11"/>
      <c r="F11"/>
      <c r="G11"/>
      <c r="H11"/>
      <c r="I11"/>
      <c r="J11"/>
      <c r="K11"/>
      <c r="L11"/>
      <c r="M11" s="201">
        <v>1.8687518313527107E-2</v>
      </c>
      <c r="N11"/>
      <c r="O11" s="25">
        <v>1.4403905952349305E-3</v>
      </c>
      <c r="P11"/>
      <c r="Q11"/>
      <c r="R11"/>
      <c r="S11"/>
      <c r="T11"/>
      <c r="U11"/>
      <c r="V11"/>
      <c r="W11" s="199">
        <v>2.9029031284153461E-3</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0.12999999523162842</v>
      </c>
      <c r="C12">
        <v>0.12999999523162842</v>
      </c>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0.83499997854232788</v>
      </c>
      <c r="C13">
        <v>0.58595067262649536</v>
      </c>
      <c r="D13" s="11">
        <v>8.1081077223643661E-4</v>
      </c>
      <c r="E13"/>
      <c r="F13"/>
      <c r="G13"/>
      <c r="H13"/>
      <c r="I13"/>
      <c r="J13"/>
      <c r="K13"/>
      <c r="L13"/>
      <c r="M13"/>
      <c r="N13"/>
      <c r="O13"/>
      <c r="P13"/>
      <c r="Q13"/>
      <c r="R13"/>
      <c r="S13"/>
      <c r="T13"/>
      <c r="U13"/>
      <c r="V13"/>
      <c r="W13" s="205">
        <v>0.23850876092910767</v>
      </c>
      <c r="X13" s="17">
        <v>9.7297290340065956E-3</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2.3499999046325684</v>
      </c>
      <c r="C14">
        <v>1.5473705530166626</v>
      </c>
      <c r="D14" s="194">
        <v>0.1716911792755127</v>
      </c>
      <c r="E14" s="12">
        <v>8.4558827802538872E-3</v>
      </c>
      <c r="F14"/>
      <c r="G14"/>
      <c r="H14"/>
      <c r="I14"/>
      <c r="J14"/>
      <c r="K14"/>
      <c r="L14"/>
      <c r="M14"/>
      <c r="N14"/>
      <c r="O14"/>
      <c r="P14"/>
      <c r="Q14"/>
      <c r="R14" s="197">
        <v>0.12424000352621078</v>
      </c>
      <c r="S14" s="128">
        <v>0.30613842606544495</v>
      </c>
      <c r="T14"/>
      <c r="U14"/>
      <c r="V14"/>
      <c r="W14" s="203">
        <v>0.19210387766361237</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2.5</v>
      </c>
      <c r="C15">
        <v>0.12500017881393433</v>
      </c>
      <c r="D15" s="195">
        <v>0.46817773580551147</v>
      </c>
      <c r="E15" s="13">
        <v>3.4526381641626358E-3</v>
      </c>
      <c r="F15"/>
      <c r="G15"/>
      <c r="H15"/>
      <c r="I15"/>
      <c r="J15"/>
      <c r="K15"/>
      <c r="L15"/>
      <c r="M15"/>
      <c r="N15"/>
      <c r="O15"/>
      <c r="P15"/>
      <c r="Q15"/>
      <c r="R15" s="204">
        <v>0.58337980508804321</v>
      </c>
      <c r="S15" s="130">
        <v>0.25</v>
      </c>
      <c r="T15" s="24">
        <v>0.19196668267250061</v>
      </c>
      <c r="U15"/>
      <c r="V15"/>
      <c r="W15" s="14">
        <v>2.4054413661360741E-2</v>
      </c>
      <c r="X15" s="61">
        <v>0.1491539478302002</v>
      </c>
      <c r="Y15" s="206">
        <v>0.70481467247009277</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4.7199997901916504</v>
      </c>
      <c r="C16">
        <v>1.2241935729980469</v>
      </c>
      <c r="D16" s="196">
        <v>0.18417266011238098</v>
      </c>
      <c r="E16" s="11">
        <v>1.0791367385536432E-3</v>
      </c>
      <c r="F16"/>
      <c r="G16"/>
      <c r="H16"/>
      <c r="I16"/>
      <c r="J16"/>
      <c r="K16"/>
      <c r="L16"/>
      <c r="M16"/>
      <c r="N16"/>
      <c r="O16"/>
      <c r="P16"/>
      <c r="Q16"/>
      <c r="R16" s="14">
        <v>4.5584458857774734E-2</v>
      </c>
      <c r="S16" s="13">
        <v>1.3023094274103642E-2</v>
      </c>
      <c r="T16" s="129">
        <v>3.2400000095367432</v>
      </c>
      <c r="U16"/>
      <c r="V16"/>
      <c r="W16" s="11">
        <v>4.176839254796505E-3</v>
      </c>
      <c r="X16" s="13">
        <v>7.7697834931313992E-3</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4</v>
      </c>
      <c r="C17">
        <v>1.829991340637207</v>
      </c>
      <c r="D17" s="12">
        <v>1.3846153393387794E-2</v>
      </c>
      <c r="E17"/>
      <c r="F17"/>
      <c r="G17"/>
      <c r="H17"/>
      <c r="I17"/>
      <c r="J17"/>
      <c r="K17"/>
      <c r="L17"/>
      <c r="M17"/>
      <c r="N17"/>
      <c r="O17"/>
      <c r="P17"/>
      <c r="Q17"/>
      <c r="R17" s="21">
        <v>2.2339306771755219E-2</v>
      </c>
      <c r="S17" s="207">
        <v>9.3991667032241821E-2</v>
      </c>
      <c r="T17" s="209">
        <v>1.8337306976318359</v>
      </c>
      <c r="U17"/>
      <c r="V17"/>
      <c r="W17"/>
      <c r="X17"/>
      <c r="Y17" s="63">
        <v>0.20610088109970093</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1.8630000352859497</v>
      </c>
      <c r="C18">
        <v>1.5475527048110962</v>
      </c>
      <c r="D18" s="11">
        <v>3.0731406752693147E-8</v>
      </c>
      <c r="E18" s="11">
        <v>4.9170252168551087E-5</v>
      </c>
      <c r="F18" s="11">
        <v>2.3446965496987104E-4</v>
      </c>
      <c r="G18"/>
      <c r="H18" s="13">
        <v>1.9561105873435736E-3</v>
      </c>
      <c r="I18" s="13">
        <v>2.4766102433204651E-3</v>
      </c>
      <c r="J18" s="11">
        <v>2.25893154492951E-6</v>
      </c>
      <c r="K18"/>
      <c r="L18" s="11">
        <v>2.5604025566394739E-9</v>
      </c>
      <c r="M18" s="11">
        <v>4.4779598829336464E-4</v>
      </c>
      <c r="N18" s="11">
        <v>1.4135215315036476E-4</v>
      </c>
      <c r="O18" s="65">
        <v>0.13118267059326172</v>
      </c>
      <c r="P18" s="13">
        <v>2.9077432118356228E-3</v>
      </c>
      <c r="Q18"/>
      <c r="R18" s="22">
        <v>4.9589097499847412E-2</v>
      </c>
      <c r="S18" s="62">
        <v>0.11726868152618408</v>
      </c>
      <c r="T18" s="11">
        <v>3.4173324820585549E-4</v>
      </c>
      <c r="U18"/>
      <c r="V18"/>
      <c r="W18" s="12">
        <v>8.8496599346399307E-3</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0.40000000596046448</v>
      </c>
      <c r="C19">
        <v>0.29405784606933594</v>
      </c>
      <c r="D19" s="197">
        <v>2.1551724523305893E-2</v>
      </c>
      <c r="E19" s="14">
        <v>4.3103448115289211E-3</v>
      </c>
      <c r="F19"/>
      <c r="G19"/>
      <c r="H19"/>
      <c r="I19"/>
      <c r="J19"/>
      <c r="K19"/>
      <c r="L19"/>
      <c r="M19"/>
      <c r="N19"/>
      <c r="O19"/>
      <c r="P19"/>
      <c r="Q19"/>
      <c r="R19"/>
      <c r="S19"/>
      <c r="T19"/>
      <c r="U19"/>
      <c r="V19"/>
      <c r="W19" s="202">
        <v>8.0080091953277588E-2</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0.1120000034570694</v>
      </c>
      <c r="C20">
        <v>4.5250002294778824E-2</v>
      </c>
      <c r="D20" s="198">
        <v>4.4250000268220901E-2</v>
      </c>
      <c r="E20" s="196">
        <v>4.5000002719461918E-3</v>
      </c>
      <c r="F20"/>
      <c r="G20"/>
      <c r="H20"/>
      <c r="I20"/>
      <c r="J20"/>
      <c r="K20"/>
      <c r="L20"/>
      <c r="M20"/>
      <c r="N20"/>
      <c r="O20"/>
      <c r="P20"/>
      <c r="Q20"/>
      <c r="R20"/>
      <c r="S20"/>
      <c r="T20"/>
      <c r="U20"/>
      <c r="V20"/>
      <c r="W20"/>
      <c r="X20" s="200">
        <v>1.7999999225139618E-2</v>
      </c>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6.2199997901916504</v>
      </c>
      <c r="C21">
        <v>5.8428955078125</v>
      </c>
      <c r="D21" s="22">
        <v>0.17106060683727264</v>
      </c>
      <c r="E21" s="13">
        <v>1.1969697661697865E-2</v>
      </c>
      <c r="F21" s="11">
        <v>1.734009594656527E-3</v>
      </c>
      <c r="G21"/>
      <c r="H21"/>
      <c r="I21" s="12">
        <v>2.8682239353656769E-2</v>
      </c>
      <c r="J21"/>
      <c r="K21"/>
      <c r="L21"/>
      <c r="M21"/>
      <c r="N21"/>
      <c r="O21"/>
      <c r="P21"/>
      <c r="Q21"/>
      <c r="R21" s="20">
        <v>5.1201943308115005E-2</v>
      </c>
      <c r="S21" s="13">
        <v>1.6456454992294312E-2</v>
      </c>
      <c r="T21" s="12">
        <v>2.5272727012634277E-2</v>
      </c>
      <c r="U21"/>
      <c r="V21"/>
      <c r="W21" s="14">
        <v>5.9817396104335785E-2</v>
      </c>
      <c r="X21" s="13">
        <v>1.090908981859684E-2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2.940000057220459</v>
      </c>
      <c r="C22">
        <v>1.5900052785873413</v>
      </c>
      <c r="D22" s="11">
        <v>2.0983407739549875E-3</v>
      </c>
      <c r="E22" s="11">
        <v>1.3273001241032034E-4</v>
      </c>
      <c r="F22" s="11">
        <v>1.1277600424364209E-4</v>
      </c>
      <c r="G22" s="11">
        <v>1.550906404190755E-6</v>
      </c>
      <c r="H22" s="11">
        <v>7.2537706000730395E-4</v>
      </c>
      <c r="I22" s="11">
        <v>8.7452091975137591E-4</v>
      </c>
      <c r="J22" s="11">
        <v>2.2173642832967744E-7</v>
      </c>
      <c r="K22"/>
      <c r="L22"/>
      <c r="M22" s="11">
        <v>7.9402685514651239E-5</v>
      </c>
      <c r="N22"/>
      <c r="O22" s="11">
        <v>1.4656441053375602E-3</v>
      </c>
      <c r="P22"/>
      <c r="Q22" s="11">
        <v>1.5782201080583036E-4</v>
      </c>
      <c r="R22" s="12">
        <v>1.2997413985431194E-2</v>
      </c>
      <c r="S22" s="13">
        <v>3.6914083175361156E-3</v>
      </c>
      <c r="T22" s="11">
        <v>3.3544492907822132E-5</v>
      </c>
      <c r="U22" s="20">
        <v>2.5167811661958694E-2</v>
      </c>
      <c r="V22"/>
      <c r="W22" s="11">
        <v>2.0315940491855145E-4</v>
      </c>
      <c r="X22" s="11">
        <v>2.476017689332366E-4</v>
      </c>
      <c r="Y22" s="11">
        <v>1.2316017819102854E-4</v>
      </c>
      <c r="Z22" s="214">
        <v>0.52029997110366821</v>
      </c>
      <c r="AA22" s="210">
        <v>0.14657682180404663</v>
      </c>
      <c r="AB22" s="196">
        <v>0.1141609326004982</v>
      </c>
      <c r="AC22" s="214">
        <v>0.52084463834762573</v>
      </c>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3.1400001049041748</v>
      </c>
      <c r="C23">
        <v>0.15700022876262665</v>
      </c>
      <c r="D23" s="11">
        <v>8.8995689293369651E-4</v>
      </c>
      <c r="E23" s="11">
        <v>1.0225515143247321E-4</v>
      </c>
      <c r="F23"/>
      <c r="G23"/>
      <c r="H23"/>
      <c r="I23"/>
      <c r="J23"/>
      <c r="K23"/>
      <c r="L23"/>
      <c r="M23"/>
      <c r="N23"/>
      <c r="O23"/>
      <c r="P23" s="11">
        <v>1.7885708075482398E-4</v>
      </c>
      <c r="Q23" s="13">
        <v>7.0546618662774563E-3</v>
      </c>
      <c r="R23"/>
      <c r="S23"/>
      <c r="T23"/>
      <c r="U23"/>
      <c r="V23" s="16">
        <v>4.5758824795484543E-2</v>
      </c>
      <c r="W23"/>
      <c r="X23" s="13">
        <v>4.5468700118362904E-3</v>
      </c>
      <c r="Y23"/>
      <c r="Z23" s="212">
        <v>0.35238587856292725</v>
      </c>
      <c r="AA23" s="98">
        <v>0.60899996757507324</v>
      </c>
      <c r="AB23" s="14">
        <v>3.373381495475769E-2</v>
      </c>
      <c r="AC23" s="211">
        <v>0.3269917368888855</v>
      </c>
      <c r="AD23" s="215">
        <v>1.6023571491241455</v>
      </c>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2.3900001049041748</v>
      </c>
      <c r="C24">
        <v>1.9038411378860474</v>
      </c>
      <c r="D24" s="13">
        <v>5.833333358168602E-3</v>
      </c>
      <c r="E24" s="11">
        <v>1.0158730437979102E-3</v>
      </c>
      <c r="F24" s="11">
        <v>3.6331629962660372E-4</v>
      </c>
      <c r="G24" s="11">
        <v>4.0803611227602232E-6</v>
      </c>
      <c r="H24" s="13">
        <v>4.771081730723381E-3</v>
      </c>
      <c r="I24"/>
      <c r="J24" s="11">
        <v>2.9168900255172048E-6</v>
      </c>
      <c r="K24"/>
      <c r="L24"/>
      <c r="M24"/>
      <c r="N24"/>
      <c r="O24"/>
      <c r="P24" s="11">
        <v>1.6843428602442145E-3</v>
      </c>
      <c r="Q24" s="19">
        <v>4.6712499111890793E-2</v>
      </c>
      <c r="R24" s="14">
        <v>2.1791301667690277E-2</v>
      </c>
      <c r="S24" s="11">
        <v>2.8733492945320904E-4</v>
      </c>
      <c r="T24" s="16">
        <v>3.2653968781232834E-2</v>
      </c>
      <c r="U24"/>
      <c r="V24"/>
      <c r="W24" s="15">
        <v>3.5295616835355759E-2</v>
      </c>
      <c r="X24"/>
      <c r="Y24" s="208">
        <v>0.26354327797889709</v>
      </c>
      <c r="Z24"/>
      <c r="AA24"/>
      <c r="AB24" s="133">
        <v>7.2199992835521698E-2</v>
      </c>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4.7249999046325684</v>
      </c>
      <c r="C25">
        <v>2.5811707973480225</v>
      </c>
      <c r="D25" s="11">
        <v>5.3999996453057975E-5</v>
      </c>
      <c r="E25" s="11">
        <v>5.9999997574777808E-6</v>
      </c>
      <c r="F25"/>
      <c r="G25"/>
      <c r="H25"/>
      <c r="I25"/>
      <c r="J25"/>
      <c r="K25"/>
      <c r="L25" s="12">
        <v>1.8859598785638809E-2</v>
      </c>
      <c r="M25" s="11">
        <v>3.6348466528579593E-4</v>
      </c>
      <c r="N25" s="11">
        <v>1.7739833856467158E-4</v>
      </c>
      <c r="O25" s="16">
        <v>6.7674160003662109E-2</v>
      </c>
      <c r="P25"/>
      <c r="Q25"/>
      <c r="R25" s="13">
        <v>1.0982816107571125E-2</v>
      </c>
      <c r="S25" s="13">
        <v>1.2526651844382286E-2</v>
      </c>
      <c r="T25" s="11">
        <v>2.891200128942728E-3</v>
      </c>
      <c r="U25"/>
      <c r="V25"/>
      <c r="W25" s="13">
        <v>6.7347348667681217E-3</v>
      </c>
      <c r="X25" s="11">
        <v>3.4559995401650667E-4</v>
      </c>
      <c r="Y25" s="21">
        <v>2.6946216821670532E-2</v>
      </c>
      <c r="Z25"/>
      <c r="AA25" s="23">
        <v>0.14950837194919586</v>
      </c>
      <c r="AB25" s="19">
        <v>9.0971998870372772E-2</v>
      </c>
      <c r="AC25" s="65">
        <v>0.32980000972747803</v>
      </c>
      <c r="AD25" s="213">
        <v>1.4259868860244751</v>
      </c>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20</v>
      </c>
      <c r="C26">
        <v>1.0000002384185791</v>
      </c>
      <c r="D26" s="11">
        <v>3.0324686667881906E-4</v>
      </c>
      <c r="E26" s="11">
        <v>2.8209013180457987E-5</v>
      </c>
      <c r="F26"/>
      <c r="G26"/>
      <c r="H26"/>
      <c r="I26"/>
      <c r="J26"/>
      <c r="K26"/>
      <c r="L26" s="11">
        <v>7.78964749770239E-6</v>
      </c>
      <c r="M26"/>
      <c r="N26" s="11">
        <v>2.458768904034514E-6</v>
      </c>
      <c r="O26"/>
      <c r="P26" s="11">
        <v>1.1621946032391861E-4</v>
      </c>
      <c r="Q26"/>
      <c r="R26"/>
      <c r="S26"/>
      <c r="T26"/>
      <c r="U26"/>
      <c r="V26"/>
      <c r="W26"/>
      <c r="X26" s="11">
        <v>4.3544455547817051E-4</v>
      </c>
      <c r="Y26"/>
      <c r="Z26" s="210">
        <v>0.96337747573852539</v>
      </c>
      <c r="AA26" s="69">
        <v>2.8116552829742432</v>
      </c>
      <c r="AB26" s="21">
        <v>0.1273394376039505</v>
      </c>
      <c r="AC26" s="217">
        <v>1.372282862663269</v>
      </c>
      <c r="AD26" s="218">
        <v>3.8092498779296875</v>
      </c>
      <c r="AE26" s="221">
        <v>9.9152021408081055</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12.899999618530273</v>
      </c>
      <c r="C27">
        <v>2.2124288082122803</v>
      </c>
      <c r="D27"/>
      <c r="E27"/>
      <c r="F27" s="11">
        <v>1.9982542653451674E-5</v>
      </c>
      <c r="G27" s="11">
        <v>5.0805578212020919E-5</v>
      </c>
      <c r="H27" s="11">
        <v>2.8497164021246135E-4</v>
      </c>
      <c r="I27" s="11">
        <v>1.3348369975574315E-4</v>
      </c>
      <c r="J27" s="11">
        <v>1.0366254173277412E-5</v>
      </c>
      <c r="K27" s="11">
        <v>1.6907979443203658E-5</v>
      </c>
      <c r="L27"/>
      <c r="M27" s="11">
        <v>7.5298244155419525E-6</v>
      </c>
      <c r="N27" s="11">
        <v>1.1941033335460816E-6</v>
      </c>
      <c r="O27"/>
      <c r="P27" s="11">
        <v>1.7221451344084926E-5</v>
      </c>
      <c r="Q27"/>
      <c r="R27" s="11">
        <v>4.5955483801662922E-4</v>
      </c>
      <c r="S27" s="11">
        <v>2.8446366195566952E-4</v>
      </c>
      <c r="T27" s="11">
        <v>4.7046496183611453E-4</v>
      </c>
      <c r="U27" s="20">
        <v>9.5352642238140106E-2</v>
      </c>
      <c r="V27"/>
      <c r="W27" s="11">
        <v>2.3393529318127548E-6</v>
      </c>
      <c r="X27"/>
      <c r="Y27" s="11">
        <v>3.1941973138600588E-3</v>
      </c>
      <c r="Z27" s="219">
        <v>6.7523355484008789</v>
      </c>
      <c r="AA27" s="18">
        <v>0.23343737423419952</v>
      </c>
      <c r="AB27" s="11">
        <v>3.1157303601503372E-3</v>
      </c>
      <c r="AC27" s="22">
        <v>0.36153194308280945</v>
      </c>
      <c r="AD27" s="200">
        <v>2.0828437805175781</v>
      </c>
      <c r="AE27" s="216">
        <v>1.1540000438690186</v>
      </c>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71.75</v>
      </c>
      <c r="C28">
        <v>28.69999885559082</v>
      </c>
      <c r="D28"/>
      <c r="E28"/>
      <c r="F28"/>
      <c r="G28"/>
      <c r="H28"/>
      <c r="I28"/>
      <c r="J28"/>
      <c r="K28"/>
      <c r="L28"/>
      <c r="M28"/>
      <c r="N28"/>
      <c r="O28"/>
      <c r="P28"/>
      <c r="Q28" s="11">
        <v>3.759363607969135E-4</v>
      </c>
      <c r="R28"/>
      <c r="S28"/>
      <c r="T28"/>
      <c r="U28"/>
      <c r="V28" s="17">
        <v>0.84359371662139893</v>
      </c>
      <c r="W28"/>
      <c r="X28" s="11">
        <v>4.1389071157027502E-6</v>
      </c>
      <c r="Y28"/>
      <c r="Z28"/>
      <c r="AA28" s="18">
        <v>1.2354538440704346</v>
      </c>
      <c r="AB28"/>
      <c r="AC28" s="13">
        <v>9.4792470335960388E-2</v>
      </c>
      <c r="AD28" s="222">
        <v>37.912326812744141</v>
      </c>
      <c r="AE28" s="60">
        <v>2.9634544849395752</v>
      </c>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42.799999237060547</v>
      </c>
      <c r="C29">
        <v>17.119998931884766</v>
      </c>
      <c r="D29"/>
      <c r="E29"/>
      <c r="F29"/>
      <c r="G29"/>
      <c r="H29"/>
      <c r="I29"/>
      <c r="J29"/>
      <c r="K29"/>
      <c r="L29"/>
      <c r="M29"/>
      <c r="N29"/>
      <c r="O29"/>
      <c r="P29"/>
      <c r="Q29"/>
      <c r="R29"/>
      <c r="S29"/>
      <c r="T29"/>
      <c r="U29"/>
      <c r="V29"/>
      <c r="W29"/>
      <c r="X29"/>
      <c r="Y29"/>
      <c r="Z29"/>
      <c r="AA29" s="12">
        <v>0.17736139893531799</v>
      </c>
      <c r="AB29" s="11">
        <v>3.1932448036968708E-3</v>
      </c>
      <c r="AC29"/>
      <c r="AD29" s="133">
        <v>1.2976999282836914</v>
      </c>
      <c r="AE29" s="223">
        <v>24.201744079589844</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c r="C30">
        <v>0.85072159767150879</v>
      </c>
      <c r="D30"/>
      <c r="E30"/>
      <c r="F30"/>
      <c r="G30"/>
      <c r="H30"/>
      <c r="I30"/>
      <c r="J30"/>
      <c r="K30"/>
      <c r="L30"/>
      <c r="M30"/>
      <c r="N30"/>
      <c r="O30"/>
      <c r="P30"/>
      <c r="Q30"/>
      <c r="R30"/>
      <c r="S30"/>
      <c r="T30"/>
      <c r="U30"/>
      <c r="V30"/>
      <c r="W30" s="13">
        <v>4.6446450869552791E-4</v>
      </c>
      <c r="X30" s="21">
        <v>1.0799998417496681E-3</v>
      </c>
      <c r="Y30"/>
      <c r="Z30"/>
      <c r="AA30"/>
      <c r="AB30"/>
      <c r="AC30"/>
      <c r="AD30" s="220">
        <v>2502.60693359375</v>
      </c>
      <c r="AE30" s="220">
        <v>429.599609375</v>
      </c>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c r="C31">
        <v>0</v>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14"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35.5" bestFit="1" customWidth="1"/>
    <col min="5" max="5" width="3.33203125" bestFit="1" customWidth="1"/>
    <col min="6" max="6" width="4.83203125" bestFit="1" customWidth="1"/>
    <col min="7" max="7" width="3.33203125" bestFit="1" customWidth="1"/>
    <col min="8" max="8" width="35.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0"/>
      <c r="D1" s="1" t="s">
        <v>32</v>
      </c>
      <c r="E1" s="1" t="s">
        <v>33</v>
      </c>
      <c r="F1" s="1" t="s">
        <v>34</v>
      </c>
      <c r="G1" s="1" t="s">
        <v>35</v>
      </c>
      <c r="H1" s="1" t="s">
        <v>36</v>
      </c>
      <c r="J1" s="1" t="s">
        <v>130</v>
      </c>
      <c r="K1" s="1" t="s">
        <v>131</v>
      </c>
      <c r="L1" s="58" t="s">
        <v>166</v>
      </c>
    </row>
    <row r="2" spans="1:12" x14ac:dyDescent="0.15">
      <c r="A2" s="1" t="s">
        <v>37</v>
      </c>
      <c r="B2" s="35">
        <v>3</v>
      </c>
      <c r="C2" s="33"/>
      <c r="D2" t="s">
        <v>38</v>
      </c>
      <c r="E2">
        <v>1</v>
      </c>
      <c r="F2">
        <v>1</v>
      </c>
      <c r="G2">
        <v>1</v>
      </c>
      <c r="H2" t="s">
        <v>38</v>
      </c>
      <c r="J2" s="51"/>
      <c r="K2" s="52"/>
      <c r="L2" s="58" t="s">
        <v>167</v>
      </c>
    </row>
    <row r="3" spans="1:12" ht="14" thickBot="1" x14ac:dyDescent="0.2">
      <c r="A3" s="1" t="s">
        <v>39</v>
      </c>
      <c r="B3" s="36">
        <v>0</v>
      </c>
      <c r="C3" s="33"/>
      <c r="D3" t="s">
        <v>40</v>
      </c>
      <c r="E3">
        <v>2</v>
      </c>
      <c r="F3">
        <v>1.1000000000000001</v>
      </c>
      <c r="G3">
        <v>2</v>
      </c>
      <c r="H3" t="s">
        <v>40</v>
      </c>
      <c r="J3" s="53"/>
      <c r="K3" s="54"/>
    </row>
    <row r="4" spans="1:12" x14ac:dyDescent="0.15">
      <c r="D4" t="s">
        <v>41</v>
      </c>
      <c r="E4">
        <v>3</v>
      </c>
      <c r="F4">
        <v>1.2</v>
      </c>
      <c r="G4">
        <v>3</v>
      </c>
      <c r="H4" t="s">
        <v>41</v>
      </c>
      <c r="J4" s="53"/>
      <c r="K4" s="54"/>
    </row>
    <row r="5" spans="1:12" x14ac:dyDescent="0.15">
      <c r="D5" s="183" t="s">
        <v>192</v>
      </c>
      <c r="E5">
        <v>4</v>
      </c>
      <c r="F5">
        <v>3.16</v>
      </c>
      <c r="G5">
        <v>4</v>
      </c>
      <c r="H5" s="184" t="s">
        <v>192</v>
      </c>
      <c r="J5" s="53"/>
      <c r="K5" s="54"/>
    </row>
    <row r="6" spans="1:12" ht="14" thickBot="1" x14ac:dyDescent="0.2">
      <c r="A6" s="37" t="s">
        <v>121</v>
      </c>
      <c r="D6" s="183" t="s">
        <v>193</v>
      </c>
      <c r="E6">
        <v>5</v>
      </c>
      <c r="F6">
        <v>3.16</v>
      </c>
      <c r="G6">
        <v>5</v>
      </c>
      <c r="H6" s="184" t="s">
        <v>193</v>
      </c>
      <c r="J6" s="53"/>
      <c r="K6" s="54"/>
    </row>
    <row r="7" spans="1:12" x14ac:dyDescent="0.15">
      <c r="A7" s="32" t="s">
        <v>126</v>
      </c>
      <c r="B7" s="39">
        <v>1</v>
      </c>
      <c r="C7" s="34"/>
      <c r="D7" s="183" t="s">
        <v>194</v>
      </c>
      <c r="E7">
        <v>6</v>
      </c>
      <c r="F7">
        <v>3.16</v>
      </c>
      <c r="G7">
        <v>6</v>
      </c>
      <c r="H7" s="184" t="s">
        <v>194</v>
      </c>
      <c r="J7" s="53"/>
      <c r="K7" s="54"/>
    </row>
    <row r="8" spans="1:12" x14ac:dyDescent="0.15">
      <c r="A8" s="32" t="s">
        <v>38</v>
      </c>
      <c r="B8" s="40">
        <v>1</v>
      </c>
      <c r="C8" s="34"/>
      <c r="D8" s="183" t="s">
        <v>195</v>
      </c>
      <c r="E8">
        <v>7</v>
      </c>
      <c r="F8">
        <v>3.16</v>
      </c>
      <c r="G8">
        <v>7</v>
      </c>
      <c r="H8" s="184" t="s">
        <v>195</v>
      </c>
      <c r="J8" s="53"/>
      <c r="K8" s="54"/>
    </row>
    <row r="9" spans="1:12" x14ac:dyDescent="0.15">
      <c r="A9" s="32" t="s">
        <v>40</v>
      </c>
      <c r="B9" s="40">
        <v>1.1000000000000001</v>
      </c>
      <c r="C9" s="34"/>
      <c r="D9" s="183" t="s">
        <v>196</v>
      </c>
      <c r="E9">
        <v>8</v>
      </c>
      <c r="F9">
        <v>3.16</v>
      </c>
      <c r="G9">
        <v>8</v>
      </c>
      <c r="H9" s="184" t="s">
        <v>196</v>
      </c>
      <c r="J9" s="53"/>
      <c r="K9" s="54"/>
    </row>
    <row r="10" spans="1:12" x14ac:dyDescent="0.15">
      <c r="A10" s="32" t="s">
        <v>41</v>
      </c>
      <c r="B10" s="40">
        <v>1.2</v>
      </c>
      <c r="C10" s="34"/>
      <c r="D10" s="183" t="s">
        <v>197</v>
      </c>
      <c r="E10">
        <v>9</v>
      </c>
      <c r="F10">
        <v>3.16</v>
      </c>
      <c r="G10">
        <v>9</v>
      </c>
      <c r="H10" s="184" t="s">
        <v>197</v>
      </c>
      <c r="J10" s="53"/>
      <c r="K10" s="54"/>
    </row>
    <row r="11" spans="1:12" ht="12" customHeight="1" x14ac:dyDescent="0.15">
      <c r="A11" s="38" t="s">
        <v>127</v>
      </c>
      <c r="B11" s="40">
        <v>2</v>
      </c>
      <c r="C11" s="34"/>
      <c r="D11" s="183" t="s">
        <v>198</v>
      </c>
      <c r="E11">
        <v>10</v>
      </c>
      <c r="F11">
        <v>3.16</v>
      </c>
      <c r="G11">
        <v>10</v>
      </c>
      <c r="H11" s="184" t="s">
        <v>198</v>
      </c>
      <c r="J11" s="53"/>
      <c r="K11" s="54"/>
    </row>
    <row r="12" spans="1:12" x14ac:dyDescent="0.15">
      <c r="A12" s="32" t="s">
        <v>42</v>
      </c>
      <c r="B12" s="40">
        <v>2.1</v>
      </c>
      <c r="C12" s="34"/>
      <c r="D12" s="183" t="s">
        <v>199</v>
      </c>
      <c r="E12">
        <v>11</v>
      </c>
      <c r="F12">
        <v>3.16</v>
      </c>
      <c r="G12">
        <v>11</v>
      </c>
      <c r="H12" s="184" t="s">
        <v>199</v>
      </c>
      <c r="J12" s="53"/>
      <c r="K12" s="54"/>
    </row>
    <row r="13" spans="1:12" x14ac:dyDescent="0.15">
      <c r="A13" s="32" t="s">
        <v>43</v>
      </c>
      <c r="B13" s="40">
        <v>2.2000000000000002</v>
      </c>
      <c r="C13" s="34"/>
      <c r="D13" s="183" t="s">
        <v>200</v>
      </c>
      <c r="E13">
        <v>12</v>
      </c>
      <c r="F13">
        <v>3.16</v>
      </c>
      <c r="G13">
        <v>12</v>
      </c>
      <c r="H13" s="184" t="s">
        <v>200</v>
      </c>
      <c r="J13" s="53"/>
      <c r="K13" s="54"/>
    </row>
    <row r="14" spans="1:12" x14ac:dyDescent="0.15">
      <c r="A14" s="32" t="s">
        <v>67</v>
      </c>
      <c r="B14" s="40">
        <v>2.2999999999999998</v>
      </c>
      <c r="C14" s="34"/>
      <c r="D14" s="183" t="s">
        <v>201</v>
      </c>
      <c r="E14">
        <v>13</v>
      </c>
      <c r="F14">
        <v>3.16</v>
      </c>
      <c r="G14">
        <v>13</v>
      </c>
      <c r="H14" s="184" t="s">
        <v>201</v>
      </c>
      <c r="J14" s="53"/>
      <c r="K14" s="54"/>
    </row>
    <row r="15" spans="1:12" x14ac:dyDescent="0.15">
      <c r="A15" s="38" t="s">
        <v>128</v>
      </c>
      <c r="B15" s="40">
        <v>3</v>
      </c>
      <c r="C15" s="34"/>
      <c r="D15" s="183" t="s">
        <v>202</v>
      </c>
      <c r="E15">
        <v>14</v>
      </c>
      <c r="F15">
        <v>3.16</v>
      </c>
      <c r="G15">
        <v>14</v>
      </c>
      <c r="H15" s="184" t="s">
        <v>202</v>
      </c>
      <c r="J15" s="53"/>
      <c r="K15" s="54"/>
    </row>
    <row r="16" spans="1:12" x14ac:dyDescent="0.15">
      <c r="A16" s="32" t="s">
        <v>62</v>
      </c>
      <c r="B16" s="40">
        <v>3.11</v>
      </c>
      <c r="C16" s="34"/>
      <c r="D16" s="183" t="s">
        <v>203</v>
      </c>
      <c r="E16">
        <v>15</v>
      </c>
      <c r="F16">
        <v>3.15</v>
      </c>
      <c r="G16">
        <v>15</v>
      </c>
      <c r="H16" s="184" t="s">
        <v>203</v>
      </c>
      <c r="J16" s="53"/>
      <c r="K16" s="54"/>
    </row>
    <row r="17" spans="1:12" x14ac:dyDescent="0.15">
      <c r="A17" s="32" t="s">
        <v>61</v>
      </c>
      <c r="B17" s="40">
        <v>3.12</v>
      </c>
      <c r="C17" s="34"/>
      <c r="D17" s="183" t="s">
        <v>204</v>
      </c>
      <c r="E17">
        <v>16</v>
      </c>
      <c r="F17">
        <v>3.14</v>
      </c>
      <c r="G17">
        <v>16</v>
      </c>
      <c r="H17" s="184" t="s">
        <v>204</v>
      </c>
      <c r="J17" s="53"/>
      <c r="K17" s="54"/>
    </row>
    <row r="18" spans="1:12" x14ac:dyDescent="0.15">
      <c r="A18" s="32" t="s">
        <v>68</v>
      </c>
      <c r="B18" s="40">
        <v>3.13</v>
      </c>
      <c r="C18" s="34"/>
      <c r="D18" s="183" t="s">
        <v>205</v>
      </c>
      <c r="E18">
        <v>17</v>
      </c>
      <c r="F18">
        <v>3.14</v>
      </c>
      <c r="G18">
        <v>17</v>
      </c>
      <c r="H18" s="184" t="s">
        <v>205</v>
      </c>
      <c r="J18" s="53"/>
      <c r="K18" s="54"/>
    </row>
    <row r="19" spans="1:12" x14ac:dyDescent="0.15">
      <c r="A19" s="32" t="s">
        <v>66</v>
      </c>
      <c r="B19" s="40">
        <v>3.21</v>
      </c>
      <c r="C19" s="34"/>
      <c r="D19" s="183" t="s">
        <v>206</v>
      </c>
      <c r="E19">
        <v>18</v>
      </c>
      <c r="F19">
        <v>3.14</v>
      </c>
      <c r="G19">
        <v>18</v>
      </c>
      <c r="H19" s="184" t="s">
        <v>206</v>
      </c>
      <c r="J19" s="53"/>
      <c r="K19" s="54"/>
    </row>
    <row r="20" spans="1:12" x14ac:dyDescent="0.15">
      <c r="A20" s="32" t="s">
        <v>63</v>
      </c>
      <c r="B20" s="40">
        <v>3.22</v>
      </c>
      <c r="C20" s="34"/>
      <c r="D20" s="183" t="s">
        <v>207</v>
      </c>
      <c r="E20">
        <v>19</v>
      </c>
      <c r="F20">
        <v>3.14</v>
      </c>
      <c r="G20">
        <v>19</v>
      </c>
      <c r="H20" s="184" t="s">
        <v>207</v>
      </c>
      <c r="J20" s="53"/>
      <c r="K20" s="54"/>
    </row>
    <row r="21" spans="1:12" ht="14" thickBot="1" x14ac:dyDescent="0.2">
      <c r="A21" s="32" t="s">
        <v>69</v>
      </c>
      <c r="B21" s="40">
        <v>3.23</v>
      </c>
      <c r="C21" s="34"/>
      <c r="D21" s="183" t="s">
        <v>208</v>
      </c>
      <c r="E21">
        <v>20</v>
      </c>
      <c r="F21">
        <v>3.1</v>
      </c>
      <c r="G21">
        <v>20</v>
      </c>
      <c r="H21" s="184" t="s">
        <v>208</v>
      </c>
      <c r="J21" s="55"/>
      <c r="K21" s="56"/>
      <c r="L21" s="58" t="s">
        <v>152</v>
      </c>
    </row>
    <row r="22" spans="1:12" x14ac:dyDescent="0.15">
      <c r="A22" s="32" t="s">
        <v>64</v>
      </c>
      <c r="B22" s="40">
        <v>8</v>
      </c>
      <c r="C22" s="34"/>
      <c r="D22" s="183" t="s">
        <v>209</v>
      </c>
      <c r="E22">
        <v>21</v>
      </c>
      <c r="F22">
        <v>3.14</v>
      </c>
      <c r="G22">
        <v>21</v>
      </c>
      <c r="H22" s="184" t="s">
        <v>209</v>
      </c>
    </row>
    <row r="23" spans="1:12" x14ac:dyDescent="0.15">
      <c r="A23" s="32" t="s">
        <v>129</v>
      </c>
      <c r="B23" s="40">
        <v>4</v>
      </c>
      <c r="C23" s="34"/>
      <c r="D23" s="183" t="s">
        <v>210</v>
      </c>
      <c r="E23">
        <v>22</v>
      </c>
      <c r="F23">
        <v>3.24</v>
      </c>
      <c r="G23">
        <v>22</v>
      </c>
      <c r="H23" s="184" t="s">
        <v>210</v>
      </c>
    </row>
    <row r="24" spans="1:12" x14ac:dyDescent="0.15">
      <c r="A24" s="32" t="s">
        <v>122</v>
      </c>
      <c r="B24" s="40">
        <v>4.0999999999999996</v>
      </c>
      <c r="C24" s="34"/>
      <c r="D24" s="183" t="s">
        <v>211</v>
      </c>
      <c r="E24">
        <v>23</v>
      </c>
      <c r="F24">
        <v>3.14</v>
      </c>
      <c r="G24">
        <v>23</v>
      </c>
      <c r="H24" s="184" t="s">
        <v>211</v>
      </c>
    </row>
    <row r="25" spans="1:12" x14ac:dyDescent="0.15">
      <c r="A25" s="32" t="s">
        <v>70</v>
      </c>
      <c r="B25" s="40">
        <v>4.2</v>
      </c>
      <c r="C25" s="34"/>
      <c r="D25" s="183" t="s">
        <v>212</v>
      </c>
      <c r="E25">
        <v>24</v>
      </c>
      <c r="F25">
        <v>3.14</v>
      </c>
      <c r="G25">
        <v>24</v>
      </c>
      <c r="H25" s="184" t="s">
        <v>212</v>
      </c>
    </row>
    <row r="26" spans="1:12" x14ac:dyDescent="0.15">
      <c r="A26" s="32" t="s">
        <v>123</v>
      </c>
      <c r="B26" s="40">
        <v>4.3</v>
      </c>
      <c r="C26" s="34"/>
      <c r="D26" s="183" t="s">
        <v>213</v>
      </c>
      <c r="E26">
        <v>25</v>
      </c>
      <c r="F26">
        <v>3.24</v>
      </c>
      <c r="G26">
        <v>25</v>
      </c>
      <c r="H26" s="184" t="s">
        <v>213</v>
      </c>
    </row>
    <row r="27" spans="1:12" x14ac:dyDescent="0.15">
      <c r="A27" s="32" t="s">
        <v>125</v>
      </c>
      <c r="B27" s="40">
        <v>6.1</v>
      </c>
      <c r="D27" s="183" t="s">
        <v>214</v>
      </c>
      <c r="E27">
        <v>26</v>
      </c>
      <c r="F27">
        <v>3</v>
      </c>
      <c r="G27">
        <v>26</v>
      </c>
      <c r="H27" s="184" t="s">
        <v>214</v>
      </c>
    </row>
    <row r="28" spans="1:12" x14ac:dyDescent="0.15">
      <c r="A28" s="32" t="s">
        <v>124</v>
      </c>
      <c r="B28" s="40">
        <v>6.2</v>
      </c>
      <c r="D28" s="183" t="s">
        <v>215</v>
      </c>
      <c r="E28">
        <v>27</v>
      </c>
      <c r="F28">
        <v>3.13</v>
      </c>
      <c r="G28">
        <v>27</v>
      </c>
      <c r="H28" s="184" t="s">
        <v>215</v>
      </c>
    </row>
    <row r="29" spans="1:12" x14ac:dyDescent="0.15">
      <c r="A29" s="32" t="s">
        <v>44</v>
      </c>
      <c r="B29" s="40">
        <v>5</v>
      </c>
      <c r="D29" s="183" t="s">
        <v>216</v>
      </c>
      <c r="E29">
        <v>28</v>
      </c>
      <c r="F29">
        <v>3.21</v>
      </c>
      <c r="G29">
        <v>28</v>
      </c>
      <c r="H29" s="184" t="s">
        <v>216</v>
      </c>
    </row>
    <row r="30" spans="1:12" x14ac:dyDescent="0.15">
      <c r="A30" s="32" t="s">
        <v>73</v>
      </c>
      <c r="B30" s="40">
        <v>7</v>
      </c>
      <c r="D30" s="183" t="s">
        <v>217</v>
      </c>
      <c r="E30">
        <v>29</v>
      </c>
      <c r="F30">
        <v>3.11</v>
      </c>
      <c r="G30">
        <v>29</v>
      </c>
      <c r="H30" s="184" t="s">
        <v>217</v>
      </c>
    </row>
    <row r="31" spans="1:12" x14ac:dyDescent="0.15">
      <c r="A31" s="32" t="s">
        <v>169</v>
      </c>
      <c r="B31" s="40">
        <v>3.14</v>
      </c>
      <c r="D31" s="183" t="s">
        <v>218</v>
      </c>
      <c r="E31">
        <v>30</v>
      </c>
      <c r="F31">
        <v>2.2000000000000002</v>
      </c>
      <c r="G31">
        <v>30</v>
      </c>
      <c r="H31" s="184" t="s">
        <v>218</v>
      </c>
    </row>
    <row r="32" spans="1:12" ht="12" customHeight="1" thickBot="1" x14ac:dyDescent="0.2">
      <c r="A32" s="38" t="s">
        <v>170</v>
      </c>
      <c r="B32" s="41">
        <v>9</v>
      </c>
      <c r="D32" s="183" t="s">
        <v>219</v>
      </c>
      <c r="E32">
        <v>31</v>
      </c>
      <c r="F32">
        <v>2.1</v>
      </c>
      <c r="G32">
        <v>31</v>
      </c>
      <c r="H32" s="184" t="s">
        <v>219</v>
      </c>
    </row>
    <row r="33" spans="4:8" customFormat="1" ht="12" customHeight="1" x14ac:dyDescent="0.15">
      <c r="D33" s="183" t="s">
        <v>220</v>
      </c>
      <c r="E33">
        <v>32</v>
      </c>
      <c r="F33">
        <v>4.0999999999999996</v>
      </c>
      <c r="G33">
        <v>32</v>
      </c>
      <c r="H33" s="184" t="s">
        <v>220</v>
      </c>
    </row>
    <row r="34" spans="4:8" customFormat="1" ht="12" customHeight="1" x14ac:dyDescent="0.15">
      <c r="D34" s="183" t="s">
        <v>221</v>
      </c>
      <c r="E34">
        <v>33</v>
      </c>
      <c r="F34">
        <v>4.3</v>
      </c>
      <c r="G34">
        <v>33</v>
      </c>
      <c r="H34" s="184" t="s">
        <v>221</v>
      </c>
    </row>
    <row r="35" spans="4:8" customFormat="1" x14ac:dyDescent="0.15">
      <c r="D35" s="183" t="s">
        <v>222</v>
      </c>
      <c r="E35">
        <v>34</v>
      </c>
      <c r="F35">
        <v>5</v>
      </c>
      <c r="G35">
        <v>34</v>
      </c>
      <c r="H35" s="184" t="s">
        <v>222</v>
      </c>
    </row>
    <row r="36" spans="4:8" customFormat="1" x14ac:dyDescent="0.15">
      <c r="D36" s="183" t="s">
        <v>223</v>
      </c>
      <c r="E36">
        <v>35</v>
      </c>
      <c r="F36">
        <v>5</v>
      </c>
      <c r="G36">
        <v>35</v>
      </c>
      <c r="H36" s="184" t="s">
        <v>223</v>
      </c>
    </row>
    <row r="37" spans="4:8" customFormat="1" ht="12" customHeight="1" x14ac:dyDescent="0.15">
      <c r="D37" s="183" t="s">
        <v>138</v>
      </c>
      <c r="E37">
        <v>36</v>
      </c>
      <c r="F37">
        <v>6.1</v>
      </c>
      <c r="G37">
        <v>36</v>
      </c>
      <c r="H37" s="184" t="s">
        <v>138</v>
      </c>
    </row>
    <row r="38" spans="4:8" customFormat="1" x14ac:dyDescent="0.15">
      <c r="D38" s="183" t="s">
        <v>45</v>
      </c>
      <c r="E38">
        <v>37</v>
      </c>
      <c r="F38">
        <v>6.2</v>
      </c>
      <c r="G38">
        <v>37</v>
      </c>
      <c r="H38" s="184" t="s">
        <v>45</v>
      </c>
    </row>
    <row r="39" spans="4:8" customFormat="1" x14ac:dyDescent="0.15"/>
    <row r="40" spans="4:8" customFormat="1" x14ac:dyDescent="0.15"/>
    <row r="41" spans="4:8" customFormat="1" x14ac:dyDescent="0.15"/>
    <row r="42" spans="4:8" customFormat="1" x14ac:dyDescent="0.15"/>
    <row r="43" spans="4:8" customFormat="1" x14ac:dyDescent="0.15"/>
    <row r="44" spans="4:8" customFormat="1" x14ac:dyDescent="0.15"/>
    <row r="45" spans="4:8" customFormat="1" x14ac:dyDescent="0.15"/>
    <row r="46" spans="4:8" customFormat="1" x14ac:dyDescent="0.15"/>
    <row r="47" spans="4:8" customFormat="1" x14ac:dyDescent="0.15"/>
    <row r="48" spans="4:8" customFormat="1" x14ac:dyDescent="0.15"/>
    <row r="49" customFormat="1" x14ac:dyDescent="0.15"/>
    <row r="50" customFormat="1" ht="12" customHeight="1" x14ac:dyDescent="0.15"/>
    <row r="51" customFormat="1" x14ac:dyDescent="0.15"/>
    <row r="52" customFormat="1" ht="12" customHeight="1" x14ac:dyDescent="0.15"/>
    <row r="53" customFormat="1" x14ac:dyDescent="0.15"/>
    <row r="54" customFormat="1" ht="12" customHeight="1" x14ac:dyDescent="0.15"/>
    <row r="55" customFormat="1" ht="12" customHeight="1" x14ac:dyDescent="0.15"/>
    <row r="56" customFormat="1" x14ac:dyDescent="0.15"/>
    <row r="57" customFormat="1" x14ac:dyDescent="0.15"/>
    <row r="58" customFormat="1" x14ac:dyDescent="0.15"/>
    <row r="59" customFormat="1" x14ac:dyDescent="0.15"/>
    <row r="60" customFormat="1" x14ac:dyDescent="0.15"/>
    <row r="61" customFormat="1" x14ac:dyDescent="0.15"/>
    <row r="62" customFormat="1" x14ac:dyDescent="0.15"/>
    <row r="63" customFormat="1" x14ac:dyDescent="0.15"/>
    <row r="64"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6.33203125" style="75" bestFit="1" customWidth="1"/>
    <col min="2" max="2" width="12.83203125" style="74" customWidth="1"/>
    <col min="3" max="3" width="16.33203125" style="74" customWidth="1"/>
    <col min="4" max="4" width="11.83203125" style="74" customWidth="1"/>
    <col min="5" max="5" width="12.83203125" style="74" customWidth="1"/>
    <col min="6" max="6" width="35.5" style="74" bestFit="1" customWidth="1"/>
    <col min="7" max="9" width="2.33203125" style="74" customWidth="1"/>
    <col min="10" max="10" width="2.33203125" style="74" bestFit="1" customWidth="1"/>
    <col min="11" max="15" width="2.33203125" style="74" customWidth="1"/>
    <col min="16" max="16" width="2.33203125" style="66" customWidth="1"/>
    <col min="17" max="17" width="2.33203125" style="74" customWidth="1"/>
    <col min="18" max="18" width="2.33203125" style="67" customWidth="1"/>
    <col min="19" max="16384" width="11.5" style="74"/>
  </cols>
  <sheetData>
    <row r="1" spans="1:23" ht="15" customHeight="1" thickBot="1" x14ac:dyDescent="0.2">
      <c r="F1" s="1"/>
      <c r="G1" s="64" t="s">
        <v>46</v>
      </c>
      <c r="H1" s="64" t="s">
        <v>47</v>
      </c>
      <c r="I1" s="64" t="s">
        <v>120</v>
      </c>
      <c r="J1" s="64" t="s">
        <v>132</v>
      </c>
      <c r="K1" s="76" t="s">
        <v>48</v>
      </c>
      <c r="L1" s="67"/>
      <c r="M1" s="76" t="s">
        <v>119</v>
      </c>
      <c r="N1" s="67"/>
      <c r="O1" s="76" t="s">
        <v>49</v>
      </c>
      <c r="P1" s="68"/>
      <c r="Q1" s="76" t="s">
        <v>50</v>
      </c>
      <c r="R1" s="64" t="s">
        <v>154</v>
      </c>
    </row>
    <row r="2" spans="1:23" ht="15" customHeight="1" x14ac:dyDescent="0.15">
      <c r="A2" s="76" t="s">
        <v>51</v>
      </c>
      <c r="B2" s="77">
        <v>0.5</v>
      </c>
      <c r="C2" s="75" t="s">
        <v>52</v>
      </c>
      <c r="D2" s="78"/>
      <c r="F2" s="1"/>
      <c r="G2" s="79"/>
      <c r="H2" s="79"/>
      <c r="I2" s="79" t="s">
        <v>133</v>
      </c>
      <c r="J2" s="79" t="s">
        <v>133</v>
      </c>
      <c r="K2" s="79" t="s">
        <v>52</v>
      </c>
      <c r="L2" s="79" t="s">
        <v>53</v>
      </c>
      <c r="M2" s="79" t="s">
        <v>52</v>
      </c>
      <c r="N2" s="79" t="s">
        <v>53</v>
      </c>
      <c r="O2" s="79" t="s">
        <v>52</v>
      </c>
      <c r="P2" s="80" t="s">
        <v>53</v>
      </c>
      <c r="Q2" s="79"/>
      <c r="R2" s="81" t="s">
        <v>155</v>
      </c>
    </row>
    <row r="3" spans="1:23" ht="15" customHeight="1" thickBot="1" x14ac:dyDescent="0.2">
      <c r="A3" s="76" t="s">
        <v>54</v>
      </c>
      <c r="B3" s="82">
        <v>0.5</v>
      </c>
      <c r="C3" s="75" t="s">
        <v>53</v>
      </c>
      <c r="D3" s="78"/>
      <c r="F3" t="s">
        <v>38</v>
      </c>
      <c r="G3">
        <v>0</v>
      </c>
      <c r="H3">
        <v>0</v>
      </c>
      <c r="I3">
        <v>0</v>
      </c>
      <c r="J3">
        <v>0</v>
      </c>
      <c r="K3">
        <v>0</v>
      </c>
      <c r="L3">
        <v>0</v>
      </c>
      <c r="M3">
        <v>0</v>
      </c>
      <c r="N3">
        <v>0</v>
      </c>
      <c r="O3">
        <v>0</v>
      </c>
      <c r="P3">
        <v>0</v>
      </c>
      <c r="Q3" s="127">
        <v>0</v>
      </c>
      <c r="R3" s="34">
        <v>0</v>
      </c>
    </row>
    <row r="4" spans="1:23" ht="15" customHeight="1" thickBot="1" x14ac:dyDescent="0.2">
      <c r="F4" t="s">
        <v>40</v>
      </c>
      <c r="G4">
        <v>0</v>
      </c>
      <c r="H4">
        <v>0</v>
      </c>
      <c r="I4">
        <v>0</v>
      </c>
      <c r="J4">
        <v>0</v>
      </c>
      <c r="K4">
        <v>0</v>
      </c>
      <c r="L4">
        <v>0</v>
      </c>
      <c r="M4">
        <v>0</v>
      </c>
      <c r="N4">
        <v>0</v>
      </c>
      <c r="O4">
        <v>0</v>
      </c>
      <c r="P4">
        <v>0</v>
      </c>
      <c r="Q4" s="127">
        <v>0</v>
      </c>
      <c r="R4" s="100">
        <v>0</v>
      </c>
    </row>
    <row r="5" spans="1:23" ht="15" customHeight="1" x14ac:dyDescent="0.15">
      <c r="A5" s="76" t="s">
        <v>55</v>
      </c>
      <c r="B5" s="83">
        <v>0.5</v>
      </c>
      <c r="C5" s="75" t="s">
        <v>52</v>
      </c>
      <c r="D5" s="78"/>
      <c r="F5" t="s">
        <v>41</v>
      </c>
      <c r="G5">
        <v>0</v>
      </c>
      <c r="H5">
        <v>0</v>
      </c>
      <c r="I5">
        <v>0</v>
      </c>
      <c r="J5">
        <v>0</v>
      </c>
      <c r="K5">
        <v>0</v>
      </c>
      <c r="L5">
        <v>0</v>
      </c>
      <c r="M5">
        <v>0</v>
      </c>
      <c r="N5">
        <v>0</v>
      </c>
      <c r="O5">
        <v>0</v>
      </c>
      <c r="P5">
        <v>0</v>
      </c>
      <c r="Q5" s="127">
        <v>0</v>
      </c>
      <c r="R5" s="100">
        <v>0</v>
      </c>
    </row>
    <row r="6" spans="1:23" ht="15" customHeight="1" thickBot="1" x14ac:dyDescent="0.2">
      <c r="A6" s="76"/>
      <c r="B6" s="84">
        <v>0.5</v>
      </c>
      <c r="C6" s="75" t="s">
        <v>53</v>
      </c>
      <c r="D6" s="78"/>
      <c r="F6" s="185" t="s">
        <v>192</v>
      </c>
      <c r="G6" s="74">
        <v>0</v>
      </c>
      <c r="H6" s="74">
        <v>0</v>
      </c>
      <c r="I6" s="74">
        <v>0</v>
      </c>
      <c r="J6" s="74">
        <v>0</v>
      </c>
      <c r="K6" s="74">
        <v>1</v>
      </c>
      <c r="L6" s="74">
        <v>0</v>
      </c>
      <c r="M6" s="74">
        <v>1</v>
      </c>
      <c r="N6" s="74">
        <v>0</v>
      </c>
      <c r="O6" s="74">
        <v>1</v>
      </c>
      <c r="P6" s="66">
        <v>0</v>
      </c>
      <c r="Q6" s="74">
        <v>0</v>
      </c>
      <c r="R6" s="67">
        <v>1</v>
      </c>
      <c r="S6"/>
      <c r="T6"/>
    </row>
    <row r="7" spans="1:23" ht="15" customHeight="1" thickBot="1" x14ac:dyDescent="0.2">
      <c r="F7" s="185" t="s">
        <v>193</v>
      </c>
      <c r="G7" s="74">
        <v>0</v>
      </c>
      <c r="H7" s="74">
        <v>0</v>
      </c>
      <c r="I7" s="74">
        <v>0</v>
      </c>
      <c r="J7" s="74">
        <v>0</v>
      </c>
      <c r="K7" s="74">
        <v>1</v>
      </c>
      <c r="L7" s="74">
        <v>0</v>
      </c>
      <c r="M7" s="74">
        <v>1</v>
      </c>
      <c r="N7" s="74">
        <v>0</v>
      </c>
      <c r="O7" s="74">
        <v>1</v>
      </c>
      <c r="P7" s="66">
        <v>0</v>
      </c>
      <c r="Q7" s="74">
        <v>0</v>
      </c>
      <c r="R7" s="67">
        <v>1</v>
      </c>
      <c r="S7"/>
      <c r="T7"/>
    </row>
    <row r="8" spans="1:23" ht="15" customHeight="1" x14ac:dyDescent="0.15">
      <c r="A8" s="76" t="s">
        <v>56</v>
      </c>
      <c r="B8" s="83">
        <v>0.27490406248458199</v>
      </c>
      <c r="C8" s="186" t="s">
        <v>218</v>
      </c>
      <c r="D8" s="78" t="s">
        <v>160</v>
      </c>
      <c r="F8" s="185" t="s">
        <v>194</v>
      </c>
      <c r="G8" s="74">
        <v>0</v>
      </c>
      <c r="H8" s="74">
        <v>0</v>
      </c>
      <c r="I8" s="74">
        <v>0</v>
      </c>
      <c r="J8" s="74">
        <v>0</v>
      </c>
      <c r="K8" s="74">
        <v>1</v>
      </c>
      <c r="L8" s="74">
        <v>0</v>
      </c>
      <c r="M8" s="74">
        <v>1</v>
      </c>
      <c r="N8" s="74">
        <v>0</v>
      </c>
      <c r="O8" s="74">
        <v>1</v>
      </c>
      <c r="P8" s="66">
        <v>0</v>
      </c>
      <c r="Q8" s="74">
        <v>0</v>
      </c>
      <c r="R8" s="67">
        <v>1</v>
      </c>
      <c r="S8"/>
      <c r="T8"/>
      <c r="W8"/>
    </row>
    <row r="9" spans="1:23" ht="15" customHeight="1" x14ac:dyDescent="0.15">
      <c r="A9" s="114" t="s">
        <v>168</v>
      </c>
      <c r="B9" s="85">
        <v>0.72509593751541801</v>
      </c>
      <c r="C9" s="186" t="s">
        <v>219</v>
      </c>
      <c r="D9" s="78" t="s">
        <v>160</v>
      </c>
      <c r="F9" s="185" t="s">
        <v>195</v>
      </c>
      <c r="G9" s="74">
        <v>0</v>
      </c>
      <c r="H9" s="74">
        <v>0</v>
      </c>
      <c r="I9" s="74">
        <v>0</v>
      </c>
      <c r="J9" s="74">
        <v>0</v>
      </c>
      <c r="K9" s="74">
        <v>1</v>
      </c>
      <c r="L9" s="74">
        <v>0</v>
      </c>
      <c r="M9" s="74">
        <v>1</v>
      </c>
      <c r="N9" s="74">
        <v>0</v>
      </c>
      <c r="O9" s="74">
        <v>1</v>
      </c>
      <c r="P9" s="66">
        <v>0</v>
      </c>
      <c r="Q9" s="74">
        <v>0</v>
      </c>
      <c r="R9" s="67">
        <v>1</v>
      </c>
      <c r="S9"/>
      <c r="T9"/>
      <c r="W9"/>
    </row>
    <row r="10" spans="1:23" ht="15" customHeight="1" x14ac:dyDescent="0.15">
      <c r="B10" s="85"/>
      <c r="C10" s="73"/>
      <c r="D10" s="78" t="s">
        <v>160</v>
      </c>
      <c r="F10" s="185" t="s">
        <v>196</v>
      </c>
      <c r="G10" s="74">
        <v>0</v>
      </c>
      <c r="H10" s="74">
        <v>0</v>
      </c>
      <c r="I10" s="74">
        <v>0</v>
      </c>
      <c r="J10" s="74">
        <v>0</v>
      </c>
      <c r="K10" s="74">
        <v>1</v>
      </c>
      <c r="L10" s="74">
        <v>0</v>
      </c>
      <c r="M10" s="74">
        <v>1</v>
      </c>
      <c r="N10" s="74">
        <v>0</v>
      </c>
      <c r="O10" s="74">
        <v>1</v>
      </c>
      <c r="P10" s="66">
        <v>0</v>
      </c>
      <c r="Q10" s="74">
        <v>0</v>
      </c>
      <c r="R10" s="67">
        <v>1</v>
      </c>
      <c r="S10"/>
      <c r="T10"/>
      <c r="W10"/>
    </row>
    <row r="11" spans="1:23" ht="15" customHeight="1" x14ac:dyDescent="0.15">
      <c r="A11" s="76"/>
      <c r="B11" s="85"/>
      <c r="C11" s="88"/>
      <c r="D11" s="78" t="s">
        <v>160</v>
      </c>
      <c r="F11" s="185" t="s">
        <v>197</v>
      </c>
      <c r="G11" s="74">
        <v>0</v>
      </c>
      <c r="H11" s="74">
        <v>0</v>
      </c>
      <c r="I11" s="74">
        <v>0</v>
      </c>
      <c r="J11" s="74">
        <v>0</v>
      </c>
      <c r="K11" s="74">
        <v>1</v>
      </c>
      <c r="L11" s="74">
        <v>0</v>
      </c>
      <c r="M11" s="74">
        <v>1</v>
      </c>
      <c r="N11" s="74">
        <v>0</v>
      </c>
      <c r="O11" s="74">
        <v>1</v>
      </c>
      <c r="P11" s="66">
        <v>0</v>
      </c>
      <c r="Q11" s="74">
        <v>0</v>
      </c>
      <c r="R11" s="67">
        <v>1</v>
      </c>
      <c r="S11"/>
      <c r="T11"/>
      <c r="W11"/>
    </row>
    <row r="12" spans="1:23" ht="15" customHeight="1" x14ac:dyDescent="0.15">
      <c r="B12" s="85"/>
      <c r="C12" s="89"/>
      <c r="D12" s="78" t="s">
        <v>160</v>
      </c>
      <c r="F12" s="185" t="s">
        <v>198</v>
      </c>
      <c r="G12" s="74">
        <v>0</v>
      </c>
      <c r="H12" s="74">
        <v>0</v>
      </c>
      <c r="I12" s="74">
        <v>0</v>
      </c>
      <c r="J12" s="74">
        <v>0</v>
      </c>
      <c r="K12" s="74">
        <v>1</v>
      </c>
      <c r="L12" s="74">
        <v>0</v>
      </c>
      <c r="M12" s="74">
        <v>1</v>
      </c>
      <c r="N12" s="74">
        <v>0</v>
      </c>
      <c r="O12" s="74">
        <v>1</v>
      </c>
      <c r="P12" s="66">
        <v>0</v>
      </c>
      <c r="Q12" s="74">
        <v>0</v>
      </c>
      <c r="R12" s="67">
        <v>1</v>
      </c>
      <c r="S12"/>
      <c r="T12"/>
      <c r="W12"/>
    </row>
    <row r="13" spans="1:23" ht="15" customHeight="1" x14ac:dyDescent="0.15">
      <c r="B13" s="85"/>
      <c r="C13" s="89"/>
      <c r="D13" s="78" t="s">
        <v>160</v>
      </c>
      <c r="F13" s="185" t="s">
        <v>199</v>
      </c>
      <c r="G13" s="74">
        <v>0</v>
      </c>
      <c r="H13" s="74">
        <v>0</v>
      </c>
      <c r="I13" s="74">
        <v>0</v>
      </c>
      <c r="J13" s="74">
        <v>0</v>
      </c>
      <c r="K13" s="74">
        <v>1</v>
      </c>
      <c r="L13" s="74">
        <v>0</v>
      </c>
      <c r="M13" s="74">
        <v>1</v>
      </c>
      <c r="N13" s="74">
        <v>0</v>
      </c>
      <c r="O13" s="74">
        <v>1</v>
      </c>
      <c r="P13" s="66">
        <v>0</v>
      </c>
      <c r="Q13" s="74">
        <v>0</v>
      </c>
      <c r="R13" s="67">
        <v>1</v>
      </c>
      <c r="S13"/>
      <c r="T13"/>
      <c r="W13"/>
    </row>
    <row r="14" spans="1:23" ht="15" customHeight="1" x14ac:dyDescent="0.15">
      <c r="B14" s="85"/>
      <c r="C14" s="73"/>
      <c r="D14" s="78" t="s">
        <v>160</v>
      </c>
      <c r="F14" s="185" t="s">
        <v>200</v>
      </c>
      <c r="G14" s="74">
        <v>0</v>
      </c>
      <c r="H14" s="74">
        <v>0</v>
      </c>
      <c r="I14" s="74">
        <v>0</v>
      </c>
      <c r="J14" s="74">
        <v>0</v>
      </c>
      <c r="K14" s="74">
        <v>1</v>
      </c>
      <c r="L14" s="74">
        <v>0</v>
      </c>
      <c r="M14" s="74">
        <v>1</v>
      </c>
      <c r="N14" s="74">
        <v>0</v>
      </c>
      <c r="O14" s="74">
        <v>1</v>
      </c>
      <c r="P14" s="66">
        <v>0</v>
      </c>
      <c r="Q14" s="74">
        <v>0</v>
      </c>
      <c r="R14" s="67">
        <v>1</v>
      </c>
      <c r="S14"/>
      <c r="T14"/>
      <c r="W14"/>
    </row>
    <row r="15" spans="1:23" ht="15" customHeight="1" x14ac:dyDescent="0.15">
      <c r="B15" s="85"/>
      <c r="C15" s="73"/>
      <c r="D15" s="78" t="s">
        <v>160</v>
      </c>
      <c r="F15" s="185" t="s">
        <v>201</v>
      </c>
      <c r="G15" s="74">
        <v>0</v>
      </c>
      <c r="H15" s="74">
        <v>0</v>
      </c>
      <c r="I15" s="74">
        <v>0</v>
      </c>
      <c r="J15" s="74">
        <v>0</v>
      </c>
      <c r="K15" s="74">
        <v>1</v>
      </c>
      <c r="L15" s="74">
        <v>0</v>
      </c>
      <c r="M15" s="74">
        <v>1</v>
      </c>
      <c r="N15" s="74">
        <v>0</v>
      </c>
      <c r="O15" s="74">
        <v>1</v>
      </c>
      <c r="P15" s="66">
        <v>0</v>
      </c>
      <c r="Q15" s="74">
        <v>0</v>
      </c>
      <c r="R15" s="67">
        <v>1</v>
      </c>
      <c r="S15"/>
      <c r="T15"/>
      <c r="W15"/>
    </row>
    <row r="16" spans="1:23" ht="15" customHeight="1" x14ac:dyDescent="0.15">
      <c r="B16" s="85"/>
      <c r="C16" s="73"/>
      <c r="D16" s="78" t="s">
        <v>160</v>
      </c>
      <c r="F16" s="185" t="s">
        <v>202</v>
      </c>
      <c r="G16" s="74">
        <v>0</v>
      </c>
      <c r="H16" s="74">
        <v>0</v>
      </c>
      <c r="I16" s="74">
        <v>0</v>
      </c>
      <c r="J16" s="74">
        <v>0</v>
      </c>
      <c r="K16" s="74">
        <v>1</v>
      </c>
      <c r="L16" s="74">
        <v>0</v>
      </c>
      <c r="M16" s="74">
        <v>1</v>
      </c>
      <c r="N16" s="74">
        <v>0</v>
      </c>
      <c r="O16" s="74">
        <v>1</v>
      </c>
      <c r="P16" s="66">
        <v>0</v>
      </c>
      <c r="Q16" s="74">
        <v>0</v>
      </c>
      <c r="R16" s="67">
        <v>1</v>
      </c>
      <c r="S16"/>
      <c r="T16"/>
    </row>
    <row r="17" spans="1:20" ht="15" customHeight="1" thickBot="1" x14ac:dyDescent="0.2">
      <c r="B17" s="84"/>
      <c r="C17" s="73"/>
      <c r="D17" s="78" t="s">
        <v>160</v>
      </c>
      <c r="F17" s="185" t="s">
        <v>203</v>
      </c>
      <c r="G17" s="74">
        <v>0</v>
      </c>
      <c r="H17" s="74">
        <v>0</v>
      </c>
      <c r="I17" s="74">
        <v>0</v>
      </c>
      <c r="J17" s="74">
        <v>0</v>
      </c>
      <c r="K17" s="74">
        <v>1</v>
      </c>
      <c r="L17" s="74">
        <v>0</v>
      </c>
      <c r="M17" s="74">
        <v>1</v>
      </c>
      <c r="N17" s="74">
        <v>0</v>
      </c>
      <c r="O17" s="74">
        <v>1</v>
      </c>
      <c r="P17" s="66">
        <v>0</v>
      </c>
      <c r="Q17" s="74">
        <v>0</v>
      </c>
      <c r="R17" s="67">
        <v>1</v>
      </c>
      <c r="S17"/>
      <c r="T17"/>
    </row>
    <row r="18" spans="1:20" ht="15" customHeight="1" thickBot="1" x14ac:dyDescent="0.2">
      <c r="B18" s="86"/>
      <c r="F18" s="185" t="s">
        <v>204</v>
      </c>
      <c r="G18" s="74">
        <v>0</v>
      </c>
      <c r="H18" s="74">
        <v>0</v>
      </c>
      <c r="I18" s="74">
        <v>0</v>
      </c>
      <c r="J18" s="74">
        <v>0</v>
      </c>
      <c r="K18" s="74">
        <v>1</v>
      </c>
      <c r="L18" s="74">
        <v>0</v>
      </c>
      <c r="M18" s="74">
        <v>1</v>
      </c>
      <c r="N18" s="74">
        <v>0</v>
      </c>
      <c r="O18" s="74">
        <v>1</v>
      </c>
      <c r="P18" s="66">
        <v>0</v>
      </c>
      <c r="Q18" s="74">
        <v>0</v>
      </c>
      <c r="R18" s="67">
        <v>1</v>
      </c>
      <c r="S18"/>
      <c r="T18"/>
    </row>
    <row r="19" spans="1:20" ht="15" customHeight="1" x14ac:dyDescent="0.15">
      <c r="A19" s="76" t="s">
        <v>57</v>
      </c>
      <c r="B19" s="83">
        <v>0.27490406248458199</v>
      </c>
      <c r="C19" s="187" t="s">
        <v>218</v>
      </c>
      <c r="D19" s="78" t="s">
        <v>160</v>
      </c>
      <c r="F19" s="185" t="s">
        <v>205</v>
      </c>
      <c r="G19" s="74">
        <v>0</v>
      </c>
      <c r="H19" s="74">
        <v>0</v>
      </c>
      <c r="I19" s="74">
        <v>0</v>
      </c>
      <c r="J19" s="74">
        <v>0</v>
      </c>
      <c r="K19" s="74">
        <v>1</v>
      </c>
      <c r="L19" s="74">
        <v>0</v>
      </c>
      <c r="M19" s="74">
        <v>1</v>
      </c>
      <c r="N19" s="74">
        <v>0</v>
      </c>
      <c r="O19" s="74">
        <v>1</v>
      </c>
      <c r="P19" s="66">
        <v>0</v>
      </c>
      <c r="Q19" s="74">
        <v>0</v>
      </c>
      <c r="R19" s="67">
        <v>1</v>
      </c>
      <c r="S19"/>
      <c r="T19"/>
    </row>
    <row r="20" spans="1:20" ht="15" customHeight="1" x14ac:dyDescent="0.15">
      <c r="A20" s="114" t="s">
        <v>168</v>
      </c>
      <c r="B20" s="85">
        <v>0.72509593751541801</v>
      </c>
      <c r="C20" s="187" t="s">
        <v>219</v>
      </c>
      <c r="D20" s="78" t="s">
        <v>160</v>
      </c>
      <c r="F20" s="185" t="s">
        <v>206</v>
      </c>
      <c r="G20" s="74">
        <v>0</v>
      </c>
      <c r="H20" s="74">
        <v>0</v>
      </c>
      <c r="I20" s="74">
        <v>0</v>
      </c>
      <c r="J20" s="74">
        <v>0</v>
      </c>
      <c r="K20" s="74">
        <v>1</v>
      </c>
      <c r="L20" s="74">
        <v>0</v>
      </c>
      <c r="M20" s="74">
        <v>1</v>
      </c>
      <c r="N20" s="74">
        <v>0</v>
      </c>
      <c r="O20" s="74">
        <v>1</v>
      </c>
      <c r="P20" s="66">
        <v>0</v>
      </c>
      <c r="Q20" s="74">
        <v>0</v>
      </c>
      <c r="R20" s="67">
        <v>1</v>
      </c>
      <c r="S20"/>
      <c r="T20"/>
    </row>
    <row r="21" spans="1:20" ht="15" customHeight="1" x14ac:dyDescent="0.15">
      <c r="B21" s="85"/>
      <c r="C21" s="73"/>
      <c r="D21" s="78" t="s">
        <v>160</v>
      </c>
      <c r="F21" s="185" t="s">
        <v>207</v>
      </c>
      <c r="G21" s="74">
        <v>0</v>
      </c>
      <c r="H21" s="74">
        <v>0</v>
      </c>
      <c r="I21" s="74">
        <v>0</v>
      </c>
      <c r="J21" s="74">
        <v>0</v>
      </c>
      <c r="K21" s="74">
        <v>1</v>
      </c>
      <c r="L21" s="74">
        <v>0</v>
      </c>
      <c r="M21" s="74">
        <v>1</v>
      </c>
      <c r="N21" s="74">
        <v>0</v>
      </c>
      <c r="O21" s="74">
        <v>1</v>
      </c>
      <c r="P21" s="66">
        <v>0</v>
      </c>
      <c r="Q21" s="74">
        <v>0</v>
      </c>
      <c r="R21" s="67">
        <v>1</v>
      </c>
      <c r="S21"/>
      <c r="T21"/>
    </row>
    <row r="22" spans="1:20" ht="15" customHeight="1" x14ac:dyDescent="0.15">
      <c r="A22" s="74"/>
      <c r="B22" s="85"/>
      <c r="C22" s="88"/>
      <c r="D22" s="78" t="s">
        <v>160</v>
      </c>
      <c r="F22" s="185" t="s">
        <v>208</v>
      </c>
      <c r="G22" s="74">
        <v>0</v>
      </c>
      <c r="H22" s="74">
        <v>0</v>
      </c>
      <c r="I22" s="74">
        <v>0</v>
      </c>
      <c r="J22" s="74">
        <v>0</v>
      </c>
      <c r="K22" s="74">
        <v>1</v>
      </c>
      <c r="L22" s="74">
        <v>0</v>
      </c>
      <c r="M22" s="74">
        <v>1</v>
      </c>
      <c r="N22" s="74">
        <v>0</v>
      </c>
      <c r="O22" s="74">
        <v>1</v>
      </c>
      <c r="P22" s="66">
        <v>0</v>
      </c>
      <c r="Q22" s="74">
        <v>0</v>
      </c>
      <c r="R22" s="67">
        <v>1</v>
      </c>
      <c r="S22"/>
      <c r="T22"/>
    </row>
    <row r="23" spans="1:20" ht="15" customHeight="1" x14ac:dyDescent="0.15">
      <c r="A23" s="74"/>
      <c r="B23" s="85"/>
      <c r="C23" s="89"/>
      <c r="D23" s="78" t="s">
        <v>160</v>
      </c>
      <c r="F23" s="185" t="s">
        <v>209</v>
      </c>
      <c r="G23" s="74">
        <v>0</v>
      </c>
      <c r="H23" s="74">
        <v>0</v>
      </c>
      <c r="I23" s="74">
        <v>0</v>
      </c>
      <c r="J23" s="74">
        <v>0</v>
      </c>
      <c r="K23" s="74">
        <v>1</v>
      </c>
      <c r="L23" s="74">
        <v>0</v>
      </c>
      <c r="M23" s="74">
        <v>1</v>
      </c>
      <c r="N23" s="74">
        <v>0</v>
      </c>
      <c r="O23" s="74">
        <v>1</v>
      </c>
      <c r="P23" s="66">
        <v>0</v>
      </c>
      <c r="Q23" s="74">
        <v>0</v>
      </c>
      <c r="R23" s="67">
        <v>1</v>
      </c>
      <c r="S23"/>
      <c r="T23"/>
    </row>
    <row r="24" spans="1:20" ht="15" customHeight="1" x14ac:dyDescent="0.15">
      <c r="A24" s="74"/>
      <c r="B24" s="85"/>
      <c r="C24" s="89"/>
      <c r="D24" s="78" t="s">
        <v>160</v>
      </c>
      <c r="F24" s="185" t="s">
        <v>210</v>
      </c>
      <c r="G24" s="74">
        <v>0</v>
      </c>
      <c r="H24" s="74">
        <v>0</v>
      </c>
      <c r="I24" s="74">
        <v>0</v>
      </c>
      <c r="J24" s="74">
        <v>0</v>
      </c>
      <c r="K24" s="74">
        <v>1</v>
      </c>
      <c r="L24" s="74">
        <v>0</v>
      </c>
      <c r="M24" s="74">
        <v>1</v>
      </c>
      <c r="N24" s="74">
        <v>0</v>
      </c>
      <c r="O24" s="74">
        <v>1</v>
      </c>
      <c r="P24" s="66">
        <v>0</v>
      </c>
      <c r="Q24" s="74">
        <v>0</v>
      </c>
      <c r="R24" s="67">
        <v>1</v>
      </c>
      <c r="S24"/>
      <c r="T24"/>
    </row>
    <row r="25" spans="1:20" ht="15" customHeight="1" x14ac:dyDescent="0.15">
      <c r="A25" s="74"/>
      <c r="B25" s="85"/>
      <c r="C25" s="73"/>
      <c r="D25" s="78" t="s">
        <v>160</v>
      </c>
      <c r="F25" s="185" t="s">
        <v>211</v>
      </c>
      <c r="G25" s="74">
        <v>0</v>
      </c>
      <c r="H25" s="74">
        <v>0</v>
      </c>
      <c r="I25" s="74">
        <v>0</v>
      </c>
      <c r="J25" s="74">
        <v>0</v>
      </c>
      <c r="K25" s="74">
        <v>1</v>
      </c>
      <c r="L25" s="74">
        <v>0</v>
      </c>
      <c r="M25" s="74">
        <v>1</v>
      </c>
      <c r="N25" s="74">
        <v>0</v>
      </c>
      <c r="O25" s="74">
        <v>1</v>
      </c>
      <c r="P25" s="66">
        <v>0</v>
      </c>
      <c r="Q25" s="74">
        <v>0</v>
      </c>
      <c r="R25" s="67">
        <v>1</v>
      </c>
      <c r="S25"/>
      <c r="T25"/>
    </row>
    <row r="26" spans="1:20" ht="15" customHeight="1" x14ac:dyDescent="0.15">
      <c r="B26" s="85"/>
      <c r="C26" s="73"/>
      <c r="D26" s="78" t="s">
        <v>160</v>
      </c>
      <c r="F26" s="185" t="s">
        <v>212</v>
      </c>
      <c r="G26" s="74">
        <v>0</v>
      </c>
      <c r="H26" s="74">
        <v>0</v>
      </c>
      <c r="I26" s="74">
        <v>0</v>
      </c>
      <c r="J26" s="74">
        <v>0</v>
      </c>
      <c r="K26" s="74">
        <v>1</v>
      </c>
      <c r="L26" s="74">
        <v>0</v>
      </c>
      <c r="M26" s="74">
        <v>1</v>
      </c>
      <c r="N26" s="74">
        <v>0</v>
      </c>
      <c r="O26" s="74">
        <v>1</v>
      </c>
      <c r="P26" s="66">
        <v>0</v>
      </c>
      <c r="Q26" s="74">
        <v>0</v>
      </c>
      <c r="R26" s="67">
        <v>1</v>
      </c>
      <c r="S26"/>
      <c r="T26"/>
    </row>
    <row r="27" spans="1:20" ht="15" customHeight="1" x14ac:dyDescent="0.15">
      <c r="B27" s="85"/>
      <c r="C27" s="73"/>
      <c r="D27" s="78" t="s">
        <v>160</v>
      </c>
      <c r="F27" s="185" t="s">
        <v>213</v>
      </c>
      <c r="G27" s="74">
        <v>0</v>
      </c>
      <c r="H27" s="74">
        <v>0</v>
      </c>
      <c r="I27" s="74">
        <v>0</v>
      </c>
      <c r="J27" s="74">
        <v>0</v>
      </c>
      <c r="K27" s="74">
        <v>1</v>
      </c>
      <c r="L27" s="74">
        <v>0</v>
      </c>
      <c r="M27" s="74">
        <v>1</v>
      </c>
      <c r="N27" s="74">
        <v>0</v>
      </c>
      <c r="O27" s="74">
        <v>1</v>
      </c>
      <c r="P27" s="66">
        <v>0</v>
      </c>
      <c r="Q27" s="74">
        <v>0</v>
      </c>
      <c r="R27" s="67">
        <v>1</v>
      </c>
      <c r="S27"/>
      <c r="T27"/>
    </row>
    <row r="28" spans="1:20" ht="15" customHeight="1" thickBot="1" x14ac:dyDescent="0.2">
      <c r="B28" s="84"/>
      <c r="C28" s="73"/>
      <c r="D28" s="78" t="s">
        <v>160</v>
      </c>
      <c r="F28" s="185" t="s">
        <v>214</v>
      </c>
      <c r="G28" s="74">
        <v>0</v>
      </c>
      <c r="H28" s="74">
        <v>0</v>
      </c>
      <c r="I28" s="74">
        <v>0</v>
      </c>
      <c r="J28" s="74">
        <v>0</v>
      </c>
      <c r="K28" s="74">
        <v>1</v>
      </c>
      <c r="L28" s="74">
        <v>0</v>
      </c>
      <c r="M28" s="74">
        <v>1</v>
      </c>
      <c r="N28" s="74">
        <v>0</v>
      </c>
      <c r="O28" s="74">
        <v>1</v>
      </c>
      <c r="P28" s="66">
        <v>0</v>
      </c>
      <c r="Q28" s="74">
        <v>0</v>
      </c>
      <c r="R28" s="67">
        <v>1</v>
      </c>
      <c r="S28"/>
      <c r="T28"/>
    </row>
    <row r="29" spans="1:20" ht="15" customHeight="1" x14ac:dyDescent="0.15">
      <c r="F29" s="185" t="s">
        <v>215</v>
      </c>
      <c r="G29" s="74">
        <v>0</v>
      </c>
      <c r="H29" s="74">
        <v>0</v>
      </c>
      <c r="I29" s="74">
        <v>0</v>
      </c>
      <c r="J29" s="74">
        <v>0</v>
      </c>
      <c r="K29" s="74">
        <v>1</v>
      </c>
      <c r="L29" s="74">
        <v>0</v>
      </c>
      <c r="M29" s="74">
        <v>1</v>
      </c>
      <c r="N29" s="74">
        <v>0</v>
      </c>
      <c r="O29" s="74">
        <v>1</v>
      </c>
      <c r="P29" s="66">
        <v>0</v>
      </c>
      <c r="Q29" s="74">
        <v>0</v>
      </c>
      <c r="R29" s="67">
        <v>1</v>
      </c>
      <c r="S29"/>
      <c r="T29"/>
    </row>
    <row r="30" spans="1:20" ht="15" customHeight="1" x14ac:dyDescent="0.15">
      <c r="F30" s="185" t="s">
        <v>216</v>
      </c>
      <c r="G30" s="74">
        <v>0</v>
      </c>
      <c r="H30" s="74">
        <v>0</v>
      </c>
      <c r="I30" s="74">
        <v>0</v>
      </c>
      <c r="J30" s="74">
        <v>0</v>
      </c>
      <c r="K30" s="74">
        <v>1</v>
      </c>
      <c r="L30" s="74">
        <v>0</v>
      </c>
      <c r="M30" s="74">
        <v>1</v>
      </c>
      <c r="N30" s="74">
        <v>0</v>
      </c>
      <c r="O30" s="74">
        <v>1</v>
      </c>
      <c r="P30" s="66">
        <v>0</v>
      </c>
      <c r="Q30" s="74">
        <v>0</v>
      </c>
      <c r="R30" s="67">
        <v>1</v>
      </c>
      <c r="S30"/>
      <c r="T30"/>
    </row>
    <row r="31" spans="1:20" ht="15" customHeight="1" x14ac:dyDescent="0.15">
      <c r="A31" s="115"/>
      <c r="B31" s="125" t="s">
        <v>17</v>
      </c>
      <c r="C31" s="125" t="s">
        <v>1</v>
      </c>
      <c r="D31" s="125" t="s">
        <v>161</v>
      </c>
      <c r="E31" s="126" t="s">
        <v>163</v>
      </c>
      <c r="F31" s="185" t="s">
        <v>217</v>
      </c>
      <c r="G31" s="74">
        <v>0</v>
      </c>
      <c r="H31" s="74">
        <v>0</v>
      </c>
      <c r="I31" s="74">
        <v>0</v>
      </c>
      <c r="J31" s="74">
        <v>0</v>
      </c>
      <c r="K31" s="74">
        <v>1</v>
      </c>
      <c r="L31" s="74">
        <v>0</v>
      </c>
      <c r="M31" s="74">
        <v>1</v>
      </c>
      <c r="N31" s="74">
        <v>0</v>
      </c>
      <c r="O31" s="74">
        <v>1</v>
      </c>
      <c r="P31" s="66">
        <v>0</v>
      </c>
      <c r="Q31" s="74">
        <v>0</v>
      </c>
      <c r="R31" s="67">
        <v>1</v>
      </c>
      <c r="S31"/>
      <c r="T31"/>
    </row>
    <row r="32" spans="1:20" ht="15" customHeight="1" x14ac:dyDescent="0.15">
      <c r="A32" s="188" t="s">
        <v>218</v>
      </c>
      <c r="B32" s="86">
        <v>17.3958969</v>
      </c>
      <c r="C32" s="86">
        <v>71.75</v>
      </c>
      <c r="D32" s="86">
        <v>1248.1556025750001</v>
      </c>
      <c r="E32" s="116">
        <v>0.27490406248458199</v>
      </c>
      <c r="F32" s="185" t="s">
        <v>218</v>
      </c>
      <c r="G32" s="74">
        <v>0</v>
      </c>
      <c r="H32" s="74">
        <v>0</v>
      </c>
      <c r="I32" s="74">
        <v>0</v>
      </c>
      <c r="J32" s="74">
        <v>0</v>
      </c>
      <c r="K32" s="74">
        <v>0</v>
      </c>
      <c r="L32" s="74">
        <v>0</v>
      </c>
      <c r="M32" s="74">
        <v>1</v>
      </c>
      <c r="N32" s="74">
        <v>0</v>
      </c>
      <c r="O32" s="74">
        <v>0</v>
      </c>
      <c r="P32" s="66">
        <v>0</v>
      </c>
      <c r="Q32" s="74">
        <v>0</v>
      </c>
      <c r="R32" s="67">
        <v>1</v>
      </c>
      <c r="S32"/>
      <c r="T32"/>
    </row>
    <row r="33" spans="1:20" ht="15" customHeight="1" x14ac:dyDescent="0.15">
      <c r="A33" s="188" t="s">
        <v>219</v>
      </c>
      <c r="B33" s="86">
        <v>76.92</v>
      </c>
      <c r="C33" s="86">
        <v>42.8</v>
      </c>
      <c r="D33" s="86">
        <v>3292.1759999999999</v>
      </c>
      <c r="E33" s="116">
        <v>0.72509593751541801</v>
      </c>
      <c r="F33" s="185" t="s">
        <v>219</v>
      </c>
      <c r="G33" s="74">
        <v>0</v>
      </c>
      <c r="H33" s="74">
        <v>0</v>
      </c>
      <c r="I33" s="74">
        <v>0</v>
      </c>
      <c r="J33" s="74">
        <v>0</v>
      </c>
      <c r="K33" s="74">
        <v>0</v>
      </c>
      <c r="L33" s="74">
        <v>0</v>
      </c>
      <c r="M33" s="74">
        <v>1</v>
      </c>
      <c r="N33" s="74">
        <v>0</v>
      </c>
      <c r="O33" s="74">
        <v>0</v>
      </c>
      <c r="P33" s="66">
        <v>0</v>
      </c>
      <c r="Q33" s="74">
        <v>0</v>
      </c>
      <c r="R33" s="67">
        <v>1</v>
      </c>
      <c r="S33"/>
      <c r="T33"/>
    </row>
    <row r="34" spans="1:20" ht="15" customHeight="1" x14ac:dyDescent="0.15">
      <c r="A34" s="117"/>
      <c r="B34" s="86"/>
      <c r="C34" s="86"/>
      <c r="D34" s="86"/>
      <c r="E34" s="116"/>
      <c r="F34" s="185" t="s">
        <v>220</v>
      </c>
      <c r="G34" s="74">
        <v>0</v>
      </c>
      <c r="H34" s="74">
        <v>0</v>
      </c>
      <c r="I34" s="74">
        <v>0</v>
      </c>
      <c r="J34" s="74">
        <v>0</v>
      </c>
      <c r="K34" s="74">
        <v>0</v>
      </c>
      <c r="L34" s="74">
        <v>1</v>
      </c>
      <c r="M34" s="74">
        <v>0</v>
      </c>
      <c r="N34" s="74">
        <v>1</v>
      </c>
      <c r="O34" s="74">
        <v>0</v>
      </c>
      <c r="P34" s="66">
        <v>1</v>
      </c>
      <c r="Q34" s="74">
        <v>0</v>
      </c>
      <c r="R34" s="67">
        <v>1</v>
      </c>
      <c r="S34"/>
      <c r="T34"/>
    </row>
    <row r="35" spans="1:20" ht="15" customHeight="1" x14ac:dyDescent="0.15">
      <c r="A35" s="118"/>
      <c r="B35" s="86"/>
      <c r="C35" s="86"/>
      <c r="D35" s="86"/>
      <c r="E35" s="116"/>
      <c r="F35" s="185" t="s">
        <v>221</v>
      </c>
      <c r="G35" s="74">
        <v>0</v>
      </c>
      <c r="H35" s="74">
        <v>0</v>
      </c>
      <c r="I35" s="74">
        <v>0</v>
      </c>
      <c r="J35" s="74">
        <v>0</v>
      </c>
      <c r="K35" s="74">
        <v>0</v>
      </c>
      <c r="L35" s="74">
        <v>1</v>
      </c>
      <c r="M35" s="74">
        <v>0</v>
      </c>
      <c r="N35" s="74">
        <v>1</v>
      </c>
      <c r="O35" s="74">
        <v>0</v>
      </c>
      <c r="P35" s="66">
        <v>1</v>
      </c>
      <c r="Q35" s="74">
        <v>0</v>
      </c>
      <c r="R35" s="67">
        <v>1</v>
      </c>
      <c r="S35"/>
      <c r="T35"/>
    </row>
    <row r="36" spans="1:20" ht="15" customHeight="1" x14ac:dyDescent="0.15">
      <c r="A36" s="119"/>
      <c r="B36" s="86"/>
      <c r="C36" s="86"/>
      <c r="D36" s="86"/>
      <c r="E36" s="116"/>
      <c r="F36" s="185" t="s">
        <v>222</v>
      </c>
      <c r="G36" s="74">
        <v>0</v>
      </c>
      <c r="H36" s="74">
        <v>0</v>
      </c>
      <c r="I36" s="74">
        <v>0</v>
      </c>
      <c r="J36" s="74">
        <v>0</v>
      </c>
      <c r="K36" s="74">
        <v>0</v>
      </c>
      <c r="L36" s="74">
        <v>1</v>
      </c>
      <c r="M36" s="74">
        <v>0</v>
      </c>
      <c r="N36" s="74">
        <v>0</v>
      </c>
      <c r="O36" s="74">
        <v>0</v>
      </c>
      <c r="P36" s="66">
        <v>0</v>
      </c>
      <c r="Q36" s="74">
        <v>0</v>
      </c>
      <c r="R36" s="67">
        <v>1</v>
      </c>
      <c r="S36"/>
      <c r="T36"/>
    </row>
    <row r="37" spans="1:20" ht="15" customHeight="1" x14ac:dyDescent="0.15">
      <c r="A37" s="119"/>
      <c r="B37" s="86"/>
      <c r="C37" s="86"/>
      <c r="D37" s="86"/>
      <c r="E37" s="116"/>
      <c r="F37" s="185" t="s">
        <v>223</v>
      </c>
      <c r="G37" s="74">
        <v>0</v>
      </c>
      <c r="H37" s="74">
        <v>0</v>
      </c>
      <c r="I37" s="74">
        <v>0</v>
      </c>
      <c r="J37" s="74">
        <v>0</v>
      </c>
      <c r="K37" s="74">
        <v>0</v>
      </c>
      <c r="L37" s="74">
        <v>1</v>
      </c>
      <c r="M37" s="74">
        <v>0</v>
      </c>
      <c r="N37" s="74">
        <v>0</v>
      </c>
      <c r="O37" s="74">
        <v>0</v>
      </c>
      <c r="P37" s="66">
        <v>0</v>
      </c>
      <c r="Q37" s="74">
        <v>0</v>
      </c>
      <c r="R37" s="67">
        <v>1</v>
      </c>
      <c r="S37"/>
      <c r="T37"/>
    </row>
    <row r="38" spans="1:20" ht="15" customHeight="1" x14ac:dyDescent="0.15">
      <c r="A38" s="120"/>
      <c r="B38" s="86"/>
      <c r="C38" s="86"/>
      <c r="D38" s="86"/>
      <c r="E38" s="116"/>
      <c r="F38"/>
      <c r="G38"/>
      <c r="H38"/>
      <c r="I38"/>
      <c r="J38"/>
      <c r="K38"/>
      <c r="L38"/>
      <c r="M38"/>
      <c r="N38"/>
      <c r="O38"/>
      <c r="P38"/>
      <c r="Q38"/>
      <c r="R38"/>
      <c r="S38"/>
      <c r="T38"/>
    </row>
    <row r="39" spans="1:20" ht="15" customHeight="1" x14ac:dyDescent="0.15">
      <c r="A39" s="120"/>
      <c r="B39" s="86"/>
      <c r="C39" s="86"/>
      <c r="D39" s="86"/>
      <c r="E39" s="116"/>
      <c r="F39"/>
      <c r="G39"/>
      <c r="H39"/>
      <c r="I39"/>
      <c r="J39"/>
      <c r="K39"/>
      <c r="L39"/>
      <c r="M39"/>
      <c r="N39"/>
      <c r="O39"/>
      <c r="P39"/>
      <c r="Q39"/>
      <c r="R39"/>
      <c r="S39"/>
      <c r="T39"/>
    </row>
    <row r="40" spans="1:20" ht="15" customHeight="1" x14ac:dyDescent="0.15">
      <c r="A40" s="120"/>
      <c r="B40" s="86"/>
      <c r="C40" s="86"/>
      <c r="D40" s="86"/>
      <c r="E40" s="116"/>
      <c r="F40"/>
      <c r="G40"/>
      <c r="H40"/>
      <c r="I40"/>
      <c r="J40"/>
      <c r="K40"/>
      <c r="L40"/>
      <c r="M40"/>
      <c r="N40"/>
      <c r="O40"/>
      <c r="P40"/>
      <c r="Q40"/>
      <c r="R40"/>
      <c r="S40"/>
      <c r="T40"/>
    </row>
    <row r="41" spans="1:20" ht="15" customHeight="1" thickBot="1" x14ac:dyDescent="0.2">
      <c r="A41" s="120"/>
      <c r="B41" s="86"/>
      <c r="C41" s="86"/>
      <c r="D41" s="87"/>
      <c r="E41" s="121"/>
      <c r="F41"/>
      <c r="G41"/>
      <c r="H41"/>
      <c r="I41"/>
      <c r="J41"/>
      <c r="K41"/>
      <c r="L41"/>
      <c r="M41"/>
      <c r="N41"/>
      <c r="O41"/>
      <c r="P41"/>
      <c r="Q41"/>
      <c r="R41"/>
      <c r="S41"/>
      <c r="T41"/>
    </row>
    <row r="42" spans="1:20" ht="15" customHeight="1" x14ac:dyDescent="0.15">
      <c r="A42" s="122"/>
      <c r="B42" s="123"/>
      <c r="C42" s="123" t="s">
        <v>162</v>
      </c>
      <c r="D42" s="123">
        <f>SUM(D32:D41)</f>
        <v>4540.331602575</v>
      </c>
      <c r="E42" s="124">
        <f>SUM(E32:E41)</f>
        <v>1</v>
      </c>
      <c r="F42"/>
      <c r="G42"/>
      <c r="H42"/>
      <c r="I42"/>
      <c r="J42"/>
      <c r="K42"/>
      <c r="L42"/>
      <c r="M42"/>
      <c r="N42"/>
      <c r="O42"/>
      <c r="P42"/>
      <c r="Q42"/>
      <c r="R42"/>
      <c r="S42"/>
      <c r="T42"/>
    </row>
    <row r="43" spans="1:20" ht="15" customHeight="1" x14ac:dyDescent="0.15">
      <c r="A43" s="74"/>
      <c r="F43"/>
      <c r="G43"/>
      <c r="H43"/>
      <c r="I43"/>
      <c r="J43"/>
      <c r="K43"/>
      <c r="L43"/>
      <c r="M43"/>
      <c r="N43"/>
      <c r="O43"/>
      <c r="P43"/>
      <c r="Q43"/>
      <c r="R43"/>
      <c r="S43"/>
      <c r="T43"/>
    </row>
    <row r="44" spans="1:20" ht="15" customHeight="1" x14ac:dyDescent="0.15">
      <c r="A44" s="74"/>
      <c r="F44"/>
      <c r="G44"/>
      <c r="H44"/>
      <c r="I44"/>
      <c r="J44"/>
      <c r="K44"/>
      <c r="L44"/>
      <c r="M44"/>
      <c r="N44"/>
      <c r="O44"/>
      <c r="P44"/>
      <c r="Q44"/>
      <c r="R44"/>
    </row>
    <row r="45" spans="1:20" ht="15" customHeight="1" x14ac:dyDescent="0.15">
      <c r="A45" s="74"/>
      <c r="F45"/>
      <c r="G45"/>
      <c r="H45"/>
      <c r="I45"/>
      <c r="J45"/>
      <c r="K45"/>
      <c r="L45"/>
      <c r="M45"/>
      <c r="N45"/>
      <c r="O45"/>
      <c r="P45"/>
      <c r="Q45"/>
      <c r="R45"/>
    </row>
    <row r="46" spans="1:20" ht="15" customHeight="1" x14ac:dyDescent="0.15">
      <c r="A46" s="74"/>
      <c r="F46"/>
      <c r="G46"/>
      <c r="H46"/>
      <c r="I46"/>
      <c r="J46"/>
      <c r="K46"/>
      <c r="L46"/>
      <c r="M46"/>
      <c r="N46"/>
      <c r="O46"/>
      <c r="P46"/>
      <c r="Q46"/>
      <c r="R46"/>
    </row>
    <row r="47" spans="1:20" ht="15" customHeight="1" x14ac:dyDescent="0.15">
      <c r="A47" s="74"/>
      <c r="F47"/>
      <c r="G47"/>
      <c r="H47"/>
      <c r="I47"/>
      <c r="J47"/>
      <c r="K47"/>
      <c r="L47"/>
      <c r="M47"/>
      <c r="N47"/>
      <c r="O47"/>
      <c r="P47"/>
      <c r="Q47"/>
      <c r="R47"/>
    </row>
    <row r="48" spans="1:20" ht="15" customHeight="1" x14ac:dyDescent="0.15">
      <c r="A48" s="74"/>
      <c r="F48"/>
      <c r="G48"/>
      <c r="H48"/>
      <c r="I48"/>
      <c r="J48"/>
      <c r="K48"/>
      <c r="L48"/>
      <c r="M48"/>
      <c r="N48"/>
      <c r="O48"/>
      <c r="P48"/>
      <c r="Q48"/>
      <c r="R48"/>
    </row>
    <row r="49" spans="6:18" s="74" customFormat="1" ht="15" customHeight="1" x14ac:dyDescent="0.15">
      <c r="F49"/>
      <c r="G49"/>
      <c r="H49"/>
      <c r="I49"/>
      <c r="J49"/>
      <c r="K49"/>
      <c r="L49"/>
      <c r="M49"/>
      <c r="N49"/>
      <c r="O49"/>
      <c r="P49"/>
      <c r="Q49"/>
      <c r="R49"/>
    </row>
    <row r="50" spans="6:18" s="74" customFormat="1" ht="15" customHeight="1" x14ac:dyDescent="0.15">
      <c r="F50"/>
      <c r="G50"/>
      <c r="H50"/>
      <c r="I50"/>
      <c r="J50"/>
      <c r="K50"/>
      <c r="L50"/>
      <c r="M50"/>
      <c r="N50"/>
      <c r="O50"/>
      <c r="P50"/>
      <c r="Q50"/>
      <c r="R50"/>
    </row>
    <row r="51" spans="6:18" s="74" customFormat="1" ht="15" customHeight="1" x14ac:dyDescent="0.15">
      <c r="F51"/>
      <c r="G51"/>
      <c r="H51"/>
      <c r="I51"/>
      <c r="J51"/>
      <c r="K51"/>
      <c r="L51"/>
      <c r="M51"/>
      <c r="N51"/>
      <c r="O51"/>
      <c r="P51"/>
      <c r="Q51"/>
      <c r="R51"/>
    </row>
    <row r="52" spans="6:18" s="74" customFormat="1" ht="15" customHeight="1" x14ac:dyDescent="0.15">
      <c r="F52"/>
      <c r="G52"/>
      <c r="H52"/>
      <c r="I52"/>
      <c r="J52"/>
      <c r="K52"/>
      <c r="L52"/>
      <c r="M52"/>
      <c r="N52"/>
      <c r="O52"/>
      <c r="P52"/>
      <c r="Q52"/>
      <c r="R52"/>
    </row>
    <row r="53" spans="6:18" s="74" customFormat="1" ht="15" customHeight="1" x14ac:dyDescent="0.15">
      <c r="F53"/>
      <c r="G53"/>
      <c r="H53"/>
      <c r="I53"/>
      <c r="J53"/>
      <c r="K53"/>
      <c r="L53"/>
      <c r="M53"/>
      <c r="N53"/>
      <c r="O53"/>
      <c r="P53"/>
      <c r="Q53"/>
      <c r="R53"/>
    </row>
    <row r="54" spans="6:18" s="74" customFormat="1" ht="15" customHeight="1" x14ac:dyDescent="0.15">
      <c r="F54"/>
      <c r="G54"/>
      <c r="H54"/>
      <c r="I54"/>
      <c r="J54"/>
      <c r="K54"/>
      <c r="L54"/>
      <c r="M54"/>
      <c r="N54"/>
      <c r="O54"/>
      <c r="P54"/>
      <c r="Q54"/>
      <c r="R54"/>
    </row>
    <row r="55" spans="6:18" s="74" customFormat="1" ht="15" customHeight="1" x14ac:dyDescent="0.15">
      <c r="F55"/>
      <c r="G55"/>
      <c r="H55"/>
      <c r="I55"/>
      <c r="J55"/>
      <c r="K55"/>
      <c r="L55"/>
      <c r="M55"/>
      <c r="N55"/>
      <c r="O55"/>
      <c r="P55"/>
      <c r="Q55"/>
      <c r="R55"/>
    </row>
    <row r="56" spans="6:18" s="74" customFormat="1" ht="15" customHeight="1" x14ac:dyDescent="0.15">
      <c r="F56"/>
      <c r="G56"/>
      <c r="H56"/>
      <c r="I56"/>
      <c r="J56"/>
      <c r="K56"/>
      <c r="L56"/>
      <c r="M56"/>
      <c r="N56"/>
      <c r="O56"/>
      <c r="P56"/>
      <c r="Q56"/>
      <c r="R56"/>
    </row>
    <row r="57" spans="6:18" s="74" customFormat="1" ht="15" customHeight="1" x14ac:dyDescent="0.15">
      <c r="F57"/>
      <c r="G57"/>
      <c r="H57"/>
      <c r="I57"/>
      <c r="J57"/>
      <c r="K57"/>
      <c r="L57"/>
      <c r="M57"/>
      <c r="N57"/>
      <c r="O57"/>
      <c r="P57"/>
      <c r="Q57"/>
      <c r="R57"/>
    </row>
    <row r="58" spans="6:18" s="74" customFormat="1" ht="15" customHeight="1" x14ac:dyDescent="0.15">
      <c r="F58"/>
      <c r="G58"/>
      <c r="H58"/>
      <c r="I58"/>
      <c r="J58"/>
      <c r="K58"/>
      <c r="L58"/>
      <c r="M58"/>
      <c r="N58"/>
      <c r="O58"/>
      <c r="P58"/>
      <c r="Q58"/>
      <c r="R58"/>
    </row>
    <row r="59" spans="6:18" s="74" customFormat="1" ht="15" customHeight="1" x14ac:dyDescent="0.15">
      <c r="F59"/>
      <c r="G59"/>
      <c r="H59"/>
      <c r="I59"/>
      <c r="J59"/>
      <c r="K59"/>
      <c r="L59"/>
      <c r="M59"/>
      <c r="N59"/>
      <c r="O59"/>
      <c r="P59"/>
      <c r="Q59"/>
      <c r="R59"/>
    </row>
    <row r="60" spans="6:18" s="74" customFormat="1" ht="15" customHeight="1" x14ac:dyDescent="0.15">
      <c r="F60"/>
      <c r="G60"/>
      <c r="H60"/>
      <c r="I60"/>
      <c r="J60"/>
      <c r="K60"/>
      <c r="L60"/>
      <c r="M60"/>
      <c r="N60"/>
      <c r="O60"/>
      <c r="P60"/>
      <c r="Q60"/>
      <c r="R60"/>
    </row>
    <row r="61" spans="6:18" s="74" customFormat="1" ht="15" customHeight="1" x14ac:dyDescent="0.15">
      <c r="F61"/>
      <c r="G61"/>
      <c r="H61"/>
      <c r="I61"/>
      <c r="J61"/>
      <c r="K61"/>
      <c r="L61"/>
      <c r="M61"/>
      <c r="N61"/>
      <c r="O61"/>
      <c r="P61"/>
      <c r="Q61"/>
      <c r="R61"/>
    </row>
    <row r="62" spans="6:18" s="74" customFormat="1" ht="15" customHeight="1" x14ac:dyDescent="0.15">
      <c r="F62"/>
      <c r="G62"/>
      <c r="H62"/>
      <c r="I62"/>
      <c r="J62"/>
      <c r="K62"/>
      <c r="L62"/>
      <c r="M62"/>
      <c r="N62"/>
      <c r="O62"/>
      <c r="P62"/>
      <c r="Q62"/>
      <c r="R62"/>
    </row>
    <row r="63" spans="6:18" s="74" customFormat="1" ht="15" customHeight="1" x14ac:dyDescent="0.15">
      <c r="F63"/>
      <c r="G63"/>
      <c r="H63"/>
      <c r="I63"/>
      <c r="J63"/>
      <c r="K63"/>
      <c r="L63"/>
      <c r="M63"/>
      <c r="N63"/>
      <c r="O63"/>
      <c r="P63"/>
      <c r="Q63"/>
      <c r="R63"/>
    </row>
    <row r="64" spans="6:18" s="74"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74"/>
      <c r="F76"/>
      <c r="G76"/>
      <c r="H76"/>
      <c r="I76"/>
      <c r="J76"/>
      <c r="K76"/>
      <c r="L76"/>
      <c r="M76"/>
      <c r="N76"/>
      <c r="O76"/>
      <c r="P76"/>
      <c r="Q76"/>
      <c r="R76"/>
    </row>
    <row r="77" spans="1:18" ht="15" customHeight="1" x14ac:dyDescent="0.15">
      <c r="A77" s="74"/>
      <c r="F77"/>
      <c r="G77"/>
      <c r="H77"/>
      <c r="I77"/>
      <c r="J77"/>
      <c r="K77"/>
      <c r="L77"/>
      <c r="M77"/>
      <c r="N77"/>
      <c r="O77"/>
      <c r="P77"/>
      <c r="Q77"/>
      <c r="R77"/>
    </row>
    <row r="78" spans="1:18" ht="15" customHeight="1" x14ac:dyDescent="0.15">
      <c r="A78" s="74"/>
      <c r="F78"/>
      <c r="G78"/>
      <c r="H78"/>
      <c r="I78"/>
      <c r="J78"/>
      <c r="K78"/>
      <c r="L78"/>
      <c r="M78"/>
      <c r="N78"/>
      <c r="O78"/>
      <c r="P78"/>
      <c r="Q78"/>
      <c r="R78"/>
    </row>
    <row r="79" spans="1:18" ht="15" customHeight="1" x14ac:dyDescent="0.15">
      <c r="A79" s="74"/>
      <c r="F79"/>
      <c r="G79"/>
      <c r="H79"/>
      <c r="I79"/>
      <c r="J79"/>
      <c r="K79"/>
      <c r="L79"/>
      <c r="M79"/>
      <c r="N79"/>
      <c r="O79"/>
      <c r="P79"/>
      <c r="Q79"/>
      <c r="R79"/>
    </row>
    <row r="80" spans="1:18" ht="15" customHeight="1" x14ac:dyDescent="0.15">
      <c r="A80" s="74"/>
      <c r="F80"/>
      <c r="G80"/>
      <c r="H80"/>
      <c r="I80"/>
      <c r="J80"/>
      <c r="K80"/>
      <c r="L80"/>
      <c r="M80"/>
      <c r="N80"/>
      <c r="O80"/>
      <c r="P80"/>
      <c r="Q80"/>
      <c r="R80"/>
    </row>
    <row r="81" spans="1:18" ht="15" customHeight="1" x14ac:dyDescent="0.15">
      <c r="A81" s="74"/>
      <c r="F81"/>
      <c r="G81"/>
      <c r="H81"/>
      <c r="I81"/>
      <c r="J81"/>
      <c r="K81"/>
      <c r="L81"/>
      <c r="M81"/>
      <c r="N81"/>
      <c r="O81"/>
      <c r="P81"/>
      <c r="Q81"/>
      <c r="R81"/>
    </row>
    <row r="82" spans="1:18" ht="15" customHeight="1" x14ac:dyDescent="0.15">
      <c r="A82" s="74"/>
      <c r="F82"/>
      <c r="G82"/>
      <c r="H82"/>
      <c r="I82"/>
      <c r="J82"/>
      <c r="K82"/>
      <c r="L82"/>
      <c r="M82"/>
      <c r="N82"/>
      <c r="O82"/>
      <c r="P82"/>
      <c r="Q82"/>
      <c r="R82"/>
    </row>
    <row r="83" spans="1:18" ht="15" customHeight="1" x14ac:dyDescent="0.15">
      <c r="A83" s="74"/>
      <c r="F83"/>
      <c r="G83"/>
      <c r="H83"/>
      <c r="I83"/>
      <c r="J83"/>
      <c r="K83"/>
      <c r="L83"/>
      <c r="M83"/>
      <c r="N83"/>
      <c r="O83"/>
      <c r="P83"/>
      <c r="Q83"/>
      <c r="R83"/>
    </row>
    <row r="84" spans="1:18" ht="15" customHeight="1" x14ac:dyDescent="0.15">
      <c r="A84" s="74"/>
      <c r="F84"/>
      <c r="G84"/>
      <c r="H84"/>
      <c r="I84"/>
      <c r="J84"/>
      <c r="K84"/>
      <c r="L84"/>
      <c r="M84"/>
      <c r="N84"/>
      <c r="O84"/>
      <c r="P84"/>
      <c r="Q84"/>
      <c r="R84"/>
    </row>
    <row r="85" spans="1:18" ht="15" customHeight="1" x14ac:dyDescent="0.15">
      <c r="A85" s="74"/>
      <c r="F85"/>
      <c r="G85"/>
      <c r="H85"/>
      <c r="I85"/>
      <c r="J85"/>
      <c r="K85"/>
      <c r="L85"/>
      <c r="M85"/>
      <c r="N85"/>
      <c r="O85"/>
      <c r="P85"/>
      <c r="Q85"/>
      <c r="R85"/>
    </row>
    <row r="86" spans="1:18" ht="15" customHeight="1" x14ac:dyDescent="0.15">
      <c r="A86" s="74"/>
      <c r="F86"/>
      <c r="G86"/>
      <c r="H86"/>
      <c r="I86"/>
      <c r="J86"/>
      <c r="K86"/>
      <c r="L86"/>
      <c r="M86"/>
      <c r="N86"/>
      <c r="O86"/>
      <c r="P86"/>
      <c r="Q86"/>
      <c r="R86"/>
    </row>
    <row r="87" spans="1:18" ht="15" customHeight="1" x14ac:dyDescent="0.15">
      <c r="A87" s="74"/>
      <c r="F87"/>
      <c r="G87"/>
      <c r="H87"/>
      <c r="I87"/>
      <c r="J87"/>
      <c r="K87"/>
      <c r="L87"/>
      <c r="M87"/>
      <c r="N87"/>
      <c r="O87"/>
      <c r="P87"/>
      <c r="Q87"/>
      <c r="R87"/>
    </row>
    <row r="88" spans="1:18" ht="15" customHeight="1" x14ac:dyDescent="0.15">
      <c r="A88" s="74"/>
      <c r="F88"/>
      <c r="G88"/>
      <c r="H88"/>
      <c r="I88"/>
      <c r="J88"/>
      <c r="K88"/>
      <c r="L88"/>
      <c r="M88"/>
      <c r="N88"/>
      <c r="O88"/>
      <c r="P88"/>
      <c r="Q88"/>
      <c r="R88"/>
    </row>
    <row r="89" spans="1:18" ht="15" customHeight="1" x14ac:dyDescent="0.15">
      <c r="A89" s="74"/>
      <c r="F89"/>
      <c r="G89"/>
      <c r="H89"/>
      <c r="I89"/>
      <c r="J89"/>
      <c r="K89"/>
      <c r="L89"/>
      <c r="M89"/>
      <c r="N89"/>
      <c r="O89"/>
      <c r="P89"/>
      <c r="Q89"/>
      <c r="R89"/>
    </row>
    <row r="90" spans="1:18" ht="15" customHeight="1" x14ac:dyDescent="0.15">
      <c r="A90" s="74"/>
      <c r="F90"/>
      <c r="G90"/>
      <c r="H90"/>
      <c r="I90"/>
      <c r="J90"/>
      <c r="K90"/>
      <c r="L90"/>
      <c r="M90"/>
      <c r="N90"/>
      <c r="O90"/>
      <c r="P90"/>
      <c r="Q90"/>
      <c r="R90"/>
    </row>
    <row r="91" spans="1:18" ht="15" customHeight="1" x14ac:dyDescent="0.15">
      <c r="A91" s="74"/>
      <c r="F91"/>
      <c r="G91"/>
      <c r="H91"/>
      <c r="I91"/>
      <c r="J91"/>
      <c r="K91"/>
      <c r="L91"/>
      <c r="M91"/>
      <c r="N91"/>
      <c r="O91"/>
      <c r="P91"/>
      <c r="Q91"/>
      <c r="R91"/>
    </row>
    <row r="92" spans="1:18" ht="15" customHeight="1" x14ac:dyDescent="0.15">
      <c r="A92" s="74"/>
      <c r="F92"/>
      <c r="G92"/>
      <c r="H92"/>
      <c r="I92"/>
      <c r="J92"/>
      <c r="K92"/>
      <c r="L92"/>
      <c r="M92"/>
      <c r="N92"/>
      <c r="O92"/>
      <c r="P92"/>
      <c r="Q92"/>
      <c r="R92"/>
    </row>
    <row r="93" spans="1:18" ht="15" customHeight="1" x14ac:dyDescent="0.15">
      <c r="A93" s="74"/>
      <c r="F93"/>
      <c r="G93"/>
      <c r="H93"/>
      <c r="I93"/>
      <c r="J93"/>
      <c r="K93"/>
      <c r="L93"/>
      <c r="M93"/>
      <c r="N93"/>
      <c r="O93"/>
      <c r="P93"/>
      <c r="Q93"/>
      <c r="R93"/>
    </row>
    <row r="94" spans="1:18" ht="15" customHeight="1" x14ac:dyDescent="0.15">
      <c r="A94" s="74"/>
      <c r="F94"/>
      <c r="G94"/>
      <c r="H94"/>
      <c r="I94"/>
      <c r="J94"/>
      <c r="K94"/>
      <c r="L94"/>
      <c r="M94"/>
      <c r="N94"/>
      <c r="O94"/>
      <c r="P94"/>
      <c r="Q94"/>
      <c r="R94"/>
    </row>
    <row r="95" spans="1:18" ht="15" customHeight="1" x14ac:dyDescent="0.15">
      <c r="A95" s="74"/>
      <c r="F95"/>
      <c r="G95"/>
      <c r="H95"/>
      <c r="I95"/>
      <c r="J95"/>
      <c r="K95"/>
      <c r="L95"/>
      <c r="M95"/>
      <c r="N95"/>
      <c r="O95"/>
      <c r="P95"/>
      <c r="Q95"/>
      <c r="R95"/>
    </row>
    <row r="96" spans="1:18" ht="15" customHeight="1" x14ac:dyDescent="0.15">
      <c r="A96" s="74"/>
      <c r="F96"/>
      <c r="G96"/>
      <c r="H96"/>
      <c r="I96"/>
      <c r="J96"/>
      <c r="K96"/>
      <c r="L96"/>
      <c r="M96"/>
      <c r="N96"/>
      <c r="O96"/>
      <c r="P96"/>
      <c r="Q96"/>
      <c r="R96"/>
    </row>
    <row r="97" spans="1:18" ht="15" customHeight="1" x14ac:dyDescent="0.15">
      <c r="A97" s="74"/>
      <c r="F97"/>
      <c r="G97"/>
      <c r="H97"/>
      <c r="I97"/>
      <c r="J97"/>
      <c r="K97"/>
      <c r="L97"/>
      <c r="M97"/>
      <c r="N97"/>
      <c r="O97"/>
      <c r="P97"/>
      <c r="Q97"/>
      <c r="R97"/>
    </row>
    <row r="98" spans="1:18" ht="15" customHeight="1" x14ac:dyDescent="0.15">
      <c r="A98" s="74"/>
      <c r="F98"/>
      <c r="G98"/>
      <c r="H98"/>
      <c r="I98"/>
      <c r="J98"/>
      <c r="K98"/>
      <c r="L98"/>
      <c r="M98"/>
      <c r="N98"/>
      <c r="O98"/>
      <c r="P98"/>
      <c r="Q98"/>
      <c r="R98"/>
    </row>
    <row r="99" spans="1:18" ht="15" customHeight="1" x14ac:dyDescent="0.15">
      <c r="A99" s="74"/>
      <c r="F99"/>
      <c r="G99"/>
      <c r="H99"/>
      <c r="I99"/>
      <c r="J99"/>
      <c r="K99"/>
      <c r="L99"/>
      <c r="M99"/>
      <c r="N99"/>
      <c r="O99"/>
      <c r="P99"/>
      <c r="Q99"/>
      <c r="R99"/>
    </row>
    <row r="100" spans="1:18" ht="15" customHeight="1" x14ac:dyDescent="0.15">
      <c r="A100" s="74"/>
      <c r="F100"/>
      <c r="G100"/>
      <c r="H100"/>
      <c r="I100"/>
      <c r="J100"/>
      <c r="K100"/>
      <c r="L100"/>
      <c r="M100"/>
      <c r="N100"/>
      <c r="O100"/>
      <c r="P100"/>
      <c r="Q100"/>
      <c r="R100"/>
    </row>
    <row r="101" spans="1:18" ht="15" customHeight="1" x14ac:dyDescent="0.15">
      <c r="A101" s="74"/>
      <c r="F101"/>
      <c r="G101"/>
      <c r="H101"/>
      <c r="I101"/>
      <c r="J101"/>
      <c r="K101"/>
      <c r="L101"/>
      <c r="M101"/>
      <c r="N101"/>
      <c r="O101"/>
      <c r="P101"/>
      <c r="Q101"/>
      <c r="R101"/>
    </row>
    <row r="102" spans="1:18" ht="15" customHeight="1" x14ac:dyDescent="0.15">
      <c r="A102" s="74"/>
      <c r="F102"/>
      <c r="G102"/>
      <c r="H102"/>
      <c r="I102"/>
      <c r="J102"/>
      <c r="K102"/>
      <c r="L102"/>
      <c r="M102"/>
      <c r="N102"/>
      <c r="O102"/>
      <c r="P102"/>
      <c r="Q102"/>
      <c r="R102"/>
    </row>
    <row r="103" spans="1:18" ht="15" customHeight="1" x14ac:dyDescent="0.15">
      <c r="A103" s="74"/>
      <c r="F103"/>
      <c r="G103"/>
      <c r="H103"/>
      <c r="I103"/>
      <c r="J103"/>
      <c r="K103"/>
      <c r="L103"/>
      <c r="M103"/>
      <c r="N103"/>
      <c r="O103"/>
      <c r="P103"/>
      <c r="Q103"/>
      <c r="R103"/>
    </row>
    <row r="104" spans="1:18" ht="15" customHeight="1" x14ac:dyDescent="0.15">
      <c r="A104" s="74"/>
      <c r="F104"/>
      <c r="G104"/>
      <c r="H104"/>
      <c r="I104"/>
      <c r="J104"/>
      <c r="K104"/>
      <c r="L104"/>
      <c r="M104"/>
      <c r="N104"/>
      <c r="O104"/>
      <c r="P104"/>
      <c r="Q104"/>
      <c r="R104"/>
    </row>
    <row r="105" spans="1:18" ht="15" customHeight="1" x14ac:dyDescent="0.15">
      <c r="A105" s="74"/>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74" customFormat="1" ht="15" customHeight="1" x14ac:dyDescent="0.15">
      <c r="F113"/>
      <c r="G113"/>
      <c r="H113"/>
      <c r="I113"/>
      <c r="J113"/>
      <c r="K113"/>
      <c r="L113"/>
      <c r="M113"/>
      <c r="N113"/>
      <c r="O113"/>
      <c r="P113"/>
      <c r="Q113"/>
      <c r="R113"/>
    </row>
    <row r="114" spans="6:18" s="74" customFormat="1" ht="15" customHeight="1" x14ac:dyDescent="0.15">
      <c r="F114"/>
      <c r="G114"/>
      <c r="H114"/>
      <c r="I114"/>
      <c r="J114"/>
      <c r="K114"/>
      <c r="L114"/>
      <c r="M114"/>
      <c r="N114"/>
      <c r="O114"/>
      <c r="P114"/>
      <c r="Q114"/>
      <c r="R114"/>
    </row>
    <row r="115" spans="6:18" s="74" customFormat="1" ht="15" customHeight="1" x14ac:dyDescent="0.15">
      <c r="F115"/>
      <c r="G115"/>
      <c r="H115"/>
      <c r="I115"/>
      <c r="J115"/>
      <c r="K115"/>
      <c r="L115"/>
      <c r="M115"/>
      <c r="N115"/>
      <c r="O115"/>
      <c r="P115"/>
      <c r="Q115"/>
      <c r="R115"/>
    </row>
    <row r="116" spans="6:18" s="74" customFormat="1" ht="15" customHeight="1" x14ac:dyDescent="0.15">
      <c r="F116"/>
      <c r="G116"/>
      <c r="H116"/>
      <c r="I116"/>
      <c r="J116"/>
      <c r="K116"/>
      <c r="L116"/>
      <c r="M116"/>
      <c r="N116"/>
      <c r="O116"/>
      <c r="P116"/>
      <c r="Q116"/>
      <c r="R116"/>
    </row>
    <row r="117" spans="6:18" s="74" customFormat="1" ht="15" customHeight="1" x14ac:dyDescent="0.15">
      <c r="F117"/>
      <c r="G117"/>
      <c r="H117"/>
      <c r="I117"/>
      <c r="J117"/>
      <c r="K117"/>
      <c r="L117"/>
      <c r="M117"/>
      <c r="N117"/>
      <c r="O117"/>
      <c r="P117"/>
      <c r="Q117"/>
      <c r="R117"/>
    </row>
    <row r="118" spans="6:18" s="74" customFormat="1" ht="15" customHeight="1" x14ac:dyDescent="0.15">
      <c r="F118"/>
      <c r="G118"/>
      <c r="H118"/>
      <c r="I118"/>
      <c r="J118"/>
      <c r="K118"/>
      <c r="L118"/>
      <c r="M118"/>
      <c r="N118"/>
      <c r="O118"/>
      <c r="P118"/>
      <c r="Q118"/>
      <c r="R118"/>
    </row>
    <row r="119" spans="6:18" s="74" customFormat="1" ht="15" customHeight="1" x14ac:dyDescent="0.15">
      <c r="F119"/>
      <c r="G119"/>
      <c r="H119"/>
      <c r="I119"/>
      <c r="J119"/>
      <c r="K119"/>
      <c r="L119"/>
      <c r="M119"/>
      <c r="N119"/>
      <c r="O119"/>
      <c r="P119"/>
      <c r="Q119"/>
      <c r="R119"/>
    </row>
    <row r="120" spans="6:18" s="74" customFormat="1" ht="15" customHeight="1" x14ac:dyDescent="0.15">
      <c r="F120"/>
      <c r="G120"/>
      <c r="H120"/>
      <c r="I120"/>
      <c r="J120"/>
      <c r="K120"/>
      <c r="L120"/>
      <c r="M120"/>
      <c r="N120"/>
      <c r="O120"/>
      <c r="P120"/>
      <c r="Q120"/>
      <c r="R120"/>
    </row>
    <row r="121" spans="6:18" s="74" customFormat="1" ht="15" customHeight="1" x14ac:dyDescent="0.15">
      <c r="F121"/>
      <c r="G121"/>
      <c r="H121"/>
      <c r="I121"/>
      <c r="J121"/>
      <c r="K121"/>
      <c r="L121"/>
      <c r="M121"/>
      <c r="N121"/>
      <c r="O121"/>
      <c r="P121"/>
      <c r="Q121"/>
      <c r="R121"/>
    </row>
    <row r="122" spans="6:18" s="74" customFormat="1" ht="15" customHeight="1" x14ac:dyDescent="0.15">
      <c r="F122"/>
      <c r="G122"/>
      <c r="H122"/>
      <c r="I122"/>
      <c r="J122"/>
      <c r="K122"/>
      <c r="L122"/>
      <c r="M122"/>
      <c r="N122"/>
      <c r="O122"/>
      <c r="P122"/>
      <c r="Q122"/>
      <c r="R122"/>
    </row>
    <row r="123" spans="6:18" s="74" customFormat="1" ht="15" customHeight="1" x14ac:dyDescent="0.15">
      <c r="F123"/>
      <c r="G123"/>
      <c r="H123"/>
      <c r="I123"/>
      <c r="J123"/>
      <c r="K123"/>
      <c r="L123"/>
      <c r="M123"/>
      <c r="N123"/>
      <c r="O123"/>
      <c r="P123"/>
      <c r="Q123"/>
      <c r="R123"/>
    </row>
    <row r="124" spans="6:18" s="74" customFormat="1" ht="15" customHeight="1" x14ac:dyDescent="0.15">
      <c r="F124"/>
      <c r="G124"/>
      <c r="H124"/>
      <c r="I124"/>
      <c r="J124"/>
      <c r="K124"/>
      <c r="L124"/>
      <c r="M124"/>
      <c r="N124"/>
      <c r="O124"/>
      <c r="P124"/>
      <c r="Q124"/>
      <c r="R124"/>
    </row>
    <row r="125" spans="6:18" s="74" customFormat="1" ht="15" customHeight="1" x14ac:dyDescent="0.15">
      <c r="F125"/>
      <c r="G125"/>
      <c r="H125"/>
      <c r="I125"/>
      <c r="J125"/>
      <c r="K125"/>
      <c r="L125"/>
      <c r="M125"/>
      <c r="N125"/>
      <c r="O125"/>
      <c r="P125"/>
      <c r="Q125"/>
      <c r="R125"/>
    </row>
    <row r="126" spans="6:18" s="74" customFormat="1" ht="15" customHeight="1" x14ac:dyDescent="0.15">
      <c r="F126"/>
      <c r="G126"/>
      <c r="H126"/>
      <c r="I126"/>
      <c r="J126"/>
      <c r="K126"/>
      <c r="L126"/>
      <c r="M126"/>
      <c r="N126"/>
      <c r="O126"/>
      <c r="P126"/>
      <c r="Q126"/>
      <c r="R126"/>
    </row>
    <row r="127" spans="6:18" s="74" customFormat="1" ht="15" customHeight="1" x14ac:dyDescent="0.15">
      <c r="F127"/>
      <c r="G127"/>
      <c r="H127"/>
      <c r="I127"/>
      <c r="J127"/>
      <c r="K127"/>
      <c r="L127"/>
      <c r="M127"/>
      <c r="N127"/>
      <c r="O127"/>
      <c r="P127"/>
      <c r="Q127"/>
      <c r="R127"/>
    </row>
    <row r="128" spans="6:18" s="74" customFormat="1" ht="15" customHeight="1" x14ac:dyDescent="0.15">
      <c r="F128"/>
      <c r="G128"/>
      <c r="H128"/>
      <c r="I128"/>
      <c r="J128"/>
      <c r="K128"/>
      <c r="L128"/>
      <c r="M128"/>
      <c r="N128"/>
      <c r="O128"/>
      <c r="P128"/>
      <c r="Q128"/>
      <c r="R128"/>
    </row>
    <row r="129" spans="6:18" s="74" customFormat="1" ht="15" customHeight="1" x14ac:dyDescent="0.15">
      <c r="F129"/>
      <c r="G129"/>
      <c r="H129"/>
      <c r="I129"/>
      <c r="J129"/>
      <c r="K129"/>
      <c r="L129"/>
      <c r="M129"/>
      <c r="N129"/>
      <c r="O129"/>
      <c r="P129"/>
      <c r="Q129"/>
      <c r="R129"/>
    </row>
    <row r="130" spans="6:18" s="74" customFormat="1" ht="15" customHeight="1" x14ac:dyDescent="0.15">
      <c r="F130"/>
      <c r="G130"/>
      <c r="H130"/>
      <c r="I130"/>
      <c r="J130"/>
      <c r="K130"/>
      <c r="L130"/>
      <c r="M130"/>
      <c r="N130"/>
      <c r="O130"/>
      <c r="P130"/>
      <c r="Q130"/>
      <c r="R130"/>
    </row>
    <row r="131" spans="6:18" s="74" customFormat="1" ht="15" customHeight="1" x14ac:dyDescent="0.15">
      <c r="F131"/>
      <c r="G131"/>
      <c r="H131"/>
      <c r="I131"/>
      <c r="J131"/>
      <c r="K131"/>
      <c r="L131"/>
      <c r="M131"/>
      <c r="N131"/>
      <c r="O131"/>
      <c r="P131"/>
      <c r="Q131"/>
      <c r="R131"/>
    </row>
    <row r="132" spans="6:18" s="74" customFormat="1" ht="15" customHeight="1" x14ac:dyDescent="0.15">
      <c r="F132"/>
      <c r="G132"/>
      <c r="H132"/>
      <c r="I132"/>
      <c r="J132"/>
      <c r="K132"/>
      <c r="L132"/>
      <c r="M132"/>
      <c r="N132"/>
      <c r="O132"/>
      <c r="P132"/>
      <c r="Q132"/>
      <c r="R132"/>
    </row>
    <row r="133" spans="6:18" s="74" customFormat="1" ht="15" customHeight="1" x14ac:dyDescent="0.15">
      <c r="F133"/>
      <c r="G133"/>
      <c r="H133"/>
      <c r="I133"/>
      <c r="J133"/>
      <c r="K133"/>
      <c r="L133"/>
      <c r="M133"/>
      <c r="N133"/>
      <c r="O133"/>
      <c r="P133"/>
      <c r="Q133"/>
      <c r="R133"/>
    </row>
    <row r="134" spans="6:18" s="74" customFormat="1" ht="15" customHeight="1" x14ac:dyDescent="0.15">
      <c r="F134"/>
      <c r="G134"/>
      <c r="H134"/>
      <c r="I134"/>
      <c r="J134"/>
      <c r="K134"/>
      <c r="L134"/>
      <c r="M134"/>
      <c r="N134"/>
      <c r="O134"/>
      <c r="P134"/>
      <c r="Q134"/>
      <c r="R134"/>
    </row>
    <row r="135" spans="6:18" s="74" customFormat="1" ht="15" customHeight="1" x14ac:dyDescent="0.15">
      <c r="F135"/>
      <c r="G135"/>
      <c r="H135"/>
      <c r="I135"/>
      <c r="J135"/>
      <c r="K135"/>
      <c r="L135"/>
      <c r="M135"/>
      <c r="N135"/>
      <c r="O135"/>
      <c r="P135"/>
      <c r="Q135"/>
      <c r="R135"/>
    </row>
    <row r="136" spans="6:18" s="74" customFormat="1" ht="15" customHeight="1" x14ac:dyDescent="0.15">
      <c r="F136"/>
      <c r="G136"/>
      <c r="H136"/>
      <c r="I136"/>
      <c r="J136"/>
      <c r="K136"/>
      <c r="L136"/>
      <c r="M136"/>
      <c r="N136"/>
      <c r="O136"/>
      <c r="P136"/>
      <c r="Q136"/>
      <c r="R136"/>
    </row>
    <row r="137" spans="6:18" s="74" customFormat="1" ht="15" customHeight="1" x14ac:dyDescent="0.15">
      <c r="F137"/>
      <c r="G137"/>
      <c r="H137"/>
      <c r="I137"/>
      <c r="J137"/>
      <c r="K137"/>
      <c r="L137"/>
      <c r="M137"/>
      <c r="N137"/>
      <c r="O137"/>
      <c r="P137"/>
      <c r="Q137"/>
      <c r="R137"/>
    </row>
    <row r="138" spans="6:18" s="74" customFormat="1" ht="15" customHeight="1" x14ac:dyDescent="0.15">
      <c r="F138"/>
      <c r="G138"/>
      <c r="H138"/>
      <c r="I138"/>
      <c r="J138"/>
      <c r="K138"/>
      <c r="L138"/>
      <c r="M138"/>
      <c r="N138"/>
      <c r="O138"/>
      <c r="P138"/>
      <c r="Q138"/>
      <c r="R138"/>
    </row>
    <row r="139" spans="6:18" s="74" customFormat="1" ht="15" customHeight="1" x14ac:dyDescent="0.15">
      <c r="F139"/>
      <c r="G139"/>
      <c r="H139"/>
      <c r="I139"/>
      <c r="J139"/>
      <c r="K139"/>
      <c r="L139"/>
      <c r="M139"/>
      <c r="N139"/>
      <c r="O139"/>
      <c r="P139"/>
      <c r="Q139"/>
      <c r="R139"/>
    </row>
    <row r="140" spans="6:18" s="74" customFormat="1" ht="15" customHeight="1" x14ac:dyDescent="0.15">
      <c r="F140"/>
      <c r="G140"/>
      <c r="H140"/>
      <c r="I140"/>
      <c r="J140"/>
      <c r="K140"/>
      <c r="L140"/>
      <c r="M140"/>
      <c r="N140"/>
      <c r="O140"/>
      <c r="P140"/>
      <c r="Q140"/>
      <c r="R140"/>
    </row>
    <row r="141" spans="6:18" s="74" customFormat="1" ht="15" customHeight="1" x14ac:dyDescent="0.15">
      <c r="F141"/>
      <c r="G141"/>
      <c r="H141"/>
      <c r="I141"/>
      <c r="J141"/>
      <c r="K141"/>
      <c r="L141"/>
      <c r="M141"/>
      <c r="N141"/>
      <c r="O141"/>
      <c r="P141"/>
      <c r="Q141"/>
      <c r="R141"/>
    </row>
    <row r="142" spans="6:18" s="74" customFormat="1" ht="15" customHeight="1" x14ac:dyDescent="0.15">
      <c r="F142"/>
      <c r="G142"/>
      <c r="H142"/>
      <c r="I142"/>
      <c r="J142"/>
      <c r="K142"/>
      <c r="L142"/>
      <c r="M142"/>
      <c r="N142"/>
      <c r="O142"/>
      <c r="P142"/>
      <c r="Q142"/>
      <c r="R142"/>
    </row>
    <row r="143" spans="6:18" s="74" customFormat="1" ht="15" customHeight="1" x14ac:dyDescent="0.15">
      <c r="F143"/>
      <c r="G143"/>
      <c r="H143"/>
      <c r="I143"/>
      <c r="J143"/>
      <c r="K143"/>
      <c r="L143"/>
      <c r="M143"/>
      <c r="N143"/>
      <c r="O143"/>
      <c r="P143"/>
      <c r="Q143"/>
      <c r="R143"/>
    </row>
    <row r="144" spans="6:18" s="74" customFormat="1" ht="15" customHeight="1" x14ac:dyDescent="0.15">
      <c r="F144"/>
      <c r="G144"/>
      <c r="H144"/>
      <c r="I144"/>
      <c r="J144"/>
      <c r="K144"/>
      <c r="L144"/>
      <c r="M144"/>
      <c r="N144"/>
      <c r="O144"/>
      <c r="P144"/>
      <c r="Q144"/>
      <c r="R144"/>
    </row>
    <row r="145" spans="6:18" s="74" customFormat="1" ht="15" customHeight="1" x14ac:dyDescent="0.15">
      <c r="F145"/>
      <c r="G145"/>
      <c r="H145"/>
      <c r="I145"/>
      <c r="J145"/>
      <c r="K145"/>
      <c r="L145"/>
      <c r="M145"/>
      <c r="N145"/>
      <c r="O145"/>
      <c r="P145"/>
      <c r="Q145"/>
      <c r="R145"/>
    </row>
    <row r="146" spans="6:18" s="74" customFormat="1" ht="15" customHeight="1" x14ac:dyDescent="0.15">
      <c r="F146"/>
      <c r="G146"/>
      <c r="H146"/>
      <c r="I146"/>
      <c r="J146"/>
      <c r="K146"/>
      <c r="L146"/>
      <c r="M146"/>
      <c r="N146"/>
      <c r="O146"/>
      <c r="P146"/>
      <c r="Q146"/>
      <c r="R146"/>
    </row>
    <row r="147" spans="6:18" s="74" customFormat="1" ht="15" customHeight="1" x14ac:dyDescent="0.15">
      <c r="F147"/>
      <c r="G147"/>
      <c r="H147"/>
      <c r="I147"/>
      <c r="J147"/>
      <c r="K147"/>
      <c r="L147"/>
      <c r="M147"/>
      <c r="N147"/>
      <c r="O147"/>
      <c r="P147"/>
      <c r="Q147"/>
      <c r="R147"/>
    </row>
    <row r="148" spans="6:18" s="74" customFormat="1" ht="15" customHeight="1" x14ac:dyDescent="0.15">
      <c r="F148"/>
      <c r="G148"/>
      <c r="H148"/>
      <c r="I148"/>
      <c r="J148"/>
      <c r="K148"/>
      <c r="L148"/>
      <c r="M148"/>
      <c r="N148"/>
      <c r="O148"/>
      <c r="P148"/>
      <c r="Q148"/>
      <c r="R148"/>
    </row>
    <row r="149" spans="6:18" s="74" customFormat="1" ht="15" customHeight="1" x14ac:dyDescent="0.15">
      <c r="F149"/>
      <c r="G149"/>
      <c r="H149"/>
      <c r="I149"/>
      <c r="J149"/>
      <c r="K149"/>
      <c r="L149"/>
      <c r="M149"/>
      <c r="N149"/>
      <c r="O149"/>
      <c r="P149"/>
      <c r="Q149"/>
      <c r="R149"/>
    </row>
    <row r="150" spans="6:18" s="74" customFormat="1" ht="15" customHeight="1" x14ac:dyDescent="0.15">
      <c r="F150"/>
      <c r="G150"/>
      <c r="H150"/>
      <c r="I150"/>
      <c r="J150"/>
      <c r="K150"/>
      <c r="L150"/>
      <c r="M150"/>
      <c r="N150"/>
      <c r="O150"/>
      <c r="P150"/>
      <c r="Q150"/>
      <c r="R150"/>
    </row>
    <row r="151" spans="6:18" s="74" customFormat="1" ht="15" customHeight="1" x14ac:dyDescent="0.15">
      <c r="F151"/>
      <c r="G151"/>
      <c r="H151"/>
      <c r="I151"/>
      <c r="J151"/>
      <c r="K151"/>
      <c r="L151"/>
      <c r="M151"/>
      <c r="N151"/>
      <c r="O151"/>
      <c r="P151"/>
      <c r="Q151"/>
      <c r="R151"/>
    </row>
    <row r="152" spans="6:18" s="74" customFormat="1" ht="15" customHeight="1" x14ac:dyDescent="0.15">
      <c r="F152"/>
      <c r="G152"/>
      <c r="H152"/>
      <c r="I152"/>
      <c r="J152"/>
      <c r="K152"/>
      <c r="L152"/>
      <c r="M152"/>
      <c r="N152"/>
      <c r="O152"/>
      <c r="P152"/>
      <c r="Q152"/>
      <c r="R152"/>
    </row>
    <row r="153" spans="6:18" s="74" customFormat="1" ht="15" customHeight="1" x14ac:dyDescent="0.15">
      <c r="F153"/>
      <c r="G153"/>
      <c r="H153"/>
      <c r="I153"/>
      <c r="J153"/>
      <c r="K153"/>
      <c r="L153"/>
      <c r="M153"/>
      <c r="N153"/>
      <c r="O153"/>
      <c r="P153"/>
      <c r="Q153"/>
      <c r="R153"/>
    </row>
    <row r="154" spans="6:18" s="74" customFormat="1" ht="15" customHeight="1" x14ac:dyDescent="0.15">
      <c r="F154"/>
      <c r="G154"/>
      <c r="H154"/>
      <c r="I154"/>
      <c r="J154"/>
      <c r="K154"/>
      <c r="L154"/>
      <c r="M154"/>
      <c r="N154"/>
      <c r="O154"/>
      <c r="P154"/>
      <c r="Q154"/>
      <c r="R154"/>
    </row>
    <row r="155" spans="6:18" s="74" customFormat="1" ht="15" customHeight="1" x14ac:dyDescent="0.15">
      <c r="F155"/>
      <c r="G155"/>
      <c r="H155"/>
      <c r="I155"/>
      <c r="J155"/>
      <c r="K155"/>
      <c r="L155"/>
      <c r="M155"/>
      <c r="N155"/>
      <c r="O155"/>
      <c r="P155"/>
      <c r="Q155"/>
      <c r="R155"/>
    </row>
    <row r="156" spans="6:18" s="74" customFormat="1" ht="15" customHeight="1" x14ac:dyDescent="0.15">
      <c r="F156"/>
      <c r="G156"/>
      <c r="H156"/>
      <c r="I156"/>
      <c r="J156"/>
      <c r="K156"/>
      <c r="L156"/>
      <c r="M156"/>
      <c r="N156"/>
      <c r="O156"/>
      <c r="P156"/>
      <c r="Q156"/>
      <c r="R156"/>
    </row>
    <row r="157" spans="6:18" s="74" customFormat="1" ht="15" customHeight="1" x14ac:dyDescent="0.15">
      <c r="F157"/>
      <c r="G157"/>
      <c r="H157"/>
      <c r="I157"/>
      <c r="J157"/>
      <c r="K157"/>
      <c r="L157"/>
      <c r="M157"/>
      <c r="N157"/>
      <c r="O157"/>
      <c r="P157"/>
      <c r="Q157"/>
      <c r="R157"/>
    </row>
    <row r="158" spans="6:18" s="74" customFormat="1" ht="15" customHeight="1" x14ac:dyDescent="0.15">
      <c r="F158"/>
      <c r="G158"/>
      <c r="H158"/>
      <c r="I158"/>
      <c r="J158"/>
      <c r="K158"/>
      <c r="L158"/>
      <c r="M158"/>
      <c r="N158"/>
      <c r="O158"/>
      <c r="P158"/>
      <c r="Q158"/>
      <c r="R158"/>
    </row>
    <row r="159" spans="6:18" s="74" customFormat="1" ht="15" customHeight="1" x14ac:dyDescent="0.15">
      <c r="F159"/>
      <c r="G159"/>
      <c r="H159"/>
      <c r="I159"/>
      <c r="J159"/>
      <c r="K159"/>
      <c r="L159"/>
      <c r="M159"/>
      <c r="N159"/>
      <c r="O159"/>
      <c r="P159"/>
      <c r="Q159"/>
      <c r="R159"/>
    </row>
    <row r="160" spans="6:18" s="74" customFormat="1" ht="15" customHeight="1" x14ac:dyDescent="0.15">
      <c r="F160"/>
      <c r="G160"/>
      <c r="H160"/>
      <c r="I160"/>
      <c r="J160"/>
      <c r="K160"/>
      <c r="L160"/>
      <c r="M160"/>
      <c r="N160"/>
      <c r="O160"/>
      <c r="P160"/>
      <c r="Q160"/>
      <c r="R160"/>
    </row>
    <row r="161" spans="6:18" s="74" customFormat="1" ht="15" customHeight="1" x14ac:dyDescent="0.15">
      <c r="F161"/>
      <c r="G161"/>
      <c r="H161"/>
      <c r="I161"/>
      <c r="J161"/>
      <c r="K161"/>
      <c r="L161"/>
      <c r="M161"/>
      <c r="N161"/>
      <c r="O161"/>
      <c r="P161"/>
      <c r="Q161"/>
      <c r="R161"/>
    </row>
    <row r="162" spans="6:18" s="74" customFormat="1" ht="15" customHeight="1" x14ac:dyDescent="0.15">
      <c r="F162"/>
      <c r="G162"/>
      <c r="H162"/>
      <c r="I162"/>
      <c r="J162"/>
      <c r="K162"/>
      <c r="L162"/>
      <c r="M162"/>
      <c r="N162"/>
      <c r="O162"/>
      <c r="P162"/>
      <c r="Q162"/>
      <c r="R162"/>
    </row>
    <row r="163" spans="6:18" s="74" customFormat="1" ht="15" customHeight="1" x14ac:dyDescent="0.15">
      <c r="F163"/>
      <c r="G163"/>
      <c r="H163"/>
      <c r="I163"/>
      <c r="J163"/>
      <c r="K163"/>
      <c r="L163"/>
      <c r="M163"/>
      <c r="N163"/>
      <c r="O163"/>
      <c r="P163"/>
      <c r="Q163"/>
      <c r="R163"/>
    </row>
    <row r="164" spans="6:18" s="74" customFormat="1" ht="15" customHeight="1" x14ac:dyDescent="0.15">
      <c r="F164"/>
      <c r="G164"/>
      <c r="H164"/>
      <c r="I164"/>
      <c r="J164"/>
      <c r="K164"/>
      <c r="L164"/>
      <c r="M164"/>
      <c r="N164"/>
      <c r="O164"/>
      <c r="P164"/>
      <c r="Q164"/>
      <c r="R164"/>
    </row>
    <row r="165" spans="6:18" s="74" customFormat="1" ht="15" customHeight="1" x14ac:dyDescent="0.15">
      <c r="F165"/>
      <c r="G165"/>
      <c r="H165"/>
      <c r="I165"/>
      <c r="J165"/>
      <c r="K165"/>
      <c r="L165"/>
      <c r="M165"/>
      <c r="N165"/>
      <c r="O165"/>
      <c r="P165"/>
      <c r="Q165"/>
      <c r="R165"/>
    </row>
    <row r="166" spans="6:18" s="74" customFormat="1" ht="15" customHeight="1" x14ac:dyDescent="0.15">
      <c r="F166"/>
      <c r="G166"/>
      <c r="H166"/>
      <c r="I166"/>
      <c r="J166"/>
      <c r="K166"/>
      <c r="L166"/>
      <c r="M166"/>
      <c r="N166"/>
      <c r="O166"/>
      <c r="P166"/>
      <c r="Q166"/>
      <c r="R166"/>
    </row>
    <row r="167" spans="6:18" s="74" customFormat="1" ht="15" customHeight="1" x14ac:dyDescent="0.15">
      <c r="F167"/>
      <c r="G167"/>
      <c r="H167"/>
      <c r="I167"/>
      <c r="J167"/>
      <c r="K167"/>
      <c r="L167"/>
      <c r="M167"/>
      <c r="N167"/>
      <c r="O167"/>
      <c r="P167"/>
      <c r="Q167"/>
      <c r="R167"/>
    </row>
    <row r="168" spans="6:18" s="74" customFormat="1" ht="15" customHeight="1" x14ac:dyDescent="0.15">
      <c r="F168"/>
      <c r="G168"/>
      <c r="H168"/>
      <c r="I168"/>
      <c r="J168"/>
      <c r="K168"/>
      <c r="L168"/>
      <c r="M168"/>
      <c r="N168"/>
      <c r="O168"/>
      <c r="P168"/>
      <c r="Q168"/>
      <c r="R168"/>
    </row>
    <row r="169" spans="6:18" s="74" customFormat="1" ht="15" customHeight="1" x14ac:dyDescent="0.15">
      <c r="F169"/>
      <c r="G169"/>
      <c r="H169"/>
      <c r="I169"/>
      <c r="J169"/>
      <c r="K169"/>
      <c r="L169"/>
      <c r="M169"/>
      <c r="N169"/>
      <c r="O169"/>
      <c r="P169"/>
      <c r="Q169"/>
      <c r="R169"/>
    </row>
    <row r="170" spans="6:18" s="74" customFormat="1" ht="15" customHeight="1" x14ac:dyDescent="0.15">
      <c r="F170"/>
      <c r="G170"/>
      <c r="H170"/>
      <c r="I170"/>
      <c r="J170"/>
      <c r="K170"/>
      <c r="L170"/>
      <c r="M170"/>
      <c r="N170"/>
      <c r="O170"/>
      <c r="P170"/>
      <c r="Q170"/>
      <c r="R170"/>
    </row>
    <row r="171" spans="6:18" s="74" customFormat="1" ht="15" customHeight="1" x14ac:dyDescent="0.15">
      <c r="F171"/>
      <c r="G171"/>
      <c r="H171"/>
      <c r="I171"/>
      <c r="J171"/>
      <c r="K171"/>
      <c r="L171"/>
      <c r="M171"/>
      <c r="N171"/>
      <c r="O171"/>
      <c r="P171"/>
      <c r="Q171"/>
      <c r="R171"/>
    </row>
    <row r="172" spans="6:18" s="74" customFormat="1" ht="15" customHeight="1" x14ac:dyDescent="0.15">
      <c r="F172"/>
      <c r="G172"/>
      <c r="H172"/>
      <c r="I172"/>
      <c r="J172"/>
      <c r="K172"/>
      <c r="L172"/>
      <c r="M172"/>
      <c r="N172"/>
      <c r="O172"/>
      <c r="P172"/>
      <c r="Q172"/>
      <c r="R172"/>
    </row>
    <row r="173" spans="6:18" s="74" customFormat="1" ht="15" customHeight="1" x14ac:dyDescent="0.15">
      <c r="F173"/>
      <c r="G173"/>
      <c r="H173"/>
      <c r="I173"/>
      <c r="J173"/>
      <c r="K173"/>
      <c r="L173"/>
      <c r="M173"/>
      <c r="N173"/>
      <c r="O173"/>
      <c r="P173"/>
      <c r="Q173"/>
      <c r="R173"/>
    </row>
    <row r="174" spans="6:18" s="74" customFormat="1" ht="15" customHeight="1" x14ac:dyDescent="0.15">
      <c r="F174"/>
      <c r="G174"/>
      <c r="H174"/>
      <c r="I174"/>
      <c r="J174"/>
      <c r="K174"/>
      <c r="L174"/>
      <c r="M174"/>
      <c r="N174"/>
      <c r="O174"/>
      <c r="P174"/>
      <c r="Q174"/>
      <c r="R174"/>
    </row>
    <row r="175" spans="6:18" s="74" customFormat="1" ht="15" customHeight="1" x14ac:dyDescent="0.15">
      <c r="F175"/>
      <c r="G175"/>
      <c r="H175"/>
      <c r="I175"/>
      <c r="J175"/>
      <c r="K175"/>
      <c r="L175"/>
      <c r="M175"/>
      <c r="N175"/>
      <c r="O175"/>
      <c r="P175"/>
      <c r="Q175"/>
      <c r="R175"/>
    </row>
    <row r="176" spans="6:18" s="74" customFormat="1" ht="15" customHeight="1" x14ac:dyDescent="0.15">
      <c r="F176"/>
      <c r="G176"/>
      <c r="H176"/>
      <c r="I176"/>
      <c r="J176"/>
      <c r="K176"/>
      <c r="L176"/>
      <c r="M176"/>
      <c r="N176"/>
      <c r="O176"/>
      <c r="P176"/>
      <c r="Q176"/>
      <c r="R176"/>
    </row>
    <row r="177" spans="6:18" s="74" customFormat="1" ht="15" customHeight="1" x14ac:dyDescent="0.15">
      <c r="F177"/>
      <c r="G177"/>
      <c r="H177"/>
      <c r="I177"/>
      <c r="J177"/>
      <c r="K177"/>
      <c r="L177"/>
      <c r="M177"/>
      <c r="N177"/>
      <c r="O177"/>
      <c r="P177"/>
      <c r="Q177"/>
      <c r="R177"/>
    </row>
    <row r="178" spans="6:18" s="74" customFormat="1" ht="15" customHeight="1" x14ac:dyDescent="0.15">
      <c r="F178"/>
      <c r="G178"/>
      <c r="H178"/>
      <c r="I178"/>
      <c r="J178"/>
      <c r="K178"/>
      <c r="L178"/>
      <c r="M178"/>
      <c r="N178"/>
      <c r="O178"/>
      <c r="P178"/>
      <c r="Q178"/>
      <c r="R178"/>
    </row>
    <row r="179" spans="6:18" s="74" customFormat="1" ht="15" customHeight="1" x14ac:dyDescent="0.15">
      <c r="F179"/>
      <c r="G179"/>
      <c r="H179"/>
      <c r="I179"/>
      <c r="J179"/>
      <c r="K179"/>
      <c r="L179"/>
      <c r="M179"/>
      <c r="N179"/>
      <c r="O179"/>
      <c r="P179"/>
      <c r="Q179"/>
      <c r="R179"/>
    </row>
    <row r="180" spans="6:18" s="74" customFormat="1" ht="15" customHeight="1" x14ac:dyDescent="0.15">
      <c r="F180"/>
      <c r="G180"/>
      <c r="H180"/>
      <c r="I180"/>
      <c r="J180"/>
      <c r="K180"/>
      <c r="L180"/>
      <c r="M180"/>
      <c r="N180"/>
      <c r="O180"/>
      <c r="P180"/>
      <c r="Q180"/>
      <c r="R180"/>
    </row>
    <row r="181" spans="6:18" s="74" customFormat="1" ht="15" customHeight="1" x14ac:dyDescent="0.15">
      <c r="F181"/>
      <c r="G181"/>
      <c r="H181"/>
      <c r="I181"/>
      <c r="J181"/>
      <c r="K181"/>
      <c r="L181"/>
      <c r="M181"/>
      <c r="N181"/>
      <c r="O181"/>
      <c r="P181"/>
      <c r="Q181"/>
      <c r="R181"/>
    </row>
    <row r="182" spans="6:18" s="74" customFormat="1" ht="15" customHeight="1" x14ac:dyDescent="0.15">
      <c r="F182"/>
      <c r="G182"/>
      <c r="H182"/>
      <c r="I182"/>
      <c r="J182"/>
      <c r="K182"/>
      <c r="L182"/>
      <c r="M182"/>
      <c r="N182"/>
      <c r="O182"/>
      <c r="P182"/>
      <c r="Q182"/>
      <c r="R182"/>
    </row>
    <row r="183" spans="6:18" s="74" customFormat="1" ht="15" customHeight="1" x14ac:dyDescent="0.15">
      <c r="F183"/>
      <c r="G183"/>
      <c r="H183"/>
      <c r="I183"/>
      <c r="J183"/>
      <c r="K183"/>
      <c r="L183"/>
      <c r="M183"/>
      <c r="N183"/>
      <c r="O183"/>
      <c r="P183"/>
      <c r="Q183"/>
      <c r="R183"/>
    </row>
    <row r="184" spans="6:18" s="74" customFormat="1" ht="15" customHeight="1" x14ac:dyDescent="0.15">
      <c r="F184"/>
      <c r="G184"/>
      <c r="H184"/>
      <c r="I184"/>
      <c r="J184"/>
      <c r="K184"/>
      <c r="L184"/>
      <c r="M184"/>
      <c r="N184"/>
      <c r="O184"/>
      <c r="P184"/>
      <c r="Q184"/>
      <c r="R184"/>
    </row>
    <row r="185" spans="6:18" s="74" customFormat="1" ht="15" customHeight="1" x14ac:dyDescent="0.15">
      <c r="F185"/>
      <c r="G185"/>
      <c r="H185"/>
      <c r="I185"/>
      <c r="J185"/>
      <c r="K185"/>
      <c r="L185"/>
      <c r="M185"/>
      <c r="N185"/>
      <c r="O185"/>
      <c r="P185"/>
      <c r="Q185"/>
      <c r="R185"/>
    </row>
    <row r="186" spans="6:18" s="74" customFormat="1" ht="15" customHeight="1" x14ac:dyDescent="0.15">
      <c r="F186"/>
      <c r="G186"/>
      <c r="H186"/>
      <c r="I186"/>
      <c r="J186"/>
      <c r="K186"/>
      <c r="L186"/>
      <c r="M186"/>
      <c r="N186"/>
      <c r="O186"/>
      <c r="P186"/>
      <c r="Q186"/>
      <c r="R186"/>
    </row>
    <row r="187" spans="6:18" s="74" customFormat="1" ht="15" customHeight="1" x14ac:dyDescent="0.15">
      <c r="F187"/>
      <c r="G187"/>
      <c r="H187"/>
      <c r="I187"/>
      <c r="J187"/>
      <c r="K187"/>
      <c r="L187"/>
      <c r="M187"/>
      <c r="N187"/>
      <c r="O187"/>
      <c r="P187"/>
      <c r="Q187"/>
      <c r="R187"/>
    </row>
    <row r="188" spans="6:18" s="74"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N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35.5" bestFit="1" customWidth="1"/>
    <col min="2" max="2" width="2.33203125" style="100" customWidth="1"/>
    <col min="3" max="5" width="7.83203125" style="100" customWidth="1"/>
    <col min="6" max="8" width="8.83203125" style="6"/>
    <col min="9" max="9" width="12.5" style="6" customWidth="1"/>
    <col min="10" max="10" width="10.1640625" style="6" customWidth="1"/>
    <col min="11" max="11" width="16.5" style="6" customWidth="1"/>
    <col min="12" max="12" width="13.5" style="6" customWidth="1"/>
    <col min="13" max="13" width="10.33203125" style="6" customWidth="1"/>
    <col min="14" max="14" width="11.33203125" style="6" customWidth="1"/>
    <col min="15" max="15" width="13" style="6" customWidth="1"/>
    <col min="16" max="16" width="11.6640625" style="6" customWidth="1"/>
    <col min="17" max="17" width="13.83203125" style="6" customWidth="1"/>
    <col min="18" max="18" width="15.1640625" style="6" customWidth="1"/>
    <col min="19" max="19" width="8.5" style="6" customWidth="1"/>
    <col min="20" max="20" width="10.33203125" style="6" customWidth="1"/>
    <col min="21" max="21" width="22.33203125" style="6" customWidth="1"/>
    <col min="22" max="22" width="11.1640625" style="6" customWidth="1"/>
    <col min="23" max="23" width="10.33203125" style="6" customWidth="1"/>
    <col min="24" max="24" width="11.1640625" style="6" customWidth="1"/>
    <col min="25" max="25" width="21.1640625" style="6" customWidth="1"/>
    <col min="26" max="26" width="13.5" style="6" customWidth="1"/>
    <col min="27" max="27" width="35.5" style="6" customWidth="1"/>
    <col min="28" max="28" width="10.1640625" style="6" customWidth="1"/>
    <col min="29" max="29" width="28.1640625" style="6" customWidth="1"/>
    <col min="30" max="30" width="10.5" style="6" customWidth="1"/>
    <col min="31" max="31" width="15.83203125" style="6" customWidth="1"/>
    <col min="32" max="32" width="12" style="6" customWidth="1"/>
    <col min="33" max="33" width="22.5" style="6" customWidth="1"/>
    <col min="34" max="34" width="11.33203125" style="6" customWidth="1"/>
    <col min="35" max="35" width="16.33203125" style="6" customWidth="1"/>
    <col min="36" max="36" width="13.1640625" style="6" customWidth="1"/>
    <col min="37" max="37" width="8.6640625" style="6" customWidth="1"/>
    <col min="38" max="38" width="21.6640625" style="6" customWidth="1"/>
    <col min="39" max="39" width="13.1640625" customWidth="1"/>
    <col min="40" max="40" width="14.83203125" customWidth="1"/>
    <col min="81" max="81" width="22.1640625" bestFit="1" customWidth="1"/>
  </cols>
  <sheetData>
    <row r="1" spans="1:40" x14ac:dyDescent="0.15">
      <c r="A1" s="4" t="s">
        <v>156</v>
      </c>
      <c r="B1" s="33" t="s">
        <v>157</v>
      </c>
      <c r="C1" s="33" t="s">
        <v>17</v>
      </c>
      <c r="D1" s="33" t="s">
        <v>158</v>
      </c>
      <c r="E1" s="33" t="s">
        <v>159</v>
      </c>
      <c r="F1" t="s">
        <v>38</v>
      </c>
      <c r="G1" t="s">
        <v>40</v>
      </c>
      <c r="H1" t="s">
        <v>41</v>
      </c>
      <c r="I1" s="190" t="s">
        <v>192</v>
      </c>
      <c r="J1" s="190" t="s">
        <v>193</v>
      </c>
      <c r="K1" s="190" t="s">
        <v>194</v>
      </c>
      <c r="L1" s="190" t="s">
        <v>195</v>
      </c>
      <c r="M1" s="190" t="s">
        <v>196</v>
      </c>
      <c r="N1" s="190" t="s">
        <v>197</v>
      </c>
      <c r="O1" s="190" t="s">
        <v>198</v>
      </c>
      <c r="P1" s="190" t="s">
        <v>199</v>
      </c>
      <c r="Q1" s="190" t="s">
        <v>200</v>
      </c>
      <c r="R1" s="190" t="s">
        <v>201</v>
      </c>
      <c r="S1" s="190" t="s">
        <v>202</v>
      </c>
      <c r="T1" s="190" t="s">
        <v>203</v>
      </c>
      <c r="U1" s="190" t="s">
        <v>204</v>
      </c>
      <c r="V1" s="190" t="s">
        <v>205</v>
      </c>
      <c r="W1" s="190" t="s">
        <v>206</v>
      </c>
      <c r="X1" s="190" t="s">
        <v>207</v>
      </c>
      <c r="Y1" s="190" t="s">
        <v>208</v>
      </c>
      <c r="Z1" s="190" t="s">
        <v>209</v>
      </c>
      <c r="AA1" s="190" t="s">
        <v>210</v>
      </c>
      <c r="AB1" s="190" t="s">
        <v>211</v>
      </c>
      <c r="AC1" s="190" t="s">
        <v>212</v>
      </c>
      <c r="AD1" s="190" t="s">
        <v>213</v>
      </c>
      <c r="AE1" s="190" t="s">
        <v>214</v>
      </c>
      <c r="AF1" s="190" t="s">
        <v>215</v>
      </c>
      <c r="AG1" s="190" t="s">
        <v>216</v>
      </c>
      <c r="AH1" s="190" t="s">
        <v>217</v>
      </c>
      <c r="AI1" s="190" t="s">
        <v>218</v>
      </c>
      <c r="AJ1" s="190" t="s">
        <v>219</v>
      </c>
      <c r="AK1" s="190" t="s">
        <v>220</v>
      </c>
      <c r="AL1" s="190" t="s">
        <v>221</v>
      </c>
      <c r="AM1" s="190" t="s">
        <v>222</v>
      </c>
      <c r="AN1" s="190" t="s">
        <v>223</v>
      </c>
    </row>
    <row r="2" spans="1:40" x14ac:dyDescent="0.15">
      <c r="A2" t="s">
        <v>38</v>
      </c>
      <c r="B2" s="100">
        <v>0</v>
      </c>
      <c r="C2"/>
      <c r="D2"/>
      <c r="E2"/>
      <c r="F2"/>
      <c r="G2"/>
      <c r="H2"/>
      <c r="I2"/>
      <c r="J2"/>
      <c r="K2"/>
      <c r="L2"/>
      <c r="M2"/>
      <c r="N2"/>
      <c r="O2"/>
      <c r="P2"/>
      <c r="Q2"/>
      <c r="R2"/>
      <c r="S2"/>
      <c r="T2"/>
      <c r="U2"/>
      <c r="V2"/>
      <c r="W2"/>
      <c r="X2"/>
      <c r="Y2"/>
      <c r="Z2"/>
      <c r="AA2"/>
      <c r="AB2"/>
      <c r="AC2"/>
      <c r="AD2"/>
      <c r="AE2"/>
      <c r="AF2"/>
      <c r="AG2"/>
      <c r="AH2"/>
      <c r="AI2"/>
      <c r="AJ2"/>
      <c r="AK2"/>
      <c r="AL2"/>
    </row>
    <row r="3" spans="1:40" x14ac:dyDescent="0.15">
      <c r="A3" t="s">
        <v>40</v>
      </c>
      <c r="B3" s="100">
        <v>0</v>
      </c>
      <c r="C3"/>
      <c r="D3"/>
      <c r="E3"/>
      <c r="F3"/>
      <c r="G3"/>
      <c r="H3"/>
      <c r="I3"/>
      <c r="J3"/>
      <c r="K3"/>
      <c r="L3"/>
      <c r="M3"/>
      <c r="N3"/>
      <c r="O3"/>
      <c r="P3"/>
      <c r="Q3"/>
      <c r="R3"/>
      <c r="S3"/>
      <c r="T3"/>
      <c r="U3"/>
      <c r="V3"/>
      <c r="W3"/>
      <c r="X3"/>
      <c r="Y3"/>
      <c r="Z3"/>
      <c r="AA3"/>
      <c r="AB3"/>
      <c r="AC3"/>
      <c r="AD3"/>
      <c r="AE3"/>
      <c r="AF3"/>
      <c r="AG3"/>
      <c r="AH3"/>
      <c r="AI3"/>
      <c r="AJ3"/>
      <c r="AK3"/>
      <c r="AL3"/>
    </row>
    <row r="4" spans="1:40" x14ac:dyDescent="0.15">
      <c r="A4" t="s">
        <v>41</v>
      </c>
      <c r="B4" s="100">
        <v>0</v>
      </c>
      <c r="C4"/>
      <c r="D4"/>
      <c r="E4"/>
      <c r="F4"/>
      <c r="G4"/>
      <c r="H4"/>
      <c r="I4"/>
      <c r="J4"/>
      <c r="K4"/>
      <c r="L4"/>
      <c r="M4"/>
      <c r="N4"/>
      <c r="O4"/>
      <c r="P4"/>
      <c r="Q4"/>
      <c r="R4"/>
      <c r="S4"/>
      <c r="T4"/>
      <c r="U4"/>
      <c r="V4"/>
      <c r="W4"/>
      <c r="X4"/>
      <c r="Y4"/>
      <c r="Z4"/>
      <c r="AA4"/>
      <c r="AB4"/>
      <c r="AC4"/>
      <c r="AD4"/>
      <c r="AE4"/>
      <c r="AF4"/>
      <c r="AG4"/>
      <c r="AH4"/>
      <c r="AI4"/>
      <c r="AJ4"/>
      <c r="AK4"/>
      <c r="AL4"/>
    </row>
    <row r="5" spans="1:40" x14ac:dyDescent="0.15">
      <c r="A5" s="189" t="s">
        <v>192</v>
      </c>
      <c r="B5" s="100">
        <v>0</v>
      </c>
      <c r="C5"/>
      <c r="D5"/>
      <c r="E5"/>
      <c r="F5"/>
      <c r="G5"/>
      <c r="H5"/>
      <c r="I5"/>
      <c r="J5"/>
      <c r="K5"/>
      <c r="L5"/>
      <c r="M5"/>
      <c r="N5"/>
      <c r="O5"/>
      <c r="P5"/>
      <c r="Q5"/>
      <c r="R5"/>
      <c r="S5"/>
      <c r="T5"/>
      <c r="U5"/>
      <c r="V5"/>
      <c r="W5"/>
      <c r="X5"/>
      <c r="Y5"/>
      <c r="Z5"/>
      <c r="AA5"/>
      <c r="AB5"/>
      <c r="AC5"/>
      <c r="AD5"/>
      <c r="AE5"/>
      <c r="AF5"/>
      <c r="AG5"/>
      <c r="AH5"/>
      <c r="AI5"/>
      <c r="AJ5"/>
      <c r="AK5"/>
      <c r="AL5"/>
    </row>
    <row r="6" spans="1:40" x14ac:dyDescent="0.15">
      <c r="A6" s="189" t="s">
        <v>193</v>
      </c>
      <c r="B6" s="100">
        <v>0</v>
      </c>
      <c r="C6"/>
      <c r="D6"/>
      <c r="E6"/>
      <c r="F6"/>
      <c r="G6"/>
      <c r="H6"/>
      <c r="I6"/>
      <c r="J6"/>
      <c r="K6"/>
      <c r="L6"/>
      <c r="M6"/>
      <c r="N6"/>
      <c r="O6"/>
      <c r="P6"/>
      <c r="Q6"/>
      <c r="R6"/>
      <c r="S6"/>
      <c r="T6"/>
      <c r="U6"/>
      <c r="V6"/>
      <c r="W6"/>
      <c r="X6"/>
      <c r="Y6"/>
      <c r="Z6"/>
      <c r="AA6"/>
      <c r="AB6"/>
      <c r="AC6"/>
      <c r="AD6"/>
      <c r="AE6"/>
      <c r="AF6"/>
      <c r="AG6"/>
      <c r="AH6"/>
      <c r="AI6"/>
      <c r="AJ6"/>
      <c r="AK6"/>
      <c r="AL6"/>
    </row>
    <row r="7" spans="1:40" x14ac:dyDescent="0.15">
      <c r="A7" s="189" t="s">
        <v>194</v>
      </c>
      <c r="B7" s="100">
        <v>0</v>
      </c>
      <c r="C7"/>
      <c r="D7"/>
      <c r="E7"/>
      <c r="F7"/>
      <c r="G7"/>
      <c r="H7"/>
      <c r="I7"/>
      <c r="J7"/>
      <c r="K7"/>
      <c r="L7"/>
      <c r="M7"/>
      <c r="N7"/>
      <c r="O7"/>
      <c r="P7"/>
      <c r="Q7"/>
      <c r="R7"/>
      <c r="S7"/>
      <c r="T7"/>
      <c r="U7"/>
      <c r="V7"/>
      <c r="W7"/>
      <c r="X7"/>
      <c r="Y7"/>
      <c r="Z7"/>
      <c r="AA7"/>
      <c r="AB7"/>
      <c r="AC7"/>
      <c r="AD7"/>
      <c r="AE7"/>
      <c r="AF7"/>
      <c r="AG7"/>
      <c r="AH7"/>
      <c r="AI7"/>
      <c r="AJ7"/>
      <c r="AK7"/>
      <c r="AL7"/>
    </row>
    <row r="8" spans="1:40" x14ac:dyDescent="0.15">
      <c r="A8" s="189" t="s">
        <v>195</v>
      </c>
      <c r="B8" s="100">
        <v>0</v>
      </c>
      <c r="C8"/>
      <c r="D8"/>
      <c r="E8"/>
      <c r="F8"/>
      <c r="G8"/>
      <c r="H8"/>
      <c r="I8"/>
      <c r="J8"/>
      <c r="K8"/>
      <c r="L8"/>
      <c r="M8"/>
      <c r="N8"/>
      <c r="O8"/>
      <c r="P8"/>
      <c r="Q8"/>
      <c r="R8"/>
      <c r="S8"/>
      <c r="T8"/>
      <c r="U8"/>
      <c r="V8"/>
      <c r="W8"/>
      <c r="X8"/>
      <c r="Y8"/>
      <c r="Z8"/>
      <c r="AA8"/>
      <c r="AB8"/>
      <c r="AC8"/>
      <c r="AD8"/>
      <c r="AE8"/>
      <c r="AF8"/>
      <c r="AG8"/>
      <c r="AH8"/>
      <c r="AI8"/>
      <c r="AJ8"/>
      <c r="AK8"/>
      <c r="AL8"/>
    </row>
    <row r="9" spans="1:40" x14ac:dyDescent="0.15">
      <c r="A9" s="189" t="s">
        <v>196</v>
      </c>
      <c r="B9" s="100">
        <v>0</v>
      </c>
      <c r="C9"/>
      <c r="D9"/>
      <c r="E9"/>
      <c r="F9"/>
      <c r="G9"/>
      <c r="H9"/>
      <c r="I9"/>
      <c r="J9"/>
      <c r="K9"/>
      <c r="L9"/>
      <c r="M9"/>
      <c r="N9"/>
      <c r="O9"/>
      <c r="P9"/>
      <c r="Q9"/>
      <c r="R9"/>
      <c r="S9"/>
      <c r="T9"/>
      <c r="U9"/>
      <c r="V9"/>
      <c r="W9"/>
      <c r="X9"/>
      <c r="Y9"/>
      <c r="Z9"/>
      <c r="AA9"/>
      <c r="AB9"/>
      <c r="AC9"/>
      <c r="AD9"/>
      <c r="AE9"/>
      <c r="AF9"/>
      <c r="AG9"/>
      <c r="AH9"/>
      <c r="AI9"/>
      <c r="AJ9"/>
      <c r="AK9"/>
      <c r="AL9"/>
    </row>
    <row r="10" spans="1:40" x14ac:dyDescent="0.15">
      <c r="A10" s="189" t="s">
        <v>197</v>
      </c>
      <c r="B10" s="100">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40" x14ac:dyDescent="0.15">
      <c r="A11" s="189" t="s">
        <v>198</v>
      </c>
      <c r="B11" s="100">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40" x14ac:dyDescent="0.15">
      <c r="A12" s="189" t="s">
        <v>199</v>
      </c>
      <c r="B12" s="100">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40" x14ac:dyDescent="0.15">
      <c r="A13" s="189" t="s">
        <v>200</v>
      </c>
      <c r="B13" s="100">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40" x14ac:dyDescent="0.15">
      <c r="A14" s="189" t="s">
        <v>201</v>
      </c>
      <c r="B14" s="100">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40" x14ac:dyDescent="0.15">
      <c r="A15" s="189" t="s">
        <v>202</v>
      </c>
      <c r="B15" s="100">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40" x14ac:dyDescent="0.15">
      <c r="A16" s="189" t="s">
        <v>203</v>
      </c>
      <c r="B16" s="100">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89" t="s">
        <v>204</v>
      </c>
      <c r="B17" s="100">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89" t="s">
        <v>205</v>
      </c>
      <c r="B18" s="100">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89" t="s">
        <v>206</v>
      </c>
      <c r="B19" s="100">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89" t="s">
        <v>207</v>
      </c>
      <c r="B20" s="100">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89" t="s">
        <v>208</v>
      </c>
      <c r="B21" s="100">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89" t="s">
        <v>209</v>
      </c>
      <c r="B22" s="100">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89" t="s">
        <v>210</v>
      </c>
      <c r="B23" s="100">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89" t="s">
        <v>211</v>
      </c>
      <c r="B24" s="100">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89" t="s">
        <v>212</v>
      </c>
      <c r="B25" s="100">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89" t="s">
        <v>213</v>
      </c>
      <c r="B26" s="100">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89" t="s">
        <v>214</v>
      </c>
      <c r="B27" s="100">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89" t="s">
        <v>215</v>
      </c>
      <c r="B28" s="100">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89" t="s">
        <v>216</v>
      </c>
      <c r="B29" s="100">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89" t="s">
        <v>217</v>
      </c>
      <c r="B30" s="100">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89" t="s">
        <v>218</v>
      </c>
      <c r="B31" s="100">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89" t="s">
        <v>219</v>
      </c>
      <c r="B32" s="100">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89" t="s">
        <v>220</v>
      </c>
      <c r="B33" s="100">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89" t="s">
        <v>221</v>
      </c>
      <c r="B34" s="100">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89" t="s">
        <v>222</v>
      </c>
      <c r="B35" s="100">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89" t="s">
        <v>223</v>
      </c>
      <c r="B36" s="100">
        <v>0</v>
      </c>
      <c r="C36"/>
      <c r="D36"/>
    </row>
    <row r="37" spans="1:38" ht="15" customHeight="1" x14ac:dyDescent="0.15">
      <c r="B37"/>
      <c r="C37"/>
      <c r="D37"/>
    </row>
    <row r="38" spans="1:38" ht="15" customHeight="1" x14ac:dyDescent="0.15">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B39"/>
      <c r="C39"/>
      <c r="D39"/>
    </row>
    <row r="40" spans="1:38" ht="15" customHeight="1" x14ac:dyDescent="0.15">
      <c r="B40"/>
      <c r="C40"/>
      <c r="D40"/>
    </row>
    <row r="41" spans="1:38" ht="15" customHeight="1" x14ac:dyDescent="0.15">
      <c r="B41"/>
      <c r="C41"/>
      <c r="D41"/>
    </row>
    <row r="42" spans="1:38" ht="15" customHeight="1" x14ac:dyDescent="0.15"/>
    <row r="43" spans="1:38" ht="15" customHeight="1" x14ac:dyDescent="0.15"/>
    <row r="44" spans="1:38" ht="15" customHeight="1" x14ac:dyDescent="0.15"/>
    <row r="45" spans="1:38" ht="15" customHeight="1" x14ac:dyDescent="0.15"/>
    <row r="46" spans="1:38" ht="15" customHeight="1" x14ac:dyDescent="0.15"/>
    <row r="47" spans="1:38" ht="15" customHeight="1" x14ac:dyDescent="0.15"/>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2022-10-24T05:01:20Z</dcterms:modified>
</cp:coreProperties>
</file>