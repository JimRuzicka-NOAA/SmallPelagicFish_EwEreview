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FA91828D-6E4D-104A-9B36-B25A5DA49474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Main!$C$2:$N$38</definedName>
    <definedName name="matDetritus">Detritus!$C$2:$E$38</definedName>
    <definedName name="matDiet">Diets!$B$2:$AG$36</definedName>
    <definedName name="matDiscards">Discards!$C$2:$E$35</definedName>
    <definedName name="matFishery">Fishing!$C$2:$E$35</definedName>
    <definedName name="matFishing">Fishing!#REF!</definedName>
    <definedName name="matMort">Mortalities!$A$1:$AN$35</definedName>
    <definedName name="matOut">MainOutputs!$A$2:$I$38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<sst xmlns="http://schemas.openxmlformats.org/spreadsheetml/2006/main" count="1049" uniqueCount="237">
  <si>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</si>
  <si>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</si>
  <si>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</si>
  <si>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</si>
  <si>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</si>
  <si>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</si>
  <si>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</si>
  <si>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</si>
  <si>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</si>
  <si>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</si>
  <si>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</si>
  <si>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</si>
  <si>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</si>
  <si>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</si>
  <si>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</si>
  <si>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</si>
  <si>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</si>
  <si>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</si>
  <si>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</si>
  <si>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</si>
  <si>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</si>
  <si>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</si>
  <si>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</si>
  <si>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</si>
  <si>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</si>
  <si>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</si>
  <si>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</si>
  <si>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</si>
  <si>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</si>
  <si>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</si>
  <si>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</si>
  <si>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</si>
  <si>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</si>
  <si>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</si>
  <si>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</si>
  <si>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</si>
  <si>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</si>
  <si>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</si>
  <si>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</si>
  <si>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</si>
  <si>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</si>
  <si>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</si>
  <si>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</si>
  <si>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</si>
  <si>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</si>
  <si>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</si>
  <si>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</si>
  <si>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</si>
  <si>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</si>
  <si>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</si>
  <si>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</si>
  <si>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</si>
  <si>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</si>
  <si>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</si>
  <si>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</si>
  <si>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</si>
  <si>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</si>
  <si>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</si>
  <si>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</si>
  <si>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</si>
  <si>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</si>
  <si>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</si>
  <si>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</si>
  <si>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</si>
  <si>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</si>
  <si>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</si>
  <si>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</si>
  <si>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</si>
  <si>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</si>
  <si>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</si>
  <si>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</si>
  <si>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</si>
  <si>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</si>
  <si>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</si>
  <si>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</si>
  <si>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</si>
  <si>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</si>
  <si>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</si>
  <si>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</si>
  <si>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</si>
  <si>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</si>
  <si>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</si>
  <si>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</si>
  <si>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</si>
  <si>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</si>
  <si>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</si>
  <si>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</si>
  <si>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</si>
  <si>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</si>
  <si>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</si>
  <si>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</si>
  <si>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</si>
  <si>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</si>
  <si>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</si>
  <si>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</si>
  <si>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</si>
  <si>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</si>
  <si>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</si>
  <si>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</si>
  <si>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</si>
  <si>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</si>
  <si>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</si>
  <si>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</si>
  <si>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</si>
  <si>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</si>
  <si>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</si>
  <si>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</si>
  <si>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</si>
  <si>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</si>
  <si>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</si>
  <si>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</si>
  <si>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</si>
  <si>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</si>
  <si>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</si>
  <si>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</si>
  <si>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</si>
  <si>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</si>
  <si>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</si>
  <si>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</si>
  <si>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</si>
  <si>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</si>
  <si>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</si>
  <si>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</si>
  <si>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</si>
  <si>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</si>
  <si>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</si>
  <si>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</si>
  <si>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</si>
  <si>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</si>
  <si>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</si>
  <si>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</si>
  <si>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</si>
  <si>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</si>
  <si>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</si>
  <si>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</si>
  <si>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</si>
  <si>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</si>
  <si>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</si>
  <si>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</si>
  <si>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</si>
  <si>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</si>
  <si>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</si>
  <si>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</si>
  <si>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</si>
  <si>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</si>
  <si>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</si>
  <si>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</si>
  <si>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</si>
  <si>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</si>
  <si>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</si>
  <si>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</si>
  <si>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</si>
  <si>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</si>
  <si>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</si>
  <si>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</si>
  <si>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</si>
  <si>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</si>
  <si>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</si>
  <si>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</si>
  <si>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</si>
  <si>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</si>
  <si>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</si>
  <si>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</si>
  <si>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</si>
  <si>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</si>
  <si>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</si>
  <si>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</si>
  <si>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</si>
  <si>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</si>
  <si>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</si>
  <si>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</si>
  <si>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</si>
  <si>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</si>
  <si>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</si>
  <si>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</si>
  <si>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</si>
  <si>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</si>
  <si>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</si>
  <si>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</si>
  <si>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</si>
  <si>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</si>
  <si>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</si>
  <si>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</si>
  <si>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</si>
  <si>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</si>
  <si>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Portofino</t>
  </si>
  <si>
    <t>Italie</t>
  </si>
  <si>
    <t>BOX(9.14 44.297,9.221 44.326)</t>
  </si>
  <si>
    <t>coastal lagoon</t>
  </si>
  <si>
    <t>WetWeight</t>
  </si>
  <si>
    <t>The Ecopath model of the Portofino MPA (NW Mediterranean) was developped to adress the following issues: (1) identify keystone species and assess fishing impact on them; (2) analyze the interacting impact of artisanal and recreational fishing on ecosystem biomass and trophic structure; (3) assess the impact of recreational fishing on artisanal fishing catches; and finally (4) to advise MPA management.</t>
  </si>
  <si>
    <t>Prato, G., C. Barrier, P. Francour, V. Cappanera, V. Markantonatou, P. Guidetti, L. Mangialajo, R. Cattaneo-Vietti, and D. Gascuel. 2016. Assessing interacting impacts of artisanal and recreational fisheries in a small Marine Protected Area (Portofino, NW Mediterranean Sea). Ecosphere 7(12):e01601.</t>
  </si>
  <si>
    <t>https://doi.org/10.1002/ecs2.1601</t>
  </si>
  <si>
    <t>Dolphins</t>
  </si>
  <si>
    <t>Small tunas +</t>
  </si>
  <si>
    <t>Amberjack &amp;amp; dentex +</t>
  </si>
  <si>
    <t>Dusky grouper - large</t>
  </si>
  <si>
    <t>Dusky grouper - medium</t>
  </si>
  <si>
    <t>Dusky grouper - small</t>
  </si>
  <si>
    <t>Large-scaled scorpionfishes +</t>
  </si>
  <si>
    <t>Scorpionfishes &amp;amp; combers +</t>
  </si>
  <si>
    <t>Stripped red mullets +</t>
  </si>
  <si>
    <t>Horse mackerels +</t>
  </si>
  <si>
    <t>Sand smelts +</t>
  </si>
  <si>
    <t>Pagellus</t>
  </si>
  <si>
    <t>Diplodus +</t>
  </si>
  <si>
    <t>Gobies +</t>
  </si>
  <si>
    <t>Wrasses +</t>
  </si>
  <si>
    <t>Mullets</t>
  </si>
  <si>
    <t>Salema - juveniles</t>
  </si>
  <si>
    <t>Salema - adults</t>
  </si>
  <si>
    <t>Decapods +</t>
  </si>
  <si>
    <t>Cephalopods</t>
  </si>
  <si>
    <t>Zooplankton - large</t>
  </si>
  <si>
    <t>Zooplankton - small</t>
  </si>
  <si>
    <t>Sea worms</t>
  </si>
  <si>
    <t>Macrofauna +</t>
  </si>
  <si>
    <t>Echinoderms +</t>
  </si>
  <si>
    <t>Suspensivores +</t>
  </si>
  <si>
    <t>Gorgonians</t>
  </si>
  <si>
    <t xml:space="preserve">Sea urchins </t>
  </si>
  <si>
    <t>Meiofauna</t>
  </si>
  <si>
    <t>Posidonia</t>
  </si>
  <si>
    <t>Seaweeds</t>
  </si>
  <si>
    <t>Phytoplankton</t>
  </si>
  <si>
    <t>Detritus</t>
  </si>
  <si>
    <t>detritus_TerminalBenthic</t>
  </si>
  <si>
    <t>Recreational</t>
  </si>
  <si>
    <t>Fixed nets</t>
  </si>
  <si>
    <t>Cianciolo</t>
  </si>
  <si>
    <t>Import</t>
  </si>
  <si>
    <t>export</t>
  </si>
  <si>
    <t>sum</t>
  </si>
  <si>
    <t>TOTAL</t>
  </si>
  <si>
    <t>F Recreational</t>
  </si>
  <si>
    <t>F Fixed nets</t>
  </si>
  <si>
    <t>F Cianciolo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</si>
</sst>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44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37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5" t="s">
        <v>171</v>
      </c>
      <c r="C53" s="108">
        <v>731</v>
      </c>
      <c r="D53" s="108"/>
    </row>
    <row r="54" spans="2:4" x14ac:dyDescent="0.15">
      <c r="B54" s="175" t="s">
        <v>172</v>
      </c>
      <c r="C54" s="175" t="s">
        <v>185</v>
      </c>
      <c r="D54" s="108"/>
    </row>
    <row r="55" spans="2:4" x14ac:dyDescent="0.15">
      <c r="B55" s="175" t="s">
        <v>173</v>
      </c>
      <c r="C55" s="175" t="s">
        <v>186</v>
      </c>
      <c r="D55" s="108"/>
    </row>
    <row r="56" spans="2:4" x14ac:dyDescent="0.15">
      <c r="B56" s="175" t="s">
        <v>174</v>
      </c>
      <c r="C56" s="108">
        <v>1</v>
      </c>
      <c r="D56" s="108"/>
    </row>
    <row r="57" spans="2:4" x14ac:dyDescent="0.15">
      <c r="B57" s="175" t="s">
        <v>175</v>
      </c>
      <c r="C57" s="175" t="s">
        <v>187</v>
      </c>
      <c r="D57" s="108"/>
    </row>
    <row r="58" spans="2:4" x14ac:dyDescent="0.15">
      <c r="B58" s="175" t="s">
        <v>176</v>
      </c>
      <c r="C58" s="175" t="s">
        <v>188</v>
      </c>
      <c r="D58" s="108"/>
    </row>
    <row r="59" spans="2:4" x14ac:dyDescent="0.15">
      <c r="B59" s="175" t="s">
        <v>177</v>
      </c>
      <c r="C59" s="175" t="s">
        <v>189</v>
      </c>
      <c r="D59" s="108"/>
    </row>
    <row r="60" spans="2:4" x14ac:dyDescent="0.15">
      <c r="B60" s="175" t="s">
        <v>178</v>
      </c>
      <c r="C60" s="175" t="s">
        <v>190</v>
      </c>
      <c r="D60" s="108"/>
    </row>
    <row r="61" spans="2:4" x14ac:dyDescent="0.15">
      <c r="B61" s="175" t="s">
        <v>179</v>
      </c>
      <c r="C61" s="108">
        <v>33</v>
      </c>
      <c r="D61" s="108"/>
    </row>
    <row r="62" spans="2:4" x14ac:dyDescent="0.15">
      <c r="B62" s="175" t="s">
        <v>180</v>
      </c>
      <c r="C62" s="108">
        <v>3</v>
      </c>
      <c r="D62" s="108"/>
    </row>
    <row r="63" spans="2:4" x14ac:dyDescent="0.15">
      <c r="B63" s="175" t="s">
        <v>181</v>
      </c>
      <c r="C63" s="108">
        <v>2007</v>
      </c>
      <c r="D63" s="108"/>
    </row>
    <row r="64" spans="2:4" x14ac:dyDescent="0.15">
      <c r="B64" s="175" t="s">
        <v>182</v>
      </c>
      <c r="C64" s="108">
        <v>7</v>
      </c>
      <c r="D64" s="108"/>
    </row>
    <row r="65" spans="2:4" x14ac:dyDescent="0.15">
      <c r="B65" s="175" t="s">
        <v>183</v>
      </c>
      <c r="C65" s="175" t="s">
        <v>191</v>
      </c>
      <c r="D65" s="108"/>
    </row>
    <row r="66" spans="2:4" x14ac:dyDescent="0.15">
      <c r="B66" s="175" t="s">
        <v>184</v>
      </c>
      <c r="C66" s="175" t="s">
        <v>192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8.83203125" style="81" bestFit="1" customWidth="1"/>
    <col min="6" max="6" width="2.33203125" style="81" bestFit="1" customWidth="1"/>
    <col min="7" max="7" width="10.83203125" style="81" bestFit="1" customWidth="1"/>
    <col min="8" max="8" width="9.83203125" style="81" customWidth="1"/>
    <col min="9" max="9" width="10.83203125" style="81" customWidth="1"/>
    <col min="10" max="11" width="12.83203125" style="81" customWidth="1"/>
    <col min="12" max="12" width="2.3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6" t="s">
        <v>193</v>
      </c>
      <c r="F2" s="81">
        <v>0</v>
      </c>
      <c r="G2" s="81">
        <v>3.1931279999999999E-2</v>
      </c>
      <c r="H2" s="81">
        <v>7.0000000000000007E-2</v>
      </c>
      <c r="I2" s="6">
        <v>13.49</v>
      </c>
      <c r="J2" s="6">
        <v>0</v>
      </c>
      <c r="K2" s="6">
        <v>5.1890290000000004E-3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32</v>
      </c>
      <c r="C3" s="81">
        <v>2</v>
      </c>
      <c r="D3"/>
      <c r="E3" s="176" t="s">
        <v>194</v>
      </c>
      <c r="F3" s="81">
        <v>0</v>
      </c>
      <c r="G3" s="81">
        <v>1.22849834</v>
      </c>
      <c r="H3" s="81">
        <v>0.35</v>
      </c>
      <c r="I3" s="81">
        <v>8.1925019999999993</v>
      </c>
      <c r="J3" s="81">
        <v>0.5</v>
      </c>
      <c r="K3" s="81">
        <v>4.2721990000000001E-2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6" t="s">
        <v>195</v>
      </c>
      <c r="F4" s="81">
        <v>0</v>
      </c>
      <c r="G4" s="81">
        <v>6</v>
      </c>
      <c r="H4" s="81">
        <v>0.47</v>
      </c>
      <c r="I4" s="81">
        <v>3.5792229999999998</v>
      </c>
      <c r="J4" s="81">
        <v>0.65473329999999996</v>
      </c>
      <c r="K4" s="81">
        <v>0.13131341299999999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81">
        <v>4</v>
      </c>
      <c r="D5"/>
      <c r="E5" s="176" t="s">
        <v>196</v>
      </c>
      <c r="F5" s="81">
        <v>0</v>
      </c>
      <c r="G5" s="81">
        <v>4.5999999999999996</v>
      </c>
      <c r="H5" s="81">
        <v>0.18</v>
      </c>
      <c r="I5" s="81">
        <v>0.80780523999999998</v>
      </c>
      <c r="J5" s="81">
        <v>0</v>
      </c>
      <c r="K5" s="81">
        <v>0.222825989</v>
      </c>
      <c r="L5" s="81">
        <v>0</v>
      </c>
      <c r="M5" s="81">
        <v>0.2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6" t="s">
        <v>197</v>
      </c>
      <c r="F6" s="81">
        <v>0</v>
      </c>
      <c r="G6" s="81">
        <v>1.2601789999999999</v>
      </c>
      <c r="H6" s="81">
        <v>0.47</v>
      </c>
      <c r="I6" s="81">
        <v>1.6611605899999999</v>
      </c>
      <c r="J6" s="81">
        <v>0.12800613</v>
      </c>
      <c r="K6" s="81">
        <v>0.282934725</v>
      </c>
      <c r="L6" s="81">
        <v>0</v>
      </c>
      <c r="M6" s="81">
        <v>0.2</v>
      </c>
      <c r="N6" s="81">
        <v>0</v>
      </c>
      <c r="P6" s="71"/>
      <c r="Q6" s="71"/>
      <c r="R6" s="71"/>
      <c r="W6" s="36" t="s">
        <v>31</v>
      </c>
      <c r="X6" s="52">
        <f>MAX(MainOutputs!G:G)</f>
        <v>0.9707571268081665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265</v>
      </c>
      <c r="C7" s="81">
        <v>6</v>
      </c>
      <c r="D7"/>
      <c r="E7" s="176" t="s">
        <v>198</v>
      </c>
      <c r="F7" s="81">
        <v>0</v>
      </c>
      <c r="G7" s="81">
        <v>0.6165484</v>
      </c>
      <c r="H7" s="81">
        <v>1.34</v>
      </c>
      <c r="I7" s="81">
        <v>4.4043650000000003</v>
      </c>
      <c r="J7" s="81">
        <v>9.3338080000000004E-2</v>
      </c>
      <c r="K7" s="81">
        <v>0.30424362399999999</v>
      </c>
      <c r="L7" s="81">
        <v>0</v>
      </c>
      <c r="M7" s="81">
        <v>0.2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84</v>
      </c>
      <c r="C8" s="81">
        <v>7</v>
      </c>
      <c r="D8"/>
      <c r="E8" s="176" t="s">
        <v>199</v>
      </c>
      <c r="F8" s="81">
        <v>0</v>
      </c>
      <c r="G8" s="81">
        <v>2.49614</v>
      </c>
      <c r="H8" s="81">
        <v>0.54</v>
      </c>
      <c r="I8" s="81">
        <v>4.6194990000000002</v>
      </c>
      <c r="J8" s="81">
        <v>0.68008970000000002</v>
      </c>
      <c r="K8" s="81">
        <v>0.116895795</v>
      </c>
      <c r="L8" s="81">
        <v>0</v>
      </c>
      <c r="M8" s="81">
        <v>0.2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6" t="s">
        <v>200</v>
      </c>
      <c r="F9" s="81">
        <v>0</v>
      </c>
      <c r="G9" s="81">
        <v>1.18</v>
      </c>
      <c r="H9" s="81">
        <v>0.65</v>
      </c>
      <c r="I9" s="81">
        <v>6.5962452899999997</v>
      </c>
      <c r="J9" s="81">
        <v>0.9707789</v>
      </c>
      <c r="K9" s="81">
        <v>9.8540900000000001E-2</v>
      </c>
      <c r="L9" s="81">
        <v>0</v>
      </c>
      <c r="M9" s="81">
        <v>0.2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6" t="s">
        <v>201</v>
      </c>
      <c r="F10" s="81">
        <v>0</v>
      </c>
      <c r="G10" s="81">
        <v>2.1369581200000001</v>
      </c>
      <c r="H10" s="81">
        <v>0.88028320000000004</v>
      </c>
      <c r="I10" s="81">
        <v>7.8381514499999998</v>
      </c>
      <c r="J10" s="81">
        <v>0.7</v>
      </c>
      <c r="K10" s="81">
        <v>0.1123075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6" t="s">
        <v>202</v>
      </c>
      <c r="F11" s="81">
        <v>0</v>
      </c>
      <c r="G11" s="81">
        <v>8.0856779999999997</v>
      </c>
      <c r="H11" s="81">
        <v>0.97489979999999998</v>
      </c>
      <c r="I11" s="81">
        <v>7.5673029999999999</v>
      </c>
      <c r="J11" s="81">
        <v>0.9</v>
      </c>
      <c r="K11" s="81">
        <v>0.12883055199999999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6" t="s">
        <v>203</v>
      </c>
      <c r="F12" s="81">
        <v>0</v>
      </c>
      <c r="G12" s="81">
        <v>15.105374299999999</v>
      </c>
      <c r="H12" s="81">
        <v>0.83</v>
      </c>
      <c r="I12" s="81">
        <v>10.408991800000001</v>
      </c>
      <c r="J12" s="81">
        <v>0.42911199999999999</v>
      </c>
      <c r="K12" s="81">
        <v>7.9738749999999997E-2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6" t="s">
        <v>204</v>
      </c>
      <c r="F13" s="81">
        <v>0</v>
      </c>
      <c r="G13" s="81">
        <v>0.30499999999999999</v>
      </c>
      <c r="H13" s="81">
        <v>0.67</v>
      </c>
      <c r="I13" s="81">
        <v>6.96302032</v>
      </c>
      <c r="J13" s="81">
        <v>0.78764339999999999</v>
      </c>
      <c r="K13" s="81">
        <v>9.6222619999999995E-2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6" t="s">
        <v>205</v>
      </c>
      <c r="F14" s="81">
        <v>0</v>
      </c>
      <c r="G14" s="81">
        <v>29.7</v>
      </c>
      <c r="H14" s="81">
        <v>0.73</v>
      </c>
      <c r="I14" s="81">
        <v>6.4590769999999997</v>
      </c>
      <c r="J14" s="81">
        <v>0.24427606199999999</v>
      </c>
      <c r="K14" s="81">
        <v>0.11301925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6" t="s">
        <v>206</v>
      </c>
      <c r="F15" s="81">
        <v>0</v>
      </c>
      <c r="G15" s="81">
        <v>6.0023920000000004</v>
      </c>
      <c r="H15" s="81">
        <v>1.1200000000000001</v>
      </c>
      <c r="I15" s="81">
        <v>8.5357559999999992</v>
      </c>
      <c r="J15" s="81">
        <v>0.9</v>
      </c>
      <c r="K15" s="81">
        <v>0.13121274099999999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6" t="s">
        <v>207</v>
      </c>
      <c r="F16" s="81">
        <v>0</v>
      </c>
      <c r="G16" s="81">
        <v>2.488308</v>
      </c>
      <c r="H16" s="81">
        <v>0.96</v>
      </c>
      <c r="I16" s="81">
        <v>9.5610490000000006</v>
      </c>
      <c r="J16" s="81">
        <v>0.7470871</v>
      </c>
      <c r="K16" s="81">
        <v>0.100407384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6" t="s">
        <v>208</v>
      </c>
      <c r="F17" s="81">
        <v>0</v>
      </c>
      <c r="G17" s="81">
        <v>1.1659999999999999</v>
      </c>
      <c r="H17" s="81">
        <v>0.36</v>
      </c>
      <c r="I17" s="81">
        <v>14.9885807</v>
      </c>
      <c r="J17" s="81">
        <v>0.38992637400000002</v>
      </c>
      <c r="K17" s="81">
        <v>2.4018285800000001E-2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6" t="s">
        <v>209</v>
      </c>
      <c r="F18" s="81">
        <v>0</v>
      </c>
      <c r="G18" s="81">
        <v>3.1708173799999999</v>
      </c>
      <c r="H18" s="81">
        <v>0.95</v>
      </c>
      <c r="I18" s="81">
        <v>5.3024579999999997</v>
      </c>
      <c r="J18" s="81">
        <v>0.25389471699999999</v>
      </c>
      <c r="K18" s="81">
        <v>0.179162189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6" t="s">
        <v>210</v>
      </c>
      <c r="F19" s="81">
        <v>0</v>
      </c>
      <c r="G19" s="81">
        <v>6.1</v>
      </c>
      <c r="H19" s="81">
        <v>0.6</v>
      </c>
      <c r="I19" s="81">
        <v>2.54</v>
      </c>
      <c r="J19" s="81">
        <v>0.63807934499999996</v>
      </c>
      <c r="K19" s="81">
        <v>0.23622047900000001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6" t="s">
        <v>211</v>
      </c>
      <c r="F20" s="81">
        <v>0</v>
      </c>
      <c r="G20" s="81">
        <v>12.6073179</v>
      </c>
      <c r="H20" s="81">
        <v>2.64</v>
      </c>
      <c r="I20" s="81">
        <v>18.89</v>
      </c>
      <c r="J20" s="81">
        <v>0.9</v>
      </c>
      <c r="K20" s="81">
        <v>0.13975650000000001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76" t="s">
        <v>212</v>
      </c>
      <c r="F21" s="81">
        <v>0</v>
      </c>
      <c r="G21" s="81">
        <v>3.43334246</v>
      </c>
      <c r="H21" s="81">
        <v>2.34</v>
      </c>
      <c r="I21" s="81">
        <v>7.7999989999999997</v>
      </c>
      <c r="J21" s="81">
        <v>0.70093550000000004</v>
      </c>
      <c r="K21" s="81">
        <v>0.3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6" t="s">
        <v>213</v>
      </c>
      <c r="F22" s="81">
        <v>0</v>
      </c>
      <c r="G22" s="81">
        <v>3.1157617599999998</v>
      </c>
      <c r="H22" s="81">
        <v>22.704999999999998</v>
      </c>
      <c r="I22" s="81">
        <v>60.47</v>
      </c>
      <c r="J22" s="81">
        <v>0.95</v>
      </c>
      <c r="K22" s="81">
        <v>0.375475436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6" t="s">
        <v>214</v>
      </c>
      <c r="F23" s="81">
        <v>0</v>
      </c>
      <c r="G23" s="81">
        <v>7.5195489999999996</v>
      </c>
      <c r="H23" s="81">
        <v>35.435000000000002</v>
      </c>
      <c r="I23" s="81">
        <v>109.425</v>
      </c>
      <c r="J23" s="81">
        <v>0.95</v>
      </c>
      <c r="K23" s="81">
        <v>0.32382909999999998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6" t="s">
        <v>215</v>
      </c>
      <c r="F24" s="81">
        <v>0</v>
      </c>
      <c r="G24" s="81">
        <v>40.1598167</v>
      </c>
      <c r="H24" s="81">
        <v>2.58</v>
      </c>
      <c r="I24" s="81">
        <v>15.27</v>
      </c>
      <c r="J24" s="81">
        <v>0.95</v>
      </c>
      <c r="K24" s="81">
        <v>0.168958738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6" t="s">
        <v>216</v>
      </c>
      <c r="F25" s="81">
        <v>0</v>
      </c>
      <c r="G25" s="81">
        <v>49.709064499999997</v>
      </c>
      <c r="H25" s="81">
        <v>4.0999999999999996</v>
      </c>
      <c r="I25" s="81">
        <v>47.6</v>
      </c>
      <c r="J25" s="81">
        <v>0.9</v>
      </c>
      <c r="K25" s="81">
        <v>8.6134456100000006E-2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6" t="s">
        <v>217</v>
      </c>
      <c r="F26" s="81">
        <v>0</v>
      </c>
      <c r="G26" s="81">
        <v>21.383054699999999</v>
      </c>
      <c r="H26" s="81">
        <v>0.59</v>
      </c>
      <c r="I26" s="81">
        <v>1.67</v>
      </c>
      <c r="J26" s="81">
        <v>0.5</v>
      </c>
      <c r="K26" s="81">
        <v>0.353293419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6" t="s">
        <v>218</v>
      </c>
      <c r="F27" s="81">
        <v>0</v>
      </c>
      <c r="G27" s="81">
        <v>74.225746200000003</v>
      </c>
      <c r="H27" s="81">
        <v>2.63</v>
      </c>
      <c r="I27" s="81">
        <v>11.2</v>
      </c>
      <c r="J27" s="81">
        <v>0.9</v>
      </c>
      <c r="K27" s="81">
        <v>0.23482143899999999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6" t="s">
        <v>219</v>
      </c>
      <c r="F28" s="81">
        <v>0</v>
      </c>
      <c r="G28" s="81">
        <v>500.8</v>
      </c>
      <c r="H28" s="81">
        <v>0.2</v>
      </c>
      <c r="I28" s="81">
        <v>0.53</v>
      </c>
      <c r="J28" s="81">
        <v>1.8631141600000001E-2</v>
      </c>
      <c r="K28" s="81">
        <v>0.37735852600000003</v>
      </c>
      <c r="L28" s="81">
        <v>0</v>
      </c>
      <c r="M28" s="81">
        <v>0</v>
      </c>
      <c r="N28" s="81">
        <v>0</v>
      </c>
    </row>
    <row r="29" spans="1:22" customFormat="1" ht="15" customHeight="1" x14ac:dyDescent="0.15">
      <c r="C29" s="81">
        <v>28</v>
      </c>
      <c r="E29" s="176" t="s">
        <v>220</v>
      </c>
      <c r="F29" s="81">
        <v>0</v>
      </c>
      <c r="G29" s="81">
        <v>64.951999999999998</v>
      </c>
      <c r="H29" s="81">
        <v>0.56999999999999995</v>
      </c>
      <c r="I29" s="81">
        <v>2.7</v>
      </c>
      <c r="J29" s="81">
        <v>0.60071019999999997</v>
      </c>
      <c r="K29" s="81">
        <v>0.2111111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6" t="s">
        <v>221</v>
      </c>
      <c r="F30" s="81">
        <v>0</v>
      </c>
      <c r="G30" s="81">
        <v>19.844554899999999</v>
      </c>
      <c r="H30" s="81">
        <v>10</v>
      </c>
      <c r="I30" s="81">
        <v>33.3333321</v>
      </c>
      <c r="J30" s="81">
        <v>0.95</v>
      </c>
      <c r="K30" s="81">
        <v>0.3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6" t="s">
        <v>222</v>
      </c>
      <c r="F31" s="81">
        <v>1</v>
      </c>
      <c r="G31" s="81">
        <v>3674</v>
      </c>
      <c r="H31" s="81">
        <v>0.55000000000000004</v>
      </c>
      <c r="I31" s="81">
        <v>0</v>
      </c>
      <c r="J31" s="81">
        <v>0.24325595799999999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6" t="s">
        <v>223</v>
      </c>
      <c r="F32" s="81">
        <v>1</v>
      </c>
      <c r="G32" s="81">
        <v>557</v>
      </c>
      <c r="H32" s="81">
        <v>4.43</v>
      </c>
      <c r="I32" s="81">
        <v>0</v>
      </c>
      <c r="J32" s="81">
        <v>0.13921919999999999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6" t="s">
        <v>224</v>
      </c>
      <c r="F33" s="81">
        <v>1</v>
      </c>
      <c r="G33" s="81">
        <v>7.14</v>
      </c>
      <c r="H33" s="81">
        <v>179.6</v>
      </c>
      <c r="I33" s="81">
        <v>0</v>
      </c>
      <c r="J33" s="81">
        <v>0.46003769999999999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6" t="s">
        <v>225</v>
      </c>
      <c r="F34" s="81">
        <v>2</v>
      </c>
      <c r="G34" s="81">
        <v>65.25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6" t="s">
        <v>226</v>
      </c>
      <c r="F35" s="81">
        <v>2</v>
      </c>
      <c r="G35" s="81">
        <v>5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>
      <c r="C36" s="81">
        <v>35</v>
      </c>
      <c r="E36" s="176" t="s">
        <v>227</v>
      </c>
      <c r="F36" s="81">
        <v>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>
      <c r="C37" s="81">
        <v>36</v>
      </c>
      <c r="E37" s="176" t="s">
        <v>228</v>
      </c>
      <c r="F37" s="81">
        <v>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76" t="s">
        <v>229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8.83203125" style="141" bestFit="1" customWidth="1"/>
    <col min="2" max="2" width="15.83203125" style="141" bestFit="1" customWidth="1"/>
    <col min="3" max="3" width="14.83203125" style="141" bestFit="1" customWidth="1"/>
    <col min="4" max="4" width="15.83203125" style="141" bestFit="1" customWidth="1"/>
    <col min="5" max="6" width="14.83203125" style="141" bestFit="1" customWidth="1"/>
    <col min="7" max="7" width="13.83203125" style="141" bestFit="1" customWidth="1"/>
    <col min="8" max="8" width="5.83203125" style="141" bestFit="1" customWidth="1"/>
    <col min="9" max="10" width="13.83203125" style="141" bestFit="1" customWidth="1"/>
    <col min="11" max="11" width="14.83203125" style="141" bestFit="1" customWidth="1"/>
    <col min="12" max="12" width="15.83203125" style="141" bestFit="1" customWidth="1"/>
    <col min="13" max="13" width="13.83203125" style="141" bestFit="1" customWidth="1"/>
    <col min="14" max="14" width="15.83203125" style="141" bestFit="1" customWidth="1"/>
    <col min="15" max="15" width="14.83203125" style="141" bestFit="1" customWidth="1"/>
    <col min="16" max="16" width="5.83203125" style="141" bestFit="1" customWidth="1"/>
    <col min="17" max="17" width="13.83203125" style="141" bestFit="1" customWidth="1"/>
    <col min="18" max="18" width="5.83203125" style="141" bestFit="1" customWidth="1"/>
    <col min="19" max="19" width="6.83203125" style="141" bestFit="1" customWidth="1"/>
    <col min="20" max="21" width="14.83203125" style="141" bestFit="1" customWidth="1"/>
    <col min="22" max="22" width="13.83203125" style="141" bestFit="1" customWidth="1"/>
    <col min="23" max="23" width="12.83203125" style="141" bestFit="1" customWidth="1"/>
    <col min="24" max="25" width="14.83203125" style="141" bestFit="1" customWidth="1"/>
    <col min="26" max="26" width="6.83203125" style="141" bestFit="1" customWidth="1"/>
    <col min="27" max="27" width="14.83203125" style="141" bestFit="1" customWidth="1"/>
    <col min="28" max="28" width="13.83203125" style="141" bestFit="1" customWidth="1"/>
    <col min="29" max="29" width="5.83203125" style="141" bestFit="1" customWidth="1"/>
    <col min="30" max="30" width="4.83203125" style="141" customWidth="1"/>
    <col min="31" max="35" width="2.33203125" style="141" customWidth="1"/>
    <col min="36" max="16384" width="8.83203125" style="141"/>
  </cols>
  <sheetData>
    <row r="1" spans="1:35" x14ac:dyDescent="0.15">
      <c r="A1" s="140" t="s">
        <v>19</v>
      </c>
      <c r="B1" s="178" t="s">
        <v>193</v>
      </c>
      <c r="C1" s="178" t="s">
        <v>194</v>
      </c>
      <c r="D1" s="178" t="s">
        <v>195</v>
      </c>
      <c r="E1" s="178" t="s">
        <v>196</v>
      </c>
      <c r="F1" s="178" t="s">
        <v>197</v>
      </c>
      <c r="G1" s="178" t="s">
        <v>198</v>
      </c>
      <c r="H1" s="178" t="s">
        <v>199</v>
      </c>
      <c r="I1" s="178" t="s">
        <v>200</v>
      </c>
      <c r="J1" s="178" t="s">
        <v>201</v>
      </c>
      <c r="K1" s="178" t="s">
        <v>202</v>
      </c>
      <c r="L1" s="178" t="s">
        <v>203</v>
      </c>
      <c r="M1" s="178" t="s">
        <v>204</v>
      </c>
      <c r="N1" s="178" t="s">
        <v>205</v>
      </c>
      <c r="O1" s="178" t="s">
        <v>206</v>
      </c>
      <c r="P1" s="178" t="s">
        <v>207</v>
      </c>
      <c r="Q1" s="178" t="s">
        <v>208</v>
      </c>
      <c r="R1" s="178" t="s">
        <v>209</v>
      </c>
      <c r="S1" s="178" t="s">
        <v>210</v>
      </c>
      <c r="T1" s="178" t="s">
        <v>211</v>
      </c>
      <c r="U1" s="178" t="s">
        <v>212</v>
      </c>
      <c r="V1" s="178" t="s">
        <v>213</v>
      </c>
      <c r="W1" s="178" t="s">
        <v>214</v>
      </c>
      <c r="X1" s="178" t="s">
        <v>215</v>
      </c>
      <c r="Y1" s="178" t="s">
        <v>216</v>
      </c>
      <c r="Z1" s="178" t="s">
        <v>217</v>
      </c>
      <c r="AA1" s="178" t="s">
        <v>218</v>
      </c>
      <c r="AB1" s="178" t="s">
        <v>219</v>
      </c>
      <c r="AC1" s="178" t="s">
        <v>220</v>
      </c>
      <c r="AD1" s="178" t="s">
        <v>221</v>
      </c>
      <c r="AE1" s="178" t="s">
        <v>222</v>
      </c>
      <c r="AF1" s="178" t="s">
        <v>223</v>
      </c>
      <c r="AG1" s="178" t="s">
        <v>224</v>
      </c>
      <c r="AH1" s="178" t="s">
        <v>225</v>
      </c>
      <c r="AI1" s="178" t="s">
        <v>226</v>
      </c>
    </row>
    <row r="2" spans="1:35" customFormat="1" x14ac:dyDescent="0.15">
      <c r="A2" s="177" t="s">
        <v>193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</row>
    <row r="3" spans="1:35" customFormat="1" x14ac:dyDescent="0.15">
      <c r="A3" s="177" t="s">
        <v>194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</row>
    <row r="4" spans="1:35" customFormat="1" x14ac:dyDescent="0.15">
      <c r="A4" s="177" t="s">
        <v>195</v>
      </c>
      <c r="B4" s="141">
        <v>0.10299382844451713</v>
      </c>
      <c r="C4" s="141">
        <v>0</v>
      </c>
      <c r="D4" s="141">
        <v>0</v>
      </c>
      <c r="E4" s="141">
        <v>1.979999799802E-2</v>
      </c>
      <c r="F4" s="141">
        <v>3.894999903404002E-2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</row>
    <row r="5" spans="1:35" customFormat="1" x14ac:dyDescent="0.15">
      <c r="A5" s="177" t="s">
        <v>196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</row>
    <row r="6" spans="1:35" customFormat="1" x14ac:dyDescent="0.15">
      <c r="A6" s="177" t="s">
        <v>197</v>
      </c>
      <c r="B6" s="141">
        <v>0</v>
      </c>
      <c r="C6" s="141">
        <v>0</v>
      </c>
      <c r="D6" s="141">
        <v>0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</row>
    <row r="7" spans="1:35" customFormat="1" x14ac:dyDescent="0.15">
      <c r="A7" s="177" t="s">
        <v>198</v>
      </c>
      <c r="B7" s="141">
        <v>0</v>
      </c>
      <c r="C7" s="141">
        <v>0</v>
      </c>
      <c r="D7" s="141">
        <v>3.5894047097913585E-3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</row>
    <row r="8" spans="1:35" customFormat="1" x14ac:dyDescent="0.15">
      <c r="A8" s="177" t="s">
        <v>199</v>
      </c>
      <c r="B8" s="141">
        <v>0</v>
      </c>
      <c r="C8" s="141">
        <v>0</v>
      </c>
      <c r="D8" s="141">
        <v>5.1277220135999167E-3</v>
      </c>
      <c r="E8" s="141">
        <v>1.9799999998020002E-2</v>
      </c>
      <c r="F8" s="141">
        <v>3.894999903404002E-2</v>
      </c>
      <c r="G8" s="141">
        <v>0</v>
      </c>
      <c r="H8" s="141">
        <v>1.1999999999999997E-2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</row>
    <row r="9" spans="1:35" customFormat="1" x14ac:dyDescent="0.15">
      <c r="A9" s="177" t="s">
        <v>200</v>
      </c>
      <c r="B9" s="141">
        <v>0</v>
      </c>
      <c r="C9" s="141">
        <v>0</v>
      </c>
      <c r="D9" s="141">
        <v>2.0098194133786442E-3</v>
      </c>
      <c r="E9" s="141">
        <v>2.69999999973E-2</v>
      </c>
      <c r="F9" s="141">
        <v>3.894999903404002E-2</v>
      </c>
      <c r="G9" s="141">
        <v>2.9996413349041962E-2</v>
      </c>
      <c r="H9" s="141">
        <v>9.9999999999999985E-3</v>
      </c>
      <c r="I9" s="141">
        <v>0</v>
      </c>
      <c r="J9" s="141">
        <v>0</v>
      </c>
      <c r="K9" s="141">
        <v>0</v>
      </c>
      <c r="L9" s="141">
        <v>0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</row>
    <row r="10" spans="1:35" customFormat="1" x14ac:dyDescent="0.15">
      <c r="A10" s="177" t="s">
        <v>201</v>
      </c>
      <c r="B10" s="141">
        <v>0</v>
      </c>
      <c r="C10" s="141">
        <v>0</v>
      </c>
      <c r="D10" s="141">
        <v>6.666039317408474E-3</v>
      </c>
      <c r="E10" s="141">
        <v>8.0999999991899999E-3</v>
      </c>
      <c r="F10" s="141">
        <v>2.9449994869640127E-2</v>
      </c>
      <c r="G10" s="141">
        <v>7.1466969163836463E-2</v>
      </c>
      <c r="H10" s="141">
        <v>6.7999999999999991E-2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</row>
    <row r="11" spans="1:35" customFormat="1" x14ac:dyDescent="0.15">
      <c r="A11" s="177" t="s">
        <v>202</v>
      </c>
      <c r="B11" s="141">
        <v>6.666267834596562E-2</v>
      </c>
      <c r="C11" s="141">
        <v>0.14060617376007584</v>
      </c>
      <c r="D11" s="141">
        <v>0.2051088195676487</v>
      </c>
      <c r="E11" s="141">
        <v>1.979999799802E-2</v>
      </c>
      <c r="F11" s="141">
        <v>3.2299999198960018E-2</v>
      </c>
      <c r="G11" s="141">
        <v>7.1466969163836463E-2</v>
      </c>
      <c r="H11" s="141">
        <v>0</v>
      </c>
      <c r="I11" s="141">
        <v>0</v>
      </c>
      <c r="J11" s="141">
        <v>0</v>
      </c>
      <c r="K11" s="141">
        <v>0</v>
      </c>
      <c r="L11" s="141">
        <v>0</v>
      </c>
      <c r="M11" s="141">
        <v>0</v>
      </c>
      <c r="N11" s="141">
        <v>0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2.631579027473685E-2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</row>
    <row r="12" spans="1:35" customFormat="1" x14ac:dyDescent="0.15">
      <c r="A12" s="177" t="s">
        <v>203</v>
      </c>
      <c r="B12" s="141">
        <v>6.6662668345965868E-3</v>
      </c>
      <c r="C12" s="141">
        <v>2.6666682823463649E-2</v>
      </c>
      <c r="D12" s="141">
        <v>4.0196383869278929E-2</v>
      </c>
      <c r="E12" s="141">
        <v>0</v>
      </c>
      <c r="F12" s="141">
        <v>0</v>
      </c>
      <c r="G12" s="141">
        <v>0</v>
      </c>
      <c r="H12" s="141">
        <v>8.699999999999998E-2</v>
      </c>
      <c r="I12" s="141">
        <v>0</v>
      </c>
      <c r="J12" s="141">
        <v>0</v>
      </c>
      <c r="K12" s="141">
        <v>2.7432563105635296E-2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1">
        <v>2.631579027473685E-2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</row>
    <row r="13" spans="1:35" customFormat="1" x14ac:dyDescent="0.15">
      <c r="A13" s="177" t="s">
        <v>204</v>
      </c>
      <c r="B13" s="141">
        <v>3.3331337972982841E-3</v>
      </c>
      <c r="C13" s="141">
        <v>0</v>
      </c>
      <c r="D13" s="141">
        <v>9.9961226150945275E-4</v>
      </c>
      <c r="E13" s="141">
        <v>0</v>
      </c>
      <c r="F13" s="141">
        <v>0</v>
      </c>
      <c r="G13" s="141">
        <v>0</v>
      </c>
      <c r="H13" s="141">
        <v>9.999999999999998E-4</v>
      </c>
      <c r="I13" s="141">
        <v>0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</row>
    <row r="14" spans="1:35" customFormat="1" x14ac:dyDescent="0.15">
      <c r="A14" s="177" t="s">
        <v>205</v>
      </c>
      <c r="B14" s="141">
        <v>0</v>
      </c>
      <c r="C14" s="141">
        <v>0</v>
      </c>
      <c r="D14" s="141">
        <v>2.3990694276226868E-2</v>
      </c>
      <c r="E14" s="141">
        <v>2.8800001397119999E-2</v>
      </c>
      <c r="F14" s="141">
        <v>2.9449994869640127E-2</v>
      </c>
      <c r="G14" s="141">
        <v>7.1466969163836463E-2</v>
      </c>
      <c r="H14" s="141">
        <v>6.7999999999999991E-2</v>
      </c>
      <c r="I14" s="141">
        <v>1.0427528695933265E-3</v>
      </c>
      <c r="J14" s="141">
        <v>0</v>
      </c>
      <c r="K14" s="141">
        <v>0</v>
      </c>
      <c r="L14" s="141">
        <v>0</v>
      </c>
      <c r="M14" s="141">
        <v>0</v>
      </c>
      <c r="N14" s="141">
        <v>0</v>
      </c>
      <c r="O14" s="141">
        <v>0</v>
      </c>
      <c r="P14" s="141">
        <v>0</v>
      </c>
      <c r="Q14" s="141">
        <v>0</v>
      </c>
      <c r="R14" s="141">
        <v>0</v>
      </c>
      <c r="S14" s="141">
        <v>0</v>
      </c>
      <c r="T14" s="141">
        <v>0</v>
      </c>
      <c r="U14" s="141">
        <v>1.0526312609894702E-2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141">
        <v>0</v>
      </c>
    </row>
    <row r="15" spans="1:35" customFormat="1" x14ac:dyDescent="0.15">
      <c r="A15" s="177" t="s">
        <v>206</v>
      </c>
      <c r="B15" s="141">
        <v>0</v>
      </c>
      <c r="C15" s="141">
        <v>0</v>
      </c>
      <c r="D15" s="141">
        <v>1.0255443527393701E-2</v>
      </c>
      <c r="E15" s="141">
        <v>2.5199999997479999E-2</v>
      </c>
      <c r="F15" s="141">
        <v>7.4099998162320047E-2</v>
      </c>
      <c r="G15" s="141">
        <v>0.19197705175386848</v>
      </c>
      <c r="H15" s="141">
        <v>7.099999999999998E-2</v>
      </c>
      <c r="I15" s="141">
        <v>0.13138685968875916</v>
      </c>
      <c r="J15" s="141">
        <v>0.184865521643577</v>
      </c>
      <c r="K15" s="141">
        <v>0</v>
      </c>
      <c r="L15" s="141">
        <v>0</v>
      </c>
      <c r="M15" s="141">
        <v>3.0326087118271745E-2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</row>
    <row r="16" spans="1:35" customFormat="1" x14ac:dyDescent="0.15">
      <c r="A16" s="177" t="s">
        <v>207</v>
      </c>
      <c r="B16" s="141">
        <v>0</v>
      </c>
      <c r="C16" s="141">
        <v>0</v>
      </c>
      <c r="D16" s="141">
        <v>2.3112918855560459E-2</v>
      </c>
      <c r="E16" s="141">
        <v>1.5299999998469999E-2</v>
      </c>
      <c r="F16" s="141">
        <v>2.9449994869640127E-2</v>
      </c>
      <c r="G16" s="141">
        <v>8.1490259046563956E-2</v>
      </c>
      <c r="H16" s="141">
        <v>7.099999999999998E-2</v>
      </c>
      <c r="I16" s="141">
        <v>0</v>
      </c>
      <c r="J16" s="141">
        <v>0</v>
      </c>
      <c r="K16" s="141">
        <v>0</v>
      </c>
      <c r="L16" s="141">
        <v>0</v>
      </c>
      <c r="M16" s="141">
        <v>3.0326087118271745E-2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</row>
    <row r="17" spans="1:35" customFormat="1" x14ac:dyDescent="0.15">
      <c r="A17" s="177" t="s">
        <v>208</v>
      </c>
      <c r="B17" s="141">
        <v>9.9993997518948944E-3</v>
      </c>
      <c r="C17" s="141">
        <v>0</v>
      </c>
      <c r="D17" s="141">
        <v>5.0245480336404804E-3</v>
      </c>
      <c r="E17" s="141">
        <v>0</v>
      </c>
      <c r="F17" s="141">
        <v>0</v>
      </c>
      <c r="G17" s="141">
        <v>1.6000065812799228E-2</v>
      </c>
      <c r="H17" s="141">
        <v>0</v>
      </c>
      <c r="I17" s="141">
        <v>0</v>
      </c>
      <c r="J17" s="141">
        <v>0</v>
      </c>
      <c r="K17" s="141">
        <v>0</v>
      </c>
      <c r="L17" s="141">
        <v>0</v>
      </c>
      <c r="M17" s="141">
        <v>0</v>
      </c>
      <c r="N17" s="141">
        <v>0</v>
      </c>
      <c r="O17" s="141">
        <v>0</v>
      </c>
      <c r="P17" s="141">
        <v>0</v>
      </c>
      <c r="Q17" s="141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</row>
    <row r="18" spans="1:35" customFormat="1" x14ac:dyDescent="0.15">
      <c r="A18" s="177" t="s">
        <v>209</v>
      </c>
      <c r="B18" s="141">
        <v>0</v>
      </c>
      <c r="C18" s="141">
        <v>0</v>
      </c>
      <c r="D18" s="141">
        <v>1.2306533232484703E-2</v>
      </c>
      <c r="E18" s="141">
        <v>2.5199999997479999E-2</v>
      </c>
      <c r="F18" s="141">
        <v>4.7499998822000027E-3</v>
      </c>
      <c r="G18" s="141">
        <v>0.14613394229023285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</row>
    <row r="19" spans="1:35" customFormat="1" x14ac:dyDescent="0.15">
      <c r="A19" s="177" t="s">
        <v>210</v>
      </c>
      <c r="B19" s="141">
        <v>0</v>
      </c>
      <c r="C19" s="141">
        <v>0</v>
      </c>
      <c r="D19" s="141">
        <v>1.2306533232484703E-2</v>
      </c>
      <c r="E19" s="141">
        <v>4.4999998095500003E-2</v>
      </c>
      <c r="F19" s="141">
        <v>9.4999997644000054E-3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0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</row>
    <row r="20" spans="1:35" customFormat="1" x14ac:dyDescent="0.15">
      <c r="A20" s="177" t="s">
        <v>211</v>
      </c>
      <c r="B20" s="141">
        <v>3.4531292343209573E-4</v>
      </c>
      <c r="C20" s="141">
        <v>0</v>
      </c>
      <c r="D20" s="141">
        <v>5.0251672534519946E-2</v>
      </c>
      <c r="E20" s="141">
        <v>9.2700004590729995E-2</v>
      </c>
      <c r="F20" s="141">
        <v>0.31730001413095965</v>
      </c>
      <c r="G20" s="141">
        <v>0.32000136025598408</v>
      </c>
      <c r="H20" s="141">
        <v>0.16299999999999998</v>
      </c>
      <c r="I20" s="141">
        <v>0.69134514810037551</v>
      </c>
      <c r="J20" s="141">
        <v>0.3467512479585429</v>
      </c>
      <c r="K20" s="141">
        <v>0</v>
      </c>
      <c r="L20" s="141">
        <v>0</v>
      </c>
      <c r="M20" s="141">
        <v>0.12717391649597828</v>
      </c>
      <c r="N20" s="141">
        <v>1.3813228990583669E-2</v>
      </c>
      <c r="O20" s="141">
        <v>0</v>
      </c>
      <c r="P20" s="141">
        <v>9.0999999999999998E-2</v>
      </c>
      <c r="Q20" s="141">
        <v>0</v>
      </c>
      <c r="R20" s="141">
        <v>0</v>
      </c>
      <c r="S20" s="141">
        <v>0</v>
      </c>
      <c r="T20" s="141">
        <v>1.1609428352951366E-2</v>
      </c>
      <c r="U20" s="141">
        <v>0.11578946720884203</v>
      </c>
      <c r="V20" s="141">
        <v>0</v>
      </c>
      <c r="W20" s="141">
        <v>0</v>
      </c>
      <c r="X20" s="141">
        <v>0</v>
      </c>
      <c r="Y20" s="141">
        <v>1.2000002660359948E-3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</row>
    <row r="21" spans="1:35" customFormat="1" x14ac:dyDescent="0.15">
      <c r="A21" s="177" t="s">
        <v>212</v>
      </c>
      <c r="B21" s="141">
        <v>9.9993997518948944E-3</v>
      </c>
      <c r="C21" s="141">
        <v>1.7696982697389087E-2</v>
      </c>
      <c r="D21" s="141">
        <v>3.6176741743801179E-2</v>
      </c>
      <c r="E21" s="141">
        <v>0.57329999994267</v>
      </c>
      <c r="F21" s="141">
        <v>0.30685000839011978</v>
      </c>
      <c r="G21" s="141">
        <v>0</v>
      </c>
      <c r="H21" s="141">
        <v>0</v>
      </c>
      <c r="I21" s="141">
        <v>3.1282584787799807E-2</v>
      </c>
      <c r="J21" s="141">
        <v>6.1652977881637594E-2</v>
      </c>
      <c r="K21" s="141">
        <v>0</v>
      </c>
      <c r="L21" s="141">
        <v>0</v>
      </c>
      <c r="M21" s="141">
        <v>1.7119566066766307E-2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0</v>
      </c>
      <c r="U21" s="141">
        <v>5.2631563149473527E-3</v>
      </c>
      <c r="V21" s="141">
        <v>0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</row>
    <row r="22" spans="1:35" customFormat="1" x14ac:dyDescent="0.15">
      <c r="A22" s="177" t="s">
        <v>213</v>
      </c>
      <c r="B22" s="141">
        <v>0</v>
      </c>
      <c r="C22" s="141">
        <v>1.1393944473662081E-2</v>
      </c>
      <c r="D22" s="141">
        <v>3.2817426884713029E-2</v>
      </c>
      <c r="E22" s="141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2.5221674160669946E-2</v>
      </c>
      <c r="K22" s="141">
        <v>0.10021347660725471</v>
      </c>
      <c r="L22" s="141">
        <v>0.23522840569958428</v>
      </c>
      <c r="M22" s="141">
        <v>5.1358692500298904E-2</v>
      </c>
      <c r="N22" s="141">
        <v>0</v>
      </c>
      <c r="O22" s="141">
        <v>0</v>
      </c>
      <c r="P22" s="141">
        <v>0</v>
      </c>
      <c r="Q22" s="141">
        <v>3.0000000941999991E-2</v>
      </c>
      <c r="R22" s="141">
        <v>0</v>
      </c>
      <c r="S22" s="141">
        <v>0</v>
      </c>
      <c r="T22" s="141">
        <v>1.0500000576559988E-2</v>
      </c>
      <c r="U22" s="141">
        <v>8.9473690934105329E-2</v>
      </c>
      <c r="V22" s="141">
        <v>5.5000008602999785E-3</v>
      </c>
      <c r="W22" s="141">
        <v>0</v>
      </c>
      <c r="X22" s="141">
        <v>1.1999999654400009E-2</v>
      </c>
      <c r="Y22" s="141">
        <v>0</v>
      </c>
      <c r="Z22" s="141">
        <v>0</v>
      </c>
      <c r="AA22" s="141">
        <v>2.749999928225002E-3</v>
      </c>
      <c r="AB22" s="141">
        <v>2.5000003577499926E-2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  <c r="AI22" s="141">
        <v>0</v>
      </c>
    </row>
    <row r="23" spans="1:35" customFormat="1" x14ac:dyDescent="0.15">
      <c r="A23" s="177" t="s">
        <v>214</v>
      </c>
      <c r="B23" s="141">
        <v>0</v>
      </c>
      <c r="C23" s="141">
        <v>3.6363655413814621E-3</v>
      </c>
      <c r="D23" s="141">
        <v>6.1532666062462296E-3</v>
      </c>
      <c r="E23" s="141">
        <v>0</v>
      </c>
      <c r="F23" s="141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6.5539622479213216E-2</v>
      </c>
      <c r="L23" s="141">
        <v>0.25024295506338678</v>
      </c>
      <c r="M23" s="141">
        <v>5.1358692500298904E-2</v>
      </c>
      <c r="N23" s="141">
        <v>0</v>
      </c>
      <c r="O23" s="141">
        <v>0</v>
      </c>
      <c r="P23" s="141">
        <v>0</v>
      </c>
      <c r="Q23" s="141">
        <v>0.12000000396799997</v>
      </c>
      <c r="R23" s="141">
        <v>0</v>
      </c>
      <c r="S23" s="141">
        <v>0</v>
      </c>
      <c r="T23" s="141">
        <v>6.8148308549803999E-2</v>
      </c>
      <c r="U23" s="141">
        <v>1.5789471764842085E-2</v>
      </c>
      <c r="V23" s="141">
        <v>0.46150000727789986</v>
      </c>
      <c r="W23" s="141">
        <v>0</v>
      </c>
      <c r="X23" s="141">
        <v>3.2400009066879731E-2</v>
      </c>
      <c r="Y23" s="141">
        <v>2.5200003296755938E-2</v>
      </c>
      <c r="Z23" s="141">
        <v>0</v>
      </c>
      <c r="AA23" s="141">
        <v>2.1250001545374958E-2</v>
      </c>
      <c r="AB23" s="141">
        <v>2.5000003577499926E-2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</row>
    <row r="24" spans="1:35" customFormat="1" x14ac:dyDescent="0.15">
      <c r="A24" s="177" t="s">
        <v>215</v>
      </c>
      <c r="B24" s="141">
        <v>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1.7999999999999995E-2</v>
      </c>
      <c r="I24" s="141">
        <v>0</v>
      </c>
      <c r="J24" s="141">
        <v>0.13031198286346138</v>
      </c>
      <c r="K24" s="141">
        <v>0</v>
      </c>
      <c r="L24" s="141">
        <v>5.0098694713891366E-4</v>
      </c>
      <c r="M24" s="141">
        <v>0.17510870068292395</v>
      </c>
      <c r="N24" s="141">
        <v>3.8910503528404715E-2</v>
      </c>
      <c r="O24" s="141">
        <v>0.68168168718438427</v>
      </c>
      <c r="P24" s="141">
        <v>0.185</v>
      </c>
      <c r="Q24" s="141">
        <v>0</v>
      </c>
      <c r="R24" s="141">
        <v>0</v>
      </c>
      <c r="S24" s="141">
        <v>0</v>
      </c>
      <c r="T24" s="141">
        <v>1.4412073993311065E-2</v>
      </c>
      <c r="U24" s="141">
        <v>3.6842096984631492E-2</v>
      </c>
      <c r="V24" s="141">
        <v>0</v>
      </c>
      <c r="W24" s="141">
        <v>0</v>
      </c>
      <c r="X24" s="141">
        <v>9.000000740799978E-3</v>
      </c>
      <c r="Y24" s="141">
        <v>1.5750001785472468E-2</v>
      </c>
      <c r="Z24" s="141">
        <v>2.5000000000000001E-2</v>
      </c>
      <c r="AA24" s="141">
        <v>0</v>
      </c>
      <c r="AB24" s="141">
        <v>0</v>
      </c>
      <c r="AC24" s="141">
        <v>4.0000000000000001E-3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</row>
    <row r="25" spans="1:35" customFormat="1" x14ac:dyDescent="0.15">
      <c r="A25" s="177" t="s">
        <v>216</v>
      </c>
      <c r="B25" s="141">
        <v>0</v>
      </c>
      <c r="C25" s="141">
        <v>0</v>
      </c>
      <c r="D25" s="141">
        <v>2.4100289165586885E-2</v>
      </c>
      <c r="E25" s="141">
        <v>0</v>
      </c>
      <c r="F25" s="141">
        <v>0</v>
      </c>
      <c r="G25" s="141">
        <v>0</v>
      </c>
      <c r="H25" s="141">
        <v>0.27899999999999997</v>
      </c>
      <c r="I25" s="141">
        <v>0.14494265455347233</v>
      </c>
      <c r="J25" s="141">
        <v>0.13438214592166473</v>
      </c>
      <c r="K25" s="141">
        <v>3.4040411274911114E-3</v>
      </c>
      <c r="L25" s="141">
        <v>1.3526653227750807E-2</v>
      </c>
      <c r="M25" s="141">
        <v>0.1956521727630435</v>
      </c>
      <c r="N25" s="141">
        <v>0.10603113262490262</v>
      </c>
      <c r="O25" s="141">
        <v>0.29829829439199207</v>
      </c>
      <c r="P25" s="141">
        <v>0.67500000000000004</v>
      </c>
      <c r="Q25" s="141">
        <v>0</v>
      </c>
      <c r="R25" s="141">
        <v>0.3</v>
      </c>
      <c r="S25" s="141">
        <v>0</v>
      </c>
      <c r="T25" s="141">
        <v>0.27016305325093021</v>
      </c>
      <c r="U25" s="141">
        <v>0.15789474664842115</v>
      </c>
      <c r="V25" s="141">
        <v>0</v>
      </c>
      <c r="W25" s="141">
        <v>0</v>
      </c>
      <c r="X25" s="141">
        <v>6.4200008151039753E-2</v>
      </c>
      <c r="Y25" s="141">
        <v>2.1000001180629981E-3</v>
      </c>
      <c r="Z25" s="141">
        <v>0.11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</row>
    <row r="26" spans="1:35" customFormat="1" x14ac:dyDescent="0.15">
      <c r="A26" s="177" t="s">
        <v>217</v>
      </c>
      <c r="B26" s="141">
        <v>0</v>
      </c>
      <c r="C26" s="141">
        <v>0</v>
      </c>
      <c r="D26" s="141">
        <v>0</v>
      </c>
      <c r="E26" s="141">
        <v>0</v>
      </c>
      <c r="F26" s="141">
        <v>0</v>
      </c>
      <c r="G26" s="141">
        <v>0</v>
      </c>
      <c r="H26" s="141">
        <v>5.1999999999999984E-2</v>
      </c>
      <c r="I26" s="141">
        <v>0</v>
      </c>
      <c r="J26" s="141">
        <v>0</v>
      </c>
      <c r="K26" s="141">
        <v>0</v>
      </c>
      <c r="L26" s="141">
        <v>0</v>
      </c>
      <c r="M26" s="141">
        <v>0.1956521727630435</v>
      </c>
      <c r="N26" s="141">
        <v>9.7276267821011595E-4</v>
      </c>
      <c r="O26" s="141">
        <v>1.8018016261261292E-2</v>
      </c>
      <c r="P26" s="141">
        <v>1E-3</v>
      </c>
      <c r="Q26" s="141">
        <v>0</v>
      </c>
      <c r="R26" s="141">
        <v>0</v>
      </c>
      <c r="S26" s="141">
        <v>0</v>
      </c>
      <c r="T26" s="141">
        <v>3.3024150597246076E-3</v>
      </c>
      <c r="U26" s="141">
        <v>0</v>
      </c>
      <c r="V26" s="141">
        <v>0</v>
      </c>
      <c r="W26" s="141">
        <v>0</v>
      </c>
      <c r="X26" s="141">
        <v>0</v>
      </c>
      <c r="Y26" s="141">
        <v>1.3499998930405022E-3</v>
      </c>
      <c r="Z26" s="141">
        <v>5.0000000000000001E-3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</row>
    <row r="27" spans="1:35" customFormat="1" x14ac:dyDescent="0.15">
      <c r="A27" s="177" t="s">
        <v>218</v>
      </c>
      <c r="B27" s="141">
        <v>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1.6814448140446612E-2</v>
      </c>
      <c r="K27" s="141">
        <v>3.4040411274911114E-3</v>
      </c>
      <c r="L27" s="141">
        <v>0</v>
      </c>
      <c r="M27" s="141">
        <v>2.5923911601103258E-2</v>
      </c>
      <c r="N27" s="141">
        <v>0.53307395005914349</v>
      </c>
      <c r="O27" s="141">
        <v>0</v>
      </c>
      <c r="P27" s="141">
        <v>4.8000000000000001E-2</v>
      </c>
      <c r="Q27" s="141">
        <v>0</v>
      </c>
      <c r="R27" s="141">
        <v>0</v>
      </c>
      <c r="S27" s="141">
        <v>0</v>
      </c>
      <c r="T27" s="141">
        <v>3.9601492757280234E-3</v>
      </c>
      <c r="U27" s="141">
        <v>1.5789471764842085E-2</v>
      </c>
      <c r="V27" s="141">
        <v>0</v>
      </c>
      <c r="W27" s="141">
        <v>0</v>
      </c>
      <c r="X27" s="141">
        <v>1.5000002967999911E-2</v>
      </c>
      <c r="Y27" s="141">
        <v>1.5449997691463548E-2</v>
      </c>
      <c r="Z27" s="141">
        <v>0.11</v>
      </c>
      <c r="AA27" s="141">
        <v>0</v>
      </c>
      <c r="AB27" s="141">
        <v>0</v>
      </c>
      <c r="AC27" s="141">
        <v>0.11799999999999999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</row>
    <row r="28" spans="1:35" customFormat="1" x14ac:dyDescent="0.15">
      <c r="A28" s="177" t="s">
        <v>219</v>
      </c>
      <c r="B28" s="141">
        <v>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9.7276257821011809E-3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141">
        <v>0</v>
      </c>
      <c r="X28" s="141">
        <v>0</v>
      </c>
      <c r="Y28" s="141">
        <v>0</v>
      </c>
      <c r="Z28" s="141">
        <v>0</v>
      </c>
      <c r="AA28" s="141">
        <v>0</v>
      </c>
      <c r="AB28" s="141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  <c r="AI28" s="141">
        <v>0</v>
      </c>
    </row>
    <row r="29" spans="1:35" customFormat="1" x14ac:dyDescent="0.15">
      <c r="A29" s="177" t="s">
        <v>220</v>
      </c>
      <c r="B29" s="141">
        <v>0</v>
      </c>
      <c r="C29" s="141">
        <v>0</v>
      </c>
      <c r="D29" s="141">
        <v>0</v>
      </c>
      <c r="E29" s="141">
        <v>0</v>
      </c>
      <c r="F29" s="141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141">
        <v>0</v>
      </c>
      <c r="M29" s="141">
        <v>0</v>
      </c>
      <c r="N29" s="141">
        <v>0.11186769749416357</v>
      </c>
      <c r="O29" s="141">
        <v>0</v>
      </c>
      <c r="P29" s="141">
        <v>0</v>
      </c>
      <c r="Q29" s="141">
        <v>0</v>
      </c>
      <c r="R29" s="141">
        <v>0</v>
      </c>
      <c r="S29" s="141">
        <v>0</v>
      </c>
      <c r="T29" s="141">
        <v>1.400000040207999E-3</v>
      </c>
      <c r="U29" s="141">
        <v>0</v>
      </c>
      <c r="V29" s="141">
        <v>0</v>
      </c>
      <c r="W29" s="141">
        <v>0</v>
      </c>
      <c r="X29" s="141">
        <v>0</v>
      </c>
      <c r="Y29" s="141">
        <v>0</v>
      </c>
      <c r="Z29" s="141">
        <v>1.2500000000000001E-2</v>
      </c>
      <c r="AA29" s="141">
        <v>0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  <c r="AI29" s="141">
        <v>0</v>
      </c>
    </row>
    <row r="30" spans="1:35" customFormat="1" x14ac:dyDescent="0.15">
      <c r="A30" s="177" t="s">
        <v>221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141">
        <v>0</v>
      </c>
      <c r="M30" s="141">
        <v>0</v>
      </c>
      <c r="N30" s="141">
        <v>0</v>
      </c>
      <c r="O30" s="141">
        <v>0</v>
      </c>
      <c r="P30" s="141">
        <v>0</v>
      </c>
      <c r="Q30" s="141">
        <v>0</v>
      </c>
      <c r="R30" s="141">
        <v>0</v>
      </c>
      <c r="S30" s="141">
        <v>0</v>
      </c>
      <c r="T30" s="141">
        <v>2.1000005753119876E-3</v>
      </c>
      <c r="U30" s="141">
        <v>0</v>
      </c>
      <c r="V30" s="141">
        <v>0</v>
      </c>
      <c r="W30" s="141">
        <v>4.9999999100000025E-2</v>
      </c>
      <c r="X30" s="141">
        <v>3.0000005935999823E-2</v>
      </c>
      <c r="Y30" s="141">
        <v>2.5800002184773962E-2</v>
      </c>
      <c r="Z30" s="141">
        <v>0.05</v>
      </c>
      <c r="AA30" s="141">
        <v>6.7000008251299786E-2</v>
      </c>
      <c r="AB30" s="141">
        <v>3.7500011916249756E-2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141">
        <v>0</v>
      </c>
    </row>
    <row r="31" spans="1:35" customFormat="1" x14ac:dyDescent="0.15">
      <c r="A31" s="177" t="s">
        <v>222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4.8638128910505904E-3</v>
      </c>
      <c r="O31" s="141">
        <v>0</v>
      </c>
      <c r="P31" s="141">
        <v>0</v>
      </c>
      <c r="Q31" s="141">
        <v>0</v>
      </c>
      <c r="R31" s="141">
        <v>3.7999999999999999E-2</v>
      </c>
      <c r="S31" s="141">
        <v>0.90249999999999997</v>
      </c>
      <c r="T31" s="141">
        <v>7.2794688450929027E-2</v>
      </c>
      <c r="U31" s="141">
        <v>0</v>
      </c>
      <c r="V31" s="141">
        <v>0</v>
      </c>
      <c r="W31" s="141">
        <v>0</v>
      </c>
      <c r="X31" s="141">
        <v>3.6599998945920025E-2</v>
      </c>
      <c r="Y31" s="141">
        <v>0.15329999693859908</v>
      </c>
      <c r="Z31" s="141">
        <v>0</v>
      </c>
      <c r="AA31" s="141">
        <v>0</v>
      </c>
      <c r="AB31" s="141">
        <v>0</v>
      </c>
      <c r="AC31" s="141">
        <v>0.41899999999999998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  <c r="AI31" s="141">
        <v>0</v>
      </c>
    </row>
    <row r="32" spans="1:35" customFormat="1" x14ac:dyDescent="0.15">
      <c r="A32" s="177" t="s">
        <v>223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8.073928819143994E-2</v>
      </c>
      <c r="O32" s="141">
        <v>1.0010010811811797E-3</v>
      </c>
      <c r="P32" s="141">
        <v>0</v>
      </c>
      <c r="Q32" s="141">
        <v>6.0000001883999982E-2</v>
      </c>
      <c r="R32" s="141">
        <v>0.66200000000000003</v>
      </c>
      <c r="S32" s="141">
        <v>4.7500000000000001E-2</v>
      </c>
      <c r="T32" s="141">
        <v>5.6302181201889581E-2</v>
      </c>
      <c r="U32" s="141">
        <v>0</v>
      </c>
      <c r="V32" s="141">
        <v>0</v>
      </c>
      <c r="W32" s="141">
        <v>0</v>
      </c>
      <c r="X32" s="141">
        <v>6.0000011871999645E-2</v>
      </c>
      <c r="Y32" s="141">
        <v>7.7399988454322236E-2</v>
      </c>
      <c r="Z32" s="141">
        <v>3.4500000000000003E-2</v>
      </c>
      <c r="AA32" s="141">
        <v>0</v>
      </c>
      <c r="AB32" s="141">
        <v>0</v>
      </c>
      <c r="AC32" s="141">
        <v>0.45900000000000002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</row>
    <row r="33" spans="1:35" customFormat="1" x14ac:dyDescent="0.15">
      <c r="A33" s="177" t="s">
        <v>224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5.0098694713891366E-4</v>
      </c>
      <c r="M33" s="141">
        <v>0</v>
      </c>
      <c r="N33" s="141">
        <v>0</v>
      </c>
      <c r="O33" s="141">
        <v>1.0010010811811797E-3</v>
      </c>
      <c r="P33" s="141">
        <v>0</v>
      </c>
      <c r="Q33" s="141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2.3000003215799918E-2</v>
      </c>
      <c r="W33" s="141">
        <v>0.3250000121499998</v>
      </c>
      <c r="X33" s="141">
        <v>4.5000011703999657E-2</v>
      </c>
      <c r="Y33" s="141">
        <v>8.2500008352474844E-3</v>
      </c>
      <c r="Z33" s="141">
        <v>0</v>
      </c>
      <c r="AA33" s="141">
        <v>0.21449999440155015</v>
      </c>
      <c r="AB33" s="141">
        <v>0</v>
      </c>
      <c r="AC33" s="141">
        <v>0</v>
      </c>
      <c r="AD33" s="141">
        <v>0.14000000000000001</v>
      </c>
      <c r="AE33" s="141">
        <v>0</v>
      </c>
      <c r="AF33" s="141">
        <v>0</v>
      </c>
      <c r="AG33" s="141">
        <v>0</v>
      </c>
      <c r="AH33" s="141">
        <v>0</v>
      </c>
      <c r="AI33" s="141">
        <v>0</v>
      </c>
    </row>
    <row r="34" spans="1:35" customFormat="1" x14ac:dyDescent="0.15">
      <c r="A34" s="177" t="s">
        <v>225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0.38999999664600005</v>
      </c>
      <c r="R34" s="141">
        <v>0</v>
      </c>
      <c r="S34" s="141">
        <v>0</v>
      </c>
      <c r="T34" s="141">
        <v>0.185307707056652</v>
      </c>
      <c r="U34" s="141">
        <v>0</v>
      </c>
      <c r="V34" s="141">
        <v>1.0000001345999968E-2</v>
      </c>
      <c r="W34" s="141">
        <v>0.12499999775000005</v>
      </c>
      <c r="X34" s="141">
        <v>0.29579996248096102</v>
      </c>
      <c r="Y34" s="141">
        <v>0.27420001652422571</v>
      </c>
      <c r="Z34" s="141">
        <v>0.65300000000000002</v>
      </c>
      <c r="AA34" s="141">
        <v>0.19450000892354977</v>
      </c>
      <c r="AB34" s="141">
        <v>0.41249999137875015</v>
      </c>
      <c r="AC34" s="141">
        <v>0</v>
      </c>
      <c r="AD34" s="141">
        <v>0.56000000000000005</v>
      </c>
      <c r="AE34" s="141">
        <v>0</v>
      </c>
      <c r="AF34" s="141">
        <v>0</v>
      </c>
      <c r="AG34" s="141">
        <v>0</v>
      </c>
      <c r="AH34" s="141">
        <v>0</v>
      </c>
      <c r="AI34" s="141">
        <v>0</v>
      </c>
    </row>
    <row r="35" spans="1:35" customFormat="1" x14ac:dyDescent="0.15">
      <c r="A35" s="177" t="s">
        <v>226</v>
      </c>
      <c r="B35" s="141">
        <v>0</v>
      </c>
      <c r="C35" s="141">
        <v>0</v>
      </c>
      <c r="D35" s="141">
        <v>0</v>
      </c>
      <c r="E35" s="141">
        <v>0</v>
      </c>
      <c r="F35" s="141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141">
        <v>0</v>
      </c>
      <c r="AI35" s="141">
        <v>0</v>
      </c>
    </row>
    <row r="36" spans="1:35" customFormat="1" x14ac:dyDescent="0.15">
      <c r="A36" s="177" t="s">
        <v>230</v>
      </c>
      <c r="B36" s="141">
        <v>0.79999998015040052</v>
      </c>
      <c r="C36" s="141">
        <v>0.79999985070402779</v>
      </c>
      <c r="D36" s="141">
        <v>0.49980613075472635</v>
      </c>
      <c r="E36" s="141">
        <v>9.9999999990000005E-2</v>
      </c>
      <c r="F36" s="141">
        <v>4.9999998760000032E-2</v>
      </c>
      <c r="G36" s="141">
        <v>0</v>
      </c>
      <c r="H36" s="141">
        <v>9.9999999999999978E-2</v>
      </c>
      <c r="I36" s="141">
        <v>0</v>
      </c>
      <c r="J36" s="141">
        <v>0.10000000143000004</v>
      </c>
      <c r="K36" s="141">
        <v>0.80000625555291449</v>
      </c>
      <c r="L36" s="141">
        <v>0.50000001211500034</v>
      </c>
      <c r="M36" s="141">
        <v>0.10000000039000002</v>
      </c>
      <c r="N36" s="141">
        <v>9.9999997760000042E-2</v>
      </c>
      <c r="O36" s="141">
        <v>0</v>
      </c>
      <c r="P36" s="141">
        <v>0</v>
      </c>
      <c r="Q36" s="141">
        <v>0.39999999656000002</v>
      </c>
      <c r="R36" s="141">
        <v>0</v>
      </c>
      <c r="S36" s="141">
        <v>0.05</v>
      </c>
      <c r="T36" s="141">
        <v>0.2999999936160001</v>
      </c>
      <c r="U36" s="141">
        <v>0.50000000521999999</v>
      </c>
      <c r="V36" s="141">
        <v>0.49999998730000039</v>
      </c>
      <c r="W36" s="141">
        <v>0.4999999910000002</v>
      </c>
      <c r="X36" s="141">
        <v>0.39999998848000029</v>
      </c>
      <c r="Y36" s="141">
        <v>0.39999999201200021</v>
      </c>
      <c r="Z36" s="141">
        <v>0</v>
      </c>
      <c r="AA36" s="141">
        <v>0.49999998695000036</v>
      </c>
      <c r="AB36" s="141">
        <v>0.49999998955000025</v>
      </c>
      <c r="AC36" s="141">
        <v>0</v>
      </c>
      <c r="AD36" s="141">
        <v>0.3</v>
      </c>
      <c r="AE36" s="141">
        <v>0</v>
      </c>
      <c r="AF36" s="141">
        <v>0</v>
      </c>
      <c r="AG36" s="141">
        <v>0</v>
      </c>
      <c r="AH36" s="141">
        <v>0</v>
      </c>
      <c r="AI36" s="141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83203125" customWidth="1"/>
    <col min="3" max="4" width="2.33203125" style="111" customWidth="1"/>
    <col min="5" max="6" width="2.33203125" style="110" bestFit="1" customWidth="1"/>
    <col min="7" max="8" width="8.83203125" style="111"/>
  </cols>
  <sheetData>
    <row r="1" spans="1:8" ht="70" x14ac:dyDescent="0.15">
      <c r="A1" s="5" t="s">
        <v>20</v>
      </c>
      <c r="B1" s="1" t="s">
        <v>0</v>
      </c>
      <c r="C1" s="180" t="s">
        <v>225</v>
      </c>
      <c r="D1" s="180" t="s">
        <v>226</v>
      </c>
      <c r="E1" s="180" t="s">
        <v>231</v>
      </c>
      <c r="F1" s="180" t="s">
        <v>232</v>
      </c>
      <c r="G1"/>
      <c r="H1"/>
    </row>
    <row r="2" spans="1:8" x14ac:dyDescent="0.15">
      <c r="A2">
        <v>1</v>
      </c>
      <c r="B2" s="179" t="s">
        <v>193</v>
      </c>
      <c r="C2" s="111">
        <v>1</v>
      </c>
      <c r="D2" s="111">
        <v>0</v>
      </c>
      <c r="E2" s="110">
        <v>0</v>
      </c>
      <c r="F2" s="110">
        <v>1</v>
      </c>
      <c r="G2"/>
      <c r="H2"/>
    </row>
    <row r="3" spans="1:8" x14ac:dyDescent="0.15">
      <c r="A3">
        <v>2</v>
      </c>
      <c r="B3" s="179" t="s">
        <v>194</v>
      </c>
      <c r="C3" s="111">
        <v>1</v>
      </c>
      <c r="D3" s="111">
        <v>0</v>
      </c>
      <c r="E3" s="110">
        <v>0</v>
      </c>
      <c r="F3" s="110">
        <v>1</v>
      </c>
      <c r="G3"/>
      <c r="H3"/>
    </row>
    <row r="4" spans="1:8" x14ac:dyDescent="0.15">
      <c r="A4">
        <v>3</v>
      </c>
      <c r="B4" s="179" t="s">
        <v>195</v>
      </c>
      <c r="C4" s="111">
        <v>1</v>
      </c>
      <c r="D4" s="111">
        <v>0</v>
      </c>
      <c r="E4" s="110">
        <v>0</v>
      </c>
      <c r="F4" s="110">
        <v>1</v>
      </c>
      <c r="G4"/>
      <c r="H4"/>
    </row>
    <row r="5" spans="1:8" x14ac:dyDescent="0.15">
      <c r="A5">
        <v>4</v>
      </c>
      <c r="B5" s="179" t="s">
        <v>196</v>
      </c>
      <c r="C5" s="111">
        <v>1</v>
      </c>
      <c r="D5" s="111">
        <v>0</v>
      </c>
      <c r="E5" s="110">
        <v>0</v>
      </c>
      <c r="F5" s="110">
        <v>1</v>
      </c>
      <c r="G5"/>
      <c r="H5"/>
    </row>
    <row r="6" spans="1:8" x14ac:dyDescent="0.15">
      <c r="A6">
        <v>5</v>
      </c>
      <c r="B6" s="179" t="s">
        <v>197</v>
      </c>
      <c r="C6" s="111">
        <v>1</v>
      </c>
      <c r="D6" s="111">
        <v>0</v>
      </c>
      <c r="E6" s="110">
        <v>0</v>
      </c>
      <c r="F6" s="110">
        <v>1</v>
      </c>
      <c r="G6"/>
      <c r="H6"/>
    </row>
    <row r="7" spans="1:8" x14ac:dyDescent="0.15">
      <c r="A7">
        <v>6</v>
      </c>
      <c r="B7" s="179" t="s">
        <v>198</v>
      </c>
      <c r="C7" s="111">
        <v>1</v>
      </c>
      <c r="D7" s="111">
        <v>0</v>
      </c>
      <c r="E7" s="110">
        <v>0</v>
      </c>
      <c r="F7" s="110">
        <v>1</v>
      </c>
      <c r="G7"/>
      <c r="H7"/>
    </row>
    <row r="8" spans="1:8" x14ac:dyDescent="0.15">
      <c r="A8">
        <v>7</v>
      </c>
      <c r="B8" s="179" t="s">
        <v>199</v>
      </c>
      <c r="C8" s="111">
        <v>1</v>
      </c>
      <c r="D8" s="111">
        <v>0</v>
      </c>
      <c r="E8" s="110">
        <v>0</v>
      </c>
      <c r="F8" s="110">
        <v>1</v>
      </c>
      <c r="G8"/>
      <c r="H8"/>
    </row>
    <row r="9" spans="1:8" x14ac:dyDescent="0.15">
      <c r="A9">
        <v>8</v>
      </c>
      <c r="B9" s="179" t="s">
        <v>200</v>
      </c>
      <c r="C9" s="111">
        <v>1</v>
      </c>
      <c r="D9" s="111">
        <v>0</v>
      </c>
      <c r="E9" s="110">
        <v>0</v>
      </c>
      <c r="F9" s="110">
        <v>1</v>
      </c>
      <c r="G9"/>
      <c r="H9"/>
    </row>
    <row r="10" spans="1:8" x14ac:dyDescent="0.15">
      <c r="A10">
        <v>9</v>
      </c>
      <c r="B10" s="179" t="s">
        <v>201</v>
      </c>
      <c r="C10" s="111">
        <v>1</v>
      </c>
      <c r="D10" s="111">
        <v>0</v>
      </c>
      <c r="E10" s="110">
        <v>0</v>
      </c>
      <c r="F10" s="110">
        <v>1</v>
      </c>
      <c r="G10"/>
      <c r="H10"/>
    </row>
    <row r="11" spans="1:8" x14ac:dyDescent="0.15">
      <c r="A11">
        <v>10</v>
      </c>
      <c r="B11" s="179" t="s">
        <v>202</v>
      </c>
      <c r="C11" s="111">
        <v>1</v>
      </c>
      <c r="D11" s="111">
        <v>0</v>
      </c>
      <c r="E11" s="110">
        <v>0</v>
      </c>
      <c r="F11" s="110">
        <v>1</v>
      </c>
      <c r="G11"/>
      <c r="H11"/>
    </row>
    <row r="12" spans="1:8" x14ac:dyDescent="0.15">
      <c r="A12">
        <v>11</v>
      </c>
      <c r="B12" s="179" t="s">
        <v>203</v>
      </c>
      <c r="C12" s="111">
        <v>1</v>
      </c>
      <c r="D12" s="111">
        <v>0</v>
      </c>
      <c r="E12" s="110">
        <v>0</v>
      </c>
      <c r="F12" s="110">
        <v>1</v>
      </c>
      <c r="G12"/>
      <c r="H12"/>
    </row>
    <row r="13" spans="1:8" x14ac:dyDescent="0.15">
      <c r="A13">
        <v>12</v>
      </c>
      <c r="B13" s="179" t="s">
        <v>204</v>
      </c>
      <c r="C13" s="111">
        <v>1</v>
      </c>
      <c r="D13" s="111">
        <v>0</v>
      </c>
      <c r="E13" s="110">
        <v>0</v>
      </c>
      <c r="F13" s="110">
        <v>1</v>
      </c>
      <c r="G13"/>
      <c r="H13"/>
    </row>
    <row r="14" spans="1:8" x14ac:dyDescent="0.15">
      <c r="A14">
        <v>13</v>
      </c>
      <c r="B14" s="179" t="s">
        <v>205</v>
      </c>
      <c r="C14" s="111">
        <v>1</v>
      </c>
      <c r="D14" s="111">
        <v>0</v>
      </c>
      <c r="E14" s="110">
        <v>0</v>
      </c>
      <c r="F14" s="110">
        <v>1</v>
      </c>
      <c r="G14"/>
      <c r="H14"/>
    </row>
    <row r="15" spans="1:8" x14ac:dyDescent="0.15">
      <c r="A15">
        <v>14</v>
      </c>
      <c r="B15" s="179" t="s">
        <v>206</v>
      </c>
      <c r="C15" s="111">
        <v>1</v>
      </c>
      <c r="D15" s="111">
        <v>0</v>
      </c>
      <c r="E15" s="110">
        <v>0</v>
      </c>
      <c r="F15" s="110">
        <v>1</v>
      </c>
      <c r="G15"/>
      <c r="H15"/>
    </row>
    <row r="16" spans="1:8" x14ac:dyDescent="0.15">
      <c r="A16">
        <v>15</v>
      </c>
      <c r="B16" s="179" t="s">
        <v>207</v>
      </c>
      <c r="C16" s="111">
        <v>1</v>
      </c>
      <c r="D16" s="111">
        <v>0</v>
      </c>
      <c r="E16" s="110">
        <v>0</v>
      </c>
      <c r="F16" s="110">
        <v>1</v>
      </c>
      <c r="G16"/>
      <c r="H16"/>
    </row>
    <row r="17" spans="1:8" ht="15" customHeight="1" x14ac:dyDescent="0.15">
      <c r="A17">
        <v>16</v>
      </c>
      <c r="B17" s="179" t="s">
        <v>208</v>
      </c>
      <c r="C17" s="111">
        <v>1</v>
      </c>
      <c r="D17" s="111">
        <v>0</v>
      </c>
      <c r="E17" s="110">
        <v>0</v>
      </c>
      <c r="F17" s="110">
        <v>1</v>
      </c>
      <c r="G17"/>
      <c r="H17"/>
    </row>
    <row r="18" spans="1:8" ht="15" customHeight="1" x14ac:dyDescent="0.15">
      <c r="A18">
        <v>17</v>
      </c>
      <c r="B18" s="179" t="s">
        <v>209</v>
      </c>
      <c r="C18" s="111">
        <v>1</v>
      </c>
      <c r="D18" s="111">
        <v>0</v>
      </c>
      <c r="E18" s="110">
        <v>0</v>
      </c>
      <c r="F18" s="110">
        <v>1</v>
      </c>
      <c r="G18"/>
      <c r="H18"/>
    </row>
    <row r="19" spans="1:8" ht="15" customHeight="1" x14ac:dyDescent="0.15">
      <c r="A19">
        <v>18</v>
      </c>
      <c r="B19" s="179" t="s">
        <v>210</v>
      </c>
      <c r="C19" s="111">
        <v>1</v>
      </c>
      <c r="D19" s="111">
        <v>0</v>
      </c>
      <c r="E19" s="110">
        <v>0</v>
      </c>
      <c r="F19" s="110">
        <v>1</v>
      </c>
      <c r="G19"/>
      <c r="H19"/>
    </row>
    <row r="20" spans="1:8" ht="15" customHeight="1" x14ac:dyDescent="0.15">
      <c r="A20">
        <v>19</v>
      </c>
      <c r="B20" s="179" t="s">
        <v>211</v>
      </c>
      <c r="C20" s="111">
        <v>1</v>
      </c>
      <c r="D20" s="111">
        <v>0</v>
      </c>
      <c r="E20" s="110">
        <v>0</v>
      </c>
      <c r="F20" s="110">
        <v>1</v>
      </c>
      <c r="G20"/>
      <c r="H20"/>
    </row>
    <row r="21" spans="1:8" ht="15" customHeight="1" x14ac:dyDescent="0.15">
      <c r="A21">
        <v>20</v>
      </c>
      <c r="B21" s="179" t="s">
        <v>212</v>
      </c>
      <c r="C21" s="111">
        <v>1</v>
      </c>
      <c r="D21" s="111">
        <v>0</v>
      </c>
      <c r="E21" s="110">
        <v>0</v>
      </c>
      <c r="F21" s="110">
        <v>1</v>
      </c>
      <c r="G21"/>
      <c r="H21"/>
    </row>
    <row r="22" spans="1:8" ht="15" customHeight="1" x14ac:dyDescent="0.15">
      <c r="A22">
        <v>21</v>
      </c>
      <c r="B22" s="179" t="s">
        <v>213</v>
      </c>
      <c r="C22" s="111">
        <v>1</v>
      </c>
      <c r="D22" s="111">
        <v>0</v>
      </c>
      <c r="E22" s="110">
        <v>0</v>
      </c>
      <c r="F22" s="110">
        <v>1</v>
      </c>
      <c r="G22"/>
      <c r="H22"/>
    </row>
    <row r="23" spans="1:8" ht="15" customHeight="1" x14ac:dyDescent="0.15">
      <c r="A23">
        <v>22</v>
      </c>
      <c r="B23" s="179" t="s">
        <v>214</v>
      </c>
      <c r="C23" s="111">
        <v>1</v>
      </c>
      <c r="D23" s="111">
        <v>0</v>
      </c>
      <c r="E23" s="110">
        <v>0</v>
      </c>
      <c r="F23" s="110">
        <v>1</v>
      </c>
      <c r="G23"/>
      <c r="H23"/>
    </row>
    <row r="24" spans="1:8" ht="15" customHeight="1" x14ac:dyDescent="0.15">
      <c r="A24">
        <v>23</v>
      </c>
      <c r="B24" s="179" t="s">
        <v>215</v>
      </c>
      <c r="C24" s="111">
        <v>1</v>
      </c>
      <c r="D24" s="111">
        <v>0</v>
      </c>
      <c r="E24" s="110">
        <v>0</v>
      </c>
      <c r="F24" s="110">
        <v>1</v>
      </c>
      <c r="G24"/>
      <c r="H24"/>
    </row>
    <row r="25" spans="1:8" ht="15" customHeight="1" x14ac:dyDescent="0.15">
      <c r="A25">
        <v>24</v>
      </c>
      <c r="B25" s="179" t="s">
        <v>216</v>
      </c>
      <c r="C25" s="111">
        <v>1</v>
      </c>
      <c r="D25" s="111">
        <v>0</v>
      </c>
      <c r="E25" s="110">
        <v>0</v>
      </c>
      <c r="F25" s="110">
        <v>1</v>
      </c>
      <c r="G25"/>
      <c r="H25"/>
    </row>
    <row r="26" spans="1:8" ht="15" customHeight="1" x14ac:dyDescent="0.15">
      <c r="A26">
        <v>25</v>
      </c>
      <c r="B26" s="179" t="s">
        <v>217</v>
      </c>
      <c r="C26" s="111">
        <v>1</v>
      </c>
      <c r="D26" s="111">
        <v>0</v>
      </c>
      <c r="E26" s="110">
        <v>0</v>
      </c>
      <c r="F26" s="110">
        <v>1</v>
      </c>
      <c r="G26"/>
      <c r="H26"/>
    </row>
    <row r="27" spans="1:8" ht="15" customHeight="1" x14ac:dyDescent="0.15">
      <c r="A27">
        <v>26</v>
      </c>
      <c r="B27" s="179" t="s">
        <v>218</v>
      </c>
      <c r="C27" s="111">
        <v>1</v>
      </c>
      <c r="D27" s="111">
        <v>0</v>
      </c>
      <c r="E27" s="110">
        <v>0</v>
      </c>
      <c r="F27" s="110">
        <v>1</v>
      </c>
      <c r="G27"/>
      <c r="H27"/>
    </row>
    <row r="28" spans="1:8" ht="15" customHeight="1" x14ac:dyDescent="0.15">
      <c r="A28">
        <v>27</v>
      </c>
      <c r="B28" s="179" t="s">
        <v>219</v>
      </c>
      <c r="C28" s="111">
        <v>1</v>
      </c>
      <c r="D28" s="111">
        <v>0</v>
      </c>
      <c r="E28" s="110">
        <v>0</v>
      </c>
      <c r="F28" s="110">
        <v>1</v>
      </c>
      <c r="G28"/>
      <c r="H28"/>
    </row>
    <row r="29" spans="1:8" ht="15" customHeight="1" x14ac:dyDescent="0.15">
      <c r="A29">
        <v>28</v>
      </c>
      <c r="B29" s="179" t="s">
        <v>220</v>
      </c>
      <c r="C29" s="111">
        <v>1</v>
      </c>
      <c r="D29" s="111">
        <v>0</v>
      </c>
      <c r="E29" s="110">
        <v>0</v>
      </c>
      <c r="F29" s="110">
        <v>1</v>
      </c>
      <c r="G29"/>
      <c r="H29"/>
    </row>
    <row r="30" spans="1:8" ht="15" customHeight="1" x14ac:dyDescent="0.15">
      <c r="A30">
        <v>29</v>
      </c>
      <c r="B30" s="179" t="s">
        <v>221</v>
      </c>
      <c r="C30" s="111">
        <v>1</v>
      </c>
      <c r="D30" s="111">
        <v>0</v>
      </c>
      <c r="E30" s="110">
        <v>0</v>
      </c>
      <c r="F30" s="110">
        <v>1</v>
      </c>
      <c r="G30"/>
      <c r="H30"/>
    </row>
    <row r="31" spans="1:8" ht="15" customHeight="1" x14ac:dyDescent="0.15">
      <c r="A31">
        <v>30</v>
      </c>
      <c r="B31" s="179" t="s">
        <v>222</v>
      </c>
      <c r="C31" s="111">
        <v>1</v>
      </c>
      <c r="D31" s="111">
        <v>0</v>
      </c>
      <c r="E31" s="110">
        <v>0</v>
      </c>
      <c r="F31" s="110">
        <v>1</v>
      </c>
      <c r="G31"/>
      <c r="H31"/>
    </row>
    <row r="32" spans="1:8" ht="15" customHeight="1" x14ac:dyDescent="0.15">
      <c r="A32">
        <v>31</v>
      </c>
      <c r="B32" s="179" t="s">
        <v>223</v>
      </c>
      <c r="C32" s="111">
        <v>1</v>
      </c>
      <c r="D32" s="111">
        <v>0</v>
      </c>
      <c r="E32" s="110">
        <v>0</v>
      </c>
      <c r="F32" s="110">
        <v>1</v>
      </c>
    </row>
    <row r="33" spans="1:8" ht="15" customHeight="1" x14ac:dyDescent="0.15">
      <c r="A33">
        <v>32</v>
      </c>
      <c r="B33" s="179" t="s">
        <v>224</v>
      </c>
      <c r="C33" s="111">
        <v>1</v>
      </c>
      <c r="D33" s="111">
        <v>0</v>
      </c>
      <c r="E33" s="110">
        <v>0</v>
      </c>
      <c r="F33" s="110">
        <v>1</v>
      </c>
    </row>
    <row r="34" spans="1:8" ht="15" customHeight="1" x14ac:dyDescent="0.15">
      <c r="A34">
        <v>33</v>
      </c>
      <c r="B34" s="179" t="s">
        <v>225</v>
      </c>
      <c r="C34" s="111">
        <v>0</v>
      </c>
      <c r="D34" s="111">
        <v>1</v>
      </c>
      <c r="E34" s="110">
        <v>0</v>
      </c>
      <c r="F34" s="110">
        <v>1</v>
      </c>
    </row>
    <row r="35" spans="1:8" ht="15" customHeight="1" x14ac:dyDescent="0.15">
      <c r="A35">
        <v>34</v>
      </c>
      <c r="B35" s="179" t="s">
        <v>226</v>
      </c>
      <c r="C35" s="111">
        <v>0</v>
      </c>
      <c r="D35" s="111">
        <v>0</v>
      </c>
      <c r="E35" s="110">
        <v>1</v>
      </c>
      <c r="F35" s="110">
        <v>1</v>
      </c>
    </row>
    <row r="36" spans="1:8" ht="15" customHeight="1" x14ac:dyDescent="0.15">
      <c r="A36">
        <v>35</v>
      </c>
      <c r="B36" s="179" t="s">
        <v>227</v>
      </c>
      <c r="C36" s="111">
        <v>0</v>
      </c>
      <c r="D36" s="111">
        <v>1</v>
      </c>
      <c r="E36" s="111">
        <v>0</v>
      </c>
      <c r="F36" s="111">
        <v>1</v>
      </c>
      <c r="G36"/>
      <c r="H36"/>
    </row>
    <row r="37" spans="1:8" ht="15" customHeight="1" x14ac:dyDescent="0.15">
      <c r="A37">
        <v>36</v>
      </c>
      <c r="B37" s="179" t="s">
        <v>228</v>
      </c>
      <c r="C37" s="111">
        <v>0</v>
      </c>
      <c r="D37" s="111">
        <v>1</v>
      </c>
      <c r="E37" s="111">
        <v>0</v>
      </c>
      <c r="F37" s="111">
        <v>1</v>
      </c>
      <c r="G37"/>
      <c r="H37"/>
    </row>
    <row r="38" spans="1:8" ht="15" customHeight="1" x14ac:dyDescent="0.15">
      <c r="A38">
        <v>37</v>
      </c>
      <c r="B38" s="179" t="s">
        <v>229</v>
      </c>
      <c r="C38" s="111">
        <v>0</v>
      </c>
      <c r="D38" s="111">
        <v>1</v>
      </c>
      <c r="E38" s="111">
        <v>0</v>
      </c>
      <c r="F38" s="111">
        <v>1</v>
      </c>
      <c r="G38"/>
      <c r="H38"/>
    </row>
    <row r="39" spans="1:8" ht="15" customHeight="1" x14ac:dyDescent="0.15">
      <c r="C39"/>
      <c r="D39"/>
      <c r="E39" s="111"/>
      <c r="F39" s="111"/>
      <c r="G39"/>
      <c r="H39"/>
    </row>
    <row r="40" spans="1:8" ht="15" customHeight="1" x14ac:dyDescent="0.15">
      <c r="C40"/>
      <c r="D40"/>
      <c r="E40" s="111"/>
      <c r="F40" s="111"/>
      <c r="G40"/>
      <c r="H40"/>
    </row>
    <row r="41" spans="1:8" ht="15" customHeight="1" x14ac:dyDescent="0.15">
      <c r="C41"/>
      <c r="D41"/>
      <c r="E41" s="111"/>
      <c r="F41" s="111"/>
      <c r="G41"/>
      <c r="H41"/>
    </row>
    <row r="42" spans="1:8" ht="15" customHeight="1" x14ac:dyDescent="0.15">
      <c r="C42"/>
      <c r="D42"/>
      <c r="E42" s="111"/>
      <c r="F42" s="111"/>
      <c r="G42"/>
      <c r="H42"/>
    </row>
    <row r="43" spans="1:8" ht="15" customHeight="1" x14ac:dyDescent="0.15">
      <c r="C43"/>
      <c r="D43"/>
      <c r="E43" s="111"/>
      <c r="F43" s="11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1"/>
      <c r="F46" s="11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83203125" bestFit="1" customWidth="1"/>
    <col min="3" max="4" width="11.83203125" bestFit="1" customWidth="1"/>
    <col min="5" max="5" width="9.83203125" bestFit="1" customWidth="1"/>
    <col min="6" max="6" width="11.83203125" customWidth="1"/>
  </cols>
  <sheetData>
    <row r="1" spans="1:6" s="112" customFormat="1" ht="112" x14ac:dyDescent="0.15">
      <c r="A1" s="5" t="s">
        <v>21</v>
      </c>
      <c r="B1" s="3" t="s">
        <v>0</v>
      </c>
      <c r="C1" s="182" t="s">
        <v>227</v>
      </c>
      <c r="D1" s="182" t="s">
        <v>228</v>
      </c>
      <c r="E1" s="182" t="s">
        <v>229</v>
      </c>
      <c r="F1" s="182" t="s">
        <v>233</v>
      </c>
    </row>
    <row r="2" spans="1:6" ht="15" customHeight="1" x14ac:dyDescent="0.15">
      <c r="A2">
        <v>1</v>
      </c>
      <c r="B2" s="181" t="s">
        <v>193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81" t="s">
        <v>194</v>
      </c>
      <c r="C3">
        <v>0.10096579999999999</v>
      </c>
      <c r="D3">
        <v>0.1140164</v>
      </c>
      <c r="E3">
        <v>0</v>
      </c>
      <c r="F3">
        <v>0.21498220000000001</v>
      </c>
    </row>
    <row r="4" spans="1:6" ht="15" customHeight="1" x14ac:dyDescent="0.15">
      <c r="A4">
        <v>3</v>
      </c>
      <c r="B4" s="181" t="s">
        <v>195</v>
      </c>
      <c r="C4">
        <v>1.058592</v>
      </c>
      <c r="D4">
        <v>0.13778650000000001</v>
      </c>
      <c r="E4">
        <v>0.45049319999999998</v>
      </c>
      <c r="F4">
        <v>1.6468716999999999</v>
      </c>
    </row>
    <row r="5" spans="1:6" ht="15" customHeight="1" x14ac:dyDescent="0.15">
      <c r="A5">
        <v>4</v>
      </c>
      <c r="B5" s="181" t="s">
        <v>196</v>
      </c>
      <c r="C5">
        <v>0</v>
      </c>
      <c r="D5">
        <v>0</v>
      </c>
      <c r="E5">
        <v>0</v>
      </c>
      <c r="F5">
        <v>0</v>
      </c>
    </row>
    <row r="6" spans="1:6" ht="15" customHeight="1" x14ac:dyDescent="0.15">
      <c r="A6">
        <v>5</v>
      </c>
      <c r="B6" s="181" t="s">
        <v>197</v>
      </c>
      <c r="C6">
        <v>0</v>
      </c>
      <c r="D6">
        <v>7.5800000000000006E-2</v>
      </c>
      <c r="E6">
        <v>0</v>
      </c>
      <c r="F6">
        <v>7.5800000000000006E-2</v>
      </c>
    </row>
    <row r="7" spans="1:6" ht="15" customHeight="1" x14ac:dyDescent="0.15">
      <c r="A7">
        <v>6</v>
      </c>
      <c r="B7" s="181" t="s">
        <v>198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81" t="s">
        <v>199</v>
      </c>
      <c r="C8">
        <v>0.32498899999999997</v>
      </c>
      <c r="D8">
        <v>0.18806</v>
      </c>
      <c r="E8">
        <v>0</v>
      </c>
      <c r="F8">
        <v>0.51304899999999998</v>
      </c>
    </row>
    <row r="9" spans="1:6" ht="15" customHeight="1" x14ac:dyDescent="0.15">
      <c r="A9">
        <v>8</v>
      </c>
      <c r="B9" s="181" t="s">
        <v>200</v>
      </c>
      <c r="C9">
        <v>0.29065089999999999</v>
      </c>
      <c r="D9">
        <v>3.2117819999999998E-2</v>
      </c>
      <c r="E9">
        <v>0</v>
      </c>
      <c r="F9">
        <v>0.32276872000000001</v>
      </c>
    </row>
    <row r="10" spans="1:6" ht="15" customHeight="1" x14ac:dyDescent="0.15">
      <c r="A10">
        <v>9</v>
      </c>
      <c r="B10" s="181" t="s">
        <v>201</v>
      </c>
      <c r="C10">
        <v>5.728308E-2</v>
      </c>
      <c r="D10">
        <v>4.6371200000000001E-2</v>
      </c>
      <c r="E10">
        <v>0</v>
      </c>
      <c r="F10">
        <v>0.10365428</v>
      </c>
    </row>
    <row r="11" spans="1:6" ht="15" customHeight="1" x14ac:dyDescent="0.15">
      <c r="A11">
        <v>10</v>
      </c>
      <c r="B11" s="181" t="s">
        <v>202</v>
      </c>
      <c r="C11">
        <v>2.8155900000000001E-2</v>
      </c>
      <c r="D11">
        <v>6.2807599999999998E-4</v>
      </c>
      <c r="E11">
        <v>0.17533899999999999</v>
      </c>
      <c r="F11">
        <v>0.20412297600000001</v>
      </c>
    </row>
    <row r="12" spans="1:6" ht="15" customHeight="1" x14ac:dyDescent="0.15">
      <c r="A12">
        <v>11</v>
      </c>
      <c r="B12" s="181" t="s">
        <v>203</v>
      </c>
      <c r="C12">
        <v>0.2361345</v>
      </c>
      <c r="D12">
        <v>1.62572E-3</v>
      </c>
      <c r="E12">
        <v>0.62096549999999995</v>
      </c>
      <c r="F12">
        <v>0.85872571999999991</v>
      </c>
    </row>
    <row r="13" spans="1:6" ht="15" customHeight="1" x14ac:dyDescent="0.15">
      <c r="A13">
        <v>12</v>
      </c>
      <c r="B13" s="181" t="s">
        <v>204</v>
      </c>
      <c r="C13">
        <v>0.1009082</v>
      </c>
      <c r="D13">
        <v>2.529872E-2</v>
      </c>
      <c r="E13">
        <v>0</v>
      </c>
      <c r="F13">
        <v>0.12620692</v>
      </c>
    </row>
    <row r="14" spans="1:6" ht="15" customHeight="1" x14ac:dyDescent="0.15">
      <c r="A14">
        <v>13</v>
      </c>
      <c r="B14" s="181" t="s">
        <v>205</v>
      </c>
      <c r="C14">
        <v>1.9394579999999999</v>
      </c>
      <c r="D14">
        <v>1.4043570000000001</v>
      </c>
      <c r="E14">
        <v>0</v>
      </c>
      <c r="F14">
        <v>3.3438150000000002</v>
      </c>
    </row>
    <row r="15" spans="1:6" ht="15" customHeight="1" x14ac:dyDescent="0.15">
      <c r="A15">
        <v>14</v>
      </c>
      <c r="B15" s="181" t="s">
        <v>206</v>
      </c>
      <c r="C15">
        <v>5.7794159999999997E-2</v>
      </c>
      <c r="D15">
        <v>0</v>
      </c>
      <c r="E15">
        <v>0</v>
      </c>
      <c r="F15">
        <v>5.7794159999999997E-2</v>
      </c>
    </row>
    <row r="16" spans="1:6" ht="15" customHeight="1" x14ac:dyDescent="0.15">
      <c r="A16">
        <v>15</v>
      </c>
      <c r="B16" s="181" t="s">
        <v>207</v>
      </c>
      <c r="C16">
        <v>4.6553329999999997E-2</v>
      </c>
      <c r="D16">
        <v>1.863064E-2</v>
      </c>
      <c r="E16">
        <v>0</v>
      </c>
      <c r="F16">
        <v>6.5183969999999994E-2</v>
      </c>
    </row>
    <row r="17" spans="1:6" ht="15" customHeight="1" x14ac:dyDescent="0.15">
      <c r="A17">
        <v>16</v>
      </c>
      <c r="B17" s="181" t="s">
        <v>208</v>
      </c>
      <c r="C17">
        <v>7.974264E-3</v>
      </c>
      <c r="D17">
        <v>0</v>
      </c>
      <c r="E17">
        <v>0</v>
      </c>
      <c r="F17">
        <v>7.974264E-3</v>
      </c>
    </row>
    <row r="18" spans="1:6" ht="15" customHeight="1" x14ac:dyDescent="0.15">
      <c r="A18">
        <v>17</v>
      </c>
      <c r="B18" s="181" t="s">
        <v>209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81" t="s">
        <v>210</v>
      </c>
      <c r="C19">
        <v>4.3770419999999997E-2</v>
      </c>
      <c r="D19">
        <v>0</v>
      </c>
      <c r="E19">
        <v>1.8401080000000001</v>
      </c>
      <c r="F19">
        <v>1.8838784200000001</v>
      </c>
    </row>
    <row r="20" spans="1:6" ht="15" customHeight="1" x14ac:dyDescent="0.15">
      <c r="A20">
        <v>19</v>
      </c>
      <c r="B20" s="181" t="s">
        <v>211</v>
      </c>
      <c r="C20">
        <v>0</v>
      </c>
      <c r="D20">
        <v>0.13891410000000001</v>
      </c>
      <c r="E20">
        <v>0</v>
      </c>
      <c r="F20">
        <v>0.13891410000000001</v>
      </c>
    </row>
    <row r="21" spans="1:6" ht="15" customHeight="1" x14ac:dyDescent="0.15">
      <c r="A21">
        <v>20</v>
      </c>
      <c r="B21" s="181" t="s">
        <v>212</v>
      </c>
      <c r="C21">
        <v>0.39795530000000001</v>
      </c>
      <c r="D21">
        <v>4.7582369999999999E-2</v>
      </c>
      <c r="E21">
        <v>0</v>
      </c>
      <c r="F21">
        <v>0.44553767</v>
      </c>
    </row>
    <row r="22" spans="1:6" ht="15" customHeight="1" x14ac:dyDescent="0.15">
      <c r="A22">
        <v>21</v>
      </c>
      <c r="B22" s="181" t="s">
        <v>213</v>
      </c>
      <c r="C22">
        <v>0</v>
      </c>
      <c r="D22">
        <v>0</v>
      </c>
      <c r="E22">
        <v>0</v>
      </c>
      <c r="F22">
        <v>0</v>
      </c>
    </row>
    <row r="23" spans="1:6" ht="15" customHeight="1" x14ac:dyDescent="0.15">
      <c r="A23">
        <v>22</v>
      </c>
      <c r="B23" s="181" t="s">
        <v>214</v>
      </c>
      <c r="C23">
        <v>0</v>
      </c>
      <c r="D23">
        <v>0</v>
      </c>
      <c r="E23">
        <v>0</v>
      </c>
      <c r="F23">
        <v>0</v>
      </c>
    </row>
    <row r="24" spans="1:6" ht="15" customHeight="1" x14ac:dyDescent="0.15">
      <c r="A24">
        <v>23</v>
      </c>
      <c r="B24" s="181" t="s">
        <v>215</v>
      </c>
      <c r="C24">
        <v>0</v>
      </c>
      <c r="D24">
        <v>0</v>
      </c>
      <c r="E24">
        <v>0</v>
      </c>
      <c r="F24">
        <v>0</v>
      </c>
    </row>
    <row r="25" spans="1:6" ht="15" customHeight="1" x14ac:dyDescent="0.15">
      <c r="A25">
        <v>24</v>
      </c>
      <c r="B25" s="181" t="s">
        <v>216</v>
      </c>
      <c r="C25">
        <v>0</v>
      </c>
      <c r="D25">
        <v>0</v>
      </c>
      <c r="E25">
        <v>0</v>
      </c>
      <c r="F25">
        <v>0</v>
      </c>
    </row>
    <row r="26" spans="1:6" ht="15" customHeight="1" x14ac:dyDescent="0.15">
      <c r="A26">
        <v>25</v>
      </c>
      <c r="B26" s="181" t="s">
        <v>217</v>
      </c>
      <c r="C26">
        <v>0</v>
      </c>
      <c r="D26">
        <v>0</v>
      </c>
      <c r="E26">
        <v>0</v>
      </c>
      <c r="F26">
        <v>0</v>
      </c>
    </row>
    <row r="27" spans="1:6" ht="15" customHeight="1" x14ac:dyDescent="0.15">
      <c r="A27">
        <v>26</v>
      </c>
      <c r="B27" s="181" t="s">
        <v>218</v>
      </c>
      <c r="C27">
        <v>0</v>
      </c>
      <c r="D27">
        <v>0</v>
      </c>
      <c r="E27">
        <v>0</v>
      </c>
      <c r="F27">
        <v>0</v>
      </c>
    </row>
    <row r="28" spans="1:6" ht="15" customHeight="1" x14ac:dyDescent="0.15">
      <c r="A28">
        <v>27</v>
      </c>
      <c r="B28" s="181" t="s">
        <v>219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81" t="s">
        <v>220</v>
      </c>
      <c r="C29">
        <v>0</v>
      </c>
      <c r="D29">
        <v>0</v>
      </c>
      <c r="E29">
        <v>0</v>
      </c>
      <c r="F29">
        <v>0</v>
      </c>
    </row>
    <row r="30" spans="1:6" ht="15" customHeight="1" x14ac:dyDescent="0.15">
      <c r="A30">
        <v>29</v>
      </c>
      <c r="B30" s="181" t="s">
        <v>221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81" t="s">
        <v>222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>
      <c r="A32">
        <v>31</v>
      </c>
      <c r="B32" s="181" t="s">
        <v>223</v>
      </c>
      <c r="C32">
        <v>0</v>
      </c>
      <c r="D32">
        <v>0</v>
      </c>
      <c r="E32">
        <v>0</v>
      </c>
      <c r="F32">
        <v>0</v>
      </c>
    </row>
    <row r="33" spans="1:6" ht="15" customHeight="1" x14ac:dyDescent="0.15">
      <c r="A33">
        <v>32</v>
      </c>
      <c r="B33" s="181" t="s">
        <v>224</v>
      </c>
      <c r="C33">
        <v>0</v>
      </c>
      <c r="D33">
        <v>0</v>
      </c>
      <c r="E33">
        <v>0</v>
      </c>
      <c r="F33">
        <v>0</v>
      </c>
    </row>
    <row r="34" spans="1:6" ht="15" customHeight="1" x14ac:dyDescent="0.15">
      <c r="A34">
        <v>33</v>
      </c>
      <c r="B34" s="181" t="s">
        <v>225</v>
      </c>
      <c r="C34">
        <v>0</v>
      </c>
      <c r="D34">
        <v>0</v>
      </c>
      <c r="E34">
        <v>0</v>
      </c>
      <c r="F34">
        <v>0</v>
      </c>
    </row>
    <row r="35" spans="1:6" ht="15" customHeight="1" x14ac:dyDescent="0.15">
      <c r="A35">
        <v>34</v>
      </c>
      <c r="B35" s="181" t="s">
        <v>226</v>
      </c>
      <c r="C35">
        <v>0</v>
      </c>
      <c r="D35">
        <v>0</v>
      </c>
      <c r="E35">
        <v>0</v>
      </c>
      <c r="F35">
        <v>0</v>
      </c>
    </row>
    <row r="36" spans="1:6" ht="15" customHeight="1" x14ac:dyDescent="0.15"/>
    <row r="37" spans="1:6" ht="15" customHeight="1" x14ac:dyDescent="0.15"/>
    <row r="38" spans="1:6" ht="15" customHeight="1" x14ac:dyDescent="0.15"/>
    <row r="39" spans="1:6" ht="15" customHeight="1" x14ac:dyDescent="0.15"/>
    <row r="40" spans="1:6" ht="15" customHeight="1" x14ac:dyDescent="0.15"/>
    <row r="41" spans="1:6" ht="15" customHeight="1" x14ac:dyDescent="0.15"/>
    <row r="42" spans="1:6" ht="15" customHeight="1" x14ac:dyDescent="0.15"/>
    <row r="43" spans="1:6" ht="15" customHeight="1" x14ac:dyDescent="0.15"/>
    <row r="44" spans="1:6" ht="15" customHeight="1" x14ac:dyDescent="0.15"/>
    <row r="45" spans="1:6" ht="15" customHeight="1" x14ac:dyDescent="0.15"/>
    <row r="46" spans="1:6" ht="15" customHeight="1" x14ac:dyDescent="0.15"/>
    <row r="47" spans="1:6" ht="15" customHeight="1" x14ac:dyDescent="0.15"/>
    <row r="48" spans="1: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83203125" bestFit="1" customWidth="1"/>
    <col min="3" max="3" width="2.33203125" bestFit="1" customWidth="1"/>
    <col min="4" max="4" width="8.83203125" bestFit="1" customWidth="1"/>
    <col min="5" max="5" width="2.33203125" bestFit="1" customWidth="1"/>
    <col min="6" max="6" width="8.83203125" customWidth="1"/>
  </cols>
  <sheetData>
    <row r="1" spans="1:6" s="112" customFormat="1" ht="112" x14ac:dyDescent="0.15">
      <c r="A1" s="5" t="s">
        <v>22</v>
      </c>
      <c r="B1" s="3" t="s">
        <v>0</v>
      </c>
      <c r="C1" s="184" t="s">
        <v>227</v>
      </c>
      <c r="D1" s="184" t="s">
        <v>228</v>
      </c>
      <c r="E1" s="184" t="s">
        <v>229</v>
      </c>
      <c r="F1" s="184" t="s">
        <v>233</v>
      </c>
    </row>
    <row r="2" spans="1:6" x14ac:dyDescent="0.15">
      <c r="A2">
        <v>1</v>
      </c>
      <c r="B2" s="183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3" t="s">
        <v>194</v>
      </c>
      <c r="C3">
        <v>0</v>
      </c>
      <c r="D3">
        <v>5.0000000000000004E-6</v>
      </c>
      <c r="E3">
        <v>0</v>
      </c>
      <c r="F3">
        <v>5.0000000000000004E-6</v>
      </c>
    </row>
    <row r="4" spans="1:6" x14ac:dyDescent="0.15">
      <c r="A4">
        <v>3</v>
      </c>
      <c r="B4" s="183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3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3" t="s">
        <v>197</v>
      </c>
      <c r="C6">
        <v>0</v>
      </c>
      <c r="D6">
        <v>1.5999999999999999E-5</v>
      </c>
      <c r="E6">
        <v>0</v>
      </c>
      <c r="F6">
        <v>1.5999999999999999E-5</v>
      </c>
    </row>
    <row r="7" spans="1:6" x14ac:dyDescent="0.15">
      <c r="A7">
        <v>6</v>
      </c>
      <c r="B7" s="183" t="s">
        <v>198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3" t="s">
        <v>199</v>
      </c>
      <c r="C8">
        <v>0</v>
      </c>
      <c r="D8">
        <v>1.0000000000000001E-5</v>
      </c>
      <c r="E8">
        <v>0</v>
      </c>
      <c r="F8">
        <v>1.0000000000000001E-5</v>
      </c>
    </row>
    <row r="9" spans="1:6" x14ac:dyDescent="0.15">
      <c r="A9">
        <v>8</v>
      </c>
      <c r="B9" s="183" t="s">
        <v>200</v>
      </c>
      <c r="C9">
        <v>0</v>
      </c>
      <c r="D9">
        <v>1.0000000000000001E-5</v>
      </c>
      <c r="E9">
        <v>0</v>
      </c>
      <c r="F9">
        <v>1.0000000000000001E-5</v>
      </c>
    </row>
    <row r="10" spans="1:6" x14ac:dyDescent="0.15">
      <c r="A10">
        <v>9</v>
      </c>
      <c r="B10" s="183" t="s">
        <v>201</v>
      </c>
      <c r="C10">
        <v>0</v>
      </c>
      <c r="D10">
        <v>5.0000000000000004E-6</v>
      </c>
      <c r="E10">
        <v>0</v>
      </c>
      <c r="F10">
        <v>5.0000000000000004E-6</v>
      </c>
    </row>
    <row r="11" spans="1:6" x14ac:dyDescent="0.15">
      <c r="A11">
        <v>10</v>
      </c>
      <c r="B11" s="183" t="s">
        <v>202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3" t="s">
        <v>203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83" t="s">
        <v>204</v>
      </c>
      <c r="C13">
        <v>0</v>
      </c>
      <c r="D13">
        <v>3.0600000000000001E-4</v>
      </c>
      <c r="E13">
        <v>0</v>
      </c>
      <c r="F13">
        <v>3.0600000000000001E-4</v>
      </c>
    </row>
    <row r="14" spans="1:6" x14ac:dyDescent="0.15">
      <c r="A14">
        <v>13</v>
      </c>
      <c r="B14" s="183" t="s">
        <v>205</v>
      </c>
      <c r="C14">
        <v>0</v>
      </c>
      <c r="D14">
        <v>7.6000000000000004E-5</v>
      </c>
      <c r="E14">
        <v>0</v>
      </c>
      <c r="F14">
        <v>7.6000000000000004E-5</v>
      </c>
    </row>
    <row r="15" spans="1:6" x14ac:dyDescent="0.15">
      <c r="A15">
        <v>14</v>
      </c>
      <c r="B15" s="183" t="s">
        <v>206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3" t="s">
        <v>207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83" t="s">
        <v>208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83" t="s">
        <v>209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3" t="s">
        <v>210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3" t="s">
        <v>211</v>
      </c>
      <c r="C20">
        <v>0</v>
      </c>
      <c r="D20">
        <v>5.1999999999999997E-5</v>
      </c>
      <c r="E20">
        <v>0</v>
      </c>
      <c r="F20">
        <v>5.1999999999999997E-5</v>
      </c>
    </row>
    <row r="21" spans="1:6" x14ac:dyDescent="0.15">
      <c r="A21">
        <v>20</v>
      </c>
      <c r="B21" s="183" t="s">
        <v>212</v>
      </c>
      <c r="C21">
        <v>0</v>
      </c>
      <c r="D21">
        <v>2.0000000000000002E-5</v>
      </c>
      <c r="E21">
        <v>0</v>
      </c>
      <c r="F21">
        <v>2.0000000000000002E-5</v>
      </c>
    </row>
    <row r="22" spans="1:6" x14ac:dyDescent="0.15">
      <c r="A22">
        <v>21</v>
      </c>
      <c r="B22" s="183" t="s">
        <v>213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3" t="s">
        <v>214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3" t="s">
        <v>215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3" t="s">
        <v>216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83" t="s">
        <v>217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3" t="s">
        <v>218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3" t="s">
        <v>219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3" t="s">
        <v>220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83" t="s">
        <v>221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83" t="s">
        <v>222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83" t="s">
        <v>223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83" t="s">
        <v>224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83" t="s">
        <v>225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83" t="s">
        <v>226</v>
      </c>
      <c r="C35">
        <v>0</v>
      </c>
      <c r="D35">
        <v>0</v>
      </c>
      <c r="E35">
        <v>0</v>
      </c>
      <c r="F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8.83203125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5" t="s">
        <v>193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5" t="s">
        <v>194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5" t="s">
        <v>195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5" t="s">
        <v>196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5" t="s">
        <v>197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5" t="s">
        <v>198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5" t="s">
        <v>199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61" t="s">
        <v>150</v>
      </c>
      <c r="D9">
        <v>8</v>
      </c>
      <c r="E9" s="185" t="s">
        <v>200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61" t="s">
        <v>150</v>
      </c>
      <c r="D10">
        <v>9</v>
      </c>
      <c r="E10" s="185" t="s">
        <v>201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5" t="s">
        <v>202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5" t="s">
        <v>203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5" t="s">
        <v>204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5" t="s">
        <v>205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5" t="s">
        <v>206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5" t="s">
        <v>207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5" t="s">
        <v>208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5" t="s">
        <v>209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5" t="s">
        <v>210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5" t="s">
        <v>211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5" t="s">
        <v>212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5" t="s">
        <v>213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5" t="s">
        <v>214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5" t="s">
        <v>215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5" t="s">
        <v>216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5" t="s">
        <v>217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5" t="s">
        <v>218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5" t="s">
        <v>219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5" t="s">
        <v>220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5" t="s">
        <v>221</v>
      </c>
      <c r="F30">
        <v>0.98</v>
      </c>
      <c r="G30">
        <v>0.8</v>
      </c>
      <c r="H30">
        <v>0.8</v>
      </c>
      <c r="I30">
        <v>0.8</v>
      </c>
      <c r="J30" s="111">
        <v>0.25</v>
      </c>
      <c r="K30" s="111">
        <v>0.05</v>
      </c>
      <c r="Y30"/>
      <c r="AC30"/>
      <c r="AG30"/>
    </row>
    <row r="31" spans="4:33" ht="15" customHeight="1" x14ac:dyDescent="0.15">
      <c r="D31">
        <v>30</v>
      </c>
      <c r="E31" s="185" t="s">
        <v>222</v>
      </c>
      <c r="F31">
        <v>0.98</v>
      </c>
      <c r="G31">
        <v>0.8</v>
      </c>
      <c r="H31">
        <v>0.8</v>
      </c>
      <c r="I31">
        <v>0</v>
      </c>
      <c r="J31" s="111">
        <v>0</v>
      </c>
      <c r="K31" s="111">
        <v>0</v>
      </c>
      <c r="Y31"/>
      <c r="AC31"/>
      <c r="AG31"/>
    </row>
    <row r="32" spans="4:33" ht="15" customHeight="1" x14ac:dyDescent="0.15">
      <c r="D32">
        <v>31</v>
      </c>
      <c r="E32" s="185" t="s">
        <v>223</v>
      </c>
      <c r="F32">
        <v>0.98</v>
      </c>
      <c r="G32">
        <v>0.8</v>
      </c>
      <c r="H32">
        <v>0.8</v>
      </c>
      <c r="I32">
        <v>0</v>
      </c>
      <c r="J32" s="111">
        <v>0</v>
      </c>
      <c r="K32" s="111">
        <v>0</v>
      </c>
      <c r="Y32"/>
      <c r="AC32"/>
      <c r="AG32"/>
    </row>
    <row r="33" spans="4:33" ht="15" customHeight="1" x14ac:dyDescent="0.15">
      <c r="D33">
        <v>32</v>
      </c>
      <c r="E33" s="185" t="s">
        <v>224</v>
      </c>
      <c r="F33">
        <v>0.98</v>
      </c>
      <c r="G33">
        <v>0.8</v>
      </c>
      <c r="H33">
        <v>0.8</v>
      </c>
      <c r="I33">
        <v>0</v>
      </c>
      <c r="J33" s="111">
        <v>0</v>
      </c>
      <c r="K33" s="111">
        <v>0</v>
      </c>
      <c r="Y33"/>
      <c r="AC33"/>
      <c r="AG33"/>
    </row>
    <row r="34" spans="4:33" ht="15" customHeight="1" x14ac:dyDescent="0.15">
      <c r="D34">
        <v>33</v>
      </c>
      <c r="E34" s="185" t="s">
        <v>225</v>
      </c>
      <c r="F34">
        <v>0.98</v>
      </c>
      <c r="G34">
        <v>0.8</v>
      </c>
      <c r="H34">
        <v>0</v>
      </c>
      <c r="I34">
        <v>0</v>
      </c>
      <c r="J34" s="111">
        <v>0</v>
      </c>
      <c r="K34" s="111">
        <v>0</v>
      </c>
      <c r="Y34"/>
      <c r="AC34"/>
      <c r="AG34"/>
    </row>
    <row r="35" spans="4:33" ht="15" customHeight="1" x14ac:dyDescent="0.15">
      <c r="D35">
        <v>34</v>
      </c>
      <c r="E35" s="185" t="s">
        <v>226</v>
      </c>
      <c r="F35">
        <v>0.98</v>
      </c>
      <c r="G35">
        <v>0.8</v>
      </c>
      <c r="H35">
        <v>0</v>
      </c>
      <c r="I35">
        <v>0</v>
      </c>
      <c r="J35" s="111">
        <v>0</v>
      </c>
      <c r="K35" s="111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8.83203125" style="108" bestFit="1" customWidth="1"/>
    <col min="2" max="30" width="3.83203125" style="108" customWidth="1"/>
    <col min="31" max="35" width="2.33203125" style="108" customWidth="1"/>
    <col min="36" max="16384" width="10.83203125" style="108"/>
  </cols>
  <sheetData>
    <row r="1" spans="1:35" x14ac:dyDescent="0.15">
      <c r="A1" s="63" t="s">
        <v>118</v>
      </c>
      <c r="B1" s="187" t="s">
        <v>193</v>
      </c>
      <c r="C1" s="187" t="s">
        <v>194</v>
      </c>
      <c r="D1" s="187" t="s">
        <v>195</v>
      </c>
      <c r="E1" s="187" t="s">
        <v>196</v>
      </c>
      <c r="F1" s="187" t="s">
        <v>197</v>
      </c>
      <c r="G1" s="187" t="s">
        <v>198</v>
      </c>
      <c r="H1" s="187" t="s">
        <v>199</v>
      </c>
      <c r="I1" s="187" t="s">
        <v>200</v>
      </c>
      <c r="J1" s="187" t="s">
        <v>201</v>
      </c>
      <c r="K1" s="187" t="s">
        <v>202</v>
      </c>
      <c r="L1" s="187" t="s">
        <v>203</v>
      </c>
      <c r="M1" s="187" t="s">
        <v>204</v>
      </c>
      <c r="N1" s="187" t="s">
        <v>205</v>
      </c>
      <c r="O1" s="187" t="s">
        <v>206</v>
      </c>
      <c r="P1" s="187" t="s">
        <v>207</v>
      </c>
      <c r="Q1" s="187" t="s">
        <v>208</v>
      </c>
      <c r="R1" s="187" t="s">
        <v>209</v>
      </c>
      <c r="S1" s="187" t="s">
        <v>210</v>
      </c>
      <c r="T1" s="187" t="s">
        <v>211</v>
      </c>
      <c r="U1" s="187" t="s">
        <v>212</v>
      </c>
      <c r="V1" s="187" t="s">
        <v>213</v>
      </c>
      <c r="W1" s="187" t="s">
        <v>214</v>
      </c>
      <c r="X1" s="187" t="s">
        <v>215</v>
      </c>
      <c r="Y1" s="187" t="s">
        <v>216</v>
      </c>
      <c r="Z1" s="187" t="s">
        <v>217</v>
      </c>
      <c r="AA1" s="187" t="s">
        <v>218</v>
      </c>
      <c r="AB1" s="187" t="s">
        <v>219</v>
      </c>
      <c r="AC1" s="187" t="s">
        <v>220</v>
      </c>
      <c r="AD1" s="187" t="s">
        <v>221</v>
      </c>
      <c r="AE1" s="187" t="s">
        <v>222</v>
      </c>
      <c r="AF1" s="187" t="s">
        <v>223</v>
      </c>
      <c r="AG1" s="187" t="s">
        <v>224</v>
      </c>
      <c r="AH1" s="187" t="s">
        <v>225</v>
      </c>
      <c r="AI1" s="187" t="s">
        <v>226</v>
      </c>
    </row>
    <row r="2" spans="1:35" customFormat="1" x14ac:dyDescent="0.15">
      <c r="A2" s="186" t="s">
        <v>193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</row>
    <row r="3" spans="1:35" customFormat="1" x14ac:dyDescent="0.15">
      <c r="A3" s="186" t="s">
        <v>194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</row>
    <row r="4" spans="1:35" customFormat="1" x14ac:dyDescent="0.15">
      <c r="A4" s="186" t="s">
        <v>195</v>
      </c>
      <c r="B4" s="108">
        <v>0.8</v>
      </c>
      <c r="C4" s="108">
        <v>0</v>
      </c>
      <c r="D4" s="108">
        <v>0</v>
      </c>
      <c r="E4" s="108">
        <v>0.8</v>
      </c>
      <c r="F4" s="108">
        <v>0.8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</row>
    <row r="5" spans="1:35" customFormat="1" x14ac:dyDescent="0.15">
      <c r="A5" s="186" t="s">
        <v>196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</row>
    <row r="6" spans="1:35" customFormat="1" x14ac:dyDescent="0.15">
      <c r="A6" s="186" t="s">
        <v>197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</row>
    <row r="7" spans="1:35" customFormat="1" x14ac:dyDescent="0.15">
      <c r="A7" s="186" t="s">
        <v>198</v>
      </c>
      <c r="B7" s="108">
        <v>0</v>
      </c>
      <c r="C7" s="108">
        <v>0</v>
      </c>
      <c r="D7" s="108">
        <v>0.8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</row>
    <row r="8" spans="1:35" customFormat="1" x14ac:dyDescent="0.15">
      <c r="A8" s="186" t="s">
        <v>199</v>
      </c>
      <c r="B8" s="108">
        <v>0</v>
      </c>
      <c r="C8" s="108">
        <v>0</v>
      </c>
      <c r="D8" s="108">
        <v>0.8</v>
      </c>
      <c r="E8" s="108">
        <v>0.8</v>
      </c>
      <c r="F8" s="108">
        <v>0.8</v>
      </c>
      <c r="G8" s="108">
        <v>0</v>
      </c>
      <c r="H8" s="108">
        <v>0.8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</row>
    <row r="9" spans="1:35" customFormat="1" x14ac:dyDescent="0.15">
      <c r="A9" s="186" t="s">
        <v>200</v>
      </c>
      <c r="B9" s="108">
        <v>0</v>
      </c>
      <c r="C9" s="108">
        <v>0</v>
      </c>
      <c r="D9" s="108">
        <v>0.8</v>
      </c>
      <c r="E9" s="108">
        <v>0.8</v>
      </c>
      <c r="F9" s="108">
        <v>0.8</v>
      </c>
      <c r="G9" s="108">
        <v>0.8</v>
      </c>
      <c r="H9" s="108">
        <v>0.8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</row>
    <row r="10" spans="1:35" customFormat="1" x14ac:dyDescent="0.15">
      <c r="A10" s="186" t="s">
        <v>201</v>
      </c>
      <c r="B10" s="108">
        <v>0</v>
      </c>
      <c r="C10" s="108">
        <v>0</v>
      </c>
      <c r="D10" s="108">
        <v>0.8</v>
      </c>
      <c r="E10" s="108">
        <v>0.8</v>
      </c>
      <c r="F10" s="108">
        <v>0.8</v>
      </c>
      <c r="G10" s="108">
        <v>0.8</v>
      </c>
      <c r="H10" s="108">
        <v>0.8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</row>
    <row r="11" spans="1:35" customFormat="1" x14ac:dyDescent="0.15">
      <c r="A11" s="186" t="s">
        <v>202</v>
      </c>
      <c r="B11" s="108">
        <v>0.8</v>
      </c>
      <c r="C11" s="108">
        <v>0.8</v>
      </c>
      <c r="D11" s="108">
        <v>0.8</v>
      </c>
      <c r="E11" s="108">
        <v>0.8</v>
      </c>
      <c r="F11" s="108">
        <v>0.8</v>
      </c>
      <c r="G11" s="108">
        <v>0.8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0.8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</row>
    <row r="12" spans="1:35" customFormat="1" x14ac:dyDescent="0.15">
      <c r="A12" s="186" t="s">
        <v>203</v>
      </c>
      <c r="B12" s="108">
        <v>0.8</v>
      </c>
      <c r="C12" s="108">
        <v>0.8</v>
      </c>
      <c r="D12" s="108">
        <v>0.8</v>
      </c>
      <c r="E12" s="108">
        <v>0</v>
      </c>
      <c r="F12" s="108">
        <v>0</v>
      </c>
      <c r="G12" s="108">
        <v>0</v>
      </c>
      <c r="H12" s="108">
        <v>0.8</v>
      </c>
      <c r="I12" s="108">
        <v>0</v>
      </c>
      <c r="J12" s="108">
        <v>0</v>
      </c>
      <c r="K12" s="108">
        <v>0.8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0.8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</row>
    <row r="13" spans="1:35" customFormat="1" x14ac:dyDescent="0.15">
      <c r="A13" s="186" t="s">
        <v>204</v>
      </c>
      <c r="B13" s="108">
        <v>0.8</v>
      </c>
      <c r="C13" s="108">
        <v>0</v>
      </c>
      <c r="D13" s="108">
        <v>0.8</v>
      </c>
      <c r="E13" s="108">
        <v>0</v>
      </c>
      <c r="F13" s="108">
        <v>0</v>
      </c>
      <c r="G13" s="108">
        <v>0</v>
      </c>
      <c r="H13" s="108">
        <v>0.8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</row>
    <row r="14" spans="1:35" customFormat="1" x14ac:dyDescent="0.15">
      <c r="A14" s="186" t="s">
        <v>205</v>
      </c>
      <c r="B14" s="108">
        <v>0</v>
      </c>
      <c r="C14" s="108">
        <v>0</v>
      </c>
      <c r="D14" s="108">
        <v>0.8</v>
      </c>
      <c r="E14" s="108">
        <v>0.8</v>
      </c>
      <c r="F14" s="108">
        <v>0.8</v>
      </c>
      <c r="G14" s="108">
        <v>0.8</v>
      </c>
      <c r="H14" s="108">
        <v>0.8</v>
      </c>
      <c r="I14" s="108">
        <v>0.8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0.8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</row>
    <row r="15" spans="1:35" customFormat="1" x14ac:dyDescent="0.15">
      <c r="A15" s="186" t="s">
        <v>206</v>
      </c>
      <c r="B15" s="108">
        <v>0</v>
      </c>
      <c r="C15" s="108">
        <v>0</v>
      </c>
      <c r="D15" s="108">
        <v>0.8</v>
      </c>
      <c r="E15" s="108">
        <v>0.8</v>
      </c>
      <c r="F15" s="108">
        <v>0.8</v>
      </c>
      <c r="G15" s="108">
        <v>0.8</v>
      </c>
      <c r="H15" s="108">
        <v>0.8</v>
      </c>
      <c r="I15" s="108">
        <v>0.8</v>
      </c>
      <c r="J15" s="108">
        <v>0.8</v>
      </c>
      <c r="K15" s="108">
        <v>0</v>
      </c>
      <c r="L15" s="108">
        <v>0</v>
      </c>
      <c r="M15" s="108">
        <v>0.8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</row>
    <row r="16" spans="1:35" customFormat="1" x14ac:dyDescent="0.15">
      <c r="A16" s="186" t="s">
        <v>207</v>
      </c>
      <c r="B16" s="108">
        <v>0</v>
      </c>
      <c r="C16" s="108">
        <v>0</v>
      </c>
      <c r="D16" s="108">
        <v>0.8</v>
      </c>
      <c r="E16" s="108">
        <v>0.8</v>
      </c>
      <c r="F16" s="108">
        <v>0.8</v>
      </c>
      <c r="G16" s="108">
        <v>0.8</v>
      </c>
      <c r="H16" s="108">
        <v>0.8</v>
      </c>
      <c r="I16" s="108">
        <v>0</v>
      </c>
      <c r="J16" s="108">
        <v>0</v>
      </c>
      <c r="K16" s="108">
        <v>0</v>
      </c>
      <c r="L16" s="108">
        <v>0</v>
      </c>
      <c r="M16" s="108">
        <v>0.8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</row>
    <row r="17" spans="1:35" customFormat="1" x14ac:dyDescent="0.15">
      <c r="A17" s="186" t="s">
        <v>208</v>
      </c>
      <c r="B17" s="108">
        <v>0.8</v>
      </c>
      <c r="C17" s="108">
        <v>0</v>
      </c>
      <c r="D17" s="108">
        <v>0.8</v>
      </c>
      <c r="E17" s="108">
        <v>0</v>
      </c>
      <c r="F17" s="108">
        <v>0</v>
      </c>
      <c r="G17" s="108">
        <v>0.8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</row>
    <row r="18" spans="1:35" customFormat="1" x14ac:dyDescent="0.15">
      <c r="A18" s="186" t="s">
        <v>209</v>
      </c>
      <c r="B18" s="108">
        <v>0</v>
      </c>
      <c r="C18" s="108">
        <v>0</v>
      </c>
      <c r="D18" s="108">
        <v>0.8</v>
      </c>
      <c r="E18" s="108">
        <v>0.8</v>
      </c>
      <c r="F18" s="108">
        <v>0.8</v>
      </c>
      <c r="G18" s="108">
        <v>0.8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</row>
    <row r="19" spans="1:35" customFormat="1" x14ac:dyDescent="0.15">
      <c r="A19" s="186" t="s">
        <v>210</v>
      </c>
      <c r="B19" s="108">
        <v>0</v>
      </c>
      <c r="C19" s="108">
        <v>0</v>
      </c>
      <c r="D19" s="108">
        <v>0.8</v>
      </c>
      <c r="E19" s="108">
        <v>0.8</v>
      </c>
      <c r="F19" s="108">
        <v>0.8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</row>
    <row r="20" spans="1:35" customFormat="1" x14ac:dyDescent="0.15">
      <c r="A20" s="186" t="s">
        <v>211</v>
      </c>
      <c r="B20" s="108">
        <v>0.8</v>
      </c>
      <c r="C20" s="108">
        <v>0</v>
      </c>
      <c r="D20" s="108">
        <v>0.8</v>
      </c>
      <c r="E20" s="108">
        <v>0.8</v>
      </c>
      <c r="F20" s="108">
        <v>0.8</v>
      </c>
      <c r="G20" s="108">
        <v>0.8</v>
      </c>
      <c r="H20" s="108">
        <v>0.8</v>
      </c>
      <c r="I20" s="108">
        <v>0.8</v>
      </c>
      <c r="J20" s="108">
        <v>0.8</v>
      </c>
      <c r="K20" s="108">
        <v>0</v>
      </c>
      <c r="L20" s="108">
        <v>0</v>
      </c>
      <c r="M20" s="108">
        <v>0.8</v>
      </c>
      <c r="N20" s="108">
        <v>0.8</v>
      </c>
      <c r="O20" s="108">
        <v>0</v>
      </c>
      <c r="P20" s="108">
        <v>0.8</v>
      </c>
      <c r="Q20" s="108">
        <v>0</v>
      </c>
      <c r="R20" s="108">
        <v>0</v>
      </c>
      <c r="S20" s="108">
        <v>0</v>
      </c>
      <c r="T20" s="108">
        <v>0.8</v>
      </c>
      <c r="U20" s="108">
        <v>0.8</v>
      </c>
      <c r="V20" s="108">
        <v>0</v>
      </c>
      <c r="W20" s="108">
        <v>0</v>
      </c>
      <c r="X20" s="108">
        <v>0</v>
      </c>
      <c r="Y20" s="108">
        <v>0.8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</row>
    <row r="21" spans="1:35" customFormat="1" x14ac:dyDescent="0.15">
      <c r="A21" s="186" t="s">
        <v>212</v>
      </c>
      <c r="B21" s="108">
        <v>0.8</v>
      </c>
      <c r="C21" s="108">
        <v>0.8</v>
      </c>
      <c r="D21" s="108">
        <v>0.8</v>
      </c>
      <c r="E21" s="108">
        <v>0.8</v>
      </c>
      <c r="F21" s="108">
        <v>0.8</v>
      </c>
      <c r="G21" s="108">
        <v>0</v>
      </c>
      <c r="H21" s="108">
        <v>0</v>
      </c>
      <c r="I21" s="108">
        <v>0.8</v>
      </c>
      <c r="J21" s="108">
        <v>0.8</v>
      </c>
      <c r="K21" s="108">
        <v>0</v>
      </c>
      <c r="L21" s="108">
        <v>0</v>
      </c>
      <c r="M21" s="108">
        <v>0.8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0.8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</row>
    <row r="22" spans="1:35" customFormat="1" x14ac:dyDescent="0.15">
      <c r="A22" s="186" t="s">
        <v>213</v>
      </c>
      <c r="B22" s="108">
        <v>0</v>
      </c>
      <c r="C22" s="108">
        <v>0.8</v>
      </c>
      <c r="D22" s="108">
        <v>0.8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0.8</v>
      </c>
      <c r="K22" s="108">
        <v>0.8</v>
      </c>
      <c r="L22" s="108">
        <v>0.8</v>
      </c>
      <c r="M22" s="108">
        <v>0.8</v>
      </c>
      <c r="N22" s="108">
        <v>0</v>
      </c>
      <c r="O22" s="108">
        <v>0</v>
      </c>
      <c r="P22" s="108">
        <v>0</v>
      </c>
      <c r="Q22" s="108">
        <v>0.8</v>
      </c>
      <c r="R22" s="108">
        <v>0</v>
      </c>
      <c r="S22" s="108">
        <v>0</v>
      </c>
      <c r="T22" s="108">
        <v>0.8</v>
      </c>
      <c r="U22" s="108">
        <v>0.8</v>
      </c>
      <c r="V22" s="108">
        <v>0.8</v>
      </c>
      <c r="W22" s="108">
        <v>0</v>
      </c>
      <c r="X22" s="108">
        <v>0.8</v>
      </c>
      <c r="Y22" s="108">
        <v>0</v>
      </c>
      <c r="Z22" s="108">
        <v>0</v>
      </c>
      <c r="AA22" s="108">
        <v>0.8</v>
      </c>
      <c r="AB22" s="108">
        <v>0.8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</row>
    <row r="23" spans="1:35" customFormat="1" x14ac:dyDescent="0.15">
      <c r="A23" s="186" t="s">
        <v>214</v>
      </c>
      <c r="B23" s="108">
        <v>0</v>
      </c>
      <c r="C23" s="108">
        <v>0.8</v>
      </c>
      <c r="D23" s="108">
        <v>0.8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0.8</v>
      </c>
      <c r="L23" s="108">
        <v>0.8</v>
      </c>
      <c r="M23" s="108">
        <v>0.8</v>
      </c>
      <c r="N23" s="108">
        <v>0</v>
      </c>
      <c r="O23" s="108">
        <v>0</v>
      </c>
      <c r="P23" s="108">
        <v>0</v>
      </c>
      <c r="Q23" s="108">
        <v>0.8</v>
      </c>
      <c r="R23" s="108">
        <v>0</v>
      </c>
      <c r="S23" s="108">
        <v>0</v>
      </c>
      <c r="T23" s="108">
        <v>0.8</v>
      </c>
      <c r="U23" s="108">
        <v>0.8</v>
      </c>
      <c r="V23" s="108">
        <v>0.8</v>
      </c>
      <c r="W23" s="108">
        <v>0</v>
      </c>
      <c r="X23" s="108">
        <v>0.8</v>
      </c>
      <c r="Y23" s="108">
        <v>0.8</v>
      </c>
      <c r="Z23" s="108">
        <v>0</v>
      </c>
      <c r="AA23" s="108">
        <v>0.8</v>
      </c>
      <c r="AB23" s="108">
        <v>0.8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</row>
    <row r="24" spans="1:35" customFormat="1" x14ac:dyDescent="0.15">
      <c r="A24" s="186" t="s">
        <v>215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0.8</v>
      </c>
      <c r="I24" s="108">
        <v>0</v>
      </c>
      <c r="J24" s="108">
        <v>0.8</v>
      </c>
      <c r="K24" s="108">
        <v>0</v>
      </c>
      <c r="L24" s="108">
        <v>0.8</v>
      </c>
      <c r="M24" s="108">
        <v>0.8</v>
      </c>
      <c r="N24" s="108">
        <v>0.8</v>
      </c>
      <c r="O24" s="108">
        <v>0.8</v>
      </c>
      <c r="P24" s="108">
        <v>0.8</v>
      </c>
      <c r="Q24" s="108">
        <v>0</v>
      </c>
      <c r="R24" s="108">
        <v>0</v>
      </c>
      <c r="S24" s="108">
        <v>0</v>
      </c>
      <c r="T24" s="108">
        <v>0.8</v>
      </c>
      <c r="U24" s="108">
        <v>0.8</v>
      </c>
      <c r="V24" s="108">
        <v>0</v>
      </c>
      <c r="W24" s="108">
        <v>0</v>
      </c>
      <c r="X24" s="108">
        <v>0.8</v>
      </c>
      <c r="Y24" s="108">
        <v>0.8</v>
      </c>
      <c r="Z24" s="108">
        <v>0.8</v>
      </c>
      <c r="AA24" s="108">
        <v>0</v>
      </c>
      <c r="AB24" s="108">
        <v>0</v>
      </c>
      <c r="AC24" s="108">
        <v>0.8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</row>
    <row r="25" spans="1:35" customFormat="1" x14ac:dyDescent="0.15">
      <c r="A25" s="186" t="s">
        <v>216</v>
      </c>
      <c r="B25" s="108">
        <v>0</v>
      </c>
      <c r="C25" s="108">
        <v>0</v>
      </c>
      <c r="D25" s="108">
        <v>0.8</v>
      </c>
      <c r="E25" s="108">
        <v>0</v>
      </c>
      <c r="F25" s="108">
        <v>0</v>
      </c>
      <c r="G25" s="108">
        <v>0</v>
      </c>
      <c r="H25" s="108">
        <v>0.8</v>
      </c>
      <c r="I25" s="108">
        <v>0.8</v>
      </c>
      <c r="J25" s="108">
        <v>0.8</v>
      </c>
      <c r="K25" s="108">
        <v>0.8</v>
      </c>
      <c r="L25" s="108">
        <v>0.8</v>
      </c>
      <c r="M25" s="108">
        <v>0.8</v>
      </c>
      <c r="N25" s="108">
        <v>0.8</v>
      </c>
      <c r="O25" s="108">
        <v>0.8</v>
      </c>
      <c r="P25" s="108">
        <v>0.8</v>
      </c>
      <c r="Q25" s="108">
        <v>0</v>
      </c>
      <c r="R25" s="108">
        <v>0.8</v>
      </c>
      <c r="S25" s="108">
        <v>0</v>
      </c>
      <c r="T25" s="108">
        <v>0.8</v>
      </c>
      <c r="U25" s="108">
        <v>0.8</v>
      </c>
      <c r="V25" s="108">
        <v>0</v>
      </c>
      <c r="W25" s="108">
        <v>0</v>
      </c>
      <c r="X25" s="108">
        <v>0.8</v>
      </c>
      <c r="Y25" s="108">
        <v>0.8</v>
      </c>
      <c r="Z25" s="108">
        <v>0.8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</row>
    <row r="26" spans="1:35" customFormat="1" x14ac:dyDescent="0.15">
      <c r="A26" s="186" t="s">
        <v>217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0.8</v>
      </c>
      <c r="I26" s="108">
        <v>0</v>
      </c>
      <c r="J26" s="108">
        <v>0</v>
      </c>
      <c r="K26" s="108">
        <v>0</v>
      </c>
      <c r="L26" s="108">
        <v>0</v>
      </c>
      <c r="M26" s="108">
        <v>0.8</v>
      </c>
      <c r="N26" s="108">
        <v>0.8</v>
      </c>
      <c r="O26" s="108">
        <v>0.8</v>
      </c>
      <c r="P26" s="108">
        <v>0.8</v>
      </c>
      <c r="Q26" s="108">
        <v>0</v>
      </c>
      <c r="R26" s="108">
        <v>0</v>
      </c>
      <c r="S26" s="108">
        <v>0</v>
      </c>
      <c r="T26" s="108">
        <v>0.8</v>
      </c>
      <c r="U26" s="108">
        <v>0</v>
      </c>
      <c r="V26" s="108">
        <v>0</v>
      </c>
      <c r="W26" s="108">
        <v>0</v>
      </c>
      <c r="X26" s="108">
        <v>0</v>
      </c>
      <c r="Y26" s="108">
        <v>0.8</v>
      </c>
      <c r="Z26" s="108">
        <v>0.8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</row>
    <row r="27" spans="1:35" customFormat="1" x14ac:dyDescent="0.15">
      <c r="A27" s="186" t="s">
        <v>218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0.8</v>
      </c>
      <c r="K27" s="108">
        <v>0.8</v>
      </c>
      <c r="L27" s="108">
        <v>0</v>
      </c>
      <c r="M27" s="108">
        <v>0.8</v>
      </c>
      <c r="N27" s="108">
        <v>0.8</v>
      </c>
      <c r="O27" s="108">
        <v>0</v>
      </c>
      <c r="P27" s="108">
        <v>0.8</v>
      </c>
      <c r="Q27" s="108">
        <v>0</v>
      </c>
      <c r="R27" s="108">
        <v>0</v>
      </c>
      <c r="S27" s="108">
        <v>0</v>
      </c>
      <c r="T27" s="108">
        <v>0.8</v>
      </c>
      <c r="U27" s="108">
        <v>0.8</v>
      </c>
      <c r="V27" s="108">
        <v>0</v>
      </c>
      <c r="W27" s="108">
        <v>0</v>
      </c>
      <c r="X27" s="108">
        <v>0.8</v>
      </c>
      <c r="Y27" s="108">
        <v>0.8</v>
      </c>
      <c r="Z27" s="108">
        <v>0.8</v>
      </c>
      <c r="AA27" s="108">
        <v>0</v>
      </c>
      <c r="AB27" s="108">
        <v>0</v>
      </c>
      <c r="AC27" s="108">
        <v>0.8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</row>
    <row r="28" spans="1:35" customFormat="1" x14ac:dyDescent="0.15">
      <c r="A28" s="186" t="s">
        <v>219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0.8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</row>
    <row r="29" spans="1:35" customFormat="1" x14ac:dyDescent="0.15">
      <c r="A29" s="186" t="s">
        <v>220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0.8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0.8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0.8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</row>
    <row r="30" spans="1:35" customFormat="1" x14ac:dyDescent="0.15">
      <c r="A30" s="186" t="s">
        <v>221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0.8</v>
      </c>
      <c r="U30" s="108">
        <v>0</v>
      </c>
      <c r="V30" s="108">
        <v>0</v>
      </c>
      <c r="W30" s="108">
        <v>0.8</v>
      </c>
      <c r="X30" s="108">
        <v>0.8</v>
      </c>
      <c r="Y30" s="108">
        <v>0.8</v>
      </c>
      <c r="Z30" s="108">
        <v>0.8</v>
      </c>
      <c r="AA30" s="108">
        <v>0.8</v>
      </c>
      <c r="AB30" s="108">
        <v>0.8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</row>
    <row r="31" spans="1:35" customFormat="1" x14ac:dyDescent="0.15">
      <c r="A31" s="186" t="s">
        <v>222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0.8</v>
      </c>
      <c r="O31" s="108">
        <v>0</v>
      </c>
      <c r="P31" s="108">
        <v>0</v>
      </c>
      <c r="Q31" s="108">
        <v>0</v>
      </c>
      <c r="R31" s="108">
        <v>0.8</v>
      </c>
      <c r="S31" s="108">
        <v>0.8</v>
      </c>
      <c r="T31" s="108">
        <v>0.8</v>
      </c>
      <c r="U31" s="108">
        <v>0</v>
      </c>
      <c r="V31" s="108">
        <v>0</v>
      </c>
      <c r="W31" s="108">
        <v>0</v>
      </c>
      <c r="X31" s="108">
        <v>0.8</v>
      </c>
      <c r="Y31" s="108">
        <v>0.8</v>
      </c>
      <c r="Z31" s="108">
        <v>0</v>
      </c>
      <c r="AA31" s="108">
        <v>0</v>
      </c>
      <c r="AB31" s="108">
        <v>0</v>
      </c>
      <c r="AC31" s="108">
        <v>0.8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</row>
    <row r="32" spans="1:35" customFormat="1" x14ac:dyDescent="0.15">
      <c r="A32" s="186" t="s">
        <v>223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0.8</v>
      </c>
      <c r="O32" s="108">
        <v>0.8</v>
      </c>
      <c r="P32" s="108">
        <v>0</v>
      </c>
      <c r="Q32" s="108">
        <v>0.8</v>
      </c>
      <c r="R32" s="108">
        <v>0.8</v>
      </c>
      <c r="S32" s="108">
        <v>0.8</v>
      </c>
      <c r="T32" s="108">
        <v>0.8</v>
      </c>
      <c r="U32" s="108">
        <v>0</v>
      </c>
      <c r="V32" s="108">
        <v>0</v>
      </c>
      <c r="W32" s="108">
        <v>0</v>
      </c>
      <c r="X32" s="108">
        <v>0.8</v>
      </c>
      <c r="Y32" s="108">
        <v>0.8</v>
      </c>
      <c r="Z32" s="108">
        <v>0.8</v>
      </c>
      <c r="AA32" s="108">
        <v>0</v>
      </c>
      <c r="AB32" s="108">
        <v>0</v>
      </c>
      <c r="AC32" s="108">
        <v>0.8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</row>
    <row r="33" spans="1:35" x14ac:dyDescent="0.15">
      <c r="A33" s="186" t="s">
        <v>224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0.8</v>
      </c>
      <c r="M33" s="108">
        <v>0</v>
      </c>
      <c r="N33" s="108">
        <v>0</v>
      </c>
      <c r="O33" s="108">
        <v>0.8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0.8</v>
      </c>
      <c r="W33" s="108">
        <v>0.8</v>
      </c>
      <c r="X33" s="108">
        <v>0.8</v>
      </c>
      <c r="Y33" s="108">
        <v>0.8</v>
      </c>
      <c r="Z33" s="108">
        <v>0</v>
      </c>
      <c r="AA33" s="108">
        <v>0.8</v>
      </c>
      <c r="AB33" s="108">
        <v>0</v>
      </c>
      <c r="AC33" s="108">
        <v>0</v>
      </c>
      <c r="AD33" s="108">
        <v>0.8</v>
      </c>
      <c r="AE33" s="108">
        <v>0</v>
      </c>
      <c r="AF33" s="108">
        <v>0</v>
      </c>
      <c r="AG33" s="108">
        <v>0</v>
      </c>
      <c r="AH33" s="108">
        <v>0</v>
      </c>
      <c r="AI33" s="108">
        <v>0</v>
      </c>
    </row>
    <row r="34" spans="1:35" x14ac:dyDescent="0.15">
      <c r="A34" s="186" t="s">
        <v>225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0.8</v>
      </c>
      <c r="R34" s="108">
        <v>0</v>
      </c>
      <c r="S34" s="108">
        <v>0</v>
      </c>
      <c r="T34" s="108">
        <v>0.8</v>
      </c>
      <c r="U34" s="108">
        <v>0</v>
      </c>
      <c r="V34" s="108">
        <v>0.8</v>
      </c>
      <c r="W34" s="108">
        <v>0.8</v>
      </c>
      <c r="X34" s="108">
        <v>0.8</v>
      </c>
      <c r="Y34" s="108">
        <v>0.8</v>
      </c>
      <c r="Z34" s="108">
        <v>0.8</v>
      </c>
      <c r="AA34" s="108">
        <v>0.8</v>
      </c>
      <c r="AB34" s="108">
        <v>0.8</v>
      </c>
      <c r="AC34" s="108">
        <v>0</v>
      </c>
      <c r="AD34" s="108">
        <v>0.8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</row>
    <row r="35" spans="1:35" x14ac:dyDescent="0.15">
      <c r="A35" s="186" t="s">
        <v>226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0</v>
      </c>
    </row>
    <row r="36" spans="1:35" x14ac:dyDescent="0.15">
      <c r="A36" s="186" t="s">
        <v>230</v>
      </c>
      <c r="B36" s="108">
        <v>0.8</v>
      </c>
      <c r="C36" s="108">
        <v>0.8</v>
      </c>
      <c r="D36" s="108">
        <v>0.8</v>
      </c>
      <c r="E36" s="108">
        <v>0.8</v>
      </c>
      <c r="F36" s="108">
        <v>0.8</v>
      </c>
      <c r="G36" s="108">
        <v>0</v>
      </c>
      <c r="H36" s="108">
        <v>0.8</v>
      </c>
      <c r="I36" s="108">
        <v>0</v>
      </c>
      <c r="J36" s="108">
        <v>0.8</v>
      </c>
      <c r="K36" s="108">
        <v>0.8</v>
      </c>
      <c r="L36" s="108">
        <v>0.8</v>
      </c>
      <c r="M36" s="108">
        <v>0.8</v>
      </c>
      <c r="N36" s="108">
        <v>0.8</v>
      </c>
      <c r="O36" s="108">
        <v>0</v>
      </c>
      <c r="P36" s="108">
        <v>0</v>
      </c>
      <c r="Q36" s="108">
        <v>0.8</v>
      </c>
      <c r="R36" s="108">
        <v>0</v>
      </c>
      <c r="S36" s="108">
        <v>0.8</v>
      </c>
      <c r="T36" s="108">
        <v>0.8</v>
      </c>
      <c r="U36" s="108">
        <v>0.8</v>
      </c>
      <c r="V36" s="108">
        <v>0.8</v>
      </c>
      <c r="W36" s="108">
        <v>0.8</v>
      </c>
      <c r="X36" s="108">
        <v>0.8</v>
      </c>
      <c r="Y36" s="108">
        <v>0.8</v>
      </c>
      <c r="Z36" s="108">
        <v>0</v>
      </c>
      <c r="AA36" s="108">
        <v>0.8</v>
      </c>
      <c r="AB36" s="108">
        <v>0.8</v>
      </c>
      <c r="AC36" s="108">
        <v>0</v>
      </c>
      <c r="AD36" s="108">
        <v>0.8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8.83203125" style="108" bestFit="1" customWidth="1"/>
    <col min="2" max="35" width="2.33203125" style="108" customWidth="1"/>
    <col min="36" max="16384" width="10.83203125" style="108"/>
  </cols>
  <sheetData>
    <row r="1" spans="1:35" x14ac:dyDescent="0.15">
      <c r="A1" s="63" t="s">
        <v>139</v>
      </c>
      <c r="B1" s="189" t="s">
        <v>193</v>
      </c>
      <c r="C1" s="189" t="s">
        <v>194</v>
      </c>
      <c r="D1" s="189" t="s">
        <v>195</v>
      </c>
      <c r="E1" s="189" t="s">
        <v>196</v>
      </c>
      <c r="F1" s="189" t="s">
        <v>197</v>
      </c>
      <c r="G1" s="189" t="s">
        <v>198</v>
      </c>
      <c r="H1" s="189" t="s">
        <v>199</v>
      </c>
      <c r="I1" s="189" t="s">
        <v>200</v>
      </c>
      <c r="J1" s="189" t="s">
        <v>201</v>
      </c>
      <c r="K1" s="189" t="s">
        <v>202</v>
      </c>
      <c r="L1" s="189" t="s">
        <v>203</v>
      </c>
      <c r="M1" s="189" t="s">
        <v>204</v>
      </c>
      <c r="N1" s="189" t="s">
        <v>205</v>
      </c>
      <c r="O1" s="189" t="s">
        <v>206</v>
      </c>
      <c r="P1" s="189" t="s">
        <v>207</v>
      </c>
      <c r="Q1" s="189" t="s">
        <v>208</v>
      </c>
      <c r="R1" s="189" t="s">
        <v>209</v>
      </c>
      <c r="S1" s="189" t="s">
        <v>210</v>
      </c>
      <c r="T1" s="189" t="s">
        <v>211</v>
      </c>
      <c r="U1" s="189" t="s">
        <v>212</v>
      </c>
      <c r="V1" s="189" t="s">
        <v>213</v>
      </c>
      <c r="W1" s="189" t="s">
        <v>214</v>
      </c>
      <c r="X1" s="189" t="s">
        <v>215</v>
      </c>
      <c r="Y1" s="189" t="s">
        <v>216</v>
      </c>
      <c r="Z1" s="189" t="s">
        <v>217</v>
      </c>
      <c r="AA1" s="189" t="s">
        <v>218</v>
      </c>
      <c r="AB1" s="189" t="s">
        <v>219</v>
      </c>
      <c r="AC1" s="189" t="s">
        <v>220</v>
      </c>
      <c r="AD1" s="189" t="s">
        <v>221</v>
      </c>
      <c r="AE1" s="189" t="s">
        <v>222</v>
      </c>
      <c r="AF1" s="189" t="s">
        <v>223</v>
      </c>
      <c r="AG1" s="189" t="s">
        <v>224</v>
      </c>
      <c r="AH1" s="189" t="s">
        <v>225</v>
      </c>
      <c r="AI1" s="189" t="s">
        <v>226</v>
      </c>
    </row>
    <row r="2" spans="1:35" customFormat="1" x14ac:dyDescent="0.15">
      <c r="A2" s="188" t="s">
        <v>193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</row>
    <row r="3" spans="1:35" customFormat="1" x14ac:dyDescent="0.15">
      <c r="A3" s="188" t="s">
        <v>194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</row>
    <row r="4" spans="1:35" customFormat="1" x14ac:dyDescent="0.15">
      <c r="A4" s="188" t="s">
        <v>195</v>
      </c>
      <c r="B4" s="108">
        <v>1</v>
      </c>
      <c r="C4" s="108">
        <v>0</v>
      </c>
      <c r="D4" s="108">
        <v>0</v>
      </c>
      <c r="E4" s="108">
        <v>1</v>
      </c>
      <c r="F4" s="108">
        <v>1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</row>
    <row r="5" spans="1:35" customFormat="1" x14ac:dyDescent="0.15">
      <c r="A5" s="188" t="s">
        <v>196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</row>
    <row r="6" spans="1:35" customFormat="1" x14ac:dyDescent="0.15">
      <c r="A6" s="188" t="s">
        <v>197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</row>
    <row r="7" spans="1:35" customFormat="1" x14ac:dyDescent="0.15">
      <c r="A7" s="188" t="s">
        <v>198</v>
      </c>
      <c r="B7" s="108">
        <v>0</v>
      </c>
      <c r="C7" s="108">
        <v>0</v>
      </c>
      <c r="D7" s="108">
        <v>1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</row>
    <row r="8" spans="1:35" customFormat="1" x14ac:dyDescent="0.15">
      <c r="A8" s="188" t="s">
        <v>199</v>
      </c>
      <c r="B8" s="108">
        <v>0</v>
      </c>
      <c r="C8" s="108">
        <v>0</v>
      </c>
      <c r="D8" s="108">
        <v>1</v>
      </c>
      <c r="E8" s="108">
        <v>1</v>
      </c>
      <c r="F8" s="108">
        <v>1</v>
      </c>
      <c r="G8" s="108">
        <v>0</v>
      </c>
      <c r="H8" s="108">
        <v>1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</row>
    <row r="9" spans="1:35" customFormat="1" x14ac:dyDescent="0.15">
      <c r="A9" s="188" t="s">
        <v>200</v>
      </c>
      <c r="B9" s="108">
        <v>0</v>
      </c>
      <c r="C9" s="108">
        <v>0</v>
      </c>
      <c r="D9" s="108">
        <v>1</v>
      </c>
      <c r="E9" s="108">
        <v>1</v>
      </c>
      <c r="F9" s="108">
        <v>1</v>
      </c>
      <c r="G9" s="108">
        <v>1</v>
      </c>
      <c r="H9" s="108">
        <v>1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</row>
    <row r="10" spans="1:35" customFormat="1" x14ac:dyDescent="0.15">
      <c r="A10" s="188" t="s">
        <v>201</v>
      </c>
      <c r="B10" s="108">
        <v>0</v>
      </c>
      <c r="C10" s="108">
        <v>0</v>
      </c>
      <c r="D10" s="108">
        <v>1</v>
      </c>
      <c r="E10" s="108">
        <v>1</v>
      </c>
      <c r="F10" s="108">
        <v>1</v>
      </c>
      <c r="G10" s="108">
        <v>1</v>
      </c>
      <c r="H10" s="108">
        <v>1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</row>
    <row r="11" spans="1:35" customFormat="1" x14ac:dyDescent="0.15">
      <c r="A11" s="188" t="s">
        <v>202</v>
      </c>
      <c r="B11" s="108">
        <v>1</v>
      </c>
      <c r="C11" s="108">
        <v>1</v>
      </c>
      <c r="D11" s="108">
        <v>1</v>
      </c>
      <c r="E11" s="108">
        <v>1</v>
      </c>
      <c r="F11" s="108">
        <v>1</v>
      </c>
      <c r="G11" s="108">
        <v>1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1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</row>
    <row r="12" spans="1:35" customFormat="1" x14ac:dyDescent="0.15">
      <c r="A12" s="188" t="s">
        <v>203</v>
      </c>
      <c r="B12" s="108">
        <v>1</v>
      </c>
      <c r="C12" s="108">
        <v>1</v>
      </c>
      <c r="D12" s="108">
        <v>1</v>
      </c>
      <c r="E12" s="108">
        <v>0</v>
      </c>
      <c r="F12" s="108">
        <v>0</v>
      </c>
      <c r="G12" s="108">
        <v>0</v>
      </c>
      <c r="H12" s="108">
        <v>1</v>
      </c>
      <c r="I12" s="108">
        <v>0</v>
      </c>
      <c r="J12" s="108">
        <v>0</v>
      </c>
      <c r="K12" s="108">
        <v>1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1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</row>
    <row r="13" spans="1:35" customFormat="1" x14ac:dyDescent="0.15">
      <c r="A13" s="188" t="s">
        <v>204</v>
      </c>
      <c r="B13" s="108">
        <v>1</v>
      </c>
      <c r="C13" s="108">
        <v>0</v>
      </c>
      <c r="D13" s="108">
        <v>1</v>
      </c>
      <c r="E13" s="108">
        <v>0</v>
      </c>
      <c r="F13" s="108">
        <v>0</v>
      </c>
      <c r="G13" s="108">
        <v>0</v>
      </c>
      <c r="H13" s="108">
        <v>1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</row>
    <row r="14" spans="1:35" customFormat="1" x14ac:dyDescent="0.15">
      <c r="A14" s="188" t="s">
        <v>205</v>
      </c>
      <c r="B14" s="108">
        <v>0</v>
      </c>
      <c r="C14" s="108">
        <v>0</v>
      </c>
      <c r="D14" s="108">
        <v>1</v>
      </c>
      <c r="E14" s="108">
        <v>1</v>
      </c>
      <c r="F14" s="108">
        <v>1</v>
      </c>
      <c r="G14" s="108">
        <v>1</v>
      </c>
      <c r="H14" s="108">
        <v>1</v>
      </c>
      <c r="I14" s="108">
        <v>1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1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</row>
    <row r="15" spans="1:35" customFormat="1" x14ac:dyDescent="0.15">
      <c r="A15" s="188" t="s">
        <v>206</v>
      </c>
      <c r="B15" s="108">
        <v>0</v>
      </c>
      <c r="C15" s="108">
        <v>0</v>
      </c>
      <c r="D15" s="108">
        <v>1</v>
      </c>
      <c r="E15" s="108">
        <v>1</v>
      </c>
      <c r="F15" s="108">
        <v>1</v>
      </c>
      <c r="G15" s="108">
        <v>1</v>
      </c>
      <c r="H15" s="108">
        <v>1</v>
      </c>
      <c r="I15" s="108">
        <v>1</v>
      </c>
      <c r="J15" s="108">
        <v>1</v>
      </c>
      <c r="K15" s="108">
        <v>0</v>
      </c>
      <c r="L15" s="108">
        <v>0</v>
      </c>
      <c r="M15" s="108">
        <v>1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</row>
    <row r="16" spans="1:35" customFormat="1" x14ac:dyDescent="0.15">
      <c r="A16" s="188" t="s">
        <v>207</v>
      </c>
      <c r="B16" s="108">
        <v>0</v>
      </c>
      <c r="C16" s="108">
        <v>0</v>
      </c>
      <c r="D16" s="108">
        <v>1</v>
      </c>
      <c r="E16" s="108">
        <v>1</v>
      </c>
      <c r="F16" s="108">
        <v>1</v>
      </c>
      <c r="G16" s="108">
        <v>1</v>
      </c>
      <c r="H16" s="108">
        <v>1</v>
      </c>
      <c r="I16" s="108">
        <v>0</v>
      </c>
      <c r="J16" s="108">
        <v>0</v>
      </c>
      <c r="K16" s="108">
        <v>0</v>
      </c>
      <c r="L16" s="108">
        <v>0</v>
      </c>
      <c r="M16" s="108">
        <v>1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</row>
    <row r="17" spans="1:35" customFormat="1" x14ac:dyDescent="0.15">
      <c r="A17" s="188" t="s">
        <v>208</v>
      </c>
      <c r="B17" s="108">
        <v>1</v>
      </c>
      <c r="C17" s="108">
        <v>0</v>
      </c>
      <c r="D17" s="108">
        <v>1</v>
      </c>
      <c r="E17" s="108">
        <v>0</v>
      </c>
      <c r="F17" s="108">
        <v>0</v>
      </c>
      <c r="G17" s="108">
        <v>1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</row>
    <row r="18" spans="1:35" customFormat="1" x14ac:dyDescent="0.15">
      <c r="A18" s="188" t="s">
        <v>209</v>
      </c>
      <c r="B18" s="108">
        <v>0</v>
      </c>
      <c r="C18" s="108">
        <v>0</v>
      </c>
      <c r="D18" s="108">
        <v>1</v>
      </c>
      <c r="E18" s="108">
        <v>1</v>
      </c>
      <c r="F18" s="108">
        <v>1</v>
      </c>
      <c r="G18" s="108">
        <v>1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</row>
    <row r="19" spans="1:35" customFormat="1" x14ac:dyDescent="0.15">
      <c r="A19" s="188" t="s">
        <v>210</v>
      </c>
      <c r="B19" s="108">
        <v>0</v>
      </c>
      <c r="C19" s="108">
        <v>0</v>
      </c>
      <c r="D19" s="108">
        <v>1</v>
      </c>
      <c r="E19" s="108">
        <v>1</v>
      </c>
      <c r="F19" s="108">
        <v>1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</row>
    <row r="20" spans="1:35" customFormat="1" x14ac:dyDescent="0.15">
      <c r="A20" s="188" t="s">
        <v>211</v>
      </c>
      <c r="B20" s="108">
        <v>1</v>
      </c>
      <c r="C20" s="108">
        <v>0</v>
      </c>
      <c r="D20" s="108">
        <v>1</v>
      </c>
      <c r="E20" s="108">
        <v>1</v>
      </c>
      <c r="F20" s="108">
        <v>1</v>
      </c>
      <c r="G20" s="108">
        <v>1</v>
      </c>
      <c r="H20" s="108">
        <v>1</v>
      </c>
      <c r="I20" s="108">
        <v>1</v>
      </c>
      <c r="J20" s="108">
        <v>1</v>
      </c>
      <c r="K20" s="108">
        <v>0</v>
      </c>
      <c r="L20" s="108">
        <v>0</v>
      </c>
      <c r="M20" s="108">
        <v>1</v>
      </c>
      <c r="N20" s="108">
        <v>1</v>
      </c>
      <c r="O20" s="108">
        <v>0</v>
      </c>
      <c r="P20" s="108">
        <v>1</v>
      </c>
      <c r="Q20" s="108">
        <v>0</v>
      </c>
      <c r="R20" s="108">
        <v>0</v>
      </c>
      <c r="S20" s="108">
        <v>0</v>
      </c>
      <c r="T20" s="108">
        <v>1</v>
      </c>
      <c r="U20" s="108">
        <v>1</v>
      </c>
      <c r="V20" s="108">
        <v>0</v>
      </c>
      <c r="W20" s="108">
        <v>0</v>
      </c>
      <c r="X20" s="108">
        <v>0</v>
      </c>
      <c r="Y20" s="108">
        <v>1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</row>
    <row r="21" spans="1:35" customFormat="1" x14ac:dyDescent="0.15">
      <c r="A21" s="188" t="s">
        <v>212</v>
      </c>
      <c r="B21" s="108">
        <v>1</v>
      </c>
      <c r="C21" s="108">
        <v>1</v>
      </c>
      <c r="D21" s="108">
        <v>1</v>
      </c>
      <c r="E21" s="108">
        <v>1</v>
      </c>
      <c r="F21" s="108">
        <v>1</v>
      </c>
      <c r="G21" s="108">
        <v>0</v>
      </c>
      <c r="H21" s="108">
        <v>0</v>
      </c>
      <c r="I21" s="108">
        <v>1</v>
      </c>
      <c r="J21" s="108">
        <v>1</v>
      </c>
      <c r="K21" s="108">
        <v>0</v>
      </c>
      <c r="L21" s="108">
        <v>0</v>
      </c>
      <c r="M21" s="108">
        <v>1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1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</row>
    <row r="22" spans="1:35" customFormat="1" x14ac:dyDescent="0.15">
      <c r="A22" s="188" t="s">
        <v>213</v>
      </c>
      <c r="B22" s="108">
        <v>0</v>
      </c>
      <c r="C22" s="108">
        <v>1</v>
      </c>
      <c r="D22" s="108">
        <v>1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1</v>
      </c>
      <c r="K22" s="108">
        <v>1</v>
      </c>
      <c r="L22" s="108">
        <v>1</v>
      </c>
      <c r="M22" s="108">
        <v>1</v>
      </c>
      <c r="N22" s="108">
        <v>0</v>
      </c>
      <c r="O22" s="108">
        <v>0</v>
      </c>
      <c r="P22" s="108">
        <v>0</v>
      </c>
      <c r="Q22" s="108">
        <v>1</v>
      </c>
      <c r="R22" s="108">
        <v>0</v>
      </c>
      <c r="S22" s="108">
        <v>0</v>
      </c>
      <c r="T22" s="108">
        <v>1</v>
      </c>
      <c r="U22" s="108">
        <v>1</v>
      </c>
      <c r="V22" s="108">
        <v>1</v>
      </c>
      <c r="W22" s="108">
        <v>0</v>
      </c>
      <c r="X22" s="108">
        <v>1</v>
      </c>
      <c r="Y22" s="108">
        <v>0</v>
      </c>
      <c r="Z22" s="108">
        <v>0</v>
      </c>
      <c r="AA22" s="108">
        <v>1</v>
      </c>
      <c r="AB22" s="108">
        <v>1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</row>
    <row r="23" spans="1:35" customFormat="1" x14ac:dyDescent="0.15">
      <c r="A23" s="188" t="s">
        <v>214</v>
      </c>
      <c r="B23" s="108">
        <v>0</v>
      </c>
      <c r="C23" s="108">
        <v>1</v>
      </c>
      <c r="D23" s="108">
        <v>1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1</v>
      </c>
      <c r="L23" s="108">
        <v>1</v>
      </c>
      <c r="M23" s="108">
        <v>1</v>
      </c>
      <c r="N23" s="108">
        <v>0</v>
      </c>
      <c r="O23" s="108">
        <v>0</v>
      </c>
      <c r="P23" s="108">
        <v>0</v>
      </c>
      <c r="Q23" s="108">
        <v>1</v>
      </c>
      <c r="R23" s="108">
        <v>0</v>
      </c>
      <c r="S23" s="108">
        <v>0</v>
      </c>
      <c r="T23" s="108">
        <v>1</v>
      </c>
      <c r="U23" s="108">
        <v>1</v>
      </c>
      <c r="V23" s="108">
        <v>1</v>
      </c>
      <c r="W23" s="108">
        <v>0</v>
      </c>
      <c r="X23" s="108">
        <v>1</v>
      </c>
      <c r="Y23" s="108">
        <v>1</v>
      </c>
      <c r="Z23" s="108">
        <v>0</v>
      </c>
      <c r="AA23" s="108">
        <v>1</v>
      </c>
      <c r="AB23" s="108">
        <v>1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</row>
    <row r="24" spans="1:35" customFormat="1" x14ac:dyDescent="0.15">
      <c r="A24" s="188" t="s">
        <v>215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1</v>
      </c>
      <c r="I24" s="108">
        <v>0</v>
      </c>
      <c r="J24" s="108">
        <v>1</v>
      </c>
      <c r="K24" s="108">
        <v>0</v>
      </c>
      <c r="L24" s="108">
        <v>1</v>
      </c>
      <c r="M24" s="108">
        <v>1</v>
      </c>
      <c r="N24" s="108">
        <v>1</v>
      </c>
      <c r="O24" s="108">
        <v>1</v>
      </c>
      <c r="P24" s="108">
        <v>1</v>
      </c>
      <c r="Q24" s="108">
        <v>0</v>
      </c>
      <c r="R24" s="108">
        <v>0</v>
      </c>
      <c r="S24" s="108">
        <v>0</v>
      </c>
      <c r="T24" s="108">
        <v>1</v>
      </c>
      <c r="U24" s="108">
        <v>1</v>
      </c>
      <c r="V24" s="108">
        <v>0</v>
      </c>
      <c r="W24" s="108">
        <v>0</v>
      </c>
      <c r="X24" s="108">
        <v>1</v>
      </c>
      <c r="Y24" s="108">
        <v>1</v>
      </c>
      <c r="Z24" s="108">
        <v>1</v>
      </c>
      <c r="AA24" s="108">
        <v>0</v>
      </c>
      <c r="AB24" s="108">
        <v>0</v>
      </c>
      <c r="AC24" s="108">
        <v>1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</row>
    <row r="25" spans="1:35" customFormat="1" x14ac:dyDescent="0.15">
      <c r="A25" s="188" t="s">
        <v>216</v>
      </c>
      <c r="B25" s="108">
        <v>0</v>
      </c>
      <c r="C25" s="108">
        <v>0</v>
      </c>
      <c r="D25" s="108">
        <v>1</v>
      </c>
      <c r="E25" s="108">
        <v>0</v>
      </c>
      <c r="F25" s="108">
        <v>0</v>
      </c>
      <c r="G25" s="108">
        <v>0</v>
      </c>
      <c r="H25" s="108">
        <v>1</v>
      </c>
      <c r="I25" s="108">
        <v>1</v>
      </c>
      <c r="J25" s="108">
        <v>1</v>
      </c>
      <c r="K25" s="108">
        <v>1</v>
      </c>
      <c r="L25" s="108">
        <v>1</v>
      </c>
      <c r="M25" s="108">
        <v>1</v>
      </c>
      <c r="N25" s="108">
        <v>1</v>
      </c>
      <c r="O25" s="108">
        <v>1</v>
      </c>
      <c r="P25" s="108">
        <v>1</v>
      </c>
      <c r="Q25" s="108">
        <v>0</v>
      </c>
      <c r="R25" s="108">
        <v>1</v>
      </c>
      <c r="S25" s="108">
        <v>0</v>
      </c>
      <c r="T25" s="108">
        <v>1</v>
      </c>
      <c r="U25" s="108">
        <v>1</v>
      </c>
      <c r="V25" s="108">
        <v>0</v>
      </c>
      <c r="W25" s="108">
        <v>0</v>
      </c>
      <c r="X25" s="108">
        <v>1</v>
      </c>
      <c r="Y25" s="108">
        <v>1</v>
      </c>
      <c r="Z25" s="108">
        <v>1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</row>
    <row r="26" spans="1:35" customFormat="1" x14ac:dyDescent="0.15">
      <c r="A26" s="188" t="s">
        <v>217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1</v>
      </c>
      <c r="I26" s="108">
        <v>0</v>
      </c>
      <c r="J26" s="108">
        <v>0</v>
      </c>
      <c r="K26" s="108">
        <v>0</v>
      </c>
      <c r="L26" s="108">
        <v>0</v>
      </c>
      <c r="M26" s="108">
        <v>1</v>
      </c>
      <c r="N26" s="108">
        <v>1</v>
      </c>
      <c r="O26" s="108">
        <v>1</v>
      </c>
      <c r="P26" s="108">
        <v>1</v>
      </c>
      <c r="Q26" s="108">
        <v>0</v>
      </c>
      <c r="R26" s="108">
        <v>0</v>
      </c>
      <c r="S26" s="108">
        <v>0</v>
      </c>
      <c r="T26" s="108">
        <v>1</v>
      </c>
      <c r="U26" s="108">
        <v>0</v>
      </c>
      <c r="V26" s="108">
        <v>0</v>
      </c>
      <c r="W26" s="108">
        <v>0</v>
      </c>
      <c r="X26" s="108">
        <v>0</v>
      </c>
      <c r="Y26" s="108">
        <v>1</v>
      </c>
      <c r="Z26" s="108">
        <v>1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</row>
    <row r="27" spans="1:35" customFormat="1" x14ac:dyDescent="0.15">
      <c r="A27" s="188" t="s">
        <v>218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1</v>
      </c>
      <c r="K27" s="108">
        <v>1</v>
      </c>
      <c r="L27" s="108">
        <v>0</v>
      </c>
      <c r="M27" s="108">
        <v>1</v>
      </c>
      <c r="N27" s="108">
        <v>1</v>
      </c>
      <c r="O27" s="108">
        <v>0</v>
      </c>
      <c r="P27" s="108">
        <v>1</v>
      </c>
      <c r="Q27" s="108">
        <v>0</v>
      </c>
      <c r="R27" s="108">
        <v>0</v>
      </c>
      <c r="S27" s="108">
        <v>0</v>
      </c>
      <c r="T27" s="108">
        <v>1</v>
      </c>
      <c r="U27" s="108">
        <v>1</v>
      </c>
      <c r="V27" s="108">
        <v>0</v>
      </c>
      <c r="W27" s="108">
        <v>0</v>
      </c>
      <c r="X27" s="108">
        <v>1</v>
      </c>
      <c r="Y27" s="108">
        <v>1</v>
      </c>
      <c r="Z27" s="108">
        <v>1</v>
      </c>
      <c r="AA27" s="108">
        <v>0</v>
      </c>
      <c r="AB27" s="108">
        <v>0</v>
      </c>
      <c r="AC27" s="108">
        <v>1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</row>
    <row r="28" spans="1:35" customFormat="1" x14ac:dyDescent="0.15">
      <c r="A28" s="188" t="s">
        <v>219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1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</row>
    <row r="29" spans="1:35" customFormat="1" x14ac:dyDescent="0.15">
      <c r="A29" s="188" t="s">
        <v>220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1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1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1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</row>
    <row r="30" spans="1:35" customFormat="1" x14ac:dyDescent="0.15">
      <c r="A30" s="188" t="s">
        <v>221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1</v>
      </c>
      <c r="U30" s="108">
        <v>0</v>
      </c>
      <c r="V30" s="108">
        <v>0</v>
      </c>
      <c r="W30" s="108">
        <v>1</v>
      </c>
      <c r="X30" s="108">
        <v>1</v>
      </c>
      <c r="Y30" s="108">
        <v>1</v>
      </c>
      <c r="Z30" s="108">
        <v>1</v>
      </c>
      <c r="AA30" s="108">
        <v>1</v>
      </c>
      <c r="AB30" s="108">
        <v>1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</row>
    <row r="31" spans="1:35" customFormat="1" x14ac:dyDescent="0.15">
      <c r="A31" s="188" t="s">
        <v>222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1</v>
      </c>
      <c r="O31" s="108">
        <v>0</v>
      </c>
      <c r="P31" s="108">
        <v>0</v>
      </c>
      <c r="Q31" s="108">
        <v>0</v>
      </c>
      <c r="R31" s="108">
        <v>1</v>
      </c>
      <c r="S31" s="108">
        <v>1</v>
      </c>
      <c r="T31" s="108">
        <v>1</v>
      </c>
      <c r="U31" s="108">
        <v>0</v>
      </c>
      <c r="V31" s="108">
        <v>0</v>
      </c>
      <c r="W31" s="108">
        <v>0</v>
      </c>
      <c r="X31" s="108">
        <v>1</v>
      </c>
      <c r="Y31" s="108">
        <v>1</v>
      </c>
      <c r="Z31" s="108">
        <v>0</v>
      </c>
      <c r="AA31" s="108">
        <v>0</v>
      </c>
      <c r="AB31" s="108">
        <v>0</v>
      </c>
      <c r="AC31" s="108">
        <v>1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</row>
    <row r="32" spans="1:35" x14ac:dyDescent="0.15">
      <c r="A32" s="188" t="s">
        <v>223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1</v>
      </c>
      <c r="O32" s="108">
        <v>1</v>
      </c>
      <c r="P32" s="108">
        <v>0</v>
      </c>
      <c r="Q32" s="108">
        <v>1</v>
      </c>
      <c r="R32" s="108">
        <v>1</v>
      </c>
      <c r="S32" s="108">
        <v>1</v>
      </c>
      <c r="T32" s="108">
        <v>1</v>
      </c>
      <c r="U32" s="108">
        <v>0</v>
      </c>
      <c r="V32" s="108">
        <v>0</v>
      </c>
      <c r="W32" s="108">
        <v>0</v>
      </c>
      <c r="X32" s="108">
        <v>1</v>
      </c>
      <c r="Y32" s="108">
        <v>1</v>
      </c>
      <c r="Z32" s="108">
        <v>1</v>
      </c>
      <c r="AA32" s="108">
        <v>0</v>
      </c>
      <c r="AB32" s="108">
        <v>0</v>
      </c>
      <c r="AC32" s="108">
        <v>1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</row>
    <row r="33" spans="1:35" x14ac:dyDescent="0.15">
      <c r="A33" s="188" t="s">
        <v>224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1</v>
      </c>
      <c r="M33" s="108">
        <v>0</v>
      </c>
      <c r="N33" s="108">
        <v>0</v>
      </c>
      <c r="O33" s="108">
        <v>1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1</v>
      </c>
      <c r="W33" s="108">
        <v>1</v>
      </c>
      <c r="X33" s="108">
        <v>1</v>
      </c>
      <c r="Y33" s="108">
        <v>1</v>
      </c>
      <c r="Z33" s="108">
        <v>0</v>
      </c>
      <c r="AA33" s="108">
        <v>1</v>
      </c>
      <c r="AB33" s="108">
        <v>0</v>
      </c>
      <c r="AC33" s="108">
        <v>0</v>
      </c>
      <c r="AD33" s="108">
        <v>1</v>
      </c>
      <c r="AE33" s="108">
        <v>0</v>
      </c>
      <c r="AF33" s="108">
        <v>0</v>
      </c>
      <c r="AG33" s="108">
        <v>0</v>
      </c>
      <c r="AH33" s="108">
        <v>0</v>
      </c>
      <c r="AI33" s="108">
        <v>0</v>
      </c>
    </row>
    <row r="34" spans="1:35" x14ac:dyDescent="0.15">
      <c r="A34" s="188" t="s">
        <v>225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1</v>
      </c>
      <c r="R34" s="108">
        <v>0</v>
      </c>
      <c r="S34" s="108">
        <v>0</v>
      </c>
      <c r="T34" s="108">
        <v>1</v>
      </c>
      <c r="U34" s="108">
        <v>0</v>
      </c>
      <c r="V34" s="108">
        <v>1</v>
      </c>
      <c r="W34" s="108">
        <v>1</v>
      </c>
      <c r="X34" s="108">
        <v>1</v>
      </c>
      <c r="Y34" s="108">
        <v>1</v>
      </c>
      <c r="Z34" s="108">
        <v>1</v>
      </c>
      <c r="AA34" s="108">
        <v>1</v>
      </c>
      <c r="AB34" s="108">
        <v>1</v>
      </c>
      <c r="AC34" s="108">
        <v>0</v>
      </c>
      <c r="AD34" s="108">
        <v>1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</row>
    <row r="35" spans="1:35" x14ac:dyDescent="0.15">
      <c r="A35" s="188" t="s">
        <v>226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0</v>
      </c>
    </row>
    <row r="36" spans="1:35" x14ac:dyDescent="0.15">
      <c r="A36" s="188" t="s">
        <v>230</v>
      </c>
      <c r="B36" s="108">
        <v>1</v>
      </c>
      <c r="C36" s="108">
        <v>1</v>
      </c>
      <c r="D36" s="108">
        <v>1</v>
      </c>
      <c r="E36" s="108">
        <v>1</v>
      </c>
      <c r="F36" s="108">
        <v>1</v>
      </c>
      <c r="G36" s="108">
        <v>0</v>
      </c>
      <c r="H36" s="108">
        <v>1</v>
      </c>
      <c r="I36" s="108">
        <v>0</v>
      </c>
      <c r="J36" s="108">
        <v>1</v>
      </c>
      <c r="K36" s="108">
        <v>1</v>
      </c>
      <c r="L36" s="108">
        <v>1</v>
      </c>
      <c r="M36" s="108">
        <v>1</v>
      </c>
      <c r="N36" s="108">
        <v>1</v>
      </c>
      <c r="O36" s="108">
        <v>0</v>
      </c>
      <c r="P36" s="108">
        <v>0</v>
      </c>
      <c r="Q36" s="108">
        <v>1</v>
      </c>
      <c r="R36" s="108">
        <v>0</v>
      </c>
      <c r="S36" s="108">
        <v>1</v>
      </c>
      <c r="T36" s="108">
        <v>1</v>
      </c>
      <c r="U36" s="108">
        <v>1</v>
      </c>
      <c r="V36" s="108">
        <v>1</v>
      </c>
      <c r="W36" s="108">
        <v>1</v>
      </c>
      <c r="X36" s="108">
        <v>1</v>
      </c>
      <c r="Y36" s="108">
        <v>1</v>
      </c>
      <c r="Z36" s="108">
        <v>0</v>
      </c>
      <c r="AA36" s="108">
        <v>1</v>
      </c>
      <c r="AB36" s="108">
        <v>1</v>
      </c>
      <c r="AC36" s="108">
        <v>0</v>
      </c>
      <c r="AD36" s="108">
        <v>1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832031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91" t="s">
        <v>227</v>
      </c>
      <c r="D1" s="191" t="s">
        <v>228</v>
      </c>
      <c r="E1" s="191" t="s">
        <v>229</v>
      </c>
    </row>
    <row r="2" spans="1:5" x14ac:dyDescent="0.15">
      <c r="A2">
        <v>1</v>
      </c>
      <c r="B2" s="190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90" t="s">
        <v>194</v>
      </c>
      <c r="C3">
        <v>0.8</v>
      </c>
      <c r="D3">
        <v>0.8</v>
      </c>
      <c r="E3">
        <v>0</v>
      </c>
    </row>
    <row r="4" spans="1:5" x14ac:dyDescent="0.15">
      <c r="A4">
        <v>3</v>
      </c>
      <c r="B4" s="190" t="s">
        <v>195</v>
      </c>
      <c r="C4">
        <v>0.8</v>
      </c>
      <c r="D4">
        <v>0.8</v>
      </c>
      <c r="E4">
        <v>0.8</v>
      </c>
    </row>
    <row r="5" spans="1:5" x14ac:dyDescent="0.15">
      <c r="A5">
        <v>4</v>
      </c>
      <c r="B5" s="190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90" t="s">
        <v>197</v>
      </c>
      <c r="C6">
        <v>0</v>
      </c>
      <c r="D6">
        <v>0.8</v>
      </c>
      <c r="E6">
        <v>0</v>
      </c>
    </row>
    <row r="7" spans="1:5" x14ac:dyDescent="0.15">
      <c r="A7">
        <v>6</v>
      </c>
      <c r="B7" s="190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90" t="s">
        <v>199</v>
      </c>
      <c r="C8">
        <v>0.8</v>
      </c>
      <c r="D8">
        <v>0.8</v>
      </c>
      <c r="E8">
        <v>0</v>
      </c>
    </row>
    <row r="9" spans="1:5" x14ac:dyDescent="0.15">
      <c r="A9">
        <v>8</v>
      </c>
      <c r="B9" s="190" t="s">
        <v>200</v>
      </c>
      <c r="C9">
        <v>0.8</v>
      </c>
      <c r="D9">
        <v>0.8</v>
      </c>
      <c r="E9">
        <v>0</v>
      </c>
    </row>
    <row r="10" spans="1:5" x14ac:dyDescent="0.15">
      <c r="A10">
        <v>9</v>
      </c>
      <c r="B10" s="190" t="s">
        <v>201</v>
      </c>
      <c r="C10">
        <v>0.8</v>
      </c>
      <c r="D10">
        <v>0.8</v>
      </c>
      <c r="E10">
        <v>0</v>
      </c>
    </row>
    <row r="11" spans="1:5" x14ac:dyDescent="0.15">
      <c r="A11">
        <v>10</v>
      </c>
      <c r="B11" s="190" t="s">
        <v>202</v>
      </c>
      <c r="C11">
        <v>0.8</v>
      </c>
      <c r="D11">
        <v>0.8</v>
      </c>
      <c r="E11">
        <v>0.8</v>
      </c>
    </row>
    <row r="12" spans="1:5" x14ac:dyDescent="0.15">
      <c r="A12">
        <v>11</v>
      </c>
      <c r="B12" s="190" t="s">
        <v>203</v>
      </c>
      <c r="C12">
        <v>0.8</v>
      </c>
      <c r="D12">
        <v>0.8</v>
      </c>
      <c r="E12">
        <v>0.8</v>
      </c>
    </row>
    <row r="13" spans="1:5" x14ac:dyDescent="0.15">
      <c r="A13">
        <v>12</v>
      </c>
      <c r="B13" s="190" t="s">
        <v>204</v>
      </c>
      <c r="C13">
        <v>0.8</v>
      </c>
      <c r="D13">
        <v>0.8</v>
      </c>
      <c r="E13">
        <v>0</v>
      </c>
    </row>
    <row r="14" spans="1:5" x14ac:dyDescent="0.15">
      <c r="A14">
        <v>13</v>
      </c>
      <c r="B14" s="190" t="s">
        <v>205</v>
      </c>
      <c r="C14">
        <v>0.8</v>
      </c>
      <c r="D14">
        <v>0.8</v>
      </c>
      <c r="E14">
        <v>0</v>
      </c>
    </row>
    <row r="15" spans="1:5" x14ac:dyDescent="0.15">
      <c r="A15">
        <v>14</v>
      </c>
      <c r="B15" s="190" t="s">
        <v>206</v>
      </c>
      <c r="C15">
        <v>0.8</v>
      </c>
      <c r="D15">
        <v>0</v>
      </c>
      <c r="E15">
        <v>0</v>
      </c>
    </row>
    <row r="16" spans="1:5" x14ac:dyDescent="0.15">
      <c r="A16">
        <v>15</v>
      </c>
      <c r="B16" s="190" t="s">
        <v>207</v>
      </c>
      <c r="C16">
        <v>0.8</v>
      </c>
      <c r="D16">
        <v>0.8</v>
      </c>
      <c r="E16">
        <v>0</v>
      </c>
    </row>
    <row r="17" spans="1:5" x14ac:dyDescent="0.15">
      <c r="A17">
        <v>16</v>
      </c>
      <c r="B17" s="190" t="s">
        <v>208</v>
      </c>
      <c r="C17">
        <v>0.8</v>
      </c>
      <c r="D17">
        <v>0</v>
      </c>
      <c r="E17">
        <v>0</v>
      </c>
    </row>
    <row r="18" spans="1:5" x14ac:dyDescent="0.15">
      <c r="A18">
        <v>17</v>
      </c>
      <c r="B18" s="190" t="s">
        <v>209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90" t="s">
        <v>210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190" t="s">
        <v>211</v>
      </c>
      <c r="C20">
        <v>0</v>
      </c>
      <c r="D20">
        <v>0.8</v>
      </c>
      <c r="E20">
        <v>0</v>
      </c>
    </row>
    <row r="21" spans="1:5" x14ac:dyDescent="0.15">
      <c r="A21">
        <v>20</v>
      </c>
      <c r="B21" s="190" t="s">
        <v>212</v>
      </c>
      <c r="C21">
        <v>0.8</v>
      </c>
      <c r="D21">
        <v>0.8</v>
      </c>
      <c r="E21">
        <v>0</v>
      </c>
    </row>
    <row r="22" spans="1:5" x14ac:dyDescent="0.15">
      <c r="A22">
        <v>21</v>
      </c>
      <c r="B22" s="190" t="s">
        <v>213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90" t="s">
        <v>214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90" t="s">
        <v>215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90" t="s">
        <v>216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90" t="s">
        <v>217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90" t="s">
        <v>218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90" t="s">
        <v>219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0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90" t="s">
        <v>221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0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90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90" t="s">
        <v>224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90" t="s">
        <v>225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90" t="s">
        <v>226</v>
      </c>
      <c r="C35">
        <v>0</v>
      </c>
      <c r="D35">
        <v>0</v>
      </c>
      <c r="E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832031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93" t="s">
        <v>227</v>
      </c>
      <c r="D1" s="193" t="s">
        <v>228</v>
      </c>
      <c r="E1" s="193" t="s">
        <v>229</v>
      </c>
    </row>
    <row r="2" spans="1:5" x14ac:dyDescent="0.15">
      <c r="A2">
        <v>1</v>
      </c>
      <c r="B2" s="192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92" t="s">
        <v>194</v>
      </c>
      <c r="C3">
        <v>0.8</v>
      </c>
      <c r="D3">
        <v>0.8</v>
      </c>
      <c r="E3">
        <v>0</v>
      </c>
    </row>
    <row r="4" spans="1:5" x14ac:dyDescent="0.15">
      <c r="A4">
        <v>3</v>
      </c>
      <c r="B4" s="192" t="s">
        <v>195</v>
      </c>
      <c r="C4">
        <v>0.8</v>
      </c>
      <c r="D4">
        <v>0.8</v>
      </c>
      <c r="E4">
        <v>0.8</v>
      </c>
    </row>
    <row r="5" spans="1:5" x14ac:dyDescent="0.15">
      <c r="A5">
        <v>4</v>
      </c>
      <c r="B5" s="192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92" t="s">
        <v>197</v>
      </c>
      <c r="C6">
        <v>0</v>
      </c>
      <c r="D6">
        <v>0.8</v>
      </c>
      <c r="E6">
        <v>0</v>
      </c>
    </row>
    <row r="7" spans="1:5" x14ac:dyDescent="0.15">
      <c r="A7">
        <v>6</v>
      </c>
      <c r="B7" s="192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92" t="s">
        <v>199</v>
      </c>
      <c r="C8">
        <v>0.8</v>
      </c>
      <c r="D8">
        <v>0.8</v>
      </c>
      <c r="E8">
        <v>0</v>
      </c>
    </row>
    <row r="9" spans="1:5" x14ac:dyDescent="0.15">
      <c r="A9">
        <v>8</v>
      </c>
      <c r="B9" s="192" t="s">
        <v>200</v>
      </c>
      <c r="C9">
        <v>0.8</v>
      </c>
      <c r="D9">
        <v>0.8</v>
      </c>
      <c r="E9">
        <v>0</v>
      </c>
    </row>
    <row r="10" spans="1:5" x14ac:dyDescent="0.15">
      <c r="A10">
        <v>9</v>
      </c>
      <c r="B10" s="192" t="s">
        <v>201</v>
      </c>
      <c r="C10">
        <v>0.8</v>
      </c>
      <c r="D10">
        <v>0.8</v>
      </c>
      <c r="E10">
        <v>0</v>
      </c>
    </row>
    <row r="11" spans="1:5" x14ac:dyDescent="0.15">
      <c r="A11">
        <v>10</v>
      </c>
      <c r="B11" s="192" t="s">
        <v>202</v>
      </c>
      <c r="C11">
        <v>0.8</v>
      </c>
      <c r="D11">
        <v>0.8</v>
      </c>
      <c r="E11">
        <v>0.8</v>
      </c>
    </row>
    <row r="12" spans="1:5" x14ac:dyDescent="0.15">
      <c r="A12">
        <v>11</v>
      </c>
      <c r="B12" s="192" t="s">
        <v>203</v>
      </c>
      <c r="C12">
        <v>0.8</v>
      </c>
      <c r="D12">
        <v>0.8</v>
      </c>
      <c r="E12">
        <v>0.8</v>
      </c>
    </row>
    <row r="13" spans="1:5" x14ac:dyDescent="0.15">
      <c r="A13">
        <v>12</v>
      </c>
      <c r="B13" s="192" t="s">
        <v>204</v>
      </c>
      <c r="C13">
        <v>0.8</v>
      </c>
      <c r="D13">
        <v>0.8</v>
      </c>
      <c r="E13">
        <v>0</v>
      </c>
    </row>
    <row r="14" spans="1:5" x14ac:dyDescent="0.15">
      <c r="A14">
        <v>13</v>
      </c>
      <c r="B14" s="192" t="s">
        <v>205</v>
      </c>
      <c r="C14">
        <v>0.8</v>
      </c>
      <c r="D14">
        <v>0.8</v>
      </c>
      <c r="E14">
        <v>0</v>
      </c>
    </row>
    <row r="15" spans="1:5" x14ac:dyDescent="0.15">
      <c r="A15">
        <v>14</v>
      </c>
      <c r="B15" s="192" t="s">
        <v>206</v>
      </c>
      <c r="C15">
        <v>0.8</v>
      </c>
      <c r="D15">
        <v>0</v>
      </c>
      <c r="E15">
        <v>0</v>
      </c>
    </row>
    <row r="16" spans="1:5" x14ac:dyDescent="0.15">
      <c r="A16">
        <v>15</v>
      </c>
      <c r="B16" s="192" t="s">
        <v>207</v>
      </c>
      <c r="C16">
        <v>0.8</v>
      </c>
      <c r="D16">
        <v>0.8</v>
      </c>
      <c r="E16">
        <v>0</v>
      </c>
    </row>
    <row r="17" spans="1:5" x14ac:dyDescent="0.15">
      <c r="A17">
        <v>16</v>
      </c>
      <c r="B17" s="192" t="s">
        <v>208</v>
      </c>
      <c r="C17">
        <v>0.8</v>
      </c>
      <c r="D17">
        <v>0</v>
      </c>
      <c r="E17">
        <v>0</v>
      </c>
    </row>
    <row r="18" spans="1:5" x14ac:dyDescent="0.15">
      <c r="A18">
        <v>17</v>
      </c>
      <c r="B18" s="192" t="s">
        <v>209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92" t="s">
        <v>210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192" t="s">
        <v>211</v>
      </c>
      <c r="C20">
        <v>0</v>
      </c>
      <c r="D20">
        <v>0.8</v>
      </c>
      <c r="E20">
        <v>0</v>
      </c>
    </row>
    <row r="21" spans="1:5" x14ac:dyDescent="0.15">
      <c r="A21">
        <v>20</v>
      </c>
      <c r="B21" s="192" t="s">
        <v>212</v>
      </c>
      <c r="C21">
        <v>0.8</v>
      </c>
      <c r="D21">
        <v>0.8</v>
      </c>
      <c r="E21">
        <v>0</v>
      </c>
    </row>
    <row r="22" spans="1:5" x14ac:dyDescent="0.15">
      <c r="A22">
        <v>21</v>
      </c>
      <c r="B22" s="192" t="s">
        <v>213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92" t="s">
        <v>214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92" t="s">
        <v>215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92" t="s">
        <v>216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92" t="s">
        <v>217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92" t="s">
        <v>218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92" t="s">
        <v>219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2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92" t="s">
        <v>221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2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92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92" t="s">
        <v>224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92" t="s">
        <v>225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92" t="s">
        <v>226</v>
      </c>
      <c r="C35">
        <v>0</v>
      </c>
      <c r="D35">
        <v>0</v>
      </c>
      <c r="E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193</v>
      </c>
      <c r="C2" s="8">
        <v>4.951629638671875</v>
      </c>
      <c r="D2" s="9">
        <v>3.1931281089782715E-2</v>
      </c>
      <c r="E2" s="9">
        <v>7.0000000298023224E-2</v>
      </c>
      <c r="F2" s="9">
        <v>13.489999771118164</v>
      </c>
      <c r="G2" s="7">
        <v>0</v>
      </c>
      <c r="H2" s="9">
        <v>5.1890290342271328E-3</v>
      </c>
      <c r="I2">
        <v>0</v>
      </c>
      <c r="J2"/>
    </row>
    <row r="3" spans="1:10" ht="15" customHeight="1" x14ac:dyDescent="0.15">
      <c r="A3" s="146">
        <v>2</v>
      </c>
      <c r="B3" s="146" t="s">
        <v>194</v>
      </c>
      <c r="C3" s="8">
        <v>4.6447939872741699</v>
      </c>
      <c r="D3" s="9">
        <v>1.2284983396530151</v>
      </c>
      <c r="E3" s="9">
        <v>0.34999999403953552</v>
      </c>
      <c r="F3" s="9">
        <v>8.1925020217895508</v>
      </c>
      <c r="G3" s="9">
        <v>0.5</v>
      </c>
      <c r="H3" s="9">
        <v>4.2721990495920181E-2</v>
      </c>
      <c r="I3">
        <v>0.21498720347881317</v>
      </c>
      <c r="J3"/>
    </row>
    <row r="4" spans="1:10" ht="15" customHeight="1" x14ac:dyDescent="0.15">
      <c r="A4" s="147">
        <v>3</v>
      </c>
      <c r="B4" s="147" t="s">
        <v>195</v>
      </c>
      <c r="C4" s="8">
        <v>4.3143539428710938</v>
      </c>
      <c r="D4" s="9">
        <v>6</v>
      </c>
      <c r="E4" s="9">
        <v>0.4699999988079071</v>
      </c>
      <c r="F4" s="9">
        <v>3.5792229175567627</v>
      </c>
      <c r="G4" s="9">
        <v>0.65473330020904541</v>
      </c>
      <c r="H4" s="9">
        <v>0.13131341338157654</v>
      </c>
      <c r="I4">
        <v>1.6468716859817505</v>
      </c>
      <c r="J4"/>
    </row>
    <row r="5" spans="1:10" ht="15" customHeight="1" x14ac:dyDescent="0.15">
      <c r="A5" s="148">
        <v>4</v>
      </c>
      <c r="B5" s="148" t="s">
        <v>196</v>
      </c>
      <c r="C5" s="8">
        <v>4.3875083923339844</v>
      </c>
      <c r="D5" s="9">
        <v>4.5999999046325684</v>
      </c>
      <c r="E5" s="9">
        <v>0.18000000715255737</v>
      </c>
      <c r="F5" s="9">
        <v>0.80780524015426636</v>
      </c>
      <c r="G5" s="7">
        <v>0</v>
      </c>
      <c r="H5" s="9">
        <v>0.22282598912715912</v>
      </c>
      <c r="I5">
        <v>0</v>
      </c>
      <c r="J5"/>
    </row>
    <row r="6" spans="1:10" ht="15" customHeight="1" x14ac:dyDescent="0.15">
      <c r="A6" s="149">
        <v>5</v>
      </c>
      <c r="B6" s="149" t="s">
        <v>197</v>
      </c>
      <c r="C6" s="8">
        <v>4.2581295967102051</v>
      </c>
      <c r="D6" s="9">
        <v>1.2601790428161621</v>
      </c>
      <c r="E6" s="9">
        <v>0.4699999988079071</v>
      </c>
      <c r="F6" s="9">
        <v>1.6611605882644653</v>
      </c>
      <c r="G6" s="9">
        <v>0.12800613045692444</v>
      </c>
      <c r="H6" s="9">
        <v>0.28293472528457642</v>
      </c>
      <c r="I6">
        <v>7.5815998017787933E-2</v>
      </c>
      <c r="J6"/>
    </row>
    <row r="7" spans="1:10" ht="15" customHeight="1" x14ac:dyDescent="0.15">
      <c r="A7" s="150">
        <v>6</v>
      </c>
      <c r="B7" s="150" t="s">
        <v>198</v>
      </c>
      <c r="C7" s="8">
        <v>3.9824745655059814</v>
      </c>
      <c r="D7" s="9">
        <v>0.61654841899871826</v>
      </c>
      <c r="E7" s="9">
        <v>1.3400000333786011</v>
      </c>
      <c r="F7" s="9">
        <v>4.404365062713623</v>
      </c>
      <c r="G7" s="9">
        <v>9.3301884829998016E-2</v>
      </c>
      <c r="H7" s="9">
        <v>0.30424362421035767</v>
      </c>
      <c r="I7">
        <v>0</v>
      </c>
      <c r="J7"/>
    </row>
    <row r="8" spans="1:10" ht="15" customHeight="1" x14ac:dyDescent="0.15">
      <c r="A8" s="151">
        <v>7</v>
      </c>
      <c r="B8" s="151" t="s">
        <v>199</v>
      </c>
      <c r="C8" s="8">
        <v>3.7903878688812256</v>
      </c>
      <c r="D8" s="9">
        <v>2.4961400032043457</v>
      </c>
      <c r="E8" s="9">
        <v>0.54000002145767212</v>
      </c>
      <c r="F8" s="9">
        <v>4.6194992065429688</v>
      </c>
      <c r="G8" s="9">
        <v>0.68005800247192383</v>
      </c>
      <c r="H8" s="9">
        <v>0.11689579486846924</v>
      </c>
      <c r="I8">
        <v>0.51305902004241943</v>
      </c>
      <c r="J8"/>
    </row>
    <row r="9" spans="1:10" ht="15" customHeight="1" x14ac:dyDescent="0.15">
      <c r="A9" s="152">
        <v>8</v>
      </c>
      <c r="B9" s="152" t="s">
        <v>200</v>
      </c>
      <c r="C9" s="8">
        <v>3.687086820602417</v>
      </c>
      <c r="D9" s="9">
        <v>1.1799999475479126</v>
      </c>
      <c r="E9" s="9">
        <v>0.64999997615814209</v>
      </c>
      <c r="F9" s="9">
        <v>6.596245288848877</v>
      </c>
      <c r="G9" s="9">
        <v>0.9707571268081665</v>
      </c>
      <c r="H9" s="9">
        <v>9.8540902137756348E-2</v>
      </c>
      <c r="I9">
        <v>0.32277873158454895</v>
      </c>
      <c r="J9"/>
    </row>
    <row r="10" spans="1:10" ht="15" customHeight="1" x14ac:dyDescent="0.15">
      <c r="A10" s="153">
        <v>9</v>
      </c>
      <c r="B10" s="153" t="s">
        <v>201</v>
      </c>
      <c r="C10" s="8">
        <v>3.7196500301361084</v>
      </c>
      <c r="D10" s="9">
        <v>2.136958122253418</v>
      </c>
      <c r="E10" s="9">
        <v>0.8802831768989563</v>
      </c>
      <c r="F10" s="9">
        <v>7.8381514549255371</v>
      </c>
      <c r="G10" s="9">
        <v>0.69997042417526245</v>
      </c>
      <c r="H10" s="9">
        <v>0.11230749636888504</v>
      </c>
      <c r="I10">
        <v>0.10365927964448929</v>
      </c>
      <c r="J10"/>
    </row>
    <row r="11" spans="1:10" ht="15" customHeight="1" x14ac:dyDescent="0.15">
      <c r="A11" s="154">
        <v>10</v>
      </c>
      <c r="B11" s="154" t="s">
        <v>202</v>
      </c>
      <c r="C11" s="8">
        <v>3.7607700824737549</v>
      </c>
      <c r="D11" s="9">
        <v>8.0856781005859375</v>
      </c>
      <c r="E11" s="9">
        <v>0.97489982843399048</v>
      </c>
      <c r="F11" s="9">
        <v>7.5673031806945801</v>
      </c>
      <c r="G11" s="9">
        <v>0.89978319406509399</v>
      </c>
      <c r="H11" s="9">
        <v>0.12883055210113525</v>
      </c>
      <c r="I11">
        <v>0.20412297546863556</v>
      </c>
      <c r="J11"/>
    </row>
    <row r="12" spans="1:10" ht="15" customHeight="1" x14ac:dyDescent="0.15">
      <c r="A12" s="155">
        <v>11</v>
      </c>
      <c r="B12" s="155" t="s">
        <v>203</v>
      </c>
      <c r="C12" s="8">
        <v>3.5340275764465332</v>
      </c>
      <c r="D12" s="9">
        <v>15.105374336242676</v>
      </c>
      <c r="E12" s="9">
        <v>0.82999998331069946</v>
      </c>
      <c r="F12" s="9">
        <v>10.408991813659668</v>
      </c>
      <c r="G12" s="9">
        <v>0.42908629775047302</v>
      </c>
      <c r="H12" s="9">
        <v>7.973875105381012E-2</v>
      </c>
      <c r="I12">
        <v>0.85872566699981689</v>
      </c>
      <c r="J12"/>
    </row>
    <row r="13" spans="1:10" ht="15" customHeight="1" x14ac:dyDescent="0.15">
      <c r="A13" s="156">
        <v>12</v>
      </c>
      <c r="B13" s="156" t="s">
        <v>204</v>
      </c>
      <c r="C13" s="8">
        <v>3.4497439861297607</v>
      </c>
      <c r="D13" s="9">
        <v>0.30500000715255737</v>
      </c>
      <c r="E13" s="9">
        <v>0.67000001668930054</v>
      </c>
      <c r="F13" s="9">
        <v>6.9630203247070312</v>
      </c>
      <c r="G13" s="9">
        <v>0.78760260343551636</v>
      </c>
      <c r="H13" s="9">
        <v>9.6222616732120514E-2</v>
      </c>
      <c r="I13">
        <v>0.12651291489601135</v>
      </c>
      <c r="J13"/>
    </row>
    <row r="14" spans="1:10" ht="15" customHeight="1" x14ac:dyDescent="0.15">
      <c r="A14" s="157">
        <v>13</v>
      </c>
      <c r="B14" s="157" t="s">
        <v>205</v>
      </c>
      <c r="C14" s="8">
        <v>3.0818898677825928</v>
      </c>
      <c r="D14" s="9">
        <v>29.700000762939453</v>
      </c>
      <c r="E14" s="9">
        <v>0.73000001907348633</v>
      </c>
      <c r="F14" s="9">
        <v>6.4590768814086914</v>
      </c>
      <c r="G14" s="9">
        <v>0.24426683783531189</v>
      </c>
      <c r="H14" s="9">
        <v>0.11301925033330917</v>
      </c>
      <c r="I14">
        <v>3.343890905380249</v>
      </c>
      <c r="J14"/>
    </row>
    <row r="15" spans="1:10" ht="15" customHeight="1" x14ac:dyDescent="0.15">
      <c r="A15" s="158">
        <v>14</v>
      </c>
      <c r="B15" s="158" t="s">
        <v>206</v>
      </c>
      <c r="C15" s="8">
        <v>3.2638764381408691</v>
      </c>
      <c r="D15" s="9">
        <v>6.0023918151855469</v>
      </c>
      <c r="E15" s="9">
        <v>1.1200000047683716</v>
      </c>
      <c r="F15" s="9">
        <v>8.5357561111450195</v>
      </c>
      <c r="G15" s="9">
        <v>0.89998728036880493</v>
      </c>
      <c r="H15" s="9">
        <v>0.1312127411365509</v>
      </c>
      <c r="I15">
        <v>5.7794161140918732E-2</v>
      </c>
      <c r="J15"/>
    </row>
    <row r="16" spans="1:10" ht="15" customHeight="1" x14ac:dyDescent="0.15">
      <c r="A16" s="159">
        <v>15</v>
      </c>
      <c r="B16" s="159" t="s">
        <v>207</v>
      </c>
      <c r="C16" s="8">
        <v>3.2347140312194824</v>
      </c>
      <c r="D16" s="9">
        <v>2.4883079528808594</v>
      </c>
      <c r="E16" s="9">
        <v>0.95999997854232788</v>
      </c>
      <c r="F16" s="9">
        <v>9.5610494613647461</v>
      </c>
      <c r="G16" s="9">
        <v>0.74700647592544556</v>
      </c>
      <c r="H16" s="9">
        <v>0.10040738433599472</v>
      </c>
      <c r="I16">
        <v>6.5183967351913452E-2</v>
      </c>
      <c r="J16"/>
    </row>
    <row r="17" spans="1:10" ht="15" customHeight="1" x14ac:dyDescent="0.15">
      <c r="A17" s="160">
        <v>16</v>
      </c>
      <c r="B17" s="160" t="s">
        <v>208</v>
      </c>
      <c r="C17" s="8">
        <v>2.3210458755493164</v>
      </c>
      <c r="D17" s="9">
        <v>1.1660000085830688</v>
      </c>
      <c r="E17" s="9">
        <v>0.36000001430511475</v>
      </c>
      <c r="F17" s="9">
        <v>14.988580703735352</v>
      </c>
      <c r="G17" s="9">
        <v>0.38982668519020081</v>
      </c>
      <c r="H17" s="9">
        <v>2.4018285796046257E-2</v>
      </c>
      <c r="I17">
        <v>7.9742642119526863E-3</v>
      </c>
      <c r="J17"/>
    </row>
    <row r="18" spans="1:10" ht="15" customHeight="1" x14ac:dyDescent="0.15">
      <c r="A18" s="161">
        <v>17</v>
      </c>
      <c r="B18" s="161" t="s">
        <v>209</v>
      </c>
      <c r="C18" s="8">
        <v>2.3485000133514404</v>
      </c>
      <c r="D18" s="9">
        <v>3.1708173751831055</v>
      </c>
      <c r="E18" s="9">
        <v>0.94999998807907104</v>
      </c>
      <c r="F18" s="9">
        <v>5.3024578094482422</v>
      </c>
      <c r="G18" s="9">
        <v>0.25386065244674683</v>
      </c>
      <c r="H18" s="9">
        <v>0.17916218936443329</v>
      </c>
      <c r="I18">
        <v>0</v>
      </c>
      <c r="J18"/>
    </row>
    <row r="19" spans="1:10" ht="15" customHeight="1" x14ac:dyDescent="0.15">
      <c r="A19" s="162">
        <v>18</v>
      </c>
      <c r="B19" s="162" t="s">
        <v>210</v>
      </c>
      <c r="C19" s="8">
        <v>2</v>
      </c>
      <c r="D19" s="9">
        <v>6.0999999046325684</v>
      </c>
      <c r="E19" s="9">
        <v>0.60000002384185791</v>
      </c>
      <c r="F19" s="9">
        <v>2.5399999618530273</v>
      </c>
      <c r="G19" s="9">
        <v>0.63805133104324341</v>
      </c>
      <c r="H19" s="9">
        <v>0.23622047901153564</v>
      </c>
      <c r="I19">
        <v>1.8838784694671631</v>
      </c>
      <c r="J19"/>
    </row>
    <row r="20" spans="1:10" ht="15" customHeight="1" x14ac:dyDescent="0.15">
      <c r="A20" s="163">
        <v>19</v>
      </c>
      <c r="B20" s="163" t="s">
        <v>211</v>
      </c>
      <c r="C20" s="8">
        <v>2.6453001499176025</v>
      </c>
      <c r="D20" s="9">
        <v>12.607317924499512</v>
      </c>
      <c r="E20" s="9">
        <v>2.6400001049041748</v>
      </c>
      <c r="F20" s="9">
        <v>18.889999389648438</v>
      </c>
      <c r="G20" s="9">
        <v>0.89998751878738403</v>
      </c>
      <c r="H20" s="9">
        <v>0.13975650072097778</v>
      </c>
      <c r="I20">
        <v>0.13896609842777252</v>
      </c>
      <c r="J20"/>
    </row>
    <row r="21" spans="1:10" ht="15" customHeight="1" x14ac:dyDescent="0.15">
      <c r="A21" s="164">
        <v>20</v>
      </c>
      <c r="B21" s="164" t="s">
        <v>212</v>
      </c>
      <c r="C21" s="8">
        <v>3.6093482971191406</v>
      </c>
      <c r="D21" s="9">
        <v>3.433342456817627</v>
      </c>
      <c r="E21" s="9">
        <v>2.3399999141693115</v>
      </c>
      <c r="F21" s="9">
        <v>7.7999992370605469</v>
      </c>
      <c r="G21" s="9">
        <v>0.70089805126190186</v>
      </c>
      <c r="H21" s="9">
        <v>0.30000001192092896</v>
      </c>
      <c r="I21">
        <v>0.44555765390396118</v>
      </c>
      <c r="J21"/>
    </row>
    <row r="22" spans="1:10" ht="15" customHeight="1" x14ac:dyDescent="0.15">
      <c r="A22" s="165">
        <v>21</v>
      </c>
      <c r="B22" s="165" t="s">
        <v>213</v>
      </c>
      <c r="C22" s="8">
        <v>3.0209152698516846</v>
      </c>
      <c r="D22" s="9">
        <v>3.1157617568969727</v>
      </c>
      <c r="E22" s="9">
        <v>22.704999923706055</v>
      </c>
      <c r="F22" s="9">
        <v>60.470001220703125</v>
      </c>
      <c r="G22" s="9">
        <v>0.9499967098236084</v>
      </c>
      <c r="H22" s="9">
        <v>0.3754754364490509</v>
      </c>
      <c r="I22">
        <v>0</v>
      </c>
      <c r="J22"/>
    </row>
    <row r="23" spans="1:10" ht="15" customHeight="1" x14ac:dyDescent="0.15">
      <c r="A23" s="166">
        <v>22</v>
      </c>
      <c r="B23" s="166" t="s">
        <v>214</v>
      </c>
      <c r="C23" s="8">
        <v>2.1000001430511475</v>
      </c>
      <c r="D23" s="9">
        <v>7.5195488929748535</v>
      </c>
      <c r="E23" s="9">
        <v>35.435001373291016</v>
      </c>
      <c r="F23" s="9">
        <v>109.42500305175781</v>
      </c>
      <c r="G23" s="9">
        <v>0.94999980926513672</v>
      </c>
      <c r="H23" s="9">
        <v>0.32382911443710327</v>
      </c>
      <c r="I23">
        <v>0</v>
      </c>
      <c r="J23"/>
    </row>
    <row r="24" spans="1:10" ht="15" customHeight="1" x14ac:dyDescent="0.15">
      <c r="A24" s="167">
        <v>23</v>
      </c>
      <c r="B24" s="167" t="s">
        <v>215</v>
      </c>
      <c r="C24" s="8">
        <v>2.3097002506256104</v>
      </c>
      <c r="D24" s="9">
        <v>40.159816741943359</v>
      </c>
      <c r="E24" s="9">
        <v>2.5799999237060547</v>
      </c>
      <c r="F24" s="9">
        <v>15.270000457763672</v>
      </c>
      <c r="G24" s="9">
        <v>0.94999998807907104</v>
      </c>
      <c r="H24" s="9">
        <v>0.16895873844623566</v>
      </c>
      <c r="I24">
        <v>0</v>
      </c>
      <c r="J24"/>
    </row>
    <row r="25" spans="1:10" ht="15" customHeight="1" x14ac:dyDescent="0.15">
      <c r="A25" s="168">
        <v>24</v>
      </c>
      <c r="B25" s="168" t="s">
        <v>216</v>
      </c>
      <c r="C25" s="8">
        <v>2.1616661548614502</v>
      </c>
      <c r="D25" s="9">
        <v>49.709064483642578</v>
      </c>
      <c r="E25" s="9">
        <v>4.0999999046325684</v>
      </c>
      <c r="F25" s="9">
        <v>47.599998474121094</v>
      </c>
      <c r="G25" s="9">
        <v>0.89999902248382568</v>
      </c>
      <c r="H25" s="9">
        <v>8.6134456098079681E-2</v>
      </c>
      <c r="I25">
        <v>0</v>
      </c>
      <c r="J25"/>
    </row>
    <row r="26" spans="1:10" ht="15" customHeight="1" x14ac:dyDescent="0.15">
      <c r="A26" s="169">
        <v>25</v>
      </c>
      <c r="B26" s="169" t="s">
        <v>217</v>
      </c>
      <c r="C26" s="8">
        <v>2.3627684116363525</v>
      </c>
      <c r="D26" s="9">
        <v>21.383054733276367</v>
      </c>
      <c r="E26" s="9">
        <v>0.5899999737739563</v>
      </c>
      <c r="F26" s="9">
        <v>1.6699999570846558</v>
      </c>
      <c r="G26" s="9">
        <v>0.5</v>
      </c>
      <c r="H26" s="9">
        <v>0.35329341888427734</v>
      </c>
      <c r="I26">
        <v>0</v>
      </c>
      <c r="J26"/>
    </row>
    <row r="27" spans="1:10" ht="15" customHeight="1" x14ac:dyDescent="0.15">
      <c r="A27" s="170">
        <v>26</v>
      </c>
      <c r="B27" s="170" t="s">
        <v>218</v>
      </c>
      <c r="C27" s="8">
        <v>2.1918652057647705</v>
      </c>
      <c r="D27" s="9">
        <v>74.225746154785156</v>
      </c>
      <c r="E27" s="9">
        <v>2.630000114440918</v>
      </c>
      <c r="F27" s="9">
        <v>11.199999809265137</v>
      </c>
      <c r="G27" s="9">
        <v>0.89999991655349731</v>
      </c>
      <c r="H27" s="9">
        <v>0.23482143878936768</v>
      </c>
      <c r="I27">
        <v>0</v>
      </c>
      <c r="J27"/>
    </row>
    <row r="28" spans="1:10" ht="15" customHeight="1" x14ac:dyDescent="0.15">
      <c r="A28" s="171">
        <v>27</v>
      </c>
      <c r="B28" s="171" t="s">
        <v>219</v>
      </c>
      <c r="C28" s="8">
        <v>2.2310459613800049</v>
      </c>
      <c r="D28" s="9">
        <v>500.79998779296875</v>
      </c>
      <c r="E28" s="9">
        <v>0.20000000298023224</v>
      </c>
      <c r="F28" s="9">
        <v>0.52999997138977051</v>
      </c>
      <c r="G28" s="9">
        <v>1.8631141632795334E-2</v>
      </c>
      <c r="H28" s="9">
        <v>0.37735852599143982</v>
      </c>
      <c r="I28">
        <v>0</v>
      </c>
      <c r="J28"/>
    </row>
    <row r="29" spans="1:10" ht="15" customHeight="1" x14ac:dyDescent="0.15">
      <c r="A29" s="172">
        <v>28</v>
      </c>
      <c r="B29" s="172" t="s">
        <v>220</v>
      </c>
      <c r="C29" s="8">
        <v>2.1458790302276611</v>
      </c>
      <c r="D29" s="9">
        <v>64.952003479003906</v>
      </c>
      <c r="E29" s="9">
        <v>0.56999999284744263</v>
      </c>
      <c r="F29" s="9">
        <v>2.7000000476837158</v>
      </c>
      <c r="G29" s="9">
        <v>0.60071015357971191</v>
      </c>
      <c r="H29" s="9">
        <v>0.21111109852790833</v>
      </c>
      <c r="I29">
        <v>0</v>
      </c>
      <c r="J29"/>
    </row>
    <row r="30" spans="1:10" ht="15" customHeight="1" x14ac:dyDescent="0.15">
      <c r="A30" s="173">
        <v>29</v>
      </c>
      <c r="B30" s="173" t="s">
        <v>221</v>
      </c>
      <c r="C30" s="8">
        <v>2</v>
      </c>
      <c r="D30" s="9">
        <v>19.844554901123047</v>
      </c>
      <c r="E30" s="9">
        <v>10</v>
      </c>
      <c r="F30" s="9">
        <v>33.333332061767578</v>
      </c>
      <c r="G30" s="9">
        <v>0.94999998807907104</v>
      </c>
      <c r="H30" s="9">
        <v>0.30000001192092896</v>
      </c>
      <c r="I30">
        <v>0</v>
      </c>
      <c r="J30"/>
    </row>
    <row r="31" spans="1:10" ht="15" customHeight="1" x14ac:dyDescent="0.15">
      <c r="A31" s="174">
        <v>30</v>
      </c>
      <c r="B31" s="174" t="s">
        <v>222</v>
      </c>
      <c r="C31" s="8">
        <v>1</v>
      </c>
      <c r="D31" s="9">
        <v>3674</v>
      </c>
      <c r="E31" s="9">
        <v>0.55000001192092896</v>
      </c>
      <c r="F31" s="10"/>
      <c r="G31" s="9">
        <v>0.24325594305992126</v>
      </c>
      <c r="H31" s="10"/>
      <c r="I31">
        <v>0</v>
      </c>
      <c r="J31"/>
    </row>
    <row r="32" spans="1:10" ht="15" customHeight="1" x14ac:dyDescent="0.15">
      <c r="A32" s="202">
        <v>31</v>
      </c>
      <c r="B32" s="202" t="s">
        <v>223</v>
      </c>
      <c r="C32" s="8">
        <v>1</v>
      </c>
      <c r="D32" s="9">
        <v>557</v>
      </c>
      <c r="E32" s="9">
        <v>4.429999828338623</v>
      </c>
      <c r="F32" s="10"/>
      <c r="G32" s="9">
        <v>0.13921920955181122</v>
      </c>
      <c r="H32" s="10"/>
      <c r="I32">
        <v>0</v>
      </c>
      <c r="J32"/>
    </row>
    <row r="33" spans="1:10" ht="15" customHeight="1" x14ac:dyDescent="0.15">
      <c r="A33" s="203">
        <v>32</v>
      </c>
      <c r="B33" s="203" t="s">
        <v>224</v>
      </c>
      <c r="C33" s="8">
        <v>1</v>
      </c>
      <c r="D33" s="9">
        <v>7.1399998664855957</v>
      </c>
      <c r="E33" s="9">
        <v>179.60000610351562</v>
      </c>
      <c r="F33" s="10"/>
      <c r="G33" s="9">
        <v>0.46003767848014832</v>
      </c>
      <c r="H33" s="10"/>
      <c r="I33">
        <v>0</v>
      </c>
      <c r="J33"/>
    </row>
    <row r="34" spans="1:10" ht="15" customHeight="1" x14ac:dyDescent="0.15">
      <c r="A34" s="204">
        <v>33</v>
      </c>
      <c r="B34" s="204" t="s">
        <v>225</v>
      </c>
      <c r="C34" s="8">
        <v>1</v>
      </c>
      <c r="D34" s="9">
        <v>65.25</v>
      </c>
      <c r="E34" s="10"/>
      <c r="F34" s="10"/>
      <c r="G34" s="7">
        <v>0.28022775053977966</v>
      </c>
      <c r="H34" s="10"/>
      <c r="I34">
        <v>0</v>
      </c>
      <c r="J34"/>
    </row>
    <row r="35" spans="1:10" ht="15" customHeight="1" x14ac:dyDescent="0.15">
      <c r="A35" s="205">
        <v>34</v>
      </c>
      <c r="B35" s="205" t="s">
        <v>226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206">
        <v>35</v>
      </c>
      <c r="B36" s="206" t="s">
        <v>227</v>
      </c>
      <c r="C36" s="8">
        <v>4.5598669052124023</v>
      </c>
      <c r="D36" s="10"/>
      <c r="E36" s="10"/>
      <c r="F36" s="10"/>
      <c r="G36" s="10"/>
      <c r="H36" s="10"/>
      <c r="I36">
        <v>4.6911845207214355</v>
      </c>
      <c r="J36"/>
    </row>
    <row r="37" spans="1:10" ht="15" customHeight="1" x14ac:dyDescent="0.15">
      <c r="A37" s="207">
        <v>36</v>
      </c>
      <c r="B37" s="207" t="s">
        <v>228</v>
      </c>
      <c r="C37" s="8">
        <v>4.34954833984375</v>
      </c>
      <c r="D37" s="10"/>
      <c r="E37" s="10"/>
      <c r="F37" s="10"/>
      <c r="G37" s="10"/>
      <c r="H37" s="10"/>
      <c r="I37">
        <v>2.2316887378692627</v>
      </c>
      <c r="J37"/>
    </row>
    <row r="38" spans="1:10" ht="15" customHeight="1" x14ac:dyDescent="0.15">
      <c r="A38" s="208">
        <v>37</v>
      </c>
      <c r="B38" s="208" t="s">
        <v>229</v>
      </c>
      <c r="C38" s="8">
        <v>3.7463493347167969</v>
      </c>
      <c r="D38" s="10"/>
      <c r="E38" s="10"/>
      <c r="F38" s="10"/>
      <c r="G38" s="10"/>
      <c r="H38" s="10"/>
      <c r="I38">
        <v>3.0869057178497314</v>
      </c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234</v>
      </c>
      <c r="E1" t="s">
        <v>235</v>
      </c>
      <c r="F1" t="s">
        <v>236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7.0000000298023224E-2</v>
      </c>
      <c r="C2">
        <v>7.0000000298023224E-2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0.34999999403953552</v>
      </c>
      <c r="C3">
        <v>0.17499999701976776</v>
      </c>
      <c r="D3" s="209">
        <v>8.218635618686676E-2</v>
      </c>
      <c r="E3" s="214">
        <v>9.2813633382320404E-2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0.4699999988079071</v>
      </c>
      <c r="C4">
        <v>0.16227534413337708</v>
      </c>
      <c r="D4" s="109">
        <v>0.17643199861049652</v>
      </c>
      <c r="E4" s="213">
        <v>2.2964416071772575E-2</v>
      </c>
      <c r="F4" s="218">
        <v>7.5082197785377502E-2</v>
      </c>
      <c r="G4" s="16">
        <v>7.3941503651440144E-3</v>
      </c>
      <c r="H4"/>
      <c r="I4"/>
      <c r="J4" s="26">
        <v>1.2262482196092606E-2</v>
      </c>
      <c r="K4" s="142">
        <v>1.3589393347501755E-2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0.18000000715255737</v>
      </c>
      <c r="C5">
        <v>0.18000000715255737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0.4699999988079071</v>
      </c>
      <c r="C6">
        <v>0.40983712673187256</v>
      </c>
      <c r="D6"/>
      <c r="E6" s="215">
        <v>6.0162879526615143E-2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1.3400000333786011</v>
      </c>
      <c r="C7">
        <v>1.2149754762649536</v>
      </c>
      <c r="D7"/>
      <c r="E7"/>
      <c r="F7"/>
      <c r="G7"/>
      <c r="H7"/>
      <c r="I7" s="73">
        <v>0.12502452731132507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0.54000002145767212</v>
      </c>
      <c r="C8">
        <v>0.17276868224143982</v>
      </c>
      <c r="D8" s="210">
        <v>0.13019661605358124</v>
      </c>
      <c r="E8" s="216">
        <v>7.5344331562519073E-2</v>
      </c>
      <c r="F8"/>
      <c r="G8"/>
      <c r="H8"/>
      <c r="I8" s="227">
        <v>4.4115938246250153E-2</v>
      </c>
      <c r="J8" s="64">
        <v>2.9475471004843712E-2</v>
      </c>
      <c r="K8" s="143">
        <v>3.2664977014064789E-2</v>
      </c>
      <c r="L8"/>
      <c r="M8" s="229">
        <v>5.5433992296457291E-2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0.64999997615814209</v>
      </c>
      <c r="C9">
        <v>1.9007867202162743E-2</v>
      </c>
      <c r="D9" s="138">
        <v>0.24631433188915253</v>
      </c>
      <c r="E9" s="66">
        <v>2.7226967737078667E-2</v>
      </c>
      <c r="F9"/>
      <c r="G9"/>
      <c r="H9"/>
      <c r="I9" s="220">
        <v>3.6577589809894562E-2</v>
      </c>
      <c r="J9" s="225">
        <v>8.5024930536746979E-2</v>
      </c>
      <c r="K9" s="221">
        <v>6.9098614156246185E-2</v>
      </c>
      <c r="L9" s="221">
        <v>6.9030001759529114E-2</v>
      </c>
      <c r="M9" s="228">
        <v>9.7719632089138031E-2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0.8802831768989563</v>
      </c>
      <c r="C10">
        <v>0.2641109824180603</v>
      </c>
      <c r="D10" s="25">
        <v>2.6805898174643517E-2</v>
      </c>
      <c r="E10" s="26">
        <v>2.170196920633316E-2</v>
      </c>
      <c r="F10"/>
      <c r="G10"/>
      <c r="H10"/>
      <c r="I10" s="27">
        <v>6.6990286111831665E-2</v>
      </c>
      <c r="J10" s="16">
        <v>1.408489141613245E-2</v>
      </c>
      <c r="K10" s="224">
        <v>2.8849154710769653E-2</v>
      </c>
      <c r="L10" s="222">
        <v>9.0815477073192596E-2</v>
      </c>
      <c r="M10" s="236">
        <v>0.36692455410957336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0.97489982843399048</v>
      </c>
      <c r="C11">
        <v>9.770134836435318E-2</v>
      </c>
      <c r="D11" s="12">
        <v>3.4821941517293453E-3</v>
      </c>
      <c r="E11" s="11">
        <v>7.767759234411642E-5</v>
      </c>
      <c r="F11" s="65">
        <v>2.1685132756829262E-2</v>
      </c>
      <c r="G11" s="12">
        <v>3.5513592883944511E-3</v>
      </c>
      <c r="H11" s="241">
        <v>0.17501653730869293</v>
      </c>
      <c r="I11" s="244">
        <v>0.54476338624954224</v>
      </c>
      <c r="J11" s="15">
        <v>9.0994089841842651E-3</v>
      </c>
      <c r="K11" s="22">
        <v>8.362380787730217E-3</v>
      </c>
      <c r="L11" s="26">
        <v>2.4001557379961014E-2</v>
      </c>
      <c r="M11"/>
      <c r="N11"/>
      <c r="O11"/>
      <c r="P11"/>
      <c r="Q11"/>
      <c r="R11"/>
      <c r="S11"/>
      <c r="T11"/>
      <c r="U11"/>
      <c r="V11"/>
      <c r="W11"/>
      <c r="X11"/>
      <c r="Y11"/>
      <c r="Z11" s="212">
        <v>8.715888112783432E-2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0.82999998331069946</v>
      </c>
      <c r="C12">
        <v>0.47385835647583008</v>
      </c>
      <c r="D12" s="21">
        <v>1.5632482245564461E-2</v>
      </c>
      <c r="E12" s="11">
        <v>1.0762526653707027E-4</v>
      </c>
      <c r="F12" s="213">
        <v>4.1108909994363785E-2</v>
      </c>
      <c r="G12" s="11">
        <v>1.9009887182619423E-4</v>
      </c>
      <c r="H12" s="65">
        <v>1.7767593264579773E-2</v>
      </c>
      <c r="I12" s="239">
        <v>5.7147271931171417E-2</v>
      </c>
      <c r="J12"/>
      <c r="K12"/>
      <c r="L12"/>
      <c r="M12" s="234">
        <v>6.6412761807441711E-2</v>
      </c>
      <c r="N12"/>
      <c r="O12"/>
      <c r="P12" s="242">
        <v>0.11112005263566971</v>
      </c>
      <c r="Q12"/>
      <c r="R12"/>
      <c r="S12"/>
      <c r="T12"/>
      <c r="U12"/>
      <c r="V12"/>
      <c r="W12"/>
      <c r="X12"/>
      <c r="Y12"/>
      <c r="Z12" s="220">
        <v>4.6654831618070602E-2</v>
      </c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0.67000001668930054</v>
      </c>
      <c r="C13">
        <v>0.14230625331401825</v>
      </c>
      <c r="D13" s="211">
        <v>0.33084654808044434</v>
      </c>
      <c r="E13" s="217">
        <v>8.3949901163578033E-2</v>
      </c>
      <c r="F13"/>
      <c r="G13" s="22">
        <v>4.7074011527001858E-3</v>
      </c>
      <c r="H13"/>
      <c r="I13" s="221">
        <v>7.0383645594120026E-2</v>
      </c>
      <c r="J13"/>
      <c r="K13"/>
      <c r="L13"/>
      <c r="M13" s="220">
        <v>3.7806283682584763E-2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0.73000001907348633</v>
      </c>
      <c r="C14">
        <v>0.55168521404266357</v>
      </c>
      <c r="D14" s="212">
        <v>6.5301612019538879E-2</v>
      </c>
      <c r="E14" s="76">
        <v>4.7287303954362869E-2</v>
      </c>
      <c r="F14"/>
      <c r="G14"/>
      <c r="H14"/>
      <c r="I14" s="223">
        <v>1.7347078770399094E-2</v>
      </c>
      <c r="J14" s="23">
        <v>3.603300778195262E-3</v>
      </c>
      <c r="K14" s="14">
        <v>2.0757385063916445E-3</v>
      </c>
      <c r="L14" s="15">
        <v>6.5343049354851246E-3</v>
      </c>
      <c r="M14" s="28">
        <v>2.6400752365589142E-2</v>
      </c>
      <c r="N14" s="11">
        <v>2.7327740099281073E-4</v>
      </c>
      <c r="O14"/>
      <c r="P14"/>
      <c r="Q14"/>
      <c r="R14"/>
      <c r="S14"/>
      <c r="T14"/>
      <c r="U14"/>
      <c r="V14"/>
      <c r="W14"/>
      <c r="X14"/>
      <c r="Y14"/>
      <c r="Z14" s="17">
        <v>9.4914259389042854E-3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1.1200000047683716</v>
      </c>
      <c r="C15">
        <v>0.11201424896717072</v>
      </c>
      <c r="D15" s="22">
        <v>9.6285222098231316E-3</v>
      </c>
      <c r="E15"/>
      <c r="F15"/>
      <c r="G15"/>
      <c r="H15"/>
      <c r="I15" s="224">
        <v>3.6691892892122269E-2</v>
      </c>
      <c r="J15" s="17">
        <v>1.5600577928125858E-2</v>
      </c>
      <c r="K15" s="223">
        <v>2.5842688977718353E-2</v>
      </c>
      <c r="L15" s="74">
        <v>8.6851127445697784E-2</v>
      </c>
      <c r="M15" s="237">
        <v>0.13639481365680695</v>
      </c>
      <c r="N15" s="240">
        <v>0.17037519812583923</v>
      </c>
      <c r="O15" s="106">
        <v>0.51587122678756714</v>
      </c>
      <c r="P15"/>
      <c r="Q15"/>
      <c r="R15" s="15">
        <v>1.072974968701601E-2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0.95999997854232788</v>
      </c>
      <c r="C16">
        <v>0.24287377297878265</v>
      </c>
      <c r="D16" s="21">
        <v>1.8708828836679459E-2</v>
      </c>
      <c r="E16" s="22">
        <v>7.4872728437185287E-3</v>
      </c>
      <c r="F16"/>
      <c r="G16"/>
      <c r="H16"/>
      <c r="I16" s="233">
        <v>0.19947600364685059</v>
      </c>
      <c r="J16" s="223">
        <v>2.2848188877105713E-2</v>
      </c>
      <c r="K16" s="26">
        <v>2.4775644764304161E-2</v>
      </c>
      <c r="L16" s="68">
        <v>8.8930770754814148E-2</v>
      </c>
      <c r="M16" s="238">
        <v>0.32901680469512939</v>
      </c>
      <c r="N16"/>
      <c r="O16"/>
      <c r="P16"/>
      <c r="Q16"/>
      <c r="R16" s="24">
        <v>2.5882713496685028E-2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0.36000001430511475</v>
      </c>
      <c r="C17">
        <v>0.21966239809989929</v>
      </c>
      <c r="D17" s="21">
        <v>6.8389917723834515E-3</v>
      </c>
      <c r="E17"/>
      <c r="F17"/>
      <c r="G17" s="15">
        <v>3.6940581630915403E-3</v>
      </c>
      <c r="H17"/>
      <c r="I17" s="226">
        <v>9.2541910707950592E-2</v>
      </c>
      <c r="J17"/>
      <c r="K17"/>
      <c r="L17" s="222">
        <v>3.7262648344039917E-2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0.94999998807907104</v>
      </c>
      <c r="C18">
        <v>0.70883238315582275</v>
      </c>
      <c r="D18"/>
      <c r="E18"/>
      <c r="F18"/>
      <c r="G18"/>
      <c r="H18"/>
      <c r="I18" s="231">
        <v>8.334977924823761E-2</v>
      </c>
      <c r="J18" s="25">
        <v>2.9532063752412796E-2</v>
      </c>
      <c r="K18" s="12">
        <v>3.1359291169792414E-3</v>
      </c>
      <c r="L18" s="225">
        <v>0.12514986097812653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0.60000002384185791</v>
      </c>
      <c r="C19">
        <v>0.21716921031475067</v>
      </c>
      <c r="D19" s="18">
        <v>7.1754790842533112E-3</v>
      </c>
      <c r="E19"/>
      <c r="F19" s="219">
        <v>0.3016570508480072</v>
      </c>
      <c r="G19"/>
      <c r="H19"/>
      <c r="I19" s="232">
        <v>4.3325725942850113E-2</v>
      </c>
      <c r="J19" s="230">
        <v>2.7412407100200653E-2</v>
      </c>
      <c r="K19" s="23">
        <v>3.2601503189653158E-3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2.6400001049041748</v>
      </c>
      <c r="C20">
        <v>0.26403295993804932</v>
      </c>
      <c r="D20"/>
      <c r="E20" s="12">
        <v>1.1022653430700302E-2</v>
      </c>
      <c r="F20"/>
      <c r="G20" s="11">
        <v>1.1798273590102326E-5</v>
      </c>
      <c r="H20"/>
      <c r="I20" s="224">
        <v>8.559882640838623E-2</v>
      </c>
      <c r="J20" s="15">
        <v>2.7322569862008095E-2</v>
      </c>
      <c r="K20" s="21">
        <v>5.2685517817735672E-2</v>
      </c>
      <c r="L20" s="26">
        <v>6.8925455212593079E-2</v>
      </c>
      <c r="M20" s="220">
        <v>0.149083212018013</v>
      </c>
      <c r="N20" s="245">
        <v>0.4268261194229126</v>
      </c>
      <c r="O20" s="247">
        <v>0.46068599820137024</v>
      </c>
      <c r="P20"/>
      <c r="Q20"/>
      <c r="R20" s="22">
        <v>2.1422633901238441E-2</v>
      </c>
      <c r="S20" s="234">
        <v>0.21018388867378235</v>
      </c>
      <c r="T20"/>
      <c r="U20" s="76">
        <v>0.17172294855117798</v>
      </c>
      <c r="V20"/>
      <c r="W20"/>
      <c r="X20"/>
      <c r="Y20" s="227">
        <v>0.21930210292339325</v>
      </c>
      <c r="Z20" s="73">
        <v>0.24595634639263153</v>
      </c>
      <c r="AA20"/>
      <c r="AB20"/>
      <c r="AC20"/>
      <c r="AD20" s="243">
        <v>0.22521699965000153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2.3399999141693115</v>
      </c>
      <c r="C21">
        <v>0.69989854097366333</v>
      </c>
      <c r="D21" s="213">
        <v>0.11590900272130966</v>
      </c>
      <c r="E21" s="23">
        <v>1.3864730484783649E-2</v>
      </c>
      <c r="F21"/>
      <c r="G21" s="11">
        <v>1.2545419158414006E-3</v>
      </c>
      <c r="H21" s="65">
        <v>5.187680572271347E-2</v>
      </c>
      <c r="I21" s="235">
        <v>0.22628320753574371</v>
      </c>
      <c r="J21" s="214">
        <v>0.62048214673995972</v>
      </c>
      <c r="K21" s="234">
        <v>0.18709099292755127</v>
      </c>
      <c r="L21"/>
      <c r="M21"/>
      <c r="N21" s="142">
        <v>7.0919275283813477E-2</v>
      </c>
      <c r="O21" s="137">
        <v>0.30077835917472839</v>
      </c>
      <c r="P21"/>
      <c r="Q21"/>
      <c r="R21" s="12">
        <v>1.0589445009827614E-2</v>
      </c>
      <c r="S21"/>
      <c r="T21"/>
      <c r="U21"/>
      <c r="V21"/>
      <c r="W21"/>
      <c r="X21"/>
      <c r="Y21"/>
      <c r="Z21" s="19">
        <v>4.1052613407373428E-2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22.704999923706055</v>
      </c>
      <c r="C22">
        <v>1.1353247165679932</v>
      </c>
      <c r="D22"/>
      <c r="E22"/>
      <c r="F22"/>
      <c r="G22"/>
      <c r="H22" s="14">
        <v>3.6804508417844772E-2</v>
      </c>
      <c r="I22" s="15">
        <v>0.22619357705116272</v>
      </c>
      <c r="J22"/>
      <c r="K22"/>
      <c r="L22"/>
      <c r="M22"/>
      <c r="N22"/>
      <c r="O22" s="23">
        <v>0.1355874091386795</v>
      </c>
      <c r="P22" s="243">
        <v>1.9679743051528931</v>
      </c>
      <c r="Q22" s="252">
        <v>11.87040901184082</v>
      </c>
      <c r="R22" s="14">
        <v>3.5006381571292877E-2</v>
      </c>
      <c r="S22"/>
      <c r="T22"/>
      <c r="U22"/>
      <c r="V22" s="22">
        <v>0.16827364265918732</v>
      </c>
      <c r="W22"/>
      <c r="X22"/>
      <c r="Y22" s="28">
        <v>0.80256414413452148</v>
      </c>
      <c r="Z22" s="224">
        <v>0.76902920007705688</v>
      </c>
      <c r="AA22" s="17">
        <v>0.33258506655693054</v>
      </c>
      <c r="AB22"/>
      <c r="AC22" s="222">
        <v>2.3618254661560059</v>
      </c>
      <c r="AD22"/>
      <c r="AE22"/>
      <c r="AF22" s="25">
        <v>0.7337380051612854</v>
      </c>
      <c r="AG22" s="73">
        <v>2.129688024520874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35.435001373291016</v>
      </c>
      <c r="C23">
        <v>1.7717567682266235</v>
      </c>
      <c r="D23"/>
      <c r="E23"/>
      <c r="F23"/>
      <c r="G23"/>
      <c r="H23" s="11">
        <v>4.8670615069568157E-3</v>
      </c>
      <c r="I23" s="11">
        <v>1.7573323100805283E-2</v>
      </c>
      <c r="J23"/>
      <c r="K23"/>
      <c r="L23"/>
      <c r="M23"/>
      <c r="N23"/>
      <c r="O23"/>
      <c r="P23" s="16">
        <v>0.53329771757125854</v>
      </c>
      <c r="Q23" s="254">
        <v>5.2325119972229004</v>
      </c>
      <c r="R23" s="11">
        <v>1.450506504625082E-2</v>
      </c>
      <c r="S23"/>
      <c r="T23"/>
      <c r="U23"/>
      <c r="V23" s="22">
        <v>0.27890002727508545</v>
      </c>
      <c r="W23"/>
      <c r="X23"/>
      <c r="Y23" s="143">
        <v>2.1583304405212402</v>
      </c>
      <c r="Z23" s="14">
        <v>5.62325119972229E-2</v>
      </c>
      <c r="AA23" s="259">
        <v>11.563363075256348</v>
      </c>
      <c r="AB23"/>
      <c r="AC23" s="248">
        <v>2.6423120498657227</v>
      </c>
      <c r="AD23" s="256">
        <v>7.9296002388000488</v>
      </c>
      <c r="AE23"/>
      <c r="AF23" s="105">
        <v>2.3493070602416992</v>
      </c>
      <c r="AG23" s="26">
        <v>0.88244664669036865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2.5799999237060547</v>
      </c>
      <c r="C24">
        <v>0.12900002300739288</v>
      </c>
      <c r="D24"/>
      <c r="E24"/>
      <c r="F24"/>
      <c r="G24"/>
      <c r="H24"/>
      <c r="I24"/>
      <c r="J24"/>
      <c r="K24"/>
      <c r="L24"/>
      <c r="M24" s="14">
        <v>5.1682628691196442E-3</v>
      </c>
      <c r="N24"/>
      <c r="O24" s="65">
        <v>5.4350350052118301E-2</v>
      </c>
      <c r="P24"/>
      <c r="Q24" s="11">
        <v>1.961439149454236E-3</v>
      </c>
      <c r="R24" s="12">
        <v>9.2600546777248383E-3</v>
      </c>
      <c r="S24" s="232">
        <v>0.18586690723896027</v>
      </c>
      <c r="T24" s="250">
        <v>0.86967355012893677</v>
      </c>
      <c r="U24" s="20">
        <v>0.10959473997354507</v>
      </c>
      <c r="V24"/>
      <c r="W24"/>
      <c r="X24"/>
      <c r="Y24" s="224">
        <v>8.5465222597122192E-2</v>
      </c>
      <c r="Z24" s="15">
        <v>2.4567689746618271E-2</v>
      </c>
      <c r="AA24"/>
      <c r="AB24"/>
      <c r="AC24" s="246">
        <v>0.13743001222610474</v>
      </c>
      <c r="AD24" s="253">
        <v>0.92796456813812256</v>
      </c>
      <c r="AE24" s="22">
        <v>2.2229745984077454E-2</v>
      </c>
      <c r="AF24"/>
      <c r="AG24"/>
      <c r="AH24" s="23">
        <v>1.7467252910137177E-2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4.0999999046325684</v>
      </c>
      <c r="C25">
        <v>0.41000398993492126</v>
      </c>
      <c r="D25"/>
      <c r="E25"/>
      <c r="F25"/>
      <c r="G25"/>
      <c r="H25"/>
      <c r="I25" s="14">
        <v>1.0411820374429226E-2</v>
      </c>
      <c r="J25"/>
      <c r="K25"/>
      <c r="L25"/>
      <c r="M25" s="16">
        <v>6.4719095826148987E-2</v>
      </c>
      <c r="N25" s="23">
        <v>2.2695481777191162E-2</v>
      </c>
      <c r="O25" s="18">
        <v>4.5280966907739639E-2</v>
      </c>
      <c r="P25" s="14">
        <v>4.1900263167917728E-3</v>
      </c>
      <c r="Q25" s="15">
        <v>4.2785331606864929E-2</v>
      </c>
      <c r="R25" s="14">
        <v>8.3588510751724243E-3</v>
      </c>
      <c r="S25" s="139">
        <v>0.40918973088264465</v>
      </c>
      <c r="T25" s="248">
        <v>0.30745497345924377</v>
      </c>
      <c r="U25" s="74">
        <v>0.32305607199668884</v>
      </c>
      <c r="V25"/>
      <c r="W25" s="26">
        <v>0.10146917402744293</v>
      </c>
      <c r="X25"/>
      <c r="Y25" s="258">
        <v>1.2943300008773804</v>
      </c>
      <c r="Z25" s="65">
        <v>8.506360650062561E-2</v>
      </c>
      <c r="AA25"/>
      <c r="AB25"/>
      <c r="AC25" s="107">
        <v>0.79200923442840576</v>
      </c>
      <c r="AD25" s="223">
        <v>9.9960006773471832E-2</v>
      </c>
      <c r="AE25" s="21">
        <v>7.9021140933036804E-2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0.5899999737739563</v>
      </c>
      <c r="C26">
        <v>0.29499998688697815</v>
      </c>
      <c r="D26"/>
      <c r="E26"/>
      <c r="F26"/>
      <c r="G26"/>
      <c r="H26"/>
      <c r="I26"/>
      <c r="J26"/>
      <c r="K26"/>
      <c r="L26"/>
      <c r="M26" s="29">
        <v>2.8041256591677666E-2</v>
      </c>
      <c r="N26"/>
      <c r="O26"/>
      <c r="P26"/>
      <c r="Q26"/>
      <c r="R26" s="224">
        <v>1.9431773573160172E-2</v>
      </c>
      <c r="S26" s="16">
        <v>8.7269823998212814E-3</v>
      </c>
      <c r="T26" s="232">
        <v>4.3172139674425125E-2</v>
      </c>
      <c r="U26" s="14">
        <v>1.1126023018732667E-3</v>
      </c>
      <c r="V26"/>
      <c r="W26"/>
      <c r="X26"/>
      <c r="Y26" s="67">
        <v>3.6780409514904022E-2</v>
      </c>
      <c r="Z26"/>
      <c r="AA26"/>
      <c r="AB26"/>
      <c r="AC26"/>
      <c r="AD26" s="144">
        <v>0.14938484132289886</v>
      </c>
      <c r="AE26" s="17">
        <v>8.3499997854232788E-3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2.630000114440918</v>
      </c>
      <c r="C27">
        <v>0.26300022006034851</v>
      </c>
      <c r="D27"/>
      <c r="E27"/>
      <c r="F27"/>
      <c r="G27"/>
      <c r="H27"/>
      <c r="I27"/>
      <c r="J27"/>
      <c r="K27"/>
      <c r="L27"/>
      <c r="M27"/>
      <c r="N27"/>
      <c r="O27" s="14">
        <v>3.7943529896438122E-3</v>
      </c>
      <c r="P27" s="14">
        <v>2.806065371260047E-3</v>
      </c>
      <c r="Q27"/>
      <c r="R27" s="11">
        <v>7.4172590393573046E-4</v>
      </c>
      <c r="S27" s="252">
        <v>1.3777163028717041</v>
      </c>
      <c r="T27"/>
      <c r="U27" s="23">
        <v>1.5384958125650883E-2</v>
      </c>
      <c r="V27"/>
      <c r="W27"/>
      <c r="X27"/>
      <c r="Y27" s="12">
        <v>1.2706081382930279E-2</v>
      </c>
      <c r="Z27" s="14">
        <v>5.6967176496982574E-3</v>
      </c>
      <c r="AA27"/>
      <c r="AB27"/>
      <c r="AC27" s="29">
        <v>0.12392745912075043</v>
      </c>
      <c r="AD27" s="251">
        <v>0.49251151084899902</v>
      </c>
      <c r="AE27" s="21">
        <v>5.2920546382665634E-2</v>
      </c>
      <c r="AF27"/>
      <c r="AG27"/>
      <c r="AH27" s="221">
        <v>0.27879419922828674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0.20000000298023224</v>
      </c>
      <c r="C28">
        <v>0.19627377390861511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21">
        <v>3.7262286059558392E-3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0.56999999284744263</v>
      </c>
      <c r="C29">
        <v>0.22759521007537842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 s="249">
        <v>0.33039924502372742</v>
      </c>
      <c r="T29"/>
      <c r="U29"/>
      <c r="V29"/>
      <c r="W29"/>
      <c r="X29"/>
      <c r="Y29" s="15">
        <v>5.1332232542335987E-3</v>
      </c>
      <c r="Z29"/>
      <c r="AA29"/>
      <c r="AB29"/>
      <c r="AC29"/>
      <c r="AD29"/>
      <c r="AE29" s="18">
        <v>6.8723247386515141E-3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10</v>
      </c>
      <c r="C30">
        <v>0.50000011920928955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4">
        <v>2.5201866403222084E-2</v>
      </c>
      <c r="Z30"/>
      <c r="AA30"/>
      <c r="AB30" s="233">
        <v>2.0731799602508545</v>
      </c>
      <c r="AC30" s="68">
        <v>0.92706620693206787</v>
      </c>
      <c r="AD30" s="257">
        <v>3.0762448310852051</v>
      </c>
      <c r="AE30" s="15">
        <v>8.997354656457901E-2</v>
      </c>
      <c r="AF30" s="255">
        <v>2.806765079498291</v>
      </c>
      <c r="AG30" s="69">
        <v>0.50156843662261963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0.55000001192092896</v>
      </c>
      <c r="C31">
        <v>0.41620925068855286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11">
        <v>2.539596171118319E-4</v>
      </c>
      <c r="T31"/>
      <c r="U31"/>
      <c r="V31"/>
      <c r="W31" s="11">
        <v>1.7389730783179402E-4</v>
      </c>
      <c r="X31" s="22">
        <v>3.806024556979537E-3</v>
      </c>
      <c r="Y31" s="22">
        <v>4.7186221927404404E-3</v>
      </c>
      <c r="Z31"/>
      <c r="AA31"/>
      <c r="AB31"/>
      <c r="AC31" s="18">
        <v>6.1090355738997459E-3</v>
      </c>
      <c r="AD31" s="241">
        <v>9.872918576002121E-2</v>
      </c>
      <c r="AE31"/>
      <c r="AF31"/>
      <c r="AG31"/>
      <c r="AH31" s="13">
        <v>2.0000055432319641E-2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4.429999828338623</v>
      </c>
      <c r="C32">
        <v>3.8132586479187012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 s="23">
        <v>2.7807161211967468E-2</v>
      </c>
      <c r="T32" s="11">
        <v>9.2075839347671717E-5</v>
      </c>
      <c r="U32"/>
      <c r="V32" s="11">
        <v>1.8825873266905546E-3</v>
      </c>
      <c r="W32" s="12">
        <v>1.9982565194368362E-2</v>
      </c>
      <c r="X32" s="11">
        <v>1.3213015627115965E-3</v>
      </c>
      <c r="Y32" s="23">
        <v>2.4072693660855293E-2</v>
      </c>
      <c r="Z32"/>
      <c r="AA32"/>
      <c r="AB32"/>
      <c r="AC32" s="16">
        <v>6.6058225929737091E-2</v>
      </c>
      <c r="AD32" s="248">
        <v>0.32879728078842163</v>
      </c>
      <c r="AE32" s="11">
        <v>2.211821498349309E-3</v>
      </c>
      <c r="AF32"/>
      <c r="AG32"/>
      <c r="AH32" s="224">
        <v>0.14451529085636139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179.60000610351562</v>
      </c>
      <c r="C33">
        <v>96.97723388671875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">
        <v>1.103235874325037E-2</v>
      </c>
      <c r="R33"/>
      <c r="S33"/>
      <c r="T33" s="11">
        <v>7.1829473599791527E-3</v>
      </c>
      <c r="U33"/>
      <c r="V33"/>
      <c r="W33"/>
      <c r="X33"/>
      <c r="Y33"/>
      <c r="Z33"/>
      <c r="AA33" s="12">
        <v>0.60692346096038818</v>
      </c>
      <c r="AB33" s="233">
        <v>37.453594207763672</v>
      </c>
      <c r="AC33" s="65">
        <v>3.8649618625640869</v>
      </c>
      <c r="AD33" s="16">
        <v>2.7339990139007568</v>
      </c>
      <c r="AE33"/>
      <c r="AF33" s="216">
        <v>24.974781036376953</v>
      </c>
      <c r="AG33"/>
      <c r="AH33"/>
      <c r="AI33" s="232">
        <v>12.970296859741211</v>
      </c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/>
      <c r="C34">
        <v>0.28022775053977966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9">
        <v>6.8159070014953613</v>
      </c>
      <c r="W34"/>
      <c r="X34"/>
      <c r="Y34" s="9">
        <v>44.131443023681641</v>
      </c>
      <c r="Z34"/>
      <c r="AA34" s="9">
        <v>1.8841015100479126</v>
      </c>
      <c r="AB34" s="9">
        <v>102.85333251953125</v>
      </c>
      <c r="AC34" s="9">
        <v>181.39649963378906</v>
      </c>
      <c r="AD34" s="9">
        <v>648.79876708984375</v>
      </c>
      <c r="AE34" s="9">
        <v>23.31843376159668</v>
      </c>
      <c r="AF34" s="9">
        <v>161.69337463378906</v>
      </c>
      <c r="AG34" s="9">
        <v>109.48738861083984</v>
      </c>
      <c r="AH34"/>
      <c r="AI34" s="9">
        <v>370.43167114257812</v>
      </c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8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8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4" t="s">
        <v>193</v>
      </c>
      <c r="E5">
        <v>4</v>
      </c>
      <c r="F5">
        <v>3.16</v>
      </c>
      <c r="G5">
        <v>4</v>
      </c>
      <c r="H5" s="195" t="s">
        <v>193</v>
      </c>
      <c r="J5" s="57"/>
      <c r="K5" s="58"/>
    </row>
    <row r="6" spans="1:12" ht="14" thickBot="1" x14ac:dyDescent="0.2">
      <c r="A6" s="41" t="s">
        <v>121</v>
      </c>
      <c r="D6" s="194" t="s">
        <v>194</v>
      </c>
      <c r="E6">
        <v>5</v>
      </c>
      <c r="F6">
        <v>3.14</v>
      </c>
      <c r="G6">
        <v>5</v>
      </c>
      <c r="H6" s="195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4" t="s">
        <v>195</v>
      </c>
      <c r="E7">
        <v>6</v>
      </c>
      <c r="F7">
        <v>3.14</v>
      </c>
      <c r="G7">
        <v>6</v>
      </c>
      <c r="H7" s="195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4" t="s">
        <v>196</v>
      </c>
      <c r="E8">
        <v>7</v>
      </c>
      <c r="F8">
        <v>3.24</v>
      </c>
      <c r="G8">
        <v>7</v>
      </c>
      <c r="H8" s="195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4" t="s">
        <v>197</v>
      </c>
      <c r="E9">
        <v>8</v>
      </c>
      <c r="F9">
        <v>3.24</v>
      </c>
      <c r="G9">
        <v>8</v>
      </c>
      <c r="H9" s="195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4" t="s">
        <v>198</v>
      </c>
      <c r="E10">
        <v>9</v>
      </c>
      <c r="F10">
        <v>3.24</v>
      </c>
      <c r="G10">
        <v>9</v>
      </c>
      <c r="H10" s="195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4" t="s">
        <v>199</v>
      </c>
      <c r="E11">
        <v>10</v>
      </c>
      <c r="F11">
        <v>3.04</v>
      </c>
      <c r="G11">
        <v>10</v>
      </c>
      <c r="H11" s="195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4" t="s">
        <v>200</v>
      </c>
      <c r="E12">
        <v>11</v>
      </c>
      <c r="F12">
        <v>3.24</v>
      </c>
      <c r="G12">
        <v>11</v>
      </c>
      <c r="H12" s="195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4" t="s">
        <v>201</v>
      </c>
      <c r="E13">
        <v>12</v>
      </c>
      <c r="F13">
        <v>3.24</v>
      </c>
      <c r="G13">
        <v>12</v>
      </c>
      <c r="H13" s="195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4" t="s">
        <v>202</v>
      </c>
      <c r="E14">
        <v>13</v>
      </c>
      <c r="F14">
        <v>3.14</v>
      </c>
      <c r="G14">
        <v>13</v>
      </c>
      <c r="H14" s="195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4" t="s">
        <v>203</v>
      </c>
      <c r="E15">
        <v>14</v>
      </c>
      <c r="F15">
        <v>3.14</v>
      </c>
      <c r="G15">
        <v>14</v>
      </c>
      <c r="H15" s="195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4" t="s">
        <v>204</v>
      </c>
      <c r="E16">
        <v>15</v>
      </c>
      <c r="F16">
        <v>3.24</v>
      </c>
      <c r="G16">
        <v>15</v>
      </c>
      <c r="H16" s="195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4" t="s">
        <v>205</v>
      </c>
      <c r="E17">
        <v>16</v>
      </c>
      <c r="F17">
        <v>3.24</v>
      </c>
      <c r="G17">
        <v>16</v>
      </c>
      <c r="H17" s="195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4" t="s">
        <v>206</v>
      </c>
      <c r="E18">
        <v>17</v>
      </c>
      <c r="F18">
        <v>3.24</v>
      </c>
      <c r="G18">
        <v>17</v>
      </c>
      <c r="H18" s="195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4" t="s">
        <v>207</v>
      </c>
      <c r="E19">
        <v>18</v>
      </c>
      <c r="F19">
        <v>3.24</v>
      </c>
      <c r="G19">
        <v>18</v>
      </c>
      <c r="H19" s="195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4" t="s">
        <v>208</v>
      </c>
      <c r="E20">
        <v>19</v>
      </c>
      <c r="F20">
        <v>3.14</v>
      </c>
      <c r="G20">
        <v>19</v>
      </c>
      <c r="H20" s="195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4" t="s">
        <v>209</v>
      </c>
      <c r="E21">
        <v>20</v>
      </c>
      <c r="F21">
        <v>3.14</v>
      </c>
      <c r="G21">
        <v>20</v>
      </c>
      <c r="H21" s="195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4" t="s">
        <v>210</v>
      </c>
      <c r="E22">
        <v>21</v>
      </c>
      <c r="F22">
        <v>3.14</v>
      </c>
      <c r="G22">
        <v>21</v>
      </c>
      <c r="H22" s="195" t="s">
        <v>210</v>
      </c>
    </row>
    <row r="23" spans="1:12" x14ac:dyDescent="0.15">
      <c r="A23" s="36" t="s">
        <v>129</v>
      </c>
      <c r="B23" s="44">
        <v>4</v>
      </c>
      <c r="C23" s="38"/>
      <c r="D23" s="194" t="s">
        <v>211</v>
      </c>
      <c r="E23">
        <v>22</v>
      </c>
      <c r="F23">
        <v>3.21</v>
      </c>
      <c r="G23">
        <v>22</v>
      </c>
      <c r="H23" s="195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4" t="s">
        <v>212</v>
      </c>
      <c r="E24">
        <v>23</v>
      </c>
      <c r="F24">
        <v>3.13</v>
      </c>
      <c r="G24">
        <v>23</v>
      </c>
      <c r="H24" s="195" t="s">
        <v>212</v>
      </c>
    </row>
    <row r="25" spans="1:12" x14ac:dyDescent="0.15">
      <c r="A25" s="36" t="s">
        <v>70</v>
      </c>
      <c r="B25" s="44">
        <v>4.2</v>
      </c>
      <c r="C25" s="38"/>
      <c r="D25" s="194" t="s">
        <v>213</v>
      </c>
      <c r="E25">
        <v>24</v>
      </c>
      <c r="F25">
        <v>3.11</v>
      </c>
      <c r="G25">
        <v>24</v>
      </c>
      <c r="H25" s="195" t="s">
        <v>213</v>
      </c>
    </row>
    <row r="26" spans="1:12" x14ac:dyDescent="0.15">
      <c r="A26" s="36" t="s">
        <v>123</v>
      </c>
      <c r="B26" s="44">
        <v>4.3</v>
      </c>
      <c r="C26" s="38"/>
      <c r="D26" s="194" t="s">
        <v>214</v>
      </c>
      <c r="E26">
        <v>25</v>
      </c>
      <c r="F26">
        <v>3.11</v>
      </c>
      <c r="G26">
        <v>25</v>
      </c>
      <c r="H26" s="195" t="s">
        <v>214</v>
      </c>
    </row>
    <row r="27" spans="1:12" x14ac:dyDescent="0.15">
      <c r="A27" s="36" t="s">
        <v>125</v>
      </c>
      <c r="B27" s="44">
        <v>6.1</v>
      </c>
      <c r="D27" s="194" t="s">
        <v>215</v>
      </c>
      <c r="E27">
        <v>26</v>
      </c>
      <c r="F27">
        <v>3.01</v>
      </c>
      <c r="G27">
        <v>26</v>
      </c>
      <c r="H27" s="195" t="s">
        <v>215</v>
      </c>
    </row>
    <row r="28" spans="1:12" x14ac:dyDescent="0.15">
      <c r="A28" s="36" t="s">
        <v>124</v>
      </c>
      <c r="B28" s="44">
        <v>6.2</v>
      </c>
      <c r="D28" s="194" t="s">
        <v>216</v>
      </c>
      <c r="E28">
        <v>27</v>
      </c>
      <c r="F28">
        <v>3.21</v>
      </c>
      <c r="G28">
        <v>27</v>
      </c>
      <c r="H28" s="195" t="s">
        <v>216</v>
      </c>
    </row>
    <row r="29" spans="1:12" x14ac:dyDescent="0.15">
      <c r="A29" s="36" t="s">
        <v>44</v>
      </c>
      <c r="B29" s="44">
        <v>5</v>
      </c>
      <c r="D29" s="194" t="s">
        <v>217</v>
      </c>
      <c r="E29">
        <v>28</v>
      </c>
      <c r="F29">
        <v>3.21</v>
      </c>
      <c r="G29">
        <v>28</v>
      </c>
      <c r="H29" s="195" t="s">
        <v>217</v>
      </c>
    </row>
    <row r="30" spans="1:12" x14ac:dyDescent="0.15">
      <c r="A30" s="36" t="s">
        <v>73</v>
      </c>
      <c r="B30" s="44">
        <v>7</v>
      </c>
      <c r="D30" s="194" t="s">
        <v>218</v>
      </c>
      <c r="E30">
        <v>29</v>
      </c>
      <c r="F30">
        <v>3.21</v>
      </c>
      <c r="G30">
        <v>29</v>
      </c>
      <c r="H30" s="195" t="s">
        <v>218</v>
      </c>
    </row>
    <row r="31" spans="1:12" x14ac:dyDescent="0.15">
      <c r="A31" s="36" t="s">
        <v>169</v>
      </c>
      <c r="B31" s="44">
        <v>3.14</v>
      </c>
      <c r="D31" s="194" t="s">
        <v>219</v>
      </c>
      <c r="E31">
        <v>30</v>
      </c>
      <c r="F31">
        <v>3.21</v>
      </c>
      <c r="G31">
        <v>30</v>
      </c>
      <c r="H31" s="195" t="s">
        <v>219</v>
      </c>
    </row>
    <row r="32" spans="1:12" ht="12" customHeight="1" thickBot="1" x14ac:dyDescent="0.2">
      <c r="A32" s="42" t="s">
        <v>170</v>
      </c>
      <c r="B32" s="45">
        <v>9</v>
      </c>
      <c r="D32" s="194" t="s">
        <v>220</v>
      </c>
      <c r="E32">
        <v>31</v>
      </c>
      <c r="F32">
        <v>3.21</v>
      </c>
      <c r="G32">
        <v>31</v>
      </c>
      <c r="H32" s="195" t="s">
        <v>220</v>
      </c>
    </row>
    <row r="33" spans="4:8" customFormat="1" ht="12" customHeight="1" x14ac:dyDescent="0.15">
      <c r="D33" s="194" t="s">
        <v>221</v>
      </c>
      <c r="E33">
        <v>32</v>
      </c>
      <c r="F33">
        <v>3.21</v>
      </c>
      <c r="G33">
        <v>32</v>
      </c>
      <c r="H33" s="195" t="s">
        <v>221</v>
      </c>
    </row>
    <row r="34" spans="4:8" customFormat="1" ht="12" customHeight="1" x14ac:dyDescent="0.15">
      <c r="D34" s="194" t="s">
        <v>222</v>
      </c>
      <c r="E34">
        <v>33</v>
      </c>
      <c r="F34">
        <v>2.2200000000000002</v>
      </c>
      <c r="G34">
        <v>33</v>
      </c>
      <c r="H34" s="195" t="s">
        <v>222</v>
      </c>
    </row>
    <row r="35" spans="4:8" customFormat="1" x14ac:dyDescent="0.15">
      <c r="D35" s="194" t="s">
        <v>223</v>
      </c>
      <c r="E35">
        <v>34</v>
      </c>
      <c r="F35">
        <v>2.2200000000000002</v>
      </c>
      <c r="G35">
        <v>34</v>
      </c>
      <c r="H35" s="195" t="s">
        <v>223</v>
      </c>
    </row>
    <row r="36" spans="4:8" customFormat="1" x14ac:dyDescent="0.15">
      <c r="D36" s="194" t="s">
        <v>224</v>
      </c>
      <c r="E36">
        <v>35</v>
      </c>
      <c r="F36">
        <v>2.1</v>
      </c>
      <c r="G36">
        <v>35</v>
      </c>
      <c r="H36" s="195" t="s">
        <v>224</v>
      </c>
    </row>
    <row r="37" spans="4:8" customFormat="1" ht="12" customHeight="1" x14ac:dyDescent="0.15">
      <c r="D37" s="194" t="s">
        <v>225</v>
      </c>
      <c r="E37">
        <v>36</v>
      </c>
      <c r="F37">
        <v>4.0999999999999996</v>
      </c>
      <c r="G37">
        <v>36</v>
      </c>
      <c r="H37" s="195" t="s">
        <v>225</v>
      </c>
    </row>
    <row r="38" spans="4:8" customFormat="1" x14ac:dyDescent="0.15">
      <c r="D38" s="194" t="s">
        <v>226</v>
      </c>
      <c r="E38">
        <v>37</v>
      </c>
      <c r="F38">
        <v>4.3</v>
      </c>
      <c r="G38">
        <v>37</v>
      </c>
      <c r="H38" s="195" t="s">
        <v>226</v>
      </c>
    </row>
    <row r="39" spans="4:8" customFormat="1" x14ac:dyDescent="0.15">
      <c r="D39" s="194" t="s">
        <v>227</v>
      </c>
      <c r="E39">
        <v>38</v>
      </c>
      <c r="F39">
        <v>5</v>
      </c>
      <c r="G39">
        <v>38</v>
      </c>
      <c r="H39" s="195" t="s">
        <v>227</v>
      </c>
    </row>
    <row r="40" spans="4:8" customFormat="1" x14ac:dyDescent="0.15">
      <c r="D40" s="194" t="s">
        <v>228</v>
      </c>
      <c r="E40">
        <v>39</v>
      </c>
      <c r="F40">
        <v>5</v>
      </c>
      <c r="G40">
        <v>39</v>
      </c>
      <c r="H40" s="195" t="s">
        <v>228</v>
      </c>
    </row>
    <row r="41" spans="4:8" customFormat="1" x14ac:dyDescent="0.15">
      <c r="D41" s="194" t="s">
        <v>229</v>
      </c>
      <c r="E41">
        <v>40</v>
      </c>
      <c r="F41">
        <v>5</v>
      </c>
      <c r="G41">
        <v>40</v>
      </c>
      <c r="H41" s="195" t="s">
        <v>229</v>
      </c>
    </row>
    <row r="42" spans="4:8" customFormat="1" x14ac:dyDescent="0.15">
      <c r="D42" s="194" t="s">
        <v>138</v>
      </c>
      <c r="E42">
        <v>41</v>
      </c>
      <c r="F42">
        <v>6.1</v>
      </c>
      <c r="G42">
        <v>41</v>
      </c>
      <c r="H42" s="195" t="s">
        <v>138</v>
      </c>
    </row>
    <row r="43" spans="4:8" customFormat="1" x14ac:dyDescent="0.15">
      <c r="D43" s="194" t="s">
        <v>45</v>
      </c>
      <c r="E43">
        <v>42</v>
      </c>
      <c r="F43">
        <v>6.2</v>
      </c>
      <c r="G43">
        <v>42</v>
      </c>
      <c r="H43" s="195" t="s">
        <v>45</v>
      </c>
    </row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9.83203125" style="82" bestFit="1" customWidth="1"/>
    <col min="2" max="2" width="12.83203125" style="81" customWidth="1"/>
    <col min="3" max="3" width="9.83203125" style="81" customWidth="1"/>
    <col min="4" max="4" width="7.83203125" style="81" customWidth="1"/>
    <col min="5" max="5" width="12.83203125" style="81" customWidth="1"/>
    <col min="6" max="6" width="28.832031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1" customWidth="1"/>
    <col min="17" max="17" width="2.33203125" style="81" customWidth="1"/>
    <col min="18" max="18" width="2.33203125" style="72" customWidth="1"/>
    <col min="19" max="16384" width="11.5" style="81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5"/>
      <c r="Q1" s="83" t="s">
        <v>50</v>
      </c>
      <c r="R1" s="70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10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10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6" t="s">
        <v>193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6" t="s">
        <v>194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1">
        <v>0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0.35017435067759528</v>
      </c>
      <c r="C8" s="197" t="s">
        <v>222</v>
      </c>
      <c r="D8" s="85" t="s">
        <v>160</v>
      </c>
      <c r="F8" s="196" t="s">
        <v>195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1">
        <v>0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4" t="s">
        <v>168</v>
      </c>
      <c r="B9" s="92">
        <v>0.42760365815829809</v>
      </c>
      <c r="C9" s="197" t="s">
        <v>223</v>
      </c>
      <c r="D9" s="85" t="s">
        <v>160</v>
      </c>
      <c r="F9" s="196" t="s">
        <v>196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1">
        <v>0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>
        <v>0.22222199116410657</v>
      </c>
      <c r="C10" s="197" t="s">
        <v>224</v>
      </c>
      <c r="D10" s="85" t="s">
        <v>160</v>
      </c>
      <c r="F10" s="196" t="s">
        <v>197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1">
        <v>0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6" t="s">
        <v>198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1">
        <v>0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6" t="s">
        <v>199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1">
        <v>0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6" t="s">
        <v>200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1">
        <v>0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6" t="s">
        <v>201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1">
        <v>0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6" t="s">
        <v>202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1">
        <v>0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6" t="s">
        <v>203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1">
        <v>0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6" t="s">
        <v>204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1">
        <v>0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6" t="s">
        <v>205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1">
        <v>0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0.35017435067759528</v>
      </c>
      <c r="C19" s="198" t="s">
        <v>222</v>
      </c>
      <c r="D19" s="85" t="s">
        <v>160</v>
      </c>
      <c r="F19" s="196" t="s">
        <v>206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1">
        <v>0</v>
      </c>
      <c r="Q19" s="81">
        <v>0</v>
      </c>
      <c r="R19" s="72">
        <v>1</v>
      </c>
      <c r="S19"/>
      <c r="T19"/>
    </row>
    <row r="20" spans="1:20" ht="15" customHeight="1" x14ac:dyDescent="0.15">
      <c r="A20" s="124" t="s">
        <v>168</v>
      </c>
      <c r="B20" s="92">
        <v>0.42760365815829809</v>
      </c>
      <c r="C20" s="198" t="s">
        <v>223</v>
      </c>
      <c r="D20" s="85" t="s">
        <v>160</v>
      </c>
      <c r="F20" s="196" t="s">
        <v>207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1">
        <v>0</v>
      </c>
      <c r="Q20" s="81">
        <v>0</v>
      </c>
      <c r="R20" s="72">
        <v>1</v>
      </c>
      <c r="S20"/>
      <c r="T20"/>
    </row>
    <row r="21" spans="1:20" ht="15" customHeight="1" x14ac:dyDescent="0.15">
      <c r="B21" s="92">
        <v>0.22222199116410657</v>
      </c>
      <c r="C21" s="198" t="s">
        <v>224</v>
      </c>
      <c r="D21" s="85" t="s">
        <v>160</v>
      </c>
      <c r="F21" s="196" t="s">
        <v>208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1">
        <v>0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6" t="s">
        <v>209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1">
        <v>0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6" t="s">
        <v>210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1">
        <v>0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6" t="s">
        <v>211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1">
        <v>0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6" t="s">
        <v>212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1">
        <v>0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6" t="s">
        <v>213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1">
        <v>0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6" t="s">
        <v>214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1">
        <v>0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6" t="s">
        <v>215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1">
        <v>0</v>
      </c>
      <c r="Q28" s="81">
        <v>0</v>
      </c>
      <c r="R28" s="72">
        <v>1</v>
      </c>
      <c r="S28"/>
      <c r="T28"/>
    </row>
    <row r="29" spans="1:20" ht="15" customHeight="1" x14ac:dyDescent="0.15">
      <c r="F29" s="196" t="s">
        <v>216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1">
        <v>0</v>
      </c>
      <c r="Q29" s="81">
        <v>0</v>
      </c>
      <c r="R29" s="72">
        <v>1</v>
      </c>
      <c r="S29"/>
      <c r="T29"/>
    </row>
    <row r="30" spans="1:20" ht="15" customHeight="1" x14ac:dyDescent="0.15">
      <c r="F30" s="196" t="s">
        <v>217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1">
        <v>0</v>
      </c>
      <c r="Q30" s="81">
        <v>0</v>
      </c>
      <c r="R30" s="72">
        <v>1</v>
      </c>
      <c r="S30"/>
      <c r="T30"/>
    </row>
    <row r="31" spans="1:20" ht="15" customHeight="1" x14ac:dyDescent="0.15">
      <c r="A31" s="125"/>
      <c r="B31" s="134" t="s">
        <v>17</v>
      </c>
      <c r="C31" s="134" t="s">
        <v>1</v>
      </c>
      <c r="D31" s="134" t="s">
        <v>161</v>
      </c>
      <c r="E31" s="135" t="s">
        <v>163</v>
      </c>
      <c r="F31" s="196" t="s">
        <v>218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1">
        <v>0</v>
      </c>
      <c r="Q31" s="81">
        <v>0</v>
      </c>
      <c r="R31" s="72">
        <v>1</v>
      </c>
      <c r="S31"/>
      <c r="T31"/>
    </row>
    <row r="32" spans="1:20" ht="15" customHeight="1" x14ac:dyDescent="0.15">
      <c r="A32" s="199" t="s">
        <v>222</v>
      </c>
      <c r="B32" s="93">
        <v>3674</v>
      </c>
      <c r="C32" s="93">
        <v>0.55000000000000004</v>
      </c>
      <c r="D32" s="93">
        <v>2020.7000000000003</v>
      </c>
      <c r="E32" s="126">
        <v>0.35017435067759528</v>
      </c>
      <c r="F32" s="196" t="s">
        <v>219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1">
        <v>0</v>
      </c>
      <c r="Q32" s="81">
        <v>0</v>
      </c>
      <c r="R32" s="72">
        <v>1</v>
      </c>
      <c r="S32"/>
      <c r="T32"/>
    </row>
    <row r="33" spans="1:20" ht="15" customHeight="1" x14ac:dyDescent="0.15">
      <c r="A33" s="199" t="s">
        <v>223</v>
      </c>
      <c r="B33" s="93">
        <v>557</v>
      </c>
      <c r="C33" s="93">
        <v>4.43</v>
      </c>
      <c r="D33" s="93">
        <v>2467.5099999999998</v>
      </c>
      <c r="E33" s="126">
        <v>0.42760365815829809</v>
      </c>
      <c r="F33" s="196" t="s">
        <v>220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1">
        <v>0</v>
      </c>
      <c r="Q33" s="81">
        <v>0</v>
      </c>
      <c r="R33" s="72">
        <v>1</v>
      </c>
      <c r="S33"/>
      <c r="T33"/>
    </row>
    <row r="34" spans="1:20" ht="15" customHeight="1" x14ac:dyDescent="0.15">
      <c r="A34" s="199" t="s">
        <v>224</v>
      </c>
      <c r="B34" s="93">
        <v>7.14</v>
      </c>
      <c r="C34" s="93">
        <v>179.6</v>
      </c>
      <c r="D34" s="93">
        <v>1282.3439999999998</v>
      </c>
      <c r="E34" s="126">
        <v>0.22222199116410657</v>
      </c>
      <c r="F34" s="196" t="s">
        <v>221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1">
        <v>0</v>
      </c>
      <c r="Q34" s="81">
        <v>0</v>
      </c>
      <c r="R34" s="72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6"/>
      <c r="F35" s="196" t="s">
        <v>222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1</v>
      </c>
      <c r="N35" s="81">
        <v>0</v>
      </c>
      <c r="O35" s="81">
        <v>0</v>
      </c>
      <c r="P35" s="71">
        <v>0</v>
      </c>
      <c r="Q35" s="81">
        <v>0</v>
      </c>
      <c r="R35" s="72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6"/>
      <c r="F36" s="196" t="s">
        <v>223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1</v>
      </c>
      <c r="N36" s="81">
        <v>0</v>
      </c>
      <c r="O36" s="81">
        <v>0</v>
      </c>
      <c r="P36" s="71">
        <v>0</v>
      </c>
      <c r="Q36" s="81">
        <v>0</v>
      </c>
      <c r="R36" s="72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6"/>
      <c r="F37" s="196" t="s">
        <v>224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1</v>
      </c>
      <c r="N37" s="81">
        <v>0</v>
      </c>
      <c r="O37" s="81">
        <v>0</v>
      </c>
      <c r="P37" s="71">
        <v>0</v>
      </c>
      <c r="Q37" s="81">
        <v>0</v>
      </c>
      <c r="R37" s="72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6"/>
      <c r="F38" s="196" t="s">
        <v>225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1">
        <v>1</v>
      </c>
      <c r="Q38" s="81">
        <v>0</v>
      </c>
      <c r="R38" s="72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6"/>
      <c r="F39" s="196" t="s">
        <v>226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1</v>
      </c>
      <c r="O39" s="81">
        <v>0</v>
      </c>
      <c r="P39" s="71">
        <v>1</v>
      </c>
      <c r="Q39" s="81">
        <v>0</v>
      </c>
      <c r="R39" s="72">
        <v>1</v>
      </c>
      <c r="S39"/>
      <c r="T39"/>
    </row>
    <row r="40" spans="1:20" ht="15" customHeight="1" x14ac:dyDescent="0.15">
      <c r="A40" s="129"/>
      <c r="B40" s="93"/>
      <c r="C40" s="93"/>
      <c r="D40" s="93"/>
      <c r="E40" s="126"/>
      <c r="F40" s="196" t="s">
        <v>227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0</v>
      </c>
      <c r="O40" s="81">
        <v>0</v>
      </c>
      <c r="P40" s="71">
        <v>0</v>
      </c>
      <c r="Q40" s="81">
        <v>0</v>
      </c>
      <c r="R40" s="72">
        <v>1</v>
      </c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 s="196" t="s">
        <v>228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0</v>
      </c>
      <c r="O41" s="81">
        <v>0</v>
      </c>
      <c r="P41" s="71">
        <v>0</v>
      </c>
      <c r="Q41" s="81">
        <v>0</v>
      </c>
      <c r="R41" s="72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5770.5540000000001</v>
      </c>
      <c r="E42" s="133">
        <f>SUM(E32:E41)</f>
        <v>1</v>
      </c>
      <c r="F42" s="196" t="s">
        <v>229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1">
        <v>0</v>
      </c>
      <c r="Q42" s="81">
        <v>0</v>
      </c>
      <c r="R42" s="72">
        <v>1</v>
      </c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S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8.83203125" bestFit="1" customWidth="1"/>
    <col min="2" max="2" width="2.33203125" style="110" customWidth="1"/>
    <col min="3" max="5" width="7.83203125" style="110" customWidth="1"/>
    <col min="6" max="8" width="8.83203125" style="6"/>
    <col min="9" max="9" width="8.5" style="6" customWidth="1"/>
    <col min="10" max="10" width="12.83203125" style="6" customWidth="1"/>
    <col min="11" max="11" width="24" style="6" customWidth="1"/>
    <col min="12" max="12" width="19" style="6" customWidth="1"/>
    <col min="13" max="13" width="21.5" style="6" customWidth="1"/>
    <col min="14" max="14" width="19.5" style="6" customWidth="1"/>
    <col min="15" max="15" width="26" style="6" customWidth="1"/>
    <col min="16" max="16" width="28.83203125" style="6" customWidth="1"/>
    <col min="17" max="17" width="19.5" style="6" customWidth="1"/>
    <col min="18" max="18" width="17" style="6" customWidth="1"/>
    <col min="19" max="19" width="13.5" style="6" customWidth="1"/>
    <col min="20" max="20" width="8.5" style="6" customWidth="1"/>
    <col min="21" max="21" width="10.1640625" style="6" customWidth="1"/>
    <col min="22" max="22" width="8.83203125" style="6" customWidth="1"/>
    <col min="23" max="23" width="10.5" style="6" customWidth="1"/>
    <col min="24" max="24" width="7.33203125" style="6" customWidth="1"/>
    <col min="25" max="25" width="16.33203125" style="6" customWidth="1"/>
    <col min="26" max="26" width="14.33203125" style="6" customWidth="1"/>
    <col min="27" max="27" width="11.33203125" style="6" customWidth="1"/>
    <col min="28" max="28" width="12" style="6" customWidth="1"/>
    <col min="29" max="29" width="17" style="6" customWidth="1"/>
    <col min="30" max="30" width="17.5" style="6" customWidth="1"/>
    <col min="31" max="31" width="10.5" style="6" customWidth="1"/>
    <col min="32" max="32" width="12.5" style="6" customWidth="1"/>
    <col min="33" max="33" width="13.83203125" style="6" customWidth="1"/>
    <col min="34" max="34" width="15" style="6" customWidth="1"/>
    <col min="35" max="35" width="10.6640625" style="6" customWidth="1"/>
    <col min="36" max="36" width="11.6640625" style="6" customWidth="1"/>
    <col min="37" max="37" width="9.6640625" style="6" customWidth="1"/>
    <col min="38" max="38" width="9.5" style="6" customWidth="1"/>
    <col min="39" max="39" width="9.83203125" customWidth="1"/>
    <col min="40" max="40" width="13.1640625" customWidth="1"/>
    <col min="41" max="41" width="7.6640625" customWidth="1"/>
    <col min="42" max="42" width="21.6640625" customWidth="1"/>
    <col min="43" max="43" width="11.5" customWidth="1"/>
    <col min="44" max="44" width="10" customWidth="1"/>
    <col min="45" max="45" width="8.83203125" customWidth="1"/>
    <col min="81" max="81" width="22.1640625" bestFit="1" customWidth="1"/>
  </cols>
  <sheetData>
    <row r="1" spans="1:4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1" t="s">
        <v>193</v>
      </c>
      <c r="J1" s="201" t="s">
        <v>194</v>
      </c>
      <c r="K1" s="201" t="s">
        <v>195</v>
      </c>
      <c r="L1" s="201" t="s">
        <v>196</v>
      </c>
      <c r="M1" s="201" t="s">
        <v>197</v>
      </c>
      <c r="N1" s="201" t="s">
        <v>198</v>
      </c>
      <c r="O1" s="201" t="s">
        <v>199</v>
      </c>
      <c r="P1" s="201" t="s">
        <v>200</v>
      </c>
      <c r="Q1" s="201" t="s">
        <v>201</v>
      </c>
      <c r="R1" s="201" t="s">
        <v>202</v>
      </c>
      <c r="S1" s="201" t="s">
        <v>203</v>
      </c>
      <c r="T1" s="201" t="s">
        <v>204</v>
      </c>
      <c r="U1" s="201" t="s">
        <v>205</v>
      </c>
      <c r="V1" s="201" t="s">
        <v>206</v>
      </c>
      <c r="W1" s="201" t="s">
        <v>207</v>
      </c>
      <c r="X1" s="201" t="s">
        <v>208</v>
      </c>
      <c r="Y1" s="201" t="s">
        <v>209</v>
      </c>
      <c r="Z1" s="201" t="s">
        <v>210</v>
      </c>
      <c r="AA1" s="201" t="s">
        <v>211</v>
      </c>
      <c r="AB1" s="201" t="s">
        <v>212</v>
      </c>
      <c r="AC1" s="201" t="s">
        <v>213</v>
      </c>
      <c r="AD1" s="201" t="s">
        <v>214</v>
      </c>
      <c r="AE1" s="201" t="s">
        <v>215</v>
      </c>
      <c r="AF1" s="201" t="s">
        <v>216</v>
      </c>
      <c r="AG1" s="201" t="s">
        <v>217</v>
      </c>
      <c r="AH1" s="201" t="s">
        <v>218</v>
      </c>
      <c r="AI1" s="201" t="s">
        <v>219</v>
      </c>
      <c r="AJ1" s="201" t="s">
        <v>220</v>
      </c>
      <c r="AK1" s="201" t="s">
        <v>221</v>
      </c>
      <c r="AL1" s="201" t="s">
        <v>222</v>
      </c>
      <c r="AM1" s="201" t="s">
        <v>223</v>
      </c>
      <c r="AN1" s="201" t="s">
        <v>224</v>
      </c>
      <c r="AO1" s="201" t="s">
        <v>225</v>
      </c>
      <c r="AP1" s="201" t="s">
        <v>226</v>
      </c>
      <c r="AQ1" s="201" t="s">
        <v>227</v>
      </c>
      <c r="AR1" s="201" t="s">
        <v>228</v>
      </c>
      <c r="AS1" s="201" t="s">
        <v>229</v>
      </c>
    </row>
    <row r="2" spans="1:45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5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5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5" x14ac:dyDescent="0.15">
      <c r="A5" s="200" t="s">
        <v>193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5" x14ac:dyDescent="0.15">
      <c r="A6" s="200" t="s">
        <v>194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5" x14ac:dyDescent="0.15">
      <c r="A7" s="200" t="s">
        <v>195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5" x14ac:dyDescent="0.15">
      <c r="A8" s="200" t="s">
        <v>196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5" x14ac:dyDescent="0.15">
      <c r="A9" s="200" t="s">
        <v>197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5" x14ac:dyDescent="0.15">
      <c r="A10" s="200" t="s">
        <v>198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5" x14ac:dyDescent="0.15">
      <c r="A11" s="200" t="s">
        <v>199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5" x14ac:dyDescent="0.15">
      <c r="A12" s="200" t="s">
        <v>200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5" x14ac:dyDescent="0.15">
      <c r="A13" s="200" t="s">
        <v>201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5" x14ac:dyDescent="0.15">
      <c r="A14" s="200" t="s">
        <v>202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5" x14ac:dyDescent="0.15">
      <c r="A15" s="200" t="s">
        <v>203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5" x14ac:dyDescent="0.15">
      <c r="A16" s="200" t="s">
        <v>204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205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206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207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208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209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210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211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212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213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214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215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216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217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218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219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220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221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222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223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224</v>
      </c>
      <c r="B36" s="110">
        <v>0</v>
      </c>
      <c r="C36"/>
      <c r="D36"/>
    </row>
    <row r="37" spans="1:38" ht="15" customHeight="1" x14ac:dyDescent="0.15">
      <c r="A37" s="200" t="s">
        <v>225</v>
      </c>
      <c r="B37" s="110">
        <v>0</v>
      </c>
      <c r="C37"/>
      <c r="D37"/>
    </row>
    <row r="38" spans="1:38" ht="15" customHeight="1" x14ac:dyDescent="0.15">
      <c r="A38" s="200" t="s">
        <v>226</v>
      </c>
      <c r="B38" s="11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227</v>
      </c>
      <c r="B39" s="110">
        <v>0</v>
      </c>
      <c r="C39"/>
      <c r="D39"/>
    </row>
    <row r="40" spans="1:38" ht="15" customHeight="1" x14ac:dyDescent="0.15">
      <c r="A40" s="200" t="s">
        <v>228</v>
      </c>
      <c r="B40" s="110">
        <v>0</v>
      </c>
      <c r="C40"/>
      <c r="D40"/>
    </row>
    <row r="41" spans="1:38" ht="15" customHeight="1" x14ac:dyDescent="0.15">
      <c r="A41" s="200" t="s">
        <v>229</v>
      </c>
      <c r="B41" s="110">
        <v>0</v>
      </c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2022-10-23T22:16:52Z</dcterms:modified>
</cp:coreProperties>
</file>